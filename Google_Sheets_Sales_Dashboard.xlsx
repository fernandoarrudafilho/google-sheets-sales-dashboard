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ni_dashboard" sheetId="1" r:id="rId5"/>
    <sheet state="visible" name="products" sheetId="2" r:id="rId6"/>
    <sheet state="visible" name="countries" sheetId="3" r:id="rId7"/>
    <sheet state="visible" name="events" sheetId="4" r:id="rId8"/>
    <sheet state="visible" name="PARETO" sheetId="5" r:id="rId9"/>
    <sheet state="visible" name="dinamica_pareto" sheetId="6" r:id="rId10"/>
    <sheet state="visible" name="pareto unit sold" sheetId="7" r:id="rId11"/>
    <sheet state="visible" name="pareto_lucro" sheetId="8" r:id="rId12"/>
    <sheet state="visible" name="pareto_receita" sheetId="9" r:id="rId13"/>
    <sheet state="visible" name="vendas_dia_semana" sheetId="10" r:id="rId14"/>
    <sheet state="visible" name="tendencia_compra_dia_semana" sheetId="11" r:id="rId15"/>
    <sheet state="visible" name="analise_vendas_categorias" sheetId="12" r:id="rId16"/>
    <sheet state="visible" name="Tabela dinâmica 1" sheetId="13" r:id="rId17"/>
    <sheet state="visible" name="metricas_receita" sheetId="14" r:id="rId18"/>
    <sheet state="visible" name="Tabela dinâmica 4" sheetId="15" r:id="rId19"/>
    <sheet state="visible" name="venda_localizacao" sheetId="16" r:id="rId20"/>
    <sheet state="visible" name="Tabela dinâmica 7" sheetId="17" r:id="rId21"/>
    <sheet state="visible" name="Tabela dinâmica 6" sheetId="18" r:id="rId22"/>
    <sheet state="visible" name="Tabela dinâmica 5" sheetId="19" r:id="rId23"/>
    <sheet state="visible" name="Tabela dinâmica 2" sheetId="20" r:id="rId24"/>
    <sheet state="visible" name="Tabela dinâmica 3" sheetId="21" r:id="rId25"/>
  </sheets>
  <definedNames>
    <definedName hidden="1" localSheetId="3" name="_xlnm._FilterDatabase">events!$A$1:$Z$1332</definedName>
    <definedName hidden="1" localSheetId="6" name="_xlnm._FilterDatabase">'pareto unit sold'!$A$1:$D$13</definedName>
    <definedName hidden="1" localSheetId="7" name="_xlnm._FilterDatabase">pareto_lucro!$A$1:$G$13</definedName>
    <definedName hidden="1" localSheetId="18" name="_xlnm._FilterDatabase">'Tabela dinâmica 5'!$R$1:$S$48</definedName>
  </definedNames>
  <calcPr/>
  <pivotCaches>
    <pivotCache cacheId="0" r:id="rId26"/>
    <pivotCache cacheId="1" r:id="rId27"/>
    <pivotCache cacheId="2" r:id="rId28"/>
    <pivotCache cacheId="3" r:id="rId29"/>
    <pivotCache cacheId="4" r:id="rId30"/>
  </pivotCaches>
</workbook>
</file>

<file path=xl/sharedStrings.xml><?xml version="1.0" encoding="utf-8"?>
<sst xmlns="http://schemas.openxmlformats.org/spreadsheetml/2006/main" count="23301" uniqueCount="1904">
  <si>
    <t xml:space="preserve"> </t>
  </si>
  <si>
    <t>id</t>
  </si>
  <si>
    <t>item_type</t>
  </si>
  <si>
    <t>Cereal</t>
  </si>
  <si>
    <t>Household</t>
  </si>
  <si>
    <t>Clothes</t>
  </si>
  <si>
    <t>Beverages</t>
  </si>
  <si>
    <t>Office Supplies</t>
  </si>
  <si>
    <t>Fruits</t>
  </si>
  <si>
    <t>Vegetables</t>
  </si>
  <si>
    <t>Baby Food</t>
  </si>
  <si>
    <t>Meat</t>
  </si>
  <si>
    <t>Cosmetics</t>
  </si>
  <si>
    <t>Snacks</t>
  </si>
  <si>
    <t>Personal Care</t>
  </si>
  <si>
    <t>name</t>
  </si>
  <si>
    <t>alpha-2</t>
  </si>
  <si>
    <t>alpha-3</t>
  </si>
  <si>
    <t>region</t>
  </si>
  <si>
    <t>sub-region</t>
  </si>
  <si>
    <t>Afghanistan</t>
  </si>
  <si>
    <t>AF</t>
  </si>
  <si>
    <t>AFG</t>
  </si>
  <si>
    <t>Asia</t>
  </si>
  <si>
    <t>Southern Asia</t>
  </si>
  <si>
    <t>Åland Islands</t>
  </si>
  <si>
    <t>AX</t>
  </si>
  <si>
    <t>ALA</t>
  </si>
  <si>
    <t>Europe</t>
  </si>
  <si>
    <t>Northern Europe</t>
  </si>
  <si>
    <t>Albania</t>
  </si>
  <si>
    <t>AL</t>
  </si>
  <si>
    <t>ALB</t>
  </si>
  <si>
    <t>Southern Europe</t>
  </si>
  <si>
    <t>Algeria</t>
  </si>
  <si>
    <t>DZ</t>
  </si>
  <si>
    <t>DZA</t>
  </si>
  <si>
    <t>Africa</t>
  </si>
  <si>
    <t>Northern Africa</t>
  </si>
  <si>
    <t>American Samoa</t>
  </si>
  <si>
    <t>AS</t>
  </si>
  <si>
    <t>ASM</t>
  </si>
  <si>
    <t>Oceania</t>
  </si>
  <si>
    <t>Polynesia</t>
  </si>
  <si>
    <t>Andorra</t>
  </si>
  <si>
    <t>AD</t>
  </si>
  <si>
    <t>AND</t>
  </si>
  <si>
    <t>Angola</t>
  </si>
  <si>
    <t>AO</t>
  </si>
  <si>
    <t>AGO</t>
  </si>
  <si>
    <t>Sub-Saharan Africa</t>
  </si>
  <si>
    <t>Anguilla</t>
  </si>
  <si>
    <t>AI</t>
  </si>
  <si>
    <t>AIA</t>
  </si>
  <si>
    <t>Americas</t>
  </si>
  <si>
    <t>Latin America and the Caribbean</t>
  </si>
  <si>
    <t>Antarctica</t>
  </si>
  <si>
    <t>AQ</t>
  </si>
  <si>
    <t>ATA</t>
  </si>
  <si>
    <t>Antigua and Barbuda</t>
  </si>
  <si>
    <t>AG</t>
  </si>
  <si>
    <t>ATG</t>
  </si>
  <si>
    <t>Argentina</t>
  </si>
  <si>
    <t>AR</t>
  </si>
  <si>
    <t>ARG</t>
  </si>
  <si>
    <t>Armenia</t>
  </si>
  <si>
    <t>AM</t>
  </si>
  <si>
    <t>ARM</t>
  </si>
  <si>
    <t>Western Asia</t>
  </si>
  <si>
    <t>Aruba</t>
  </si>
  <si>
    <t>AW</t>
  </si>
  <si>
    <t>ABW</t>
  </si>
  <si>
    <t>Australia</t>
  </si>
  <si>
    <t>AU</t>
  </si>
  <si>
    <t>AUS</t>
  </si>
  <si>
    <t>Australia and New Zealand</t>
  </si>
  <si>
    <t>Austria</t>
  </si>
  <si>
    <t>AT</t>
  </si>
  <si>
    <t>AUT</t>
  </si>
  <si>
    <t>Western Europe</t>
  </si>
  <si>
    <t>Azerbaijan</t>
  </si>
  <si>
    <t>AZ</t>
  </si>
  <si>
    <t>AZE</t>
  </si>
  <si>
    <t>Bahamas</t>
  </si>
  <si>
    <t>BS</t>
  </si>
  <si>
    <t>BHS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</si>
  <si>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</si>
  <si>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</si>
  <si>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</si>
  <si>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</si>
  <si>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</si>
  <si>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</si>
  <si>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</si>
  <si>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</si>
  <si>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</si>
  <si>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Belarus</t>
  </si>
  <si>
    <t>BY</t>
  </si>
  <si>
    <t>BLR</t>
  </si>
  <si>
    <t>Eastern Europe</t>
  </si>
  <si>
    <t>Belgium</t>
  </si>
  <si>
    <t>BE</t>
  </si>
  <si>
    <t>BEL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</si>
  <si>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</si>
  <si>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</si>
  <si>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</si>
  <si>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</si>
  <si>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</si>
  <si>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</si>
  <si>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</si>
  <si>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</si>
  <si>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</si>
  <si>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Northern America</t>
  </si>
  <si>
    <t>Bhutan</t>
  </si>
  <si>
    <t>BT</t>
  </si>
  <si>
    <t>BTN</t>
  </si>
  <si>
    <t>Bolivia (Plurinational State of)</t>
  </si>
  <si>
    <t>BO</t>
  </si>
  <si>
    <t>BOL</t>
  </si>
  <si>
    <t>Bonaire, Sint Eustatius and Saba</t>
  </si>
  <si>
    <t>BQ</t>
  </si>
  <si>
    <t>BES</t>
  </si>
  <si>
    <t>Bosnia and Herzegovina</t>
  </si>
  <si>
    <t>BA</t>
  </si>
  <si>
    <t>BIH</t>
  </si>
  <si>
    <t>Botswana</t>
  </si>
  <si>
    <t>BW</t>
  </si>
  <si>
    <t>BWA</t>
  </si>
  <si>
    <t>Bouvet Island</t>
  </si>
  <si>
    <t>BV</t>
  </si>
  <si>
    <t>BVT</t>
  </si>
  <si>
    <t>Brazil</t>
  </si>
  <si>
    <t>BR</t>
  </si>
  <si>
    <t>BRA</t>
  </si>
  <si>
    <t>British Indian Ocean Territory</t>
  </si>
  <si>
    <t>IO</t>
  </si>
  <si>
    <t>IOT</t>
  </si>
  <si>
    <t>Brunei Darussalam</t>
  </si>
  <si>
    <t>BN</t>
  </si>
  <si>
    <t>BRN</t>
  </si>
  <si>
    <t>South-eastern Asia</t>
  </si>
  <si>
    <t>Bulgaria</t>
  </si>
  <si>
    <t>BG</t>
  </si>
  <si>
    <t>BGR</t>
  </si>
  <si>
    <t>Burkina Faso</t>
  </si>
  <si>
    <t>BF</t>
  </si>
  <si>
    <t>BFA</t>
  </si>
  <si>
    <t>Burundi</t>
  </si>
  <si>
    <t>BI</t>
  </si>
  <si>
    <t>BDI</t>
  </si>
  <si>
    <t>Cabo Verde</t>
  </si>
  <si>
    <t>CV</t>
  </si>
  <si>
    <t>CPV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</si>
  <si>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</si>
  <si>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</si>
  <si>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</si>
  <si>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</si>
  <si>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</si>
  <si>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</si>
  <si>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</si>
  <si>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</si>
  <si>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</si>
  <si>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Cayman Islands</t>
  </si>
  <si>
    <t>KY</t>
  </si>
  <si>
    <t>CYM</t>
  </si>
  <si>
    <t>Central African Republic</t>
  </si>
  <si>
    <t>CF</t>
  </si>
  <si>
    <t>CAF</t>
  </si>
  <si>
    <t>Chad</t>
  </si>
  <si>
    <t>TD</t>
  </si>
  <si>
    <t>TCD</t>
  </si>
  <si>
    <t>Chile</t>
  </si>
  <si>
    <t>CL</t>
  </si>
  <si>
    <t>CHL</t>
  </si>
  <si>
    <t>China</t>
  </si>
  <si>
    <t>CN</t>
  </si>
  <si>
    <t>CHN</t>
  </si>
  <si>
    <t>Eastern Asia</t>
  </si>
  <si>
    <t>Christmas Island</t>
  </si>
  <si>
    <t>CX</t>
  </si>
  <si>
    <t>CXR</t>
  </si>
  <si>
    <t>Cocos (Keeling) Islands</t>
  </si>
  <si>
    <t>CC</t>
  </si>
  <si>
    <t>CCK</t>
  </si>
  <si>
    <t>Colombia</t>
  </si>
  <si>
    <t>CO</t>
  </si>
  <si>
    <t>COL</t>
  </si>
  <si>
    <t>Comoros</t>
  </si>
  <si>
    <t>KM</t>
  </si>
  <si>
    <t>COM</t>
  </si>
  <si>
    <t>Congo</t>
  </si>
  <si>
    <t>CG</t>
  </si>
  <si>
    <t>COG</t>
  </si>
  <si>
    <t>Congo, Democratic Republic of the</t>
  </si>
  <si>
    <t>CD</t>
  </si>
  <si>
    <t>COD</t>
  </si>
  <si>
    <t>Cook Islands</t>
  </si>
  <si>
    <t>CK</t>
  </si>
  <si>
    <t>COK</t>
  </si>
  <si>
    <t>Costa Rica</t>
  </si>
  <si>
    <t>CR</t>
  </si>
  <si>
    <t>CRI</t>
  </si>
  <si>
    <t>Côte d'Ivoire</t>
  </si>
  <si>
    <t>CI</t>
  </si>
  <si>
    <t>CIV</t>
  </si>
  <si>
    <t>Croatia</t>
  </si>
  <si>
    <t>HR</t>
  </si>
  <si>
    <t>HRV</t>
  </si>
  <si>
    <t>Cuba</t>
  </si>
  <si>
    <t>CU</t>
  </si>
  <si>
    <t>CUB</t>
  </si>
  <si>
    <t>Curaçao</t>
  </si>
  <si>
    <t>CW</t>
  </si>
  <si>
    <t>CUW</t>
  </si>
  <si>
    <t>Cyprus</t>
  </si>
  <si>
    <t>CY</t>
  </si>
  <si>
    <t>CYP</t>
  </si>
  <si>
    <t>Czech Republic</t>
  </si>
  <si>
    <t>CZ</t>
  </si>
  <si>
    <t>CZE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</si>
  <si>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</si>
  <si>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</si>
  <si>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</si>
  <si>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</si>
  <si>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</si>
  <si>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</si>
  <si>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</si>
  <si>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</si>
  <si>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</si>
  <si>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 Republic</t>
  </si>
  <si>
    <t>DO</t>
  </si>
  <si>
    <t>DOM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</si>
  <si>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</si>
  <si>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</si>
  <si>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</si>
  <si>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</si>
  <si>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</si>
  <si>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</si>
  <si>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</si>
  <si>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</si>
  <si>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</si>
  <si>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</si>
  <si>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</si>
  <si>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</si>
  <si>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</si>
  <si>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</si>
  <si>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</si>
  <si>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</si>
  <si>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</si>
  <si>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EST</t>
  </si>
  <si>
    <t>Eswatini</t>
  </si>
  <si>
    <t>SZ</t>
  </si>
  <si>
    <t>SWZ</t>
  </si>
  <si>
    <t>Ethiopia</t>
  </si>
  <si>
    <t>ET</t>
  </si>
  <si>
    <t>ETH</t>
  </si>
  <si>
    <t>Falkland Islands (Malvinas)</t>
  </si>
  <si>
    <t>FK</t>
  </si>
  <si>
    <t>FLK</t>
  </si>
  <si>
    <t>Faroe Islands</t>
  </si>
  <si>
    <t>FO</t>
  </si>
  <si>
    <t>FRO</t>
  </si>
  <si>
    <t>Fiji</t>
  </si>
  <si>
    <t>FJ</t>
  </si>
  <si>
    <t>FJI</t>
  </si>
  <si>
    <t>Melanesia</t>
  </si>
  <si>
    <t>Finland</t>
  </si>
  <si>
    <t>FI</t>
  </si>
  <si>
    <t>FIN</t>
  </si>
  <si>
    <t>France</t>
  </si>
  <si>
    <t>FR</t>
  </si>
  <si>
    <t>FRA</t>
  </si>
  <si>
    <t>French Guiana</t>
  </si>
  <si>
    <t>GF</t>
  </si>
  <si>
    <t>GUF</t>
  </si>
  <si>
    <t>French Polynesia</t>
  </si>
  <si>
    <t>PF</t>
  </si>
  <si>
    <t>PYF</t>
  </si>
  <si>
    <t>French Southern Territories</t>
  </si>
  <si>
    <t>TF</t>
  </si>
  <si>
    <t>ATF</t>
  </si>
  <si>
    <t>Gabon</t>
  </si>
  <si>
    <t>GA</t>
  </si>
  <si>
    <t>GAB</t>
  </si>
  <si>
    <t>Gambia</t>
  </si>
  <si>
    <t>GM</t>
  </si>
  <si>
    <t>GMB</t>
  </si>
  <si>
    <t>Georgia</t>
  </si>
  <si>
    <t>GE</t>
  </si>
  <si>
    <t>GEO</t>
  </si>
  <si>
    <t>Germany</t>
  </si>
  <si>
    <t>DE</t>
  </si>
  <si>
    <t>DEU</t>
  </si>
  <si>
    <t>Ghana</t>
  </si>
  <si>
    <t>GH</t>
  </si>
  <si>
    <t>GHA</t>
  </si>
  <si>
    <t>Gibraltar</t>
  </si>
  <si>
    <t>GI</t>
  </si>
  <si>
    <t>GIB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</si>
  <si>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</si>
  <si>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</si>
  <si>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</si>
  <si>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</si>
  <si>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</si>
  <si>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</si>
  <si>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</si>
  <si>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</si>
  <si>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</si>
  <si>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</si>
  <si>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</si>
  <si>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</si>
  <si>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</si>
  <si>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</si>
  <si>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</si>
  <si>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Micronesia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</si>
  <si>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</si>
  <si>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</si>
  <si>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</si>
  <si>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</si>
  <si>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</si>
  <si>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</si>
  <si>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</si>
  <si>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</si>
  <si>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</si>
  <si>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</si>
  <si>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</si>
  <si>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</si>
  <si>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</si>
  <si>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</si>
  <si>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</si>
  <si>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</si>
  <si>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</si>
  <si>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</si>
  <si>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Heard Island and McDonald Islands</t>
  </si>
  <si>
    <t>HM</t>
  </si>
  <si>
    <t>HMD</t>
  </si>
  <si>
    <t>Holy See</t>
  </si>
  <si>
    <t>VA</t>
  </si>
  <si>
    <t>VAT</t>
  </si>
  <si>
    <t>Honduras</t>
  </si>
  <si>
    <t>HN</t>
  </si>
  <si>
    <t>HND</t>
  </si>
  <si>
    <t>Hong Kong</t>
  </si>
  <si>
    <t>HK</t>
  </si>
  <si>
    <t>HKG</t>
  </si>
  <si>
    <t>Hungary</t>
  </si>
  <si>
    <t>HU</t>
  </si>
  <si>
    <t>HUN</t>
  </si>
  <si>
    <t>Iceland</t>
  </si>
  <si>
    <t>IS</t>
  </si>
  <si>
    <t>ISL</t>
  </si>
  <si>
    <t>India</t>
  </si>
  <si>
    <t>IN</t>
  </si>
  <si>
    <t>IND</t>
  </si>
  <si>
    <t>Indonesia</t>
  </si>
  <si>
    <t>ID</t>
  </si>
  <si>
    <t>IDN</t>
  </si>
  <si>
    <t>Iran (Islamic Republic of)</t>
  </si>
  <si>
    <t>IR</t>
  </si>
  <si>
    <t>IRN</t>
  </si>
  <si>
    <t>Iraq</t>
  </si>
  <si>
    <t>IQ</t>
  </si>
  <si>
    <t>IRQ</t>
  </si>
  <si>
    <t>Ireland</t>
  </si>
  <si>
    <t>IE</t>
  </si>
  <si>
    <t>IRL</t>
  </si>
  <si>
    <t>Isle of Man</t>
  </si>
  <si>
    <t>IM</t>
  </si>
  <si>
    <t>IMN</t>
  </si>
  <si>
    <t>Israel</t>
  </si>
  <si>
    <t>IL</t>
  </si>
  <si>
    <t>ISR</t>
  </si>
  <si>
    <t>Italy</t>
  </si>
  <si>
    <t>IT</t>
  </si>
  <si>
    <t>ITA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</si>
  <si>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</si>
  <si>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</si>
  <si>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</si>
  <si>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</si>
  <si>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</si>
  <si>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</si>
  <si>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</si>
  <si>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</si>
  <si>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</si>
  <si>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</si>
  <si>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</si>
  <si>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</si>
  <si>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Kazakhstan</t>
  </si>
  <si>
    <t>KZ</t>
  </si>
  <si>
    <t>KAZ</t>
  </si>
  <si>
    <t>Central Asia</t>
  </si>
  <si>
    <t>Kenya</t>
  </si>
  <si>
    <t>KE</t>
  </si>
  <si>
    <t>KEN</t>
  </si>
  <si>
    <t>Kiribati</t>
  </si>
  <si>
    <t>KI</t>
  </si>
  <si>
    <t>KIR</t>
  </si>
  <si>
    <t>Korea (Democratic People's Republic of)</t>
  </si>
  <si>
    <t>KP</t>
  </si>
  <si>
    <t>PRK</t>
  </si>
  <si>
    <t>Korea, Republic of</t>
  </si>
  <si>
    <t>KR</t>
  </si>
  <si>
    <t>KOR</t>
  </si>
  <si>
    <t>Kuwait</t>
  </si>
  <si>
    <t>KW</t>
  </si>
  <si>
    <t>KWT</t>
  </si>
  <si>
    <t>Kyrgyzstan</t>
  </si>
  <si>
    <t>KG</t>
  </si>
  <si>
    <t>KGZ</t>
  </si>
  <si>
    <t>Lao People's Democratic Republic</t>
  </si>
  <si>
    <t>LA</t>
  </si>
  <si>
    <t>LAO</t>
  </si>
  <si>
    <t>Latvia</t>
  </si>
  <si>
    <t>LV</t>
  </si>
  <si>
    <t>LVA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</si>
  <si>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</si>
  <si>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</si>
  <si>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</si>
  <si>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</si>
  <si>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</si>
  <si>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</si>
  <si>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</si>
  <si>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</si>
  <si>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</si>
  <si>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</si>
  <si>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</si>
  <si>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</si>
  <si>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</si>
  <si>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</si>
  <si>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</si>
  <si>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</si>
  <si>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</si>
  <si>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</si>
  <si>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</si>
  <si>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</si>
  <si>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</si>
  <si>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Macao</t>
  </si>
  <si>
    <t>MO</t>
  </si>
  <si>
    <t>MAC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</si>
  <si>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</si>
  <si>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</si>
  <si>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</si>
  <si>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</si>
  <si>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</si>
  <si>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</si>
  <si>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</si>
  <si>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</si>
  <si>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</si>
  <si>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</si>
  <si>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</si>
  <si>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</si>
  <si>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</si>
  <si>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</si>
  <si>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</si>
  <si>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</si>
  <si>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</si>
  <si>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MLT</t>
  </si>
  <si>
    <t>Marshall Islands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</si>
  <si>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</si>
  <si>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</si>
  <si>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</si>
  <si>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</si>
  <si>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</si>
  <si>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</si>
  <si>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</si>
  <si>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</si>
  <si>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</si>
  <si>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</si>
  <si>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</si>
  <si>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</si>
  <si>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</si>
  <si>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</si>
  <si>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Mexico</t>
  </si>
  <si>
    <t>MX</t>
  </si>
  <si>
    <t>MEX</t>
  </si>
  <si>
    <t>Micronesia (Federated States of)</t>
  </si>
  <si>
    <t>FM</t>
  </si>
  <si>
    <t>FSM</t>
  </si>
  <si>
    <t>Moldova, Republic of</t>
  </si>
  <si>
    <t>MD</t>
  </si>
  <si>
    <t>MDA</t>
  </si>
  <si>
    <t>Monaco</t>
  </si>
  <si>
    <t>MC</t>
  </si>
  <si>
    <t>MCO</t>
  </si>
  <si>
    <t>Mongolia</t>
  </si>
  <si>
    <t>MN</t>
  </si>
  <si>
    <t>MNG</t>
  </si>
  <si>
    <t>Montenegro</t>
  </si>
  <si>
    <t>ME</t>
  </si>
  <si>
    <t>MNE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</si>
  <si>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</si>
  <si>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</si>
  <si>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</si>
  <si>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</si>
  <si>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</si>
  <si>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</si>
  <si>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</si>
  <si>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</si>
  <si>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</si>
  <si>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</si>
  <si>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</si>
  <si>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</si>
  <si>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</si>
  <si>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</si>
  <si>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</si>
  <si>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</si>
  <si>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</si>
  <si>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</si>
  <si>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</si>
  <si>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</si>
  <si>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</si>
  <si>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Netherlands</t>
  </si>
  <si>
    <t>NL</t>
  </si>
  <si>
    <t>NLD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</si>
  <si>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</si>
  <si>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</si>
  <si>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</si>
  <si>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</si>
  <si>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</si>
  <si>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</si>
  <si>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</si>
  <si>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</si>
  <si>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</si>
  <si>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Niger</t>
  </si>
  <si>
    <t>NE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</si>
  <si>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</si>
  <si>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</si>
  <si>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</si>
  <si>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</si>
  <si>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</si>
  <si>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</si>
  <si>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</si>
  <si>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</si>
  <si>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</si>
  <si>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</si>
  <si>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>Macedonia</t>
  </si>
  <si>
    <t>MK</t>
  </si>
  <si>
    <t>MKD</t>
  </si>
  <si>
    <t>Northern Mariana Islands</t>
  </si>
  <si>
    <t>MP</t>
  </si>
  <si>
    <t>MNP</t>
  </si>
  <si>
    <t>Norway</t>
  </si>
  <si>
    <t>NO</t>
  </si>
  <si>
    <t>NOR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</si>
  <si>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</si>
  <si>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</si>
  <si>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</si>
  <si>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</si>
  <si>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</si>
  <si>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</si>
  <si>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</si>
  <si>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</si>
  <si>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</si>
  <si>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Palestine, State of</t>
  </si>
  <si>
    <t>PS</t>
  </si>
  <si>
    <t>PSE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</si>
  <si>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</si>
  <si>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</si>
  <si>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</si>
  <si>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</si>
  <si>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</si>
  <si>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</si>
  <si>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</si>
  <si>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</si>
  <si>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</si>
  <si>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</si>
  <si>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</si>
  <si>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</si>
  <si>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</t>
  </si>
  <si>
    <t>PH</t>
  </si>
  <si>
    <t>PHL</t>
  </si>
  <si>
    <t>Pitcairn</t>
  </si>
  <si>
    <t>PN</t>
  </si>
  <si>
    <t>PCN</t>
  </si>
  <si>
    <t>Poland</t>
  </si>
  <si>
    <t>PL</t>
  </si>
  <si>
    <t>POL</t>
  </si>
  <si>
    <t>Portugal</t>
  </si>
  <si>
    <t>PT</t>
  </si>
  <si>
    <t>PRT</t>
  </si>
  <si>
    <t>Puerto Rico</t>
  </si>
  <si>
    <t>PR</t>
  </si>
  <si>
    <t>PRI</t>
  </si>
  <si>
    <t>Qatar</t>
  </si>
  <si>
    <t>QA</t>
  </si>
  <si>
    <t>QAT</t>
  </si>
  <si>
    <t>Réunion</t>
  </si>
  <si>
    <t>RE</t>
  </si>
  <si>
    <t>REU</t>
  </si>
  <si>
    <t>Romania</t>
  </si>
  <si>
    <t>RO</t>
  </si>
  <si>
    <t>ROU</t>
  </si>
  <si>
    <t>Russia</t>
  </si>
  <si>
    <t>RU</t>
  </si>
  <si>
    <t>RUS</t>
  </si>
  <si>
    <t>Rwanda</t>
  </si>
  <si>
    <t>RW</t>
  </si>
  <si>
    <t>RWA</t>
  </si>
  <si>
    <t>Saint Barthélemy</t>
  </si>
  <si>
    <t>BL</t>
  </si>
  <si>
    <t>BLM</t>
  </si>
  <si>
    <t>Saint Helena, Ascension and Tristan da Cunha</t>
  </si>
  <si>
    <t>SH</t>
  </si>
  <si>
    <t>SHN</t>
  </si>
  <si>
    <t>Saint Kitts and Nevis</t>
  </si>
  <si>
    <t>KN</t>
  </si>
  <si>
    <t>KNA</t>
  </si>
  <si>
    <t>Saint Lucia</t>
  </si>
  <si>
    <t>LC</t>
  </si>
  <si>
    <t>LCA</t>
  </si>
  <si>
    <t>Saint Martin (French part)</t>
  </si>
  <si>
    <t>MF</t>
  </si>
  <si>
    <t>MAF</t>
  </si>
  <si>
    <t>Saint Pierre and Miquelon</t>
  </si>
  <si>
    <t>PM</t>
  </si>
  <si>
    <t>SPM</t>
  </si>
  <si>
    <t>Saint Vincent and the Grenadines</t>
  </si>
  <si>
    <t>VC</t>
  </si>
  <si>
    <t>VCT</t>
  </si>
  <si>
    <t>Samoa</t>
  </si>
  <si>
    <t>WS</t>
  </si>
  <si>
    <t>WSM</t>
  </si>
  <si>
    <t>San Marino</t>
  </si>
  <si>
    <t>SM</t>
  </si>
  <si>
    <t>SMR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</si>
  <si>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</si>
  <si>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</si>
  <si>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</si>
  <si>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</si>
  <si>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</si>
  <si>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</si>
  <si>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</si>
  <si>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</si>
  <si>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</si>
  <si>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</si>
  <si>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</si>
  <si>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SRB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</si>
  <si>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</si>
  <si>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</si>
  <si>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</si>
  <si>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</si>
  <si>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</si>
  <si>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</si>
  <si>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</si>
  <si>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</si>
  <si>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</si>
  <si>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Sint Maarten (Dutch part)</t>
  </si>
  <si>
    <t>SX</t>
  </si>
  <si>
    <t>SXM</t>
  </si>
  <si>
    <t>Slovakia</t>
  </si>
  <si>
    <t>SK</t>
  </si>
  <si>
    <t>SVK</t>
  </si>
  <si>
    <t>Slovenia</t>
  </si>
  <si>
    <t>SI</t>
  </si>
  <si>
    <t>SVN</t>
  </si>
  <si>
    <t>Solomon Islands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</si>
  <si>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</si>
  <si>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</si>
  <si>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</si>
  <si>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</si>
  <si>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</si>
  <si>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</si>
  <si>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</si>
  <si>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</si>
  <si>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Georgia and the South Sandwich Islands</t>
  </si>
  <si>
    <t>GS</t>
  </si>
  <si>
    <t>SGS</t>
  </si>
  <si>
    <t>South Sudan</t>
  </si>
  <si>
    <t>SS</t>
  </si>
  <si>
    <t>SSD</t>
  </si>
  <si>
    <t>Spain</t>
  </si>
  <si>
    <t>ES</t>
  </si>
  <si>
    <t>ESP</t>
  </si>
  <si>
    <t>Sri Lanka</t>
  </si>
  <si>
    <t>LK</t>
  </si>
  <si>
    <t>LKA</t>
  </si>
  <si>
    <t>Sudan</t>
  </si>
  <si>
    <t>SD</t>
  </si>
  <si>
    <t>SDN</t>
  </si>
  <si>
    <t>Suriname</t>
  </si>
  <si>
    <t>SR</t>
  </si>
  <si>
    <t>SUR</t>
  </si>
  <si>
    <t>Svalbard and Jan Mayen</t>
  </si>
  <si>
    <t>SJ</t>
  </si>
  <si>
    <t>SJM</t>
  </si>
  <si>
    <t>Sweden</t>
  </si>
  <si>
    <t>SE</t>
  </si>
  <si>
    <t>SWE</t>
  </si>
  <si>
    <t>Switzerland</t>
  </si>
  <si>
    <t>CH</t>
  </si>
  <si>
    <t>CHE</t>
  </si>
  <si>
    <t>Syrian Arab Republic</t>
  </si>
  <si>
    <t>SY</t>
  </si>
  <si>
    <t>SYR</t>
  </si>
  <si>
    <t>Taiwan, Province of China</t>
  </si>
  <si>
    <t>TW</t>
  </si>
  <si>
    <t>TWN</t>
  </si>
  <si>
    <t>Tajikistan</t>
  </si>
  <si>
    <t>TJ</t>
  </si>
  <si>
    <t>TJK</t>
  </si>
  <si>
    <t>Tanzania, United Republic of</t>
  </si>
  <si>
    <t>TZ</t>
  </si>
  <si>
    <t>TZA</t>
  </si>
  <si>
    <t>Thailand</t>
  </si>
  <si>
    <t>TH</t>
  </si>
  <si>
    <t>THA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</si>
  <si>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</si>
  <si>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</si>
  <si>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</si>
  <si>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</si>
  <si>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</si>
  <si>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</si>
  <si>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</si>
  <si>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</si>
  <si>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</si>
  <si>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</si>
  <si>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</si>
  <si>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</si>
  <si>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</si>
  <si>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</si>
  <si>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</si>
  <si>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</si>
  <si>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TN</t>
  </si>
  <si>
    <t>TUN</t>
  </si>
  <si>
    <t>Turkey</t>
  </si>
  <si>
    <t>TR</t>
  </si>
  <si>
    <t>TUR</t>
  </si>
  <si>
    <t>Turkmenistan</t>
  </si>
  <si>
    <t>TM</t>
  </si>
  <si>
    <t>TKM</t>
  </si>
  <si>
    <t>Turks and Caicos Islands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</si>
  <si>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</si>
  <si>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</si>
  <si>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</si>
  <si>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</si>
  <si>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</si>
  <si>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</si>
  <si>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</si>
  <si>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</si>
  <si>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</si>
  <si>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</si>
  <si>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UKR</t>
  </si>
  <si>
    <t>United Arab Emirates</t>
  </si>
  <si>
    <t>AE</t>
  </si>
  <si>
    <t>ARE</t>
  </si>
  <si>
    <t>United Kingdom</t>
  </si>
  <si>
    <t>GB</t>
  </si>
  <si>
    <t>GBR</t>
  </si>
  <si>
    <t>United States of America</t>
  </si>
  <si>
    <t>US</t>
  </si>
  <si>
    <t>USA</t>
  </si>
  <si>
    <t>United States Minor Outlying Islands</t>
  </si>
  <si>
    <t>UM</t>
  </si>
  <si>
    <t>UMI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</si>
  <si>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</si>
  <si>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</si>
  <si>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</si>
  <si>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</si>
  <si>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</si>
  <si>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</si>
  <si>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</si>
  <si>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</si>
  <si>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</si>
  <si>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 (Bolivarian Republic of)</t>
  </si>
  <si>
    <t>VE</t>
  </si>
  <si>
    <t>VEN</t>
  </si>
  <si>
    <t>Viet Nam</t>
  </si>
  <si>
    <t>VN</t>
  </si>
  <si>
    <t>VNM</t>
  </si>
  <si>
    <t>Virgin Islands (British)</t>
  </si>
  <si>
    <t>VG</t>
  </si>
  <si>
    <t>VGB</t>
  </si>
  <si>
    <t>Virgin Islands (U.S.)</t>
  </si>
  <si>
    <t>VI</t>
  </si>
  <si>
    <t>VIR</t>
  </si>
  <si>
    <t>Wallis and Futuna</t>
  </si>
  <si>
    <t>WF</t>
  </si>
  <si>
    <t>WLF</t>
  </si>
  <si>
    <t>Western Sahara</t>
  </si>
  <si>
    <t>EH</t>
  </si>
  <si>
    <t>ESH</t>
  </si>
  <si>
    <t>Yemen</t>
  </si>
  <si>
    <t>YE</t>
  </si>
  <si>
    <t>YEM</t>
  </si>
  <si>
    <t>Zambia</t>
  </si>
  <si>
    <t>ZM</t>
  </si>
  <si>
    <t>ZMB</t>
  </si>
  <si>
    <t>Zimbabwe</t>
  </si>
  <si>
    <t>ZW</t>
  </si>
  <si>
    <t>ZWE</t>
  </si>
  <si>
    <t>Order ID</t>
  </si>
  <si>
    <t>Order Date</t>
  </si>
  <si>
    <t>mesOrder Date</t>
  </si>
  <si>
    <t>diaOrder Date</t>
  </si>
  <si>
    <t>anoOrder Date</t>
  </si>
  <si>
    <t>order date formatada</t>
  </si>
  <si>
    <t>Ship Date</t>
  </si>
  <si>
    <t>mesShip Date</t>
  </si>
  <si>
    <t>diaShip Date</t>
  </si>
  <si>
    <t>anoShip Date</t>
  </si>
  <si>
    <t>ship date formatada</t>
  </si>
  <si>
    <t>Order Priority</t>
  </si>
  <si>
    <t>Country Code</t>
  </si>
  <si>
    <t>Product ID</t>
  </si>
  <si>
    <t>Sales Channel</t>
  </si>
  <si>
    <t>Units Sold</t>
  </si>
  <si>
    <t>Unit Price</t>
  </si>
  <si>
    <t>Unit Cost</t>
  </si>
  <si>
    <t>receita_total</t>
  </si>
  <si>
    <t>custo_total</t>
  </si>
  <si>
    <t>lucro_total</t>
  </si>
  <si>
    <t>% margem</t>
  </si>
  <si>
    <t>lead_time</t>
  </si>
  <si>
    <t>dia da semana compra</t>
  </si>
  <si>
    <t>10/18/2014</t>
  </si>
  <si>
    <t>M</t>
  </si>
  <si>
    <t>Online</t>
  </si>
  <si>
    <t>margem total</t>
  </si>
  <si>
    <t>C</t>
  </si>
  <si>
    <t>Offline</t>
  </si>
  <si>
    <t>margem media</t>
  </si>
  <si>
    <t>7/18/2014</t>
  </si>
  <si>
    <t>Desconhecido</t>
  </si>
  <si>
    <t>margem mediana</t>
  </si>
  <si>
    <t>5/13/2017</t>
  </si>
  <si>
    <t>6/13/2017</t>
  </si>
  <si>
    <t>L</t>
  </si>
  <si>
    <t>9/18/2012</t>
  </si>
  <si>
    <t>H</t>
  </si>
  <si>
    <t>3/15/2015</t>
  </si>
  <si>
    <t>4/18/2015</t>
  </si>
  <si>
    <t>4/20/2013</t>
  </si>
  <si>
    <t>12/14/2011</t>
  </si>
  <si>
    <t>9/19/2012</t>
  </si>
  <si>
    <t>10/20/2012</t>
  </si>
  <si>
    <t>1/23/2011</t>
  </si>
  <si>
    <t>2/22/2011</t>
  </si>
  <si>
    <t>2/19/2012</t>
  </si>
  <si>
    <t>2/22/2017</t>
  </si>
  <si>
    <t>3/27/2013</t>
  </si>
  <si>
    <t>4/21/2013</t>
  </si>
  <si>
    <t>6/13/2016</t>
  </si>
  <si>
    <t>10/28/2013</t>
  </si>
  <si>
    <t>2/19/2015</t>
  </si>
  <si>
    <t>3/27/2015</t>
  </si>
  <si>
    <t>4/16/2012</t>
  </si>
  <si>
    <t>5/26/2012</t>
  </si>
  <si>
    <t>7/13/2012</t>
  </si>
  <si>
    <t>4/28/2011</t>
  </si>
  <si>
    <t>10/28/2016</t>
  </si>
  <si>
    <t>12/15/2016</t>
  </si>
  <si>
    <t>10/29/2010</t>
  </si>
  <si>
    <t>1/24/2015</t>
  </si>
  <si>
    <t>2/19/2016</t>
  </si>
  <si>
    <t>3/13/2016</t>
  </si>
  <si>
    <t>8/17/2014</t>
  </si>
  <si>
    <t>1/14/2015</t>
  </si>
  <si>
    <t>1/27/2015</t>
  </si>
  <si>
    <t>5/13/2015</t>
  </si>
  <si>
    <t>6/26/2015</t>
  </si>
  <si>
    <t>3/23/2011</t>
  </si>
  <si>
    <t>11/21/2016</t>
  </si>
  <si>
    <t>12/18/2016</t>
  </si>
  <si>
    <t>4/27/2017</t>
  </si>
  <si>
    <t>5/24/2017</t>
  </si>
  <si>
    <t>1/13/2016</t>
  </si>
  <si>
    <t>3/24/2017</t>
  </si>
  <si>
    <t>4/25/2017</t>
  </si>
  <si>
    <t>2/20/2014</t>
  </si>
  <si>
    <t>5/13/2010</t>
  </si>
  <si>
    <t>6/22/2010</t>
  </si>
  <si>
    <t>7/24/2012</t>
  </si>
  <si>
    <t>7/24/2017</t>
  </si>
  <si>
    <t>5/18/2012</t>
  </si>
  <si>
    <t>12/27/2011</t>
  </si>
  <si>
    <t>9/20/2013</t>
  </si>
  <si>
    <t>10/29/2013</t>
  </si>
  <si>
    <t>10/23/2010</t>
  </si>
  <si>
    <t>1/25/2011</t>
  </si>
  <si>
    <t>3/13/2011</t>
  </si>
  <si>
    <t>2/13/2011</t>
  </si>
  <si>
    <t>3/28/2011</t>
  </si>
  <si>
    <t>6/16/2013</t>
  </si>
  <si>
    <t>6/20/2013</t>
  </si>
  <si>
    <t>7/18/2012</t>
  </si>
  <si>
    <t>4/19/2011</t>
  </si>
  <si>
    <t>4/26/2011</t>
  </si>
  <si>
    <t>3/21/2014</t>
  </si>
  <si>
    <t>4/24/2014</t>
  </si>
  <si>
    <t>9/18/2013</t>
  </si>
  <si>
    <t>10/27/2013</t>
  </si>
  <si>
    <t>3/13/2017</t>
  </si>
  <si>
    <t>4/13/2017</t>
  </si>
  <si>
    <t>7/20/2017</t>
  </si>
  <si>
    <t>9/20/2012</t>
  </si>
  <si>
    <t>1/27/2016</t>
  </si>
  <si>
    <t>3/15/2016</t>
  </si>
  <si>
    <t>2/28/2011</t>
  </si>
  <si>
    <t>4/26/2012</t>
  </si>
  <si>
    <t>2/20/2016</t>
  </si>
  <si>
    <t>7/13/2013</t>
  </si>
  <si>
    <t>8/16/2014</t>
  </si>
  <si>
    <t>8/27/2016</t>
  </si>
  <si>
    <t>7/14/2014</t>
  </si>
  <si>
    <t>7/20/2014</t>
  </si>
  <si>
    <t>3/29/2011</t>
  </si>
  <si>
    <t>4/30/2011</t>
  </si>
  <si>
    <t>7/15/2013</t>
  </si>
  <si>
    <t>8/29/2013</t>
  </si>
  <si>
    <t>8/16/2012</t>
  </si>
  <si>
    <t>4/16/2011</t>
  </si>
  <si>
    <t>2/19/2014</t>
  </si>
  <si>
    <t>8/18/2013</t>
  </si>
  <si>
    <t>5/21/2012</t>
  </si>
  <si>
    <t>2/19/2011</t>
  </si>
  <si>
    <t>11/27/2011</t>
  </si>
  <si>
    <t>9/29/2015</t>
  </si>
  <si>
    <t>9/19/2013</t>
  </si>
  <si>
    <t>9/25/2013</t>
  </si>
  <si>
    <t>4/29/2013</t>
  </si>
  <si>
    <t>5/29/2013</t>
  </si>
  <si>
    <t>5/19/2015</t>
  </si>
  <si>
    <t>6/21/2015</t>
  </si>
  <si>
    <t>6/22/2012</t>
  </si>
  <si>
    <t>2/21/2013</t>
  </si>
  <si>
    <t>5/19/2012</t>
  </si>
  <si>
    <t>8/22/2011</t>
  </si>
  <si>
    <t>9/20/2011</t>
  </si>
  <si>
    <t>1/28/2014</t>
  </si>
  <si>
    <t>3/29/2015</t>
  </si>
  <si>
    <t>6/26/2016</t>
  </si>
  <si>
    <t>6/18/2015</t>
  </si>
  <si>
    <t>3/22/2014</t>
  </si>
  <si>
    <t>11/19/2012</t>
  </si>
  <si>
    <t>12/17/2012</t>
  </si>
  <si>
    <t>9/27/2015</t>
  </si>
  <si>
    <t>10/30/2015</t>
  </si>
  <si>
    <t>10/29/2011</t>
  </si>
  <si>
    <t>11/13/2011</t>
  </si>
  <si>
    <t>3/15/2010</t>
  </si>
  <si>
    <t>online</t>
  </si>
  <si>
    <t>8/22/2012</t>
  </si>
  <si>
    <t>8/30/2011</t>
  </si>
  <si>
    <t>10/19/2011</t>
  </si>
  <si>
    <t>3/22/2016</t>
  </si>
  <si>
    <t>4/19/2016</t>
  </si>
  <si>
    <t>4/17/2017</t>
  </si>
  <si>
    <t>3/22/2015</t>
  </si>
  <si>
    <t>4/29/2015</t>
  </si>
  <si>
    <t>11/21/2011</t>
  </si>
  <si>
    <t>2/20/2012</t>
  </si>
  <si>
    <t>9/21/2014</t>
  </si>
  <si>
    <t>7/14/2013</t>
  </si>
  <si>
    <t>8/19/2013</t>
  </si>
  <si>
    <t>10/22/2010</t>
  </si>
  <si>
    <t>10/22/2012</t>
  </si>
  <si>
    <t>11/20/2012</t>
  </si>
  <si>
    <t>7/25/2015</t>
  </si>
  <si>
    <t>4/30/2016</t>
  </si>
  <si>
    <t>6/24/2017</t>
  </si>
  <si>
    <t>8/13/2017</t>
  </si>
  <si>
    <t>7/26/2016</t>
  </si>
  <si>
    <t>7/29/2016</t>
  </si>
  <si>
    <t>6/14/2014</t>
  </si>
  <si>
    <t>9/16/2012</t>
  </si>
  <si>
    <t>8/17/2013</t>
  </si>
  <si>
    <t>9/20/2015</t>
  </si>
  <si>
    <t>10/18/2015</t>
  </si>
  <si>
    <t>5/16/2016</t>
  </si>
  <si>
    <t>2/14/2016</t>
  </si>
  <si>
    <t>5/31/2010</t>
  </si>
  <si>
    <t>12/24/2012</t>
  </si>
  <si>
    <t>10/27/2014</t>
  </si>
  <si>
    <t>10/31/2014</t>
  </si>
  <si>
    <t>11/27/2016</t>
  </si>
  <si>
    <t>8/21/2015</t>
  </si>
  <si>
    <t>9/21/2015</t>
  </si>
  <si>
    <t>1/27/2012</t>
  </si>
  <si>
    <t>4/20/2011</t>
  </si>
  <si>
    <t>5/28/2011</t>
  </si>
  <si>
    <t>8/25/2015</t>
  </si>
  <si>
    <t>8/29/2015</t>
  </si>
  <si>
    <t>12/15/2015</t>
  </si>
  <si>
    <t>4/16/2017</t>
  </si>
  <si>
    <t>4/23/2017</t>
  </si>
  <si>
    <t>5/14/2011</t>
  </si>
  <si>
    <t>5/16/2014</t>
  </si>
  <si>
    <t>5/20/2014</t>
  </si>
  <si>
    <t>6/30/2012</t>
  </si>
  <si>
    <t>7/28/2012</t>
  </si>
  <si>
    <t>2/22/2013</t>
  </si>
  <si>
    <t>3/21/2013</t>
  </si>
  <si>
    <t>6/20/2017</t>
  </si>
  <si>
    <t>3/22/2017</t>
  </si>
  <si>
    <t>12/16/2012</t>
  </si>
  <si>
    <t>7/27/2016</t>
  </si>
  <si>
    <t>9/13/2016</t>
  </si>
  <si>
    <t>8/20/2017</t>
  </si>
  <si>
    <t>10/16/2014</t>
  </si>
  <si>
    <t>11/13/2014</t>
  </si>
  <si>
    <t>5/17/2011</t>
  </si>
  <si>
    <t>5/22/2011</t>
  </si>
  <si>
    <t>1/23/2012</t>
  </si>
  <si>
    <t>7/25/2014</t>
  </si>
  <si>
    <t>7/18/2013</t>
  </si>
  <si>
    <t>8/14/2013</t>
  </si>
  <si>
    <t>9/26/2013</t>
  </si>
  <si>
    <t>11/26/2011</t>
  </si>
  <si>
    <t>12/19/2011</t>
  </si>
  <si>
    <t>1/17/2012</t>
  </si>
  <si>
    <t>1/31/2012</t>
  </si>
  <si>
    <t>2/25/2014</t>
  </si>
  <si>
    <t>1/29/2012</t>
  </si>
  <si>
    <t>6/24/2015</t>
  </si>
  <si>
    <t>7/28/2015</t>
  </si>
  <si>
    <t>6/15/2010</t>
  </si>
  <si>
    <t>7/18/2010</t>
  </si>
  <si>
    <t>8/20/2011</t>
  </si>
  <si>
    <t>9/26/2011</t>
  </si>
  <si>
    <t>10/15/2015</t>
  </si>
  <si>
    <t>11/27/2015</t>
  </si>
  <si>
    <t>12/29/2015</t>
  </si>
  <si>
    <t>1/22/2015</t>
  </si>
  <si>
    <t>3/18/2014</t>
  </si>
  <si>
    <t>4/20/2014</t>
  </si>
  <si>
    <t>8/24/2014</t>
  </si>
  <si>
    <t>9/24/2014</t>
  </si>
  <si>
    <t>3/23/2010</t>
  </si>
  <si>
    <t>8/23/2011</t>
  </si>
  <si>
    <t>4/30/2015</t>
  </si>
  <si>
    <t>5/15/2015</t>
  </si>
  <si>
    <t>2/26/2015</t>
  </si>
  <si>
    <t>11/29/2015</t>
  </si>
  <si>
    <t>3/20/2012</t>
  </si>
  <si>
    <t>4/13/2012</t>
  </si>
  <si>
    <t>12/21/2012</t>
  </si>
  <si>
    <t>6/21/2017</t>
  </si>
  <si>
    <t>12/19/2015</t>
  </si>
  <si>
    <t>6/15/2012</t>
  </si>
  <si>
    <t>6/25/2011</t>
  </si>
  <si>
    <t>6/18/2014</t>
  </si>
  <si>
    <t>10/14/2013</t>
  </si>
  <si>
    <t>10/17/2013</t>
  </si>
  <si>
    <t>7/28/2011</t>
  </si>
  <si>
    <t>3/16/2010</t>
  </si>
  <si>
    <t>5/30/2010</t>
  </si>
  <si>
    <t>6/27/2010</t>
  </si>
  <si>
    <t>6/23/2014</t>
  </si>
  <si>
    <t>7/30/2014</t>
  </si>
  <si>
    <t>11/30/2012</t>
  </si>
  <si>
    <t>6/14/2010</t>
  </si>
  <si>
    <t>11/28/2011</t>
  </si>
  <si>
    <t>7/15/2012</t>
  </si>
  <si>
    <t>8/28/2015</t>
  </si>
  <si>
    <t>5/16/2015</t>
  </si>
  <si>
    <t>2/22/2010</t>
  </si>
  <si>
    <t>10/17/2014</t>
  </si>
  <si>
    <t>2/17/2016</t>
  </si>
  <si>
    <t>9/28/2014</t>
  </si>
  <si>
    <t>12/19/2013</t>
  </si>
  <si>
    <t>1/26/2014</t>
  </si>
  <si>
    <t>12/22/2012</t>
  </si>
  <si>
    <t>7/17/2016</t>
  </si>
  <si>
    <t>4/20/2017</t>
  </si>
  <si>
    <t>1/18/2012</t>
  </si>
  <si>
    <t>2/13/2012</t>
  </si>
  <si>
    <t>3/16/2017</t>
  </si>
  <si>
    <t>7/16/2014</t>
  </si>
  <si>
    <t>6/17/2013</t>
  </si>
  <si>
    <t>2/26/2016</t>
  </si>
  <si>
    <t>3/28/2016</t>
  </si>
  <si>
    <t>5/23/2017</t>
  </si>
  <si>
    <t>5/30/2017</t>
  </si>
  <si>
    <t>12/21/2016</t>
  </si>
  <si>
    <t>1/22/2017</t>
  </si>
  <si>
    <t>11/28/2015</t>
  </si>
  <si>
    <t>12/17/2015</t>
  </si>
  <si>
    <t>6/25/2010</t>
  </si>
  <si>
    <t>4/15/2012</t>
  </si>
  <si>
    <t>7/13/2015</t>
  </si>
  <si>
    <t>7/29/2015</t>
  </si>
  <si>
    <t>3/17/2014</t>
  </si>
  <si>
    <t>6/29/2012</t>
  </si>
  <si>
    <t>8/14/2012</t>
  </si>
  <si>
    <t>11/13/2016</t>
  </si>
  <si>
    <t>11/24/2016</t>
  </si>
  <si>
    <t>1/30/2013</t>
  </si>
  <si>
    <t>7/19/2015</t>
  </si>
  <si>
    <t>5/31/2016</t>
  </si>
  <si>
    <t>12/16/2010</t>
  </si>
  <si>
    <t>12/27/2010</t>
  </si>
  <si>
    <t>10/30/2012</t>
  </si>
  <si>
    <t>8/21/2014</t>
  </si>
  <si>
    <t>5/22/2013</t>
  </si>
  <si>
    <t>6/22/2015</t>
  </si>
  <si>
    <t>1/16/2013</t>
  </si>
  <si>
    <t>3/23/2012</t>
  </si>
  <si>
    <t>3/30/2012</t>
  </si>
  <si>
    <t>2/27/2011</t>
  </si>
  <si>
    <t>9/22/2016</t>
  </si>
  <si>
    <t>9/30/2014</t>
  </si>
  <si>
    <t>12/23/2011</t>
  </si>
  <si>
    <t>1/24/2016</t>
  </si>
  <si>
    <t>10/18/2013</t>
  </si>
  <si>
    <t>8/18/2014</t>
  </si>
  <si>
    <t>9/26/2014</t>
  </si>
  <si>
    <t>2/21/2015</t>
  </si>
  <si>
    <t>9/23/2013</t>
  </si>
  <si>
    <t>5/22/2014</t>
  </si>
  <si>
    <t>6/19/2014</t>
  </si>
  <si>
    <t>2/25/2010</t>
  </si>
  <si>
    <t>2/28/2010</t>
  </si>
  <si>
    <t>6/26/2010</t>
  </si>
  <si>
    <t>3/21/2011</t>
  </si>
  <si>
    <t>7/20/2010</t>
  </si>
  <si>
    <t>7/23/2010</t>
  </si>
  <si>
    <t>9/14/2011</t>
  </si>
  <si>
    <t>5/28/2012</t>
  </si>
  <si>
    <t>3/21/2015</t>
  </si>
  <si>
    <t>4/15/2015</t>
  </si>
  <si>
    <t>8/21/2011</t>
  </si>
  <si>
    <t>10/25/2010</t>
  </si>
  <si>
    <t>2/24/2014</t>
  </si>
  <si>
    <t>4/14/2014</t>
  </si>
  <si>
    <t>7/16/2011</t>
  </si>
  <si>
    <t>8/28/2011</t>
  </si>
  <si>
    <t>10/23/2011</t>
  </si>
  <si>
    <t>10/24/2011</t>
  </si>
  <si>
    <t>1/20/2015</t>
  </si>
  <si>
    <t>3/29/2014</t>
  </si>
  <si>
    <t>7/20/2016</t>
  </si>
  <si>
    <t>12/27/2016</t>
  </si>
  <si>
    <t>6/29/2013</t>
  </si>
  <si>
    <t>10/27/2016</t>
  </si>
  <si>
    <t>10/29/2016</t>
  </si>
  <si>
    <t>8/31/2014</t>
  </si>
  <si>
    <t>1/15/2015</t>
  </si>
  <si>
    <t>2/16/2015</t>
  </si>
  <si>
    <t>11/30/2015</t>
  </si>
  <si>
    <t>12/30/2015</t>
  </si>
  <si>
    <t>2/21/2016</t>
  </si>
  <si>
    <t>2/13/2017</t>
  </si>
  <si>
    <t>2/20/2017</t>
  </si>
  <si>
    <t>10/23/2013</t>
  </si>
  <si>
    <t>10/26/2013</t>
  </si>
  <si>
    <t>5/24/2012</t>
  </si>
  <si>
    <t>5/27/2010</t>
  </si>
  <si>
    <t>5/28/2016</t>
  </si>
  <si>
    <t>7/16/2016</t>
  </si>
  <si>
    <t>1/18/2015</t>
  </si>
  <si>
    <t>4/27/2015</t>
  </si>
  <si>
    <t>9/20/2010</t>
  </si>
  <si>
    <t>1/16/2014</t>
  </si>
  <si>
    <t>12/24/2011</t>
  </si>
  <si>
    <t>7/25/2016</t>
  </si>
  <si>
    <t>4/17/2014</t>
  </si>
  <si>
    <t>12/23/2012</t>
  </si>
  <si>
    <t>1/17/2013</t>
  </si>
  <si>
    <t>8/13/2011</t>
  </si>
  <si>
    <t>8/18/2011</t>
  </si>
  <si>
    <t>4/14/2011</t>
  </si>
  <si>
    <t>11/14/2012</t>
  </si>
  <si>
    <t>11/18/2012</t>
  </si>
  <si>
    <t>9/29/2013</t>
  </si>
  <si>
    <t>7/29/2013</t>
  </si>
  <si>
    <t>12/14/2010</t>
  </si>
  <si>
    <t>4/23/2012</t>
  </si>
  <si>
    <t>7/24/2015</t>
  </si>
  <si>
    <t>2/26/2017</t>
  </si>
  <si>
    <t>2/25/2011</t>
  </si>
  <si>
    <t>5/21/2014</t>
  </si>
  <si>
    <t>12/14/2012</t>
  </si>
  <si>
    <t>2/14/2015</t>
  </si>
  <si>
    <t>8/15/2010</t>
  </si>
  <si>
    <t>8/26/2010</t>
  </si>
  <si>
    <t>10/19/2013</t>
  </si>
  <si>
    <t>5/29/2016</t>
  </si>
  <si>
    <t>1/17/2011</t>
  </si>
  <si>
    <t>11/28/2013</t>
  </si>
  <si>
    <t>4/30/2017</t>
  </si>
  <si>
    <t>4/17/2015</t>
  </si>
  <si>
    <t>4/27/2011</t>
  </si>
  <si>
    <t>5/20/2015</t>
  </si>
  <si>
    <t>12/24/2015</t>
  </si>
  <si>
    <t>1/30/2012</t>
  </si>
  <si>
    <t>11/16/2013</t>
  </si>
  <si>
    <t>5/13/2013</t>
  </si>
  <si>
    <t>7/19/2012</t>
  </si>
  <si>
    <t>12/14/2016</t>
  </si>
  <si>
    <t>1/18/2011</t>
  </si>
  <si>
    <t>3/14/2012</t>
  </si>
  <si>
    <t>12/14/2013</t>
  </si>
  <si>
    <t>11/22/2010</t>
  </si>
  <si>
    <t>4/18/2010</t>
  </si>
  <si>
    <t>6/16/2012</t>
  </si>
  <si>
    <t>1/16/2010</t>
  </si>
  <si>
    <t>2/23/2010</t>
  </si>
  <si>
    <t>1/28/2012</t>
  </si>
  <si>
    <t>9/17/2011</t>
  </si>
  <si>
    <t>10/25/2011</t>
  </si>
  <si>
    <t>5/26/2015</t>
  </si>
  <si>
    <t>6/13/2015</t>
  </si>
  <si>
    <t>6/20/2010</t>
  </si>
  <si>
    <t>7/26/2010</t>
  </si>
  <si>
    <t>4/25/2013</t>
  </si>
  <si>
    <t>5/28/2017</t>
  </si>
  <si>
    <t>11/20/2010</t>
  </si>
  <si>
    <t>3/18/2011</t>
  </si>
  <si>
    <t>9/17/2014</t>
  </si>
  <si>
    <t>5/19/2010</t>
  </si>
  <si>
    <t>9/16/2016</t>
  </si>
  <si>
    <t>9/28/2016</t>
  </si>
  <si>
    <t>3/25/2012</t>
  </si>
  <si>
    <t>4/22/2012</t>
  </si>
  <si>
    <t>12/26/2010</t>
  </si>
  <si>
    <t>1/22/2011</t>
  </si>
  <si>
    <t>3/29/2016</t>
  </si>
  <si>
    <t>2/19/2017</t>
  </si>
  <si>
    <t>3/27/2017</t>
  </si>
  <si>
    <t>8/19/2012</t>
  </si>
  <si>
    <t>5/15/2014</t>
  </si>
  <si>
    <t>4/17/2016</t>
  </si>
  <si>
    <t>5/23/2016</t>
  </si>
  <si>
    <t>10/14/2012</t>
  </si>
  <si>
    <t>11/27/2012</t>
  </si>
  <si>
    <t>7/31/2012</t>
  </si>
  <si>
    <t>11/21/2012</t>
  </si>
  <si>
    <t>12/29/2012</t>
  </si>
  <si>
    <t>1/31/2015</t>
  </si>
  <si>
    <t>1/18/2010</t>
  </si>
  <si>
    <t>5/22/2015</t>
  </si>
  <si>
    <t>6/29/2015</t>
  </si>
  <si>
    <t>7/28/2014</t>
  </si>
  <si>
    <t>1/16/2016</t>
  </si>
  <si>
    <t>2/24/2013</t>
  </si>
  <si>
    <t>3/17/2013</t>
  </si>
  <si>
    <t>12/20/2016</t>
  </si>
  <si>
    <t>8/15/2015</t>
  </si>
  <si>
    <t>7/22/2011</t>
  </si>
  <si>
    <t>2/15/2017</t>
  </si>
  <si>
    <t>6/27/2016</t>
  </si>
  <si>
    <t>7/18/2016</t>
  </si>
  <si>
    <t>11/29/2014</t>
  </si>
  <si>
    <t>12/14/2014</t>
  </si>
  <si>
    <t>2/15/2012</t>
  </si>
  <si>
    <t>9/13/2012</t>
  </si>
  <si>
    <t>6/16/2011</t>
  </si>
  <si>
    <t>7/30/2011</t>
  </si>
  <si>
    <t>10/16/2013</t>
  </si>
  <si>
    <t>12/27/2015</t>
  </si>
  <si>
    <t>1/19/2016</t>
  </si>
  <si>
    <t>9/14/2014</t>
  </si>
  <si>
    <t>6/28/2016</t>
  </si>
  <si>
    <t>11/16/2012</t>
  </si>
  <si>
    <t>11/25/2012</t>
  </si>
  <si>
    <t>11/28/2012</t>
  </si>
  <si>
    <t>7/14/2017</t>
  </si>
  <si>
    <t>7/16/2017</t>
  </si>
  <si>
    <t>5/13/2014</t>
  </si>
  <si>
    <t>12/21/2011</t>
  </si>
  <si>
    <t>12/29/2011</t>
  </si>
  <si>
    <t>1/30/2015</t>
  </si>
  <si>
    <t>2/23/2015</t>
  </si>
  <si>
    <t>4/13/2013</t>
  </si>
  <si>
    <t>10/23/2014</t>
  </si>
  <si>
    <t>2/16/2013</t>
  </si>
  <si>
    <t>7/22/2016</t>
  </si>
  <si>
    <t>8/26/2016</t>
  </si>
  <si>
    <t>3/20/2010</t>
  </si>
  <si>
    <t>4/26/2010</t>
  </si>
  <si>
    <t>6/19/2011</t>
  </si>
  <si>
    <t>9/25/2016</t>
  </si>
  <si>
    <t>10/19/2016</t>
  </si>
  <si>
    <t>2/18/2015</t>
  </si>
  <si>
    <t>2/26/2012</t>
  </si>
  <si>
    <t>3/18/2012</t>
  </si>
  <si>
    <t>3/31/2013</t>
  </si>
  <si>
    <t>4/25/2014</t>
  </si>
  <si>
    <t>12/23/2013</t>
  </si>
  <si>
    <t>3/31/2012</t>
  </si>
  <si>
    <t>1/19/2012</t>
  </si>
  <si>
    <t>11/30/2016</t>
  </si>
  <si>
    <t>2/22/2015</t>
  </si>
  <si>
    <t>1/31/2010</t>
  </si>
  <si>
    <t>8/29/2012</t>
  </si>
  <si>
    <t>12/26/2011</t>
  </si>
  <si>
    <t>7/30/2016</t>
  </si>
  <si>
    <t>1/31/2016</t>
  </si>
  <si>
    <t>1/21/2016</t>
  </si>
  <si>
    <t>3/18/2010</t>
  </si>
  <si>
    <t>3/29/2013</t>
  </si>
  <si>
    <t>10/29/2014</t>
  </si>
  <si>
    <t>6/25/2012</t>
  </si>
  <si>
    <t>2/19/2010</t>
  </si>
  <si>
    <t>5/17/2014</t>
  </si>
  <si>
    <t>5/26/2014</t>
  </si>
  <si>
    <t>7/20/2013</t>
  </si>
  <si>
    <t>6/28/2010</t>
  </si>
  <si>
    <t>10/15/2016</t>
  </si>
  <si>
    <t>5/19/2016</t>
  </si>
  <si>
    <t>8/25/2014</t>
  </si>
  <si>
    <t>9/30/2013</t>
  </si>
  <si>
    <t>11/13/2013</t>
  </si>
  <si>
    <t>3/30/2013</t>
  </si>
  <si>
    <t>5/18/2013</t>
  </si>
  <si>
    <t>7/24/2014</t>
  </si>
  <si>
    <t>12/22/2016</t>
  </si>
  <si>
    <t>2/22/2012</t>
  </si>
  <si>
    <t>1/24/2013</t>
  </si>
  <si>
    <t>1/31/2013</t>
  </si>
  <si>
    <t>12/31/2012</t>
  </si>
  <si>
    <t>6/29/2016</t>
  </si>
  <si>
    <t>5/31/2015</t>
  </si>
  <si>
    <t>8/30/2014</t>
  </si>
  <si>
    <t>2/23/2012</t>
  </si>
  <si>
    <t>9/20/2016</t>
  </si>
  <si>
    <t>4/15/2011</t>
  </si>
  <si>
    <t>2/18/2012</t>
  </si>
  <si>
    <t>3/14/2015</t>
  </si>
  <si>
    <t>5/15/2016</t>
  </si>
  <si>
    <t>6/17/2016</t>
  </si>
  <si>
    <t>12/20/2011</t>
  </si>
  <si>
    <t>5/17/2013</t>
  </si>
  <si>
    <t>8/19/2010</t>
  </si>
  <si>
    <t>8/26/2015</t>
  </si>
  <si>
    <t>10/13/2015</t>
  </si>
  <si>
    <t>10/19/2015</t>
  </si>
  <si>
    <t>6/29/2011</t>
  </si>
  <si>
    <t>4/19/2013</t>
  </si>
  <si>
    <t>9/27/2010</t>
  </si>
  <si>
    <t>8/13/2012</t>
  </si>
  <si>
    <t>9/25/2010</t>
  </si>
  <si>
    <t>10/21/2013</t>
  </si>
  <si>
    <t>11/29/2011</t>
  </si>
  <si>
    <t>12/17/2011</t>
  </si>
  <si>
    <t>6/13/2011</t>
  </si>
  <si>
    <t>7/29/2011</t>
  </si>
  <si>
    <t>6/17/2012</t>
  </si>
  <si>
    <t>6/26/2012</t>
  </si>
  <si>
    <t>3/17/2015</t>
  </si>
  <si>
    <t>6/15/2013</t>
  </si>
  <si>
    <t>3/20/2015</t>
  </si>
  <si>
    <t>4/24/2016</t>
  </si>
  <si>
    <t>4/28/2016</t>
  </si>
  <si>
    <t>9/27/2013</t>
  </si>
  <si>
    <t>1/20/2014</t>
  </si>
  <si>
    <t>2/27/2014</t>
  </si>
  <si>
    <t>11/25/2011</t>
  </si>
  <si>
    <t>10/24/2015</t>
  </si>
  <si>
    <t>8/22/2014</t>
  </si>
  <si>
    <t>9/19/2014</t>
  </si>
  <si>
    <t>4/14/2010</t>
  </si>
  <si>
    <t>4/25/2010</t>
  </si>
  <si>
    <t>8/14/2016</t>
  </si>
  <si>
    <t>3/20/2014</t>
  </si>
  <si>
    <t>4/16/2014</t>
  </si>
  <si>
    <t>3/19/2014</t>
  </si>
  <si>
    <t>7/19/2014</t>
  </si>
  <si>
    <t>4/16/2015</t>
  </si>
  <si>
    <t>11/15/2013</t>
  </si>
  <si>
    <t>3/22/2012</t>
  </si>
  <si>
    <t>1/28/2017</t>
  </si>
  <si>
    <t>2/25/2017</t>
  </si>
  <si>
    <t>2/15/2016</t>
  </si>
  <si>
    <t>3/21/2016</t>
  </si>
  <si>
    <t>3/14/2011</t>
  </si>
  <si>
    <t>8/16/2011</t>
  </si>
  <si>
    <t>7/30/2013</t>
  </si>
  <si>
    <t>9/18/2015</t>
  </si>
  <si>
    <t>10/20/2015</t>
  </si>
  <si>
    <t>8/31/2010</t>
  </si>
  <si>
    <t>12/18/2010</t>
  </si>
  <si>
    <t>1/26/2011</t>
  </si>
  <si>
    <t>8/24/2013</t>
  </si>
  <si>
    <t>11/27/2013</t>
  </si>
  <si>
    <t>1/13/2011</t>
  </si>
  <si>
    <t>5/26/2010</t>
  </si>
  <si>
    <t>6/17/2010</t>
  </si>
  <si>
    <t>12/16/2011</t>
  </si>
  <si>
    <t>7/31/2010</t>
  </si>
  <si>
    <t>5/26/2011</t>
  </si>
  <si>
    <t>7/22/2017</t>
  </si>
  <si>
    <t>1/20/2010</t>
  </si>
  <si>
    <t>5/14/2015</t>
  </si>
  <si>
    <t>9/29/2011</t>
  </si>
  <si>
    <t>1/27/2010</t>
  </si>
  <si>
    <t>11/14/2011</t>
  </si>
  <si>
    <t>3/23/2017</t>
  </si>
  <si>
    <t>1/23/2010</t>
  </si>
  <si>
    <t>11/24/2015</t>
  </si>
  <si>
    <t>8/23/2012</t>
  </si>
  <si>
    <t>9/26/2012</t>
  </si>
  <si>
    <t>7/18/2017</t>
  </si>
  <si>
    <t>5/19/2017</t>
  </si>
  <si>
    <t>10/31/2015</t>
  </si>
  <si>
    <t>11/18/2015</t>
  </si>
  <si>
    <t>4/17/2011</t>
  </si>
  <si>
    <t>5/20/2010</t>
  </si>
  <si>
    <t>3/20/2013</t>
  </si>
  <si>
    <t>12/26/2012</t>
  </si>
  <si>
    <t>9/15/2015</t>
  </si>
  <si>
    <t>10/28/2012</t>
  </si>
  <si>
    <t>7/13/2011</t>
  </si>
  <si>
    <t>12/14/2015</t>
  </si>
  <si>
    <t>1/14/2016</t>
  </si>
  <si>
    <t>7/22/2015</t>
  </si>
  <si>
    <t>10/27/2012</t>
  </si>
  <si>
    <t>9/22/2011</t>
  </si>
  <si>
    <t>9/27/2011</t>
  </si>
  <si>
    <t>12/22/2011</t>
  </si>
  <si>
    <t>9/23/2010</t>
  </si>
  <si>
    <t>9/26/2010</t>
  </si>
  <si>
    <t>9/23/2015</t>
  </si>
  <si>
    <t>5/22/2012</t>
  </si>
  <si>
    <t>3/19/2012</t>
  </si>
  <si>
    <t>2/17/2011</t>
  </si>
  <si>
    <t>2/21/2012</t>
  </si>
  <si>
    <t>9/24/2012</t>
  </si>
  <si>
    <t>1/25/2012</t>
  </si>
  <si>
    <t>6/14/2015</t>
  </si>
  <si>
    <t>6/20/2015</t>
  </si>
  <si>
    <t>3/18/2017</t>
  </si>
  <si>
    <t>4/14/2017</t>
  </si>
  <si>
    <t>10/22/2016</t>
  </si>
  <si>
    <t>1/17/2015</t>
  </si>
  <si>
    <t>7/24/2011</t>
  </si>
  <si>
    <t>4/15/2010</t>
  </si>
  <si>
    <t>10/16/2011</t>
  </si>
  <si>
    <t>2/16/2010</t>
  </si>
  <si>
    <t>11/16/2015</t>
  </si>
  <si>
    <t>11/20/2015</t>
  </si>
  <si>
    <t>11/25/2013</t>
  </si>
  <si>
    <t>12/16/2013</t>
  </si>
  <si>
    <t>3/22/2013</t>
  </si>
  <si>
    <t>11/16/2014</t>
  </si>
  <si>
    <t>10/13/2013</t>
  </si>
  <si>
    <t>12/25/2014</t>
  </si>
  <si>
    <t>12/31/2014</t>
  </si>
  <si>
    <t>11/21/2015</t>
  </si>
  <si>
    <t>11/23/2015</t>
  </si>
  <si>
    <t>6/21/2011</t>
  </si>
  <si>
    <t>11/19/2011</t>
  </si>
  <si>
    <t>6/14/2012</t>
  </si>
  <si>
    <t>6/20/2012</t>
  </si>
  <si>
    <t>6/19/2013</t>
  </si>
  <si>
    <t>4/29/2012</t>
  </si>
  <si>
    <t>12/21/2010</t>
  </si>
  <si>
    <t>5/19/2014</t>
  </si>
  <si>
    <t>9/29/2010</t>
  </si>
  <si>
    <t>8/27/2012</t>
  </si>
  <si>
    <t>11/16/2016</t>
  </si>
  <si>
    <t>12/26/2016</t>
  </si>
  <si>
    <t>1/21/2015</t>
  </si>
  <si>
    <t>7/21/2014</t>
  </si>
  <si>
    <t>7/23/2014</t>
  </si>
  <si>
    <t>7/24/2010</t>
  </si>
  <si>
    <t>4/21/2014</t>
  </si>
  <si>
    <t>5/31/2017</t>
  </si>
  <si>
    <t>10/14/2014</t>
  </si>
  <si>
    <t>10/25/2014</t>
  </si>
  <si>
    <t>4/30/2013</t>
  </si>
  <si>
    <t>11/25/2010</t>
  </si>
  <si>
    <t>4/28/2012</t>
  </si>
  <si>
    <t>5/30/2012</t>
  </si>
  <si>
    <t>7/14/2011</t>
  </si>
  <si>
    <t>9/25/2015</t>
  </si>
  <si>
    <t>9/19/2016</t>
  </si>
  <si>
    <t>5/30/2015</t>
  </si>
  <si>
    <t>7/17/2015</t>
  </si>
  <si>
    <t>8/15/2016</t>
  </si>
  <si>
    <t>9/24/2011</t>
  </si>
  <si>
    <t>8/16/2016</t>
  </si>
  <si>
    <t>12/21/2014</t>
  </si>
  <si>
    <t>1/13/2015</t>
  </si>
  <si>
    <t>7/22/2012</t>
  </si>
  <si>
    <t>1/20/2016</t>
  </si>
  <si>
    <t>1/28/2016</t>
  </si>
  <si>
    <t>9/30/2012</t>
  </si>
  <si>
    <t>10/29/2012</t>
  </si>
  <si>
    <t>2/25/2013</t>
  </si>
  <si>
    <t>2/28/2013</t>
  </si>
  <si>
    <t>1/22/2016</t>
  </si>
  <si>
    <t>2/22/2016</t>
  </si>
  <si>
    <t>7/16/2015</t>
  </si>
  <si>
    <t>1/29/2014</t>
  </si>
  <si>
    <t>12/19/2010</t>
  </si>
  <si>
    <t>4/21/2017</t>
  </si>
  <si>
    <t>4/26/2017</t>
  </si>
  <si>
    <t>3/16/2012</t>
  </si>
  <si>
    <t>3/21/2012</t>
  </si>
  <si>
    <t>3/27/2012</t>
  </si>
  <si>
    <t>10/21/2011</t>
  </si>
  <si>
    <t>10/24/2016</t>
  </si>
  <si>
    <t>11/26/2016</t>
  </si>
  <si>
    <t>12/20/2010</t>
  </si>
  <si>
    <t>12/24/2010</t>
  </si>
  <si>
    <t>9/19/2010</t>
  </si>
  <si>
    <t>3/14/2016</t>
  </si>
  <si>
    <t>6/28/2017</t>
  </si>
  <si>
    <t>7/13/2017</t>
  </si>
  <si>
    <t>3/22/2011</t>
  </si>
  <si>
    <t>4/26/2015</t>
  </si>
  <si>
    <t>11/24/2012</t>
  </si>
  <si>
    <t>3/15/2011</t>
  </si>
  <si>
    <t>9/30/2016</t>
  </si>
  <si>
    <t>5/15/2012</t>
  </si>
  <si>
    <t>7/15/2015</t>
  </si>
  <si>
    <t>3/24/2013</t>
  </si>
  <si>
    <t>10/14/2011</t>
  </si>
  <si>
    <t>2/20/2015</t>
  </si>
  <si>
    <t>4/18/2011</t>
  </si>
  <si>
    <t>4/24/2011</t>
  </si>
  <si>
    <t>5/25/2016</t>
  </si>
  <si>
    <t>1/31/2011</t>
  </si>
  <si>
    <t>3/31/2014</t>
  </si>
  <si>
    <t>5/22/2010</t>
  </si>
  <si>
    <t>10/19/2010</t>
  </si>
  <si>
    <t>2/20/2010</t>
  </si>
  <si>
    <t>3/15/2013</t>
  </si>
  <si>
    <t>2/15/2011</t>
  </si>
  <si>
    <t>3/27/2011</t>
  </si>
  <si>
    <t>5/24/2011</t>
  </si>
  <si>
    <t>7/28/2016</t>
  </si>
  <si>
    <t>5/30/2014</t>
  </si>
  <si>
    <t>5/17/2012</t>
  </si>
  <si>
    <t>11/14/2016</t>
  </si>
  <si>
    <t>12/30/2016</t>
  </si>
  <si>
    <t>4/22/2017</t>
  </si>
  <si>
    <t>10/24/2012</t>
  </si>
  <si>
    <t>1/13/2014</t>
  </si>
  <si>
    <t>7/26/2014</t>
  </si>
  <si>
    <t>11/18/2014</t>
  </si>
  <si>
    <t>9/21/2012</t>
  </si>
  <si>
    <t>2/14/2012</t>
  </si>
  <si>
    <t>8/30/2015</t>
  </si>
  <si>
    <t>5/27/2014</t>
  </si>
  <si>
    <t>3/19/2010</t>
  </si>
  <si>
    <t>9/27/2012</t>
  </si>
  <si>
    <t>4/24/2015</t>
  </si>
  <si>
    <t>3/16/2015</t>
  </si>
  <si>
    <t>2/18/2014</t>
  </si>
  <si>
    <t>7/15/2014</t>
  </si>
  <si>
    <t>1/27/2014</t>
  </si>
  <si>
    <t>11/30/2013</t>
  </si>
  <si>
    <t>1/21/2011</t>
  </si>
  <si>
    <t>2/26/2011</t>
  </si>
  <si>
    <t>1/25/2016</t>
  </si>
  <si>
    <t>5/14/2014</t>
  </si>
  <si>
    <t>9/19/2015</t>
  </si>
  <si>
    <t>1/14/2017</t>
  </si>
  <si>
    <t>1/18/2017</t>
  </si>
  <si>
    <t>9/16/2015</t>
  </si>
  <si>
    <t>10/31/2016</t>
  </si>
  <si>
    <t>6/30/2017</t>
  </si>
  <si>
    <t>3/30/2016</t>
  </si>
  <si>
    <t>9/15/2012</t>
  </si>
  <si>
    <t>4/15/2016</t>
  </si>
  <si>
    <t>5/24/2013</t>
  </si>
  <si>
    <t>3/26/2010</t>
  </si>
  <si>
    <t>6/23/2015</t>
  </si>
  <si>
    <t>4/26/2016</t>
  </si>
  <si>
    <t>5/13/2016</t>
  </si>
  <si>
    <t>12/25/2015</t>
  </si>
  <si>
    <t>7/19/2010</t>
  </si>
  <si>
    <t>7/29/2010</t>
  </si>
  <si>
    <t>2/21/2014</t>
  </si>
  <si>
    <t>3/14/2014</t>
  </si>
  <si>
    <t>3/15/2012</t>
  </si>
  <si>
    <t>4/20/2012</t>
  </si>
  <si>
    <t>9/25/2014</t>
  </si>
  <si>
    <t>8/21/2012</t>
  </si>
  <si>
    <t>9/25/2012</t>
  </si>
  <si>
    <t>7/17/2011</t>
  </si>
  <si>
    <t>4/15/2014</t>
  </si>
  <si>
    <t>4/26/2014</t>
  </si>
  <si>
    <t>1/14/2014</t>
  </si>
  <si>
    <t>1/15/2014</t>
  </si>
  <si>
    <t>7/26/2015</t>
  </si>
  <si>
    <t>4/29/2014</t>
  </si>
  <si>
    <t>9/17/2012</t>
  </si>
  <si>
    <t>10/15/2012</t>
  </si>
  <si>
    <t>10/26/2012</t>
  </si>
  <si>
    <t>7/24/2013</t>
  </si>
  <si>
    <t>8/21/2013</t>
  </si>
  <si>
    <t>3/30/2011</t>
  </si>
  <si>
    <t>10/21/2014</t>
  </si>
  <si>
    <t>10/24/2014</t>
  </si>
  <si>
    <t>5/25/2011</t>
  </si>
  <si>
    <t>5/30/2011</t>
  </si>
  <si>
    <t>10/27/2015</t>
  </si>
  <si>
    <t>5/18/2011</t>
  </si>
  <si>
    <t>7/25/2017</t>
  </si>
  <si>
    <t>7/31/2015</t>
  </si>
  <si>
    <t>7/31/2016</t>
  </si>
  <si>
    <t>9/26/2016</t>
  </si>
  <si>
    <t>7/21/2013</t>
  </si>
  <si>
    <t>12/13/2016</t>
  </si>
  <si>
    <t>10/13/2010</t>
  </si>
  <si>
    <t>11/23/2010</t>
  </si>
  <si>
    <t>6/18/2010</t>
  </si>
  <si>
    <t>2/29/2016</t>
  </si>
  <si>
    <t>3/19/2016</t>
  </si>
  <si>
    <t>12/22/2015</t>
  </si>
  <si>
    <t>2/21/2017</t>
  </si>
  <si>
    <t>4/19/2014</t>
  </si>
  <si>
    <t>4/23/2014</t>
  </si>
  <si>
    <t>3/23/2016</t>
  </si>
  <si>
    <t>5/28/2014</t>
  </si>
  <si>
    <t>6/24/2011</t>
  </si>
  <si>
    <t>4/26/2013</t>
  </si>
  <si>
    <t>4/20/2016</t>
  </si>
  <si>
    <t>6/26/2014</t>
  </si>
  <si>
    <t>9/26/2015</t>
  </si>
  <si>
    <t>10/18/2012</t>
  </si>
  <si>
    <t>10/31/2012</t>
  </si>
  <si>
    <t>3/28/2013</t>
  </si>
  <si>
    <t>6/24/2014</t>
  </si>
  <si>
    <t>7/30/2015</t>
  </si>
  <si>
    <t>11/13/2012</t>
  </si>
  <si>
    <t>10/31/2010</t>
  </si>
  <si>
    <t>11/29/2010</t>
  </si>
  <si>
    <t>6/27/2014</t>
  </si>
  <si>
    <t>12/15/2012</t>
  </si>
  <si>
    <t>4/27/2014</t>
  </si>
  <si>
    <t>7/23/2017</t>
  </si>
  <si>
    <t>3/22/2010</t>
  </si>
  <si>
    <t>5/26/2013</t>
  </si>
  <si>
    <t>11/26/2015</t>
  </si>
  <si>
    <t>12/20/2015</t>
  </si>
  <si>
    <t>8/31/2013</t>
  </si>
  <si>
    <t>10/17/2011</t>
  </si>
  <si>
    <t>4/29/2016</t>
  </si>
  <si>
    <t>6/16/2016</t>
  </si>
  <si>
    <t>2/26/2010</t>
  </si>
  <si>
    <t>6/23/2010</t>
  </si>
  <si>
    <t>7/23/2013</t>
  </si>
  <si>
    <t>11/19/2016</t>
  </si>
  <si>
    <t>3/19/2013</t>
  </si>
  <si>
    <t>12/23/2016</t>
  </si>
  <si>
    <t>1/24/2017</t>
  </si>
  <si>
    <t>7/14/2015</t>
  </si>
  <si>
    <t>3/16/2013</t>
  </si>
  <si>
    <t>8/23/2010</t>
  </si>
  <si>
    <t>5/21/2011</t>
  </si>
  <si>
    <t>6/13/2012</t>
  </si>
  <si>
    <t>3/26/2015</t>
  </si>
  <si>
    <t>11/23/2014</t>
  </si>
  <si>
    <t>5/16/2010</t>
  </si>
  <si>
    <t>11/18/2013</t>
  </si>
  <si>
    <t>7/17/2017</t>
  </si>
  <si>
    <t>8/31/2017</t>
  </si>
  <si>
    <t>11/17/2016</t>
  </si>
  <si>
    <t>1/30/2016</t>
  </si>
  <si>
    <t>2/13/2015</t>
  </si>
  <si>
    <t>12/31/2016</t>
  </si>
  <si>
    <t>1/26/2017</t>
  </si>
  <si>
    <t>12/30/2010</t>
  </si>
  <si>
    <t>9/18/2016</t>
  </si>
  <si>
    <t>6/18/2012</t>
  </si>
  <si>
    <t>3/24/2015</t>
  </si>
  <si>
    <t>3/28/2015</t>
  </si>
  <si>
    <t>11/15/2016</t>
  </si>
  <si>
    <t>12/16/2016</t>
  </si>
  <si>
    <t>1/26/2012</t>
  </si>
  <si>
    <t>3/26/2016</t>
  </si>
  <si>
    <t>2/17/2014</t>
  </si>
  <si>
    <t>3/31/2017</t>
  </si>
  <si>
    <t>2/13/2013</t>
  </si>
  <si>
    <t>1/21/2014</t>
  </si>
  <si>
    <t>6/27/2015</t>
  </si>
  <si>
    <t>7/19/2013</t>
  </si>
  <si>
    <t>12/15/2013</t>
  </si>
  <si>
    <t>3/16/2016</t>
  </si>
  <si>
    <t>6/27/2011</t>
  </si>
  <si>
    <t>6/15/2014</t>
  </si>
  <si>
    <t>7/14/2010</t>
  </si>
  <si>
    <t>8/20/2012</t>
  </si>
  <si>
    <t>12/18/2012</t>
  </si>
  <si>
    <t>7/31/2013</t>
  </si>
  <si>
    <t>9/13/2013</t>
  </si>
  <si>
    <t>10/19/2012</t>
  </si>
  <si>
    <t>3/17/2016</t>
  </si>
  <si>
    <t>4/23/2016</t>
  </si>
  <si>
    <t>7/28/2010</t>
  </si>
  <si>
    <t>9/13/2010</t>
  </si>
  <si>
    <t>1/17/2017</t>
  </si>
  <si>
    <t>11/17/2014</t>
  </si>
  <si>
    <t>8/22/2013</t>
  </si>
  <si>
    <t>8/14/2010</t>
  </si>
  <si>
    <t>2/13/2010</t>
  </si>
  <si>
    <t>9/15/2014</t>
  </si>
  <si>
    <t>9/27/2016</t>
  </si>
  <si>
    <t>10/25/2016</t>
  </si>
  <si>
    <t>12/29/2016</t>
  </si>
  <si>
    <t>12/19/2014</t>
  </si>
  <si>
    <t>3/13/2015</t>
  </si>
  <si>
    <t>3/14/2013</t>
  </si>
  <si>
    <t>3/23/2013</t>
  </si>
  <si>
    <t>2/21/2011</t>
  </si>
  <si>
    <t>8/13/2015</t>
  </si>
  <si>
    <t>10/14/2016</t>
  </si>
  <si>
    <t>10/16/2010</t>
  </si>
  <si>
    <t>7/19/2016</t>
  </si>
  <si>
    <t>2/23/2016</t>
  </si>
  <si>
    <t>8/19/2014</t>
  </si>
  <si>
    <t>2/14/2013</t>
  </si>
  <si>
    <t>8/25/2010</t>
  </si>
  <si>
    <t>1/28/2011</t>
  </si>
  <si>
    <t>11/24/2014</t>
  </si>
  <si>
    <t>11/27/2014</t>
  </si>
  <si>
    <t>11/26/2013</t>
  </si>
  <si>
    <t>6/27/2013</t>
  </si>
  <si>
    <t>2/17/2012</t>
  </si>
  <si>
    <t>7/30/2012</t>
  </si>
  <si>
    <t>6/18/2016</t>
  </si>
  <si>
    <t>12/23/2015</t>
  </si>
  <si>
    <t>3/14/2017</t>
  </si>
  <si>
    <t>8/23/2017</t>
  </si>
  <si>
    <t>5/23/2011</t>
  </si>
  <si>
    <t>5/29/2011</t>
  </si>
  <si>
    <t>11/24/2013</t>
  </si>
  <si>
    <t>11/22/2014</t>
  </si>
  <si>
    <t>12/15/2014</t>
  </si>
  <si>
    <t>7/21/2017</t>
  </si>
  <si>
    <t>11/25/2015</t>
  </si>
  <si>
    <t>2/24/2010</t>
  </si>
  <si>
    <t>11/17/2013</t>
  </si>
  <si>
    <t>11/29/2016</t>
  </si>
  <si>
    <t>1/30/2010</t>
  </si>
  <si>
    <t>8/28/2010</t>
  </si>
  <si>
    <t>10/15/2010</t>
  </si>
  <si>
    <t>11/28/2016</t>
  </si>
  <si>
    <t>5/14/2017</t>
  </si>
  <si>
    <t>9/28/2012</t>
  </si>
  <si>
    <t>10/21/2012</t>
  </si>
  <si>
    <t>5/23/2015</t>
  </si>
  <si>
    <t>1/13/2010</t>
  </si>
  <si>
    <t>2/18/2010</t>
  </si>
  <si>
    <t>5/28/2015</t>
  </si>
  <si>
    <t>9/29/2012</t>
  </si>
  <si>
    <t>10/17/2012</t>
  </si>
  <si>
    <t>10/22/2011</t>
  </si>
  <si>
    <t>1/26/2010</t>
  </si>
  <si>
    <t>2/21/2010</t>
  </si>
  <si>
    <t>4/23/2011</t>
  </si>
  <si>
    <t>11/24/2011</t>
  </si>
  <si>
    <t>7/20/2011</t>
  </si>
  <si>
    <t>8/26/2011</t>
  </si>
  <si>
    <t>3/30/2015</t>
  </si>
  <si>
    <t>6/15/2017</t>
  </si>
  <si>
    <t>6/13/2013</t>
  </si>
  <si>
    <t>4/28/2013</t>
  </si>
  <si>
    <t>5/25/2013</t>
  </si>
  <si>
    <t>9/14/2016</t>
  </si>
  <si>
    <t>7/27/2014</t>
  </si>
  <si>
    <t>7/29/2014</t>
  </si>
  <si>
    <t>8/27/2010</t>
  </si>
  <si>
    <t>2/24/2017</t>
  </si>
  <si>
    <t>4/21/2012</t>
  </si>
  <si>
    <t>5/16/2017</t>
  </si>
  <si>
    <t>12/23/2014</t>
  </si>
  <si>
    <t>12/24/2014</t>
  </si>
  <si>
    <t>10/20/2010</t>
  </si>
  <si>
    <t>11/13/2010</t>
  </si>
  <si>
    <t>7/27/2015</t>
  </si>
  <si>
    <t>3/17/2010</t>
  </si>
  <si>
    <t>4/20/2010</t>
  </si>
  <si>
    <t>7/29/2012</t>
  </si>
  <si>
    <t>6/21/2014</t>
  </si>
  <si>
    <t>12/30/2011</t>
  </si>
  <si>
    <t>12/31/2011</t>
  </si>
  <si>
    <t>12/15/2011</t>
  </si>
  <si>
    <t>12/18/2011</t>
  </si>
  <si>
    <t>11/25/2014</t>
  </si>
  <si>
    <t>11/28/2014</t>
  </si>
  <si>
    <t>7/18/2015</t>
  </si>
  <si>
    <t>5/14/2013</t>
  </si>
  <si>
    <t>12/13/2010</t>
  </si>
  <si>
    <t>12/23/2010</t>
  </si>
  <si>
    <t>9/16/2011</t>
  </si>
  <si>
    <t>12/27/2013</t>
  </si>
  <si>
    <t>12/30/2013</t>
  </si>
  <si>
    <t>3/28/2014</t>
  </si>
  <si>
    <t>12/25/2010</t>
  </si>
  <si>
    <t>3/19/2017</t>
  </si>
  <si>
    <t>4/30/2014</t>
  </si>
  <si>
    <t>8/21/2016</t>
  </si>
  <si>
    <t>1/27/2011</t>
  </si>
  <si>
    <t>9/18/2011</t>
  </si>
  <si>
    <t>1/15/2013</t>
  </si>
  <si>
    <t>8/21/2010</t>
  </si>
  <si>
    <t>6/19/2010</t>
  </si>
  <si>
    <t>2/28/2017</t>
  </si>
  <si>
    <t>7/25/2011</t>
  </si>
  <si>
    <t>5/27/2013</t>
  </si>
  <si>
    <t>4/13/2011</t>
  </si>
  <si>
    <t>3/26/2012</t>
  </si>
  <si>
    <t>11/16/2010</t>
  </si>
  <si>
    <t>4/13/2014</t>
  </si>
  <si>
    <t>11/20/2016</t>
  </si>
  <si>
    <t>1/18/2016</t>
  </si>
  <si>
    <t>1/23/2014</t>
  </si>
  <si>
    <t>4/22/2014</t>
  </si>
  <si>
    <t>6/13/2010</t>
  </si>
  <si>
    <t>5/16/2012</t>
  </si>
  <si>
    <t>7/31/2017</t>
  </si>
  <si>
    <t>12/17/2013</t>
  </si>
  <si>
    <t>10/31/2013</t>
  </si>
  <si>
    <t>8/17/2011</t>
  </si>
  <si>
    <t>9/23/2012</t>
  </si>
  <si>
    <t>4/21/2010</t>
  </si>
  <si>
    <t>4/24/2010</t>
  </si>
  <si>
    <t>8/27/2011</t>
  </si>
  <si>
    <t>3/27/2016</t>
  </si>
  <si>
    <t>11/23/2013</t>
  </si>
  <si>
    <t>3/17/2017</t>
  </si>
  <si>
    <t>2/18/2017</t>
  </si>
  <si>
    <t>7/21/2015</t>
  </si>
  <si>
    <t>11/25/2016</t>
  </si>
  <si>
    <t>1/15/2011</t>
  </si>
  <si>
    <t>2/16/2011</t>
  </si>
  <si>
    <t>5/22/2017</t>
  </si>
  <si>
    <t>5/25/2017</t>
  </si>
  <si>
    <t>7/26/2013</t>
  </si>
  <si>
    <t>3/15/2017</t>
  </si>
  <si>
    <t>6/25/2013</t>
  </si>
  <si>
    <t>11/21/2013</t>
  </si>
  <si>
    <t>4/19/2012</t>
  </si>
  <si>
    <t>12/16/2015</t>
  </si>
  <si>
    <t>11/18/2010</t>
  </si>
  <si>
    <t>2/25/2016</t>
  </si>
  <si>
    <t>10/30/2011</t>
  </si>
  <si>
    <t>11/30/2011</t>
  </si>
  <si>
    <t>3/14/2010</t>
  </si>
  <si>
    <t>3/20/2017</t>
  </si>
  <si>
    <t>1/30/2014</t>
  </si>
  <si>
    <t>3/16/2014</t>
  </si>
  <si>
    <t>3/19/2015</t>
  </si>
  <si>
    <t>8/30/2016</t>
  </si>
  <si>
    <t>10/20/2013</t>
  </si>
  <si>
    <t>8/14/2017</t>
  </si>
  <si>
    <t>6/16/2017</t>
  </si>
  <si>
    <t>5/23/2014</t>
  </si>
  <si>
    <t>6/17/2011</t>
  </si>
  <si>
    <t>5/27/2016</t>
  </si>
  <si>
    <t>8/18/2016</t>
  </si>
  <si>
    <t>8/31/2015</t>
  </si>
  <si>
    <t>10/16/2015</t>
  </si>
  <si>
    <t>9/18/2010</t>
  </si>
  <si>
    <t>3/19/2011</t>
  </si>
  <si>
    <t>7/31/2014</t>
  </si>
  <si>
    <t>8/26/2012</t>
  </si>
  <si>
    <t>12/28/2011</t>
  </si>
  <si>
    <t>10/26/2010</t>
  </si>
  <si>
    <t>6/16/2014</t>
  </si>
  <si>
    <t>8/17/2012</t>
  </si>
  <si>
    <t>8/22/2015</t>
  </si>
  <si>
    <t>6/15/2011</t>
  </si>
  <si>
    <t>9/24/2015</t>
  </si>
  <si>
    <t>7/27/2013</t>
  </si>
  <si>
    <t>3/13/2013</t>
  </si>
  <si>
    <t>4/25/2012</t>
  </si>
  <si>
    <t>8/13/2014</t>
  </si>
  <si>
    <t>7/16/2010</t>
  </si>
  <si>
    <t>11/28/2010</t>
  </si>
  <si>
    <t>4/22/2015</t>
  </si>
  <si>
    <t>5/25/2015</t>
  </si>
  <si>
    <t>1/17/2014</t>
  </si>
  <si>
    <t>2/16/2016</t>
  </si>
  <si>
    <t>6/30/2015</t>
  </si>
  <si>
    <t>1/13/2017</t>
  </si>
  <si>
    <t>9/22/2010</t>
  </si>
  <si>
    <t>SUM de Units Sold</t>
  </si>
  <si>
    <t>SUM de receita_total</t>
  </si>
  <si>
    <t>SUM de lucro_total</t>
  </si>
  <si>
    <t>Total geral</t>
  </si>
  <si>
    <t>% part. unit sold</t>
  </si>
  <si>
    <t>% acumulado</t>
  </si>
  <si>
    <t>ABC</t>
  </si>
  <si>
    <t>% part. lucro</t>
  </si>
  <si>
    <t>% part. receita</t>
  </si>
  <si>
    <t>Qua</t>
  </si>
  <si>
    <t>Qui</t>
  </si>
  <si>
    <t>Sex</t>
  </si>
  <si>
    <t>Sab</t>
  </si>
  <si>
    <t>Dom</t>
  </si>
  <si>
    <t>Seg</t>
  </si>
  <si>
    <t>Ter</t>
  </si>
  <si>
    <t>COUNTA de order date formatada</t>
  </si>
  <si>
    <t>SUM of receita_total</t>
  </si>
  <si>
    <t>SUM of custo_total</t>
  </si>
  <si>
    <t>SUM of lucro_total</t>
  </si>
  <si>
    <t>SUM of lead_time</t>
  </si>
  <si>
    <t>COUNT de Order ID</t>
  </si>
  <si>
    <t>participação da região no lucro total</t>
  </si>
  <si>
    <t>participação da região na receita total</t>
  </si>
  <si>
    <t>margem região</t>
  </si>
  <si>
    <t>AVERAGE of lead_time</t>
  </si>
  <si>
    <t>COUNTA of Order ID</t>
  </si>
  <si>
    <t>O lucro depende do tempo necessário para envio do produto?</t>
  </si>
  <si>
    <t>não</t>
  </si>
  <si>
    <t>COUNTUNIQUE de Order ID</t>
  </si>
  <si>
    <t>margem praticada</t>
  </si>
  <si>
    <t>ticket médio</t>
  </si>
  <si>
    <t>receita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</si>
</sst>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$]#,##0.00"/>
    <numFmt numFmtId="165" formatCode="d/m/yyyy"/>
    <numFmt numFmtId="166" formatCode="dd&quot;/&quot;mm&quot;/&quot;yyyy"/>
    <numFmt numFmtId="167" formatCode="[$R$ -416]#,##0.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sz val="9.0"/>
      <color theme="1"/>
      <name val="Arial"/>
    </font>
    <font>
      <b/>
      <color theme="1"/>
      <name val="Arial"/>
      <scheme val="minor"/>
    </font>
    <font>
      <sz val="12.0"/>
      <color rgb="FF464E62"/>
      <name val="Manrope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3" xfId="0" applyAlignment="1" applyFont="1" applyNumberFormat="1">
      <alignment horizontal="center"/>
    </xf>
    <xf borderId="0" fillId="0" fontId="3" numFmtId="1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2" fontId="3" numFmtId="0" xfId="0" applyAlignment="1" applyFont="1">
      <alignment horizontal="center" readingOrder="0"/>
    </xf>
    <xf borderId="0" fillId="0" fontId="2" numFmtId="165" xfId="0" applyFont="1" applyNumberFormat="1"/>
    <xf borderId="0" fillId="0" fontId="2" numFmtId="3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4" xfId="0" applyFont="1" applyNumberFormat="1"/>
    <xf borderId="0" fillId="0" fontId="2" numFmtId="10" xfId="0" applyFont="1" applyNumberFormat="1"/>
    <xf borderId="0" fillId="2" fontId="2" numFmtId="0" xfId="0" applyFont="1"/>
    <xf borderId="0" fillId="3" fontId="2" numFmtId="0" xfId="0" applyFill="1" applyFont="1"/>
    <xf borderId="0" fillId="3" fontId="2" numFmtId="10" xfId="0" applyFont="1" applyNumberFormat="1"/>
    <xf borderId="0" fillId="4" fontId="3" numFmtId="0" xfId="0" applyAlignment="1" applyFill="1" applyFont="1">
      <alignment horizontal="center"/>
    </xf>
    <xf borderId="0" fillId="4" fontId="3" numFmtId="3" xfId="0" applyAlignment="1" applyFont="1" applyNumberFormat="1">
      <alignment horizontal="center"/>
    </xf>
    <xf borderId="0" fillId="4" fontId="3" numFmtId="1" xfId="0" applyAlignment="1" applyFont="1" applyNumberFormat="1">
      <alignment horizontal="center"/>
    </xf>
    <xf borderId="0" fillId="4" fontId="3" numFmtId="166" xfId="0" applyAlignment="1" applyFont="1" applyNumberFormat="1">
      <alignment horizontal="center"/>
    </xf>
    <xf borderId="0" fillId="4" fontId="3" numFmtId="165" xfId="0" applyAlignment="1" applyFont="1" applyNumberFormat="1">
      <alignment horizontal="center"/>
    </xf>
    <xf borderId="0" fillId="4" fontId="3" numFmtId="164" xfId="0" applyAlignment="1" applyFont="1" applyNumberFormat="1">
      <alignment horizontal="center"/>
    </xf>
    <xf borderId="0" fillId="0" fontId="3" numFmtId="10" xfId="0" applyFont="1" applyNumberFormat="1"/>
    <xf borderId="0" fillId="2" fontId="3" numFmtId="0" xfId="0" applyFont="1"/>
    <xf borderId="0" fillId="2" fontId="4" numFmtId="0" xfId="0" applyFont="1"/>
    <xf borderId="0" fillId="0" fontId="1" numFmtId="0" xfId="0" applyFont="1"/>
    <xf borderId="0" fillId="0" fontId="1" numFmtId="3" xfId="0" applyFont="1" applyNumberFormat="1"/>
    <xf borderId="0" fillId="0" fontId="1" numFmtId="1" xfId="0" applyFont="1" applyNumberFormat="1"/>
    <xf borderId="0" fillId="0" fontId="1" numFmtId="166" xfId="0" applyFont="1" applyNumberFormat="1"/>
    <xf borderId="0" fillId="0" fontId="1" numFmtId="164" xfId="0" applyFont="1" applyNumberFormat="1"/>
    <xf borderId="0" fillId="0" fontId="1" numFmtId="10" xfId="0" applyFont="1" applyNumberFormat="1"/>
    <xf borderId="0" fillId="0" fontId="1" numFmtId="165" xfId="0" applyFont="1" applyNumberFormat="1"/>
    <xf borderId="0" fillId="0" fontId="1" numFmtId="0" xfId="0" applyAlignment="1" applyFont="1">
      <alignment readingOrder="0"/>
    </xf>
    <xf borderId="0" fillId="0" fontId="5" numFmtId="3" xfId="0" applyAlignment="1" applyFont="1" applyNumberFormat="1">
      <alignment horizontal="center"/>
    </xf>
    <xf borderId="0" fillId="0" fontId="5" numFmtId="0" xfId="0" applyFont="1"/>
    <xf borderId="0" fillId="0" fontId="1" numFmtId="0" xfId="0" applyFont="1"/>
    <xf borderId="0" fillId="0" fontId="2" numFmtId="0" xfId="0" applyFont="1"/>
    <xf borderId="0" fillId="3" fontId="5" numFmtId="0" xfId="0" applyAlignment="1" applyFont="1">
      <alignment readingOrder="0"/>
    </xf>
    <xf borderId="0" fillId="3" fontId="5" numFmtId="0" xfId="0" applyAlignment="1" applyFont="1">
      <alignment horizontal="center" readingOrder="0"/>
    </xf>
    <xf borderId="0" fillId="3" fontId="1" numFmtId="10" xfId="0" applyFont="1" applyNumberFormat="1"/>
    <xf borderId="0" fillId="0" fontId="2" numFmtId="2" xfId="0" applyFont="1" applyNumberFormat="1"/>
    <xf borderId="0" fillId="5" fontId="6" numFmtId="0" xfId="0" applyAlignment="1" applyFill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7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pivotCacheDefinition" Target="pivotCache/pivotCacheDefinition1.xml"/><Relationship Id="rId25" Type="http://schemas.openxmlformats.org/officeDocument/2006/relationships/worksheet" Target="worksheets/sheet21.xml"/><Relationship Id="rId28" Type="http://schemas.openxmlformats.org/officeDocument/2006/relationships/pivotCacheDefinition" Target="pivotCache/pivotCacheDefinition3.xml"/><Relationship Id="rId27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pivotCacheDefinition" Target="pivotCache/pivotCacheDefinition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pivotCacheDefinition" Target="pivotCache/pivotCacheDefinition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Pareto - Vendas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'pareto unit sold'!$F$1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'pareto unit sold'!$B$2:$B$1000</c:f>
            </c:strRef>
          </c:cat>
          <c:val>
            <c:numRef>
              <c:f>'pareto unit sold'!$F$2:$F$1000</c:f>
              <c:numCache/>
            </c:numRef>
          </c:val>
        </c:ser>
        <c:axId val="664906082"/>
        <c:axId val="1285891524"/>
      </c:barChart>
      <c:catAx>
        <c:axId val="6649060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5891524"/>
      </c:catAx>
      <c:valAx>
        <c:axId val="12858915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49060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Pareto Lucro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pareto_lucro!$F$1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pareto_lucro!$A$2:$A$1000</c:f>
            </c:strRef>
          </c:cat>
          <c:val>
            <c:numRef>
              <c:f>pareto_lucro!$F$2:$F$1000</c:f>
              <c:numCache/>
            </c:numRef>
          </c:val>
        </c:ser>
        <c:axId val="1250016653"/>
        <c:axId val="1404589188"/>
      </c:barChart>
      <c:catAx>
        <c:axId val="12500166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4589188"/>
      </c:catAx>
      <c:valAx>
        <c:axId val="14045891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00166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Pareto Receita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pareto_receita!$F$1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pareto_receita!$A$2:$A$1000</c:f>
            </c:strRef>
          </c:cat>
          <c:val>
            <c:numRef>
              <c:f>pareto_receita!$F$2:$F$1000</c:f>
              <c:numCache/>
            </c:numRef>
          </c:val>
        </c:ser>
        <c:axId val="853851785"/>
        <c:axId val="1985894131"/>
      </c:barChart>
      <c:catAx>
        <c:axId val="8538517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5894131"/>
      </c:catAx>
      <c:valAx>
        <c:axId val="19858941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38517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Principais Tendência de compra x dia da semana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tendencia_compra_dia_semana!$B$1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tendencia_compra_dia_semana!$A$2:$A$8</c:f>
            </c:strRef>
          </c:cat>
          <c:val>
            <c:numRef>
              <c:f>tendencia_compra_dia_semana!$B$2:$B$8</c:f>
              <c:numCache/>
            </c:numRef>
          </c:val>
        </c:ser>
        <c:axId val="410183175"/>
        <c:axId val="38048885"/>
      </c:barChart>
      <c:catAx>
        <c:axId val="410183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dia da semana compra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048885"/>
      </c:catAx>
      <c:valAx>
        <c:axId val="380488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de order date formatada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01831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Venda por Categoria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'Tabela dinâmica 1'!$E$1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'Tabela dinâmica 1'!$A$2:$A$1000</c:f>
            </c:strRef>
          </c:cat>
          <c:val>
            <c:numRef>
              <c:f>'Tabela dinâmica 1'!$E$2:$E$1000</c:f>
              <c:numCache/>
            </c:numRef>
          </c:val>
        </c:ser>
        <c:axId val="1168839932"/>
        <c:axId val="1867614761"/>
      </c:barChart>
      <c:catAx>
        <c:axId val="11688399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7614761"/>
      </c:catAx>
      <c:valAx>
        <c:axId val="18676147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88399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Categoria x Receita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'Tabela dinâmica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'Tabela dinâmica 1'!$A$2:$A$13</c:f>
            </c:strRef>
          </c:cat>
          <c:val>
            <c:numRef>
              <c:f>'Tabela dinâmica 1'!$B$2:$B$13</c:f>
              <c:numCache/>
            </c:numRef>
          </c:val>
        </c:ser>
        <c:axId val="186521063"/>
        <c:axId val="432159230"/>
      </c:barChart>
      <c:catAx>
        <c:axId val="186521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item_type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2159230"/>
      </c:catAx>
      <c:valAx>
        <c:axId val="4321592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receita_total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5210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Receita Total por Canal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'Tabela dinâmica 4'!$B$3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'Tabela dinâmica 4'!$A$4:$A$6</c:f>
            </c:strRef>
          </c:cat>
          <c:val>
            <c:numRef>
              <c:f>'Tabela dinâmica 4'!$B$4:$B$6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Participação na Receita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'Tabela dinâmica 7'!$H$1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'Tabela dinâmica 7'!$A$2:$A$1000</c:f>
            </c:strRef>
          </c:cat>
          <c:val>
            <c:numRef>
              <c:f>'Tabela dinâmica 7'!$H$2:$H$1000</c:f>
              <c:numCache/>
            </c:numRef>
          </c:val>
        </c:ser>
        <c:axId val="1542647773"/>
        <c:axId val="1698808425"/>
      </c:barChart>
      <c:catAx>
        <c:axId val="15426477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8808425"/>
      </c:catAx>
      <c:valAx>
        <c:axId val="16988084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26477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Margem Praticada por Região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'Tabela dinâmica 7'!$I$1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'Tabela dinâmica 7'!$A$2:$A$1000</c:f>
            </c:strRef>
          </c:cat>
          <c:val>
            <c:numRef>
              <c:f>'Tabela dinâmica 7'!$I$2:$I$1000</c:f>
              <c:numCache/>
            </c:numRef>
          </c:val>
        </c:ser>
        <c:axId val="1390124591"/>
        <c:axId val="355180090"/>
      </c:barChart>
      <c:catAx>
        <c:axId val="139012459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5180090"/>
      </c:catAx>
      <c:valAx>
        <c:axId val="3551800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012459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Participação no Lucro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'Tabela dinâmica 7'!$G$1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'Tabela dinâmica 7'!$A$2:$A$1000</c:f>
            </c:strRef>
          </c:cat>
          <c:val>
            <c:numRef>
              <c:f>'Tabela dinâmica 7'!$G$2:$G$1000</c:f>
              <c:numCache/>
            </c:numRef>
          </c:val>
        </c:ser>
        <c:axId val="1839966969"/>
        <c:axId val="299529555"/>
      </c:barChart>
      <c:catAx>
        <c:axId val="18399669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9529555"/>
      </c:catAx>
      <c:valAx>
        <c:axId val="2995295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99669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Lucro por Região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'Tabela dinâmica 5'!$J$1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'Tabela dinâmica 5'!$I$2:$I$5</c:f>
            </c:strRef>
          </c:cat>
          <c:val>
            <c:numRef>
              <c:f>'Tabela dinâmica 5'!$J$2:$J$5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Lucro por Sub-Região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'Tabela dinâmica 5'!$M$1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'Tabela dinâmica 5'!$L$2:$L$8</c:f>
            </c:strRef>
          </c:cat>
          <c:val>
            <c:numRef>
              <c:f>'Tabela dinâmica 5'!$M$2:$M$8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Receita Total por País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'Tabela dinâmica 3'!$B$1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'Tabela dinâmica 3'!$A$2:$A$48</c:f>
            </c:strRef>
          </c:cat>
          <c:val>
            <c:numRef>
              <c:f>'Tabela dinâmica 3'!$B$2:$B$48</c:f>
              <c:numCache/>
            </c:numRef>
          </c:val>
        </c:ser>
        <c:axId val="1038990000"/>
        <c:axId val="1033312350"/>
      </c:barChart>
      <c:catAx>
        <c:axId val="1038990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 Code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3312350"/>
      </c:catAx>
      <c:valAx>
        <c:axId val="10333123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receita_total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89900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Lucro Total por país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'Tabela dinâmica 3'!$E$1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'Tabela dinâmica 3'!$D$2:$D$47</c:f>
            </c:strRef>
          </c:cat>
          <c:val>
            <c:numRef>
              <c:f>'Tabela dinâmica 3'!$E$2:$E$47</c:f>
              <c:numCache/>
            </c:numRef>
          </c:val>
        </c:ser>
        <c:axId val="1828322847"/>
        <c:axId val="262582637"/>
      </c:barChart>
      <c:catAx>
        <c:axId val="1828322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 Code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2582637"/>
      </c:catAx>
      <c:valAx>
        <c:axId val="2625826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lucro_total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83228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Receita Total por País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'Tabela dinâmica 3'!$B$1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'Tabela dinâmica 3'!$A$2:$A$48</c:f>
            </c:strRef>
          </c:cat>
          <c:val>
            <c:numRef>
              <c:f>'Tabela dinâmica 3'!$B$2:$B$48</c:f>
              <c:numCache/>
            </c:numRef>
          </c:val>
        </c:ser>
        <c:axId val="1594781616"/>
        <c:axId val="1462734566"/>
      </c:barChart>
      <c:catAx>
        <c:axId val="1594781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 Code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2734566"/>
      </c:catAx>
      <c:valAx>
        <c:axId val="14627345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receita_total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47816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Lucro por Categoria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'Tabela dinâmica 1'!$P$1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'Tabela dinâmica 1'!$M$2:$M$1000</c:f>
            </c:strRef>
          </c:cat>
          <c:val>
            <c:numRef>
              <c:f>'Tabela dinâmica 1'!$P$2:$P$1000</c:f>
              <c:numCache/>
            </c:numRef>
          </c:val>
        </c:ser>
        <c:axId val="1476165105"/>
        <c:axId val="1921918068"/>
      </c:barChart>
      <c:catAx>
        <c:axId val="14761651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1918068"/>
      </c:catAx>
      <c:valAx>
        <c:axId val="19219180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61651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Margem Praticada x País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'Tabela dinâmica 5'!$S$1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'Tabela dinâmica 5'!$R$2:$R$48</c:f>
            </c:strRef>
          </c:cat>
          <c:val>
            <c:numRef>
              <c:f>'Tabela dinâmica 5'!$S$2:$S$48</c:f>
              <c:numCache/>
            </c:numRef>
          </c:val>
        </c:ser>
        <c:axId val="2105874290"/>
        <c:axId val="1971793037"/>
      </c:areaChart>
      <c:catAx>
        <c:axId val="21058742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 Code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1793037"/>
      </c:catAx>
      <c:valAx>
        <c:axId val="19717930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margem praticada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58742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Pareto - Vendas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'pareto unit sold'!$F$1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'pareto unit sold'!$B$2:$B$1000</c:f>
            </c:strRef>
          </c:cat>
          <c:val>
            <c:numRef>
              <c:f>'pareto unit sold'!$F$2:$F$1000</c:f>
              <c:numCache/>
            </c:numRef>
          </c:val>
        </c:ser>
        <c:axId val="260616968"/>
        <c:axId val="552627005"/>
      </c:barChart>
      <c:catAx>
        <c:axId val="260616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2627005"/>
      </c:catAx>
      <c:valAx>
        <c:axId val="5526270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06169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Pareto Lucro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pareto_lucro!$F$1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pareto_lucro!$A$2:$A$1000</c:f>
            </c:strRef>
          </c:cat>
          <c:val>
            <c:numRef>
              <c:f>pareto_lucro!$F$2:$F$1000</c:f>
              <c:numCache/>
            </c:numRef>
          </c:val>
        </c:ser>
        <c:axId val="1069582945"/>
        <c:axId val="185339389"/>
      </c:barChart>
      <c:catAx>
        <c:axId val="10695829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339389"/>
      </c:catAx>
      <c:valAx>
        <c:axId val="1853393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95829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Pareto Receita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pareto_receita!$F$1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pareto_receita!$A$2:$A$1000</c:f>
            </c:strRef>
          </c:cat>
          <c:val>
            <c:numRef>
              <c:f>pareto_receita!$F$2:$F$1000</c:f>
              <c:numCache/>
            </c:numRef>
          </c:val>
        </c:ser>
        <c:axId val="2054294041"/>
        <c:axId val="2009044849"/>
      </c:barChart>
      <c:catAx>
        <c:axId val="20542940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9044849"/>
      </c:catAx>
      <c:valAx>
        <c:axId val="20090448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42940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Principais Tendência de compra/dia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tendencia_compra_dia_semana!$B$1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tendencia_compra_dia_semana!$A$2:$A$8</c:f>
            </c:strRef>
          </c:cat>
          <c:val>
            <c:numRef>
              <c:f>tendencia_compra_dia_semana!$B$2:$B$8</c:f>
              <c:numCache/>
            </c:numRef>
          </c:val>
        </c:ser>
        <c:axId val="1922658184"/>
        <c:axId val="1366027438"/>
      </c:barChart>
      <c:catAx>
        <c:axId val="1922658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dia da semana compra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6027438"/>
      </c:catAx>
      <c:valAx>
        <c:axId val="13660274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de order date formatada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26581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Venda por Categoria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'Tabela dinâmica 1'!$E$1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'Tabela dinâmica 1'!$A$2:$A$1000</c:f>
            </c:strRef>
          </c:cat>
          <c:val>
            <c:numRef>
              <c:f>'Tabela dinâmica 1'!$E$2:$E$1000</c:f>
              <c:numCache/>
            </c:numRef>
          </c:val>
        </c:ser>
        <c:axId val="1255837847"/>
        <c:axId val="1593307412"/>
      </c:barChart>
      <c:catAx>
        <c:axId val="1255837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3307412"/>
      </c:catAx>
      <c:valAx>
        <c:axId val="15933074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58378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Categorias x Lucro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'Tabela dinâmica 1'!$D$1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'Tabela dinâmica 1'!$A$2:$A$1000</c:f>
            </c:strRef>
          </c:cat>
          <c:val>
            <c:numRef>
              <c:f>'Tabela dinâmica 1'!$D$2:$D$1000</c:f>
              <c:numCache/>
            </c:numRef>
          </c:val>
        </c:ser>
        <c:axId val="765987260"/>
        <c:axId val="313433708"/>
      </c:barChart>
      <c:catAx>
        <c:axId val="7659872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3433708"/>
      </c:catAx>
      <c:valAx>
        <c:axId val="3134337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59872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Categoria x Receita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'Tabela dinâmica 1'!$H$1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'Tabela dinâmica 1'!$G$2:$G$13</c:f>
            </c:strRef>
          </c:cat>
          <c:val>
            <c:numRef>
              <c:f>'Tabela dinâmica 1'!$H$2:$H$13</c:f>
              <c:numCache/>
            </c:numRef>
          </c:val>
        </c:ser>
        <c:axId val="1009068256"/>
        <c:axId val="1253264975"/>
      </c:barChart>
      <c:catAx>
        <c:axId val="1009068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item_type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3264975"/>
      </c:catAx>
      <c:valAx>
        <c:axId val="12532649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receita_total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90682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Lucro por Categoria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'Tabela dinâmica 1'!$P$1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'Tabela dinâmica 1'!$M$2:$M$1000</c:f>
            </c:strRef>
          </c:cat>
          <c:val>
            <c:numRef>
              <c:f>'Tabela dinâmica 1'!$P$2:$P$1000</c:f>
              <c:numCache/>
            </c:numRef>
          </c:val>
        </c:ser>
        <c:axId val="678572757"/>
        <c:axId val="280652749"/>
      </c:barChart>
      <c:catAx>
        <c:axId val="6785727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0652749"/>
      </c:catAx>
      <c:valAx>
        <c:axId val="2806527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85727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Receita Total por Canal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'Tabela dinâmica 4'!$B$3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'Tabela dinâmica 4'!$A$4:$A$6</c:f>
            </c:strRef>
          </c:cat>
          <c:val>
            <c:numRef>
              <c:f>'Tabela dinâmica 4'!$B$4:$B$6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Margem Praticada por Região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'Tabela dinâmica 7'!$I$1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'Tabela dinâmica 7'!$A$2:$A$1000</c:f>
            </c:strRef>
          </c:cat>
          <c:val>
            <c:numRef>
              <c:f>'Tabela dinâmica 7'!$I$2:$I$1000</c:f>
              <c:numCache/>
            </c:numRef>
          </c:val>
        </c:ser>
        <c:axId val="1210803777"/>
        <c:axId val="911451158"/>
      </c:barChart>
      <c:catAx>
        <c:axId val="121080377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1451158"/>
      </c:catAx>
      <c:valAx>
        <c:axId val="9114511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080377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Participação na Receita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'Tabela dinâmica 7'!$H$1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'Tabela dinâmica 7'!$A$2:$A$1000</c:f>
            </c:strRef>
          </c:cat>
          <c:val>
            <c:numRef>
              <c:f>'Tabela dinâmica 7'!$H$2:$H$1000</c:f>
              <c:numCache/>
            </c:numRef>
          </c:val>
        </c:ser>
        <c:axId val="1947568888"/>
        <c:axId val="581329263"/>
      </c:barChart>
      <c:catAx>
        <c:axId val="1947568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1329263"/>
      </c:catAx>
      <c:valAx>
        <c:axId val="5813292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75688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Participação no Lucro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'Tabela dinâmica 7'!$G$1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'Tabela dinâmica 7'!$A$2:$A$1000</c:f>
            </c:strRef>
          </c:cat>
          <c:val>
            <c:numRef>
              <c:f>'Tabela dinâmica 7'!$G$2:$G$1000</c:f>
              <c:numCache/>
            </c:numRef>
          </c:val>
        </c:ser>
        <c:axId val="1571588618"/>
        <c:axId val="1695326261"/>
      </c:barChart>
      <c:catAx>
        <c:axId val="15715886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5326261"/>
      </c:catAx>
      <c:valAx>
        <c:axId val="16953262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15886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Lucro por Região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'Tabela dinâmica 5'!$J$1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'Tabela dinâmica 5'!$I$2:$I$5</c:f>
            </c:strRef>
          </c:cat>
          <c:val>
            <c:numRef>
              <c:f>'Tabela dinâmica 5'!$J$2:$J$5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Lucro por Sub-Região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'Tabela dinâmica 5'!$M$1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'Tabela dinâmica 5'!$L$2:$L$8</c:f>
            </c:strRef>
          </c:cat>
          <c:val>
            <c:numRef>
              <c:f>'Tabela dinâmica 5'!$M$2:$M$8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Margem Praticada x País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'Tabela dinâmica 5'!$S$1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'Tabela dinâmica 5'!$R$2:$R$48</c:f>
            </c:strRef>
          </c:cat>
          <c:val>
            <c:numRef>
              <c:f>'Tabela dinâmica 5'!$S$2:$S$48</c:f>
              <c:numCache/>
            </c:numRef>
          </c:val>
        </c:ser>
        <c:axId val="178349132"/>
        <c:axId val="150971020"/>
      </c:areaChart>
      <c:catAx>
        <c:axId val="1783491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 Code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971020"/>
      </c:catAx>
      <c:valAx>
        <c:axId val="1509710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margem praticada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3491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Receita Total por País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'Tabela dinâmica 3'!$B$1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'Tabela dinâmica 3'!$A$2:$A$48</c:f>
            </c:strRef>
          </c:cat>
          <c:val>
            <c:numRef>
              <c:f>'Tabela dinâmica 3'!$B$2:$B$48</c:f>
              <c:numCache/>
            </c:numRef>
          </c:val>
        </c:ser>
        <c:axId val="306588155"/>
        <c:axId val="1314104498"/>
      </c:barChart>
      <c:catAx>
        <c:axId val="3065881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 Code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4104498"/>
      </c:catAx>
      <c:valAx>
        <c:axId val="13141044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receita_total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65881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Lucro Total por país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'Tabela dinâmica 3'!$E$1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'Tabela dinâmica 3'!$D$2:$D$47</c:f>
            </c:strRef>
          </c:cat>
          <c:val>
            <c:numRef>
              <c:f>'Tabela dinâmica 3'!$E$2:$E$47</c:f>
              <c:numCache/>
            </c:numRef>
          </c:val>
        </c:ser>
        <c:axId val="642963947"/>
        <c:axId val="603334507"/>
      </c:barChart>
      <c:catAx>
        <c:axId val="6429639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Country Code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3334507"/>
      </c:catAx>
      <c:valAx>
        <c:axId val="6033345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lucro_total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29639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<Relationship Id="rId4" Type="http://schemas.openxmlformats.org/officeDocument/2006/relationships/chart" Target="../charts/chart25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.xml"/><Relationship Id="rId2" Type="http://schemas.openxmlformats.org/officeDocument/2006/relationships/chart" Target="../charts/chart28.xml"/><Relationship Id="rId3" Type="http://schemas.openxmlformats.org/officeDocument/2006/relationships/chart" Target="../charts/chart29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0.xml"/><Relationship Id="rId2" Type="http://schemas.openxmlformats.org/officeDocument/2006/relationships/chart" Target="../charts/chart31.xml"/><Relationship Id="rId3" Type="http://schemas.openxmlformats.org/officeDocument/2006/relationships/chart" Target="../charts/chart32.xml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.xml"/><Relationship Id="rId2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57150</xdr:rowOff>
    </xdr:from>
    <xdr:ext cx="3371850" cy="20859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752475</xdr:colOff>
      <xdr:row>0</xdr:row>
      <xdr:rowOff>57150</xdr:rowOff>
    </xdr:from>
    <xdr:ext cx="3371850" cy="20859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466725</xdr:colOff>
      <xdr:row>0</xdr:row>
      <xdr:rowOff>57150</xdr:rowOff>
    </xdr:from>
    <xdr:ext cx="3467100" cy="20859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209550</xdr:colOff>
      <xdr:row>54</xdr:row>
      <xdr:rowOff>38100</xdr:rowOff>
    </xdr:from>
    <xdr:ext cx="5715000" cy="35433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752475</xdr:colOff>
      <xdr:row>12</xdr:row>
      <xdr:rowOff>85725</xdr:rowOff>
    </xdr:from>
    <xdr:ext cx="3419475" cy="20859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76200</xdr:colOff>
      <xdr:row>12</xdr:row>
      <xdr:rowOff>85725</xdr:rowOff>
    </xdr:from>
    <xdr:ext cx="3371850" cy="20859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161925</xdr:colOff>
      <xdr:row>24</xdr:row>
      <xdr:rowOff>123825</xdr:rowOff>
    </xdr:from>
    <xdr:ext cx="4352925" cy="26574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0</xdr:col>
      <xdr:colOff>76200</xdr:colOff>
      <xdr:row>40</xdr:row>
      <xdr:rowOff>19050</xdr:rowOff>
    </xdr:from>
    <xdr:ext cx="3867150" cy="240982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4</xdr:col>
      <xdr:colOff>266700</xdr:colOff>
      <xdr:row>40</xdr:row>
      <xdr:rowOff>9525</xdr:rowOff>
    </xdr:from>
    <xdr:ext cx="3924300" cy="242887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8</xdr:col>
      <xdr:colOff>581025</xdr:colOff>
      <xdr:row>40</xdr:row>
      <xdr:rowOff>19050</xdr:rowOff>
    </xdr:from>
    <xdr:ext cx="3867150" cy="2409825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4</xdr:col>
      <xdr:colOff>857250</xdr:colOff>
      <xdr:row>24</xdr:row>
      <xdr:rowOff>123825</xdr:rowOff>
    </xdr:from>
    <xdr:ext cx="4352925" cy="2657475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9</xdr:col>
      <xdr:colOff>590550</xdr:colOff>
      <xdr:row>24</xdr:row>
      <xdr:rowOff>123825</xdr:rowOff>
    </xdr:from>
    <xdr:ext cx="4352925" cy="2657475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76200</xdr:colOff>
      <xdr:row>54</xdr:row>
      <xdr:rowOff>38100</xdr:rowOff>
    </xdr:from>
    <xdr:ext cx="5715000" cy="3533775"/>
    <xdr:graphicFrame>
      <xdr:nvGraphicFramePr>
        <xdr:cNvPr id="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0</xdr:col>
      <xdr:colOff>323850</xdr:colOff>
      <xdr:row>75</xdr:row>
      <xdr:rowOff>76200</xdr:rowOff>
    </xdr:from>
    <xdr:ext cx="5715000" cy="3533775"/>
    <xdr:graphicFrame>
      <xdr:nvGraphicFramePr>
        <xdr:cNvPr id="14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6</xdr:col>
      <xdr:colOff>552450</xdr:colOff>
      <xdr:row>74</xdr:row>
      <xdr:rowOff>171450</xdr:rowOff>
    </xdr:from>
    <xdr:ext cx="5715000" cy="3533775"/>
    <xdr:graphicFrame>
      <xdr:nvGraphicFramePr>
        <xdr:cNvPr id="15" name="Chart 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7</xdr:col>
      <xdr:colOff>466725</xdr:colOff>
      <xdr:row>11</xdr:row>
      <xdr:rowOff>152400</xdr:rowOff>
    </xdr:from>
    <xdr:ext cx="4686300" cy="2333625"/>
    <xdr:graphicFrame>
      <xdr:nvGraphicFramePr>
        <xdr:cNvPr id="16" name="Chart 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0</xdr:col>
      <xdr:colOff>323850</xdr:colOff>
      <xdr:row>95</xdr:row>
      <xdr:rowOff>76200</xdr:rowOff>
    </xdr:from>
    <xdr:ext cx="5715000" cy="3533775"/>
    <xdr:graphicFrame>
      <xdr:nvGraphicFramePr>
        <xdr:cNvPr id="17" name="Chart 1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38100</xdr:colOff>
      <xdr:row>0</xdr:row>
      <xdr:rowOff>114300</xdr:rowOff>
    </xdr:from>
    <xdr:ext cx="5724525" cy="3533775"/>
    <xdr:graphicFrame>
      <xdr:nvGraphicFramePr>
        <xdr:cNvPr id="18" name="Chart 1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180975</xdr:colOff>
      <xdr:row>0</xdr:row>
      <xdr:rowOff>133350</xdr:rowOff>
    </xdr:from>
    <xdr:ext cx="5724525" cy="3533775"/>
    <xdr:graphicFrame>
      <xdr:nvGraphicFramePr>
        <xdr:cNvPr id="19" name="Chart 1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666750</xdr:colOff>
      <xdr:row>0</xdr:row>
      <xdr:rowOff>0</xdr:rowOff>
    </xdr:from>
    <xdr:ext cx="5715000" cy="3533775"/>
    <xdr:graphicFrame>
      <xdr:nvGraphicFramePr>
        <xdr:cNvPr id="20" name="Chart 2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495300</xdr:colOff>
      <xdr:row>0</xdr:row>
      <xdr:rowOff>152400</xdr:rowOff>
    </xdr:from>
    <xdr:ext cx="5172075" cy="3190875"/>
    <xdr:graphicFrame>
      <xdr:nvGraphicFramePr>
        <xdr:cNvPr id="21" name="Chart 2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14</xdr:row>
      <xdr:rowOff>104775</xdr:rowOff>
    </xdr:from>
    <xdr:ext cx="5715000" cy="3533775"/>
    <xdr:graphicFrame>
      <xdr:nvGraphicFramePr>
        <xdr:cNvPr id="22" name="Chart 2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676275</xdr:colOff>
      <xdr:row>14</xdr:row>
      <xdr:rowOff>152400</xdr:rowOff>
    </xdr:from>
    <xdr:ext cx="5715000" cy="3533775"/>
    <xdr:graphicFrame>
      <xdr:nvGraphicFramePr>
        <xdr:cNvPr id="23" name="Chart 2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676275</xdr:colOff>
      <xdr:row>14</xdr:row>
      <xdr:rowOff>152400</xdr:rowOff>
    </xdr:from>
    <xdr:ext cx="5715000" cy="3533775"/>
    <xdr:graphicFrame>
      <xdr:nvGraphicFramePr>
        <xdr:cNvPr id="24" name="Chart 2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828675</xdr:colOff>
      <xdr:row>14</xdr:row>
      <xdr:rowOff>152400</xdr:rowOff>
    </xdr:from>
    <xdr:ext cx="5715000" cy="3533775"/>
    <xdr:graphicFrame>
      <xdr:nvGraphicFramePr>
        <xdr:cNvPr id="25" name="Chart 2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466725</xdr:colOff>
      <xdr:row>0</xdr:row>
      <xdr:rowOff>85725</xdr:rowOff>
    </xdr:from>
    <xdr:ext cx="4752975" cy="2933700"/>
    <xdr:graphicFrame>
      <xdr:nvGraphicFramePr>
        <xdr:cNvPr id="26" name="Chart 2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609600</xdr:colOff>
      <xdr:row>5</xdr:row>
      <xdr:rowOff>171450</xdr:rowOff>
    </xdr:from>
    <xdr:ext cx="3924300" cy="2428875"/>
    <xdr:graphicFrame>
      <xdr:nvGraphicFramePr>
        <xdr:cNvPr id="27" name="Chart 2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361950</xdr:colOff>
      <xdr:row>5</xdr:row>
      <xdr:rowOff>171450</xdr:rowOff>
    </xdr:from>
    <xdr:ext cx="3867150" cy="2409825"/>
    <xdr:graphicFrame>
      <xdr:nvGraphicFramePr>
        <xdr:cNvPr id="28" name="Chart 2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866775</xdr:colOff>
      <xdr:row>5</xdr:row>
      <xdr:rowOff>171450</xdr:rowOff>
    </xdr:from>
    <xdr:ext cx="3867150" cy="2409825"/>
    <xdr:graphicFrame>
      <xdr:nvGraphicFramePr>
        <xdr:cNvPr id="29" name="Chart 2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542925</xdr:colOff>
      <xdr:row>5</xdr:row>
      <xdr:rowOff>171450</xdr:rowOff>
    </xdr:from>
    <xdr:ext cx="3524250" cy="2171700"/>
    <xdr:graphicFrame>
      <xdr:nvGraphicFramePr>
        <xdr:cNvPr id="30" name="Chart 3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447675</xdr:colOff>
      <xdr:row>2</xdr:row>
      <xdr:rowOff>161925</xdr:rowOff>
    </xdr:from>
    <xdr:ext cx="4448175" cy="2752725"/>
    <xdr:graphicFrame>
      <xdr:nvGraphicFramePr>
        <xdr:cNvPr id="31" name="Chart 3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895350</xdr:colOff>
      <xdr:row>0</xdr:row>
      <xdr:rowOff>0</xdr:rowOff>
    </xdr:from>
    <xdr:ext cx="5715000" cy="3533775"/>
    <xdr:graphicFrame>
      <xdr:nvGraphicFramePr>
        <xdr:cNvPr id="32" name="Chart 3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695325</xdr:colOff>
      <xdr:row>0</xdr:row>
      <xdr:rowOff>76200</xdr:rowOff>
    </xdr:from>
    <xdr:ext cx="5715000" cy="3533775"/>
    <xdr:graphicFrame>
      <xdr:nvGraphicFramePr>
        <xdr:cNvPr id="33" name="Chart 3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323850</xdr:colOff>
      <xdr:row>0</xdr:row>
      <xdr:rowOff>76200</xdr:rowOff>
    </xdr:from>
    <xdr:ext cx="5715000" cy="3533775"/>
    <xdr:graphicFrame>
      <xdr:nvGraphicFramePr>
        <xdr:cNvPr id="34" name="Chart 3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A107" sheet="PARETO"/>
  </cacheSource>
  <cacheFields>
    <cacheField name="Order ID" numFmtId="0">
      <sharedItems containsSemiMixedTypes="0" containsString="0" containsNumber="1" containsInteger="1">
        <n v="1.02230632E8"/>
        <n v="1.04190576E8"/>
        <n v="1.11246287E8"/>
        <n v="1.21945512E8"/>
        <n v="1.2214421E8"/>
        <n v="1.22967326E8"/>
        <n v="1.25339686E8"/>
        <n v="1.26948583E8"/>
        <n v="1.31585586E8"/>
        <n v="1.32069671E8"/>
        <n v="1.46349751E8"/>
        <n v="1.51312482E8"/>
        <n v="1.63744628E8"/>
        <n v="1.74614226E8"/>
        <n v="1.81260526E8"/>
        <n v="1.86847674E8"/>
        <n v="1.9000281E8"/>
        <n v="1.92236125E8"/>
        <n v="1.94176757E8"/>
        <n v="2.15584218E8"/>
        <n v="2.32196319E8"/>
        <n v="2.33811223E8"/>
        <n v="2.39386355E8"/>
        <n v="2.41392648E8"/>
        <n v="2.43684327E8"/>
        <n v="2.52541625E8"/>
        <n v="2.59032571E8"/>
        <n v="2.74694526E8"/>
        <n v="2.91179597E8"/>
        <n v="2.91611325E8"/>
        <n v="3.09285581E8"/>
        <n v="3.11956632E8"/>
        <n v="3.17006051E8"/>
        <n v="3.3330444E8"/>
        <n v="3.41398274E8"/>
        <n v="3.43730294E8"/>
        <n v="3.52342545E8"/>
        <n v="3.61311852E8"/>
        <n v="3.80379998E8"/>
        <n v="3.91026866E8"/>
        <n v="3.93709933E8"/>
        <n v="4.10514724E8"/>
        <n v="4.14579665E8"/>
        <n v="4.39204919E8"/>
        <n v="4.60693061E8"/>
        <n v="4.76453721E8"/>
        <n v="4.7699145E8"/>
        <n v="4.80652987E8"/>
        <n v="4.83655774E8"/>
        <n v="4.85929429E8"/>
        <n v="5.13802516E8"/>
        <n v="5.17097985E8"/>
        <n v="5.43396508E8"/>
        <n v="5.4905833E8"/>
        <n v="5.64173543E8"/>
        <n v="5.69170606E8"/>
        <n v="5.74925124E8"/>
        <n v="5.94991052E8"/>
        <n v="6.15290009E8"/>
        <n v="6.24398362E8"/>
        <n v="6.38957822E8"/>
        <n v="6.43448483E8"/>
        <n v="6.5354861E8"/>
        <n v="6.8032521E8"/>
        <n v="6.88698422E8"/>
        <n v="6.88903129E8"/>
        <n v="6.92757356E8"/>
        <n v="6.96844613E8"/>
        <n v="7.04139363E8"/>
        <n v="7.09276759E8"/>
        <n v="7.22233331E8"/>
        <n v="7.36240041E8"/>
        <n v="7.4210056E8"/>
        <n v="7.47774398E8"/>
        <n v="7.47826755E8"/>
        <n v="7.59594142E8"/>
        <n v="7.6573404E8"/>
        <n v="7.831169E8"/>
        <n v="7.83594977E8"/>
        <n v="7.86318385E8"/>
        <n v="7.92178905E8"/>
        <n v="7.96418511E8"/>
        <n v="8.00045716E8"/>
        <n v="8.20437371E8"/>
        <n v="8.26968657E8"/>
        <n v="8.3534187E8"/>
        <n v="8.3790692E8"/>
        <n v="8.70218312E8"/>
        <n v="8.85998284E8"/>
        <n v="8.8750118E8"/>
        <n v="9.00808799E8"/>
        <n v="9.10610234E8"/>
        <n v="9.2001127E8"/>
        <n v="9.22564303E8"/>
        <n v="9.23160398E8"/>
        <n v="9.26064479E8"/>
        <n v="9.29812705E8"/>
        <n v="9.30670154E8"/>
        <n v="9.41061675E8"/>
        <n v="9.49732291E8"/>
        <n v="9.49912965E8"/>
        <n v="9.51698243E8"/>
        <n v="9.72981679E8"/>
        <n v="9.75080668E8"/>
        <n v="9.76323497E8"/>
        <n v="9.94504153E8"/>
      </sharedItems>
    </cacheField>
    <cacheField name="Order Date">
      <sharedItems containsDate="1" containsMixedTypes="1">
        <s v="5/13/2017"/>
        <s v="2/22/2017"/>
        <d v="2017-09-06T00:00:00Z"/>
        <d v="2017-08-04T00:00:00Z"/>
        <s v="4/27/2017"/>
        <s v="3/24/2017"/>
        <d v="2017-11-07T00:00:00Z"/>
        <s v="5/24/2017"/>
        <s v="3/13/2017"/>
        <d v="2017-09-07T00:00:00Z"/>
        <d v="2017-01-05T00:00:00Z"/>
        <d v="2017-06-06T00:00:00Z"/>
        <s v="4/17/2017"/>
        <s v="6/24/2017"/>
        <d v="2017-03-05T00:00:00Z"/>
        <s v="4/16/2017"/>
        <s v="6/20/2017"/>
        <d v="2017-11-03T00:00:00Z"/>
        <d v="2017-10-07T00:00:00Z"/>
        <d v="2017-07-06T00:00:00Z"/>
        <d v="2017-07-07T00:00:00Z"/>
        <s v="7/20/2017"/>
        <d v="2017-04-03T00:00:00Z"/>
        <s v="5/23/2017"/>
        <d v="2017-09-05T00:00:00Z"/>
        <s v="4/13/2017"/>
        <s v="2/13/2017"/>
        <d v="2017-01-02T00:00:00Z"/>
        <s v="2/26/2017"/>
        <d v="2017-04-01T00:00:00Z"/>
        <s v="4/30/2017"/>
        <d v="2017-11-06T00:00:00Z"/>
        <s v="1/22/2017"/>
        <s v="2/19/2017"/>
        <d v="2017-06-01T00:00:00Z"/>
        <s v="7/14/2017"/>
        <d v="2017-03-01T00:00:00Z"/>
        <d v="2017-12-03T00:00:00Z"/>
        <d v="2017-01-03T00:00:00Z"/>
        <d v="2017-11-02T00:00:00Z"/>
        <s v="1/28/2017"/>
        <s v="7/22/2017"/>
        <s v="3/23/2017"/>
        <s v="7/18/2017"/>
        <d v="2017-02-07T00:00:00Z"/>
        <s v="3/18/2017"/>
        <s v="5/31/2017"/>
        <d v="2017-03-04T00:00:00Z"/>
        <s v="4/21/2017"/>
        <d v="2017-07-04T00:00:00Z"/>
        <s v="6/28/2017"/>
        <s v="4/22/2017"/>
        <s v="1/14/2017"/>
        <s v="6/30/2017"/>
        <d v="2017-09-02T00:00:00Z"/>
        <s v="6/21/2017"/>
        <d v="2017-02-05T00:00:00Z"/>
        <d v="2017-03-03T00:00:00Z"/>
        <s v="7/17/2017"/>
        <d v="2017-12-01T00:00:00Z"/>
        <s v="3/31/2017"/>
        <d v="2017-08-03T00:00:00Z"/>
        <s v="4/25/2017"/>
        <d v="2017-03-06T00:00:00Z"/>
        <d v="2017-12-02T00:00:00Z"/>
        <s v="5/28/2017"/>
        <d v="2017-06-05T00:00:00Z"/>
        <s v="1/26/2017"/>
        <d v="2017-04-04T00:00:00Z"/>
        <s v="3/19/2017"/>
        <s v="2/21/2017"/>
        <d v="2017-05-05T00:00:00Z"/>
        <d v="2017-03-07T00:00:00Z"/>
        <s v="3/17/2017"/>
        <s v="5/14/2017"/>
        <s v="2/18/2017"/>
        <s v="5/22/2017"/>
        <d v="2017-05-07T00:00:00Z"/>
        <s v="1/24/2017"/>
        <s v="6/16/2017"/>
        <s v="3/15/2017"/>
        <s v="7/23/2017"/>
        <d v="2017-06-02T00:00:00Z"/>
        <d v="2017-10-01T00:00:00Z"/>
      </sharedItems>
    </cacheField>
    <cacheField name="mesOrder Date" numFmtId="0">
      <sharedItems containsSemiMixedTypes="0" containsString="0" containsNumber="1" containsInteger="1">
        <n v="5.0"/>
        <n v="2.0"/>
        <n v="6.0"/>
        <n v="4.0"/>
        <n v="3.0"/>
        <n v="7.0"/>
        <n v="1.0"/>
      </sharedItems>
    </cacheField>
    <cacheField name="diaOrder Date" numFmtId="3">
      <sharedItems containsSemiMixedTypes="0" containsString="0" containsNumber="1" containsInteger="1">
        <n v="13.0"/>
        <n v="22.0"/>
        <n v="9.0"/>
        <n v="8.0"/>
        <n v="27.0"/>
        <n v="24.0"/>
        <n v="11.0"/>
        <n v="1.0"/>
        <n v="6.0"/>
        <n v="17.0"/>
        <n v="3.0"/>
        <n v="16.0"/>
        <n v="20.0"/>
        <n v="10.0"/>
        <n v="7.0"/>
        <n v="4.0"/>
        <n v="23.0"/>
        <n v="26.0"/>
        <n v="30.0"/>
        <n v="19.0"/>
        <n v="14.0"/>
        <n v="12.0"/>
        <n v="28.0"/>
        <n v="18.0"/>
        <n v="2.0"/>
        <n v="31.0"/>
        <n v="21.0"/>
        <n v="25.0"/>
        <n v="5.0"/>
        <n v="15.0"/>
      </sharedItems>
    </cacheField>
    <cacheField name="anoOrder Date" numFmtId="1">
      <sharedItems containsSemiMixedTypes="0" containsString="0" containsNumber="1" containsInteger="1">
        <n v="2017.0"/>
      </sharedItems>
    </cacheField>
    <cacheField name="order date formatada" numFmtId="166">
      <sharedItems containsSemiMixedTypes="0" containsDate="1" containsString="0">
        <d v="2017-05-13T00:00:00Z"/>
        <d v="2017-02-22T00:00:00Z"/>
        <d v="2017-06-09T00:00:00Z"/>
        <d v="2017-04-08T00:00:00Z"/>
        <d v="2017-04-27T00:00:00Z"/>
        <d v="2017-03-24T00:00:00Z"/>
        <d v="2017-07-11T00:00:00Z"/>
        <d v="2017-05-24T00:00:00Z"/>
        <d v="2017-03-13T00:00:00Z"/>
        <d v="2017-07-09T00:00:00Z"/>
        <d v="2017-05-01T00:00:00Z"/>
        <d v="2017-06-06T00:00:00Z"/>
        <d v="2017-04-17T00:00:00Z"/>
        <d v="2017-06-24T00:00:00Z"/>
        <d v="2017-05-03T00:00:00Z"/>
        <d v="2017-04-16T00:00:00Z"/>
        <d v="2017-06-20T00:00:00Z"/>
        <d v="2017-03-11T00:00:00Z"/>
        <d v="2017-07-10T00:00:00Z"/>
        <d v="2017-06-07T00:00:00Z"/>
        <d v="2017-07-07T00:00:00Z"/>
        <d v="2017-07-20T00:00:00Z"/>
        <d v="2017-03-04T00:00:00Z"/>
        <d v="2017-05-23T00:00:00Z"/>
        <d v="2017-05-09T00:00:00Z"/>
        <d v="2017-04-13T00:00:00Z"/>
        <d v="2017-02-13T00:00:00Z"/>
        <d v="2017-02-01T00:00:00Z"/>
        <d v="2017-02-26T00:00:00Z"/>
        <d v="2017-01-04T00:00:00Z"/>
        <d v="2017-04-30T00:00:00Z"/>
        <d v="2017-06-11T00:00:00Z"/>
        <d v="2017-01-22T00:00:00Z"/>
        <d v="2017-02-19T00:00:00Z"/>
        <d v="2017-01-06T00:00:00Z"/>
        <d v="2017-07-14T00:00:00Z"/>
        <d v="2017-01-03T00:00:00Z"/>
        <d v="2017-03-12T00:00:00Z"/>
        <d v="2017-03-01T00:00:00Z"/>
        <d v="2017-02-11T00:00:00Z"/>
        <d v="2017-01-28T00:00:00Z"/>
        <d v="2017-07-22T00:00:00Z"/>
        <d v="2017-03-23T00:00:00Z"/>
        <d v="2017-07-18T00:00:00Z"/>
        <d v="2017-07-02T00:00:00Z"/>
        <d v="2017-03-18T00:00:00Z"/>
        <d v="2017-05-31T00:00:00Z"/>
        <d v="2017-04-03T00:00:00Z"/>
        <d v="2017-04-21T00:00:00Z"/>
        <d v="2017-04-07T00:00:00Z"/>
        <d v="2017-06-28T00:00:00Z"/>
        <d v="2017-04-22T00:00:00Z"/>
        <d v="2017-01-14T00:00:00Z"/>
        <d v="2017-06-30T00:00:00Z"/>
        <d v="2017-02-09T00:00:00Z"/>
        <d v="2017-06-21T00:00:00Z"/>
        <d v="2017-05-02T00:00:00Z"/>
        <d v="2017-03-03T00:00:00Z"/>
        <d v="2017-07-17T00:00:00Z"/>
        <d v="2017-01-12T00:00:00Z"/>
        <d v="2017-03-31T00:00:00Z"/>
        <d v="2017-03-08T00:00:00Z"/>
        <d v="2017-04-25T00:00:00Z"/>
        <d v="2017-06-03T00:00:00Z"/>
        <d v="2017-02-12T00:00:00Z"/>
        <d v="2017-05-28T00:00:00Z"/>
        <d v="2017-05-06T00:00:00Z"/>
        <d v="2017-01-26T00:00:00Z"/>
        <d v="2017-04-04T00:00:00Z"/>
        <d v="2017-03-19T00:00:00Z"/>
        <d v="2017-02-21T00:00:00Z"/>
        <d v="2017-05-05T00:00:00Z"/>
        <d v="2017-07-03T00:00:00Z"/>
        <d v="2017-03-17T00:00:00Z"/>
        <d v="2017-05-14T00:00:00Z"/>
        <d v="2017-02-18T00:00:00Z"/>
        <d v="2017-05-22T00:00:00Z"/>
        <d v="2017-07-05T00:00:00Z"/>
        <d v="2017-01-24T00:00:00Z"/>
        <d v="2017-06-16T00:00:00Z"/>
        <d v="2017-03-15T00:00:00Z"/>
        <d v="2017-07-23T00:00:00Z"/>
        <d v="2017-02-06T00:00:00Z"/>
        <d v="2017-01-10T00:00:00Z"/>
      </sharedItems>
    </cacheField>
    <cacheField name="Ship Date">
      <sharedItems containsDate="1" containsMixedTypes="1">
        <s v="6/13/2017"/>
        <d v="2017-12-03T00:00:00Z"/>
        <d v="2017-02-07T00:00:00Z"/>
        <d v="2017-12-04T00:00:00Z"/>
        <s v="5/24/2017"/>
        <s v="4/25/2017"/>
        <s v="7/24/2017"/>
        <d v="2017-09-07T00:00:00Z"/>
        <s v="4/13/2017"/>
        <s v="7/20/2017"/>
        <d v="2017-12-07T00:00:00Z"/>
        <d v="2017-01-05T00:00:00Z"/>
        <s v="8/13/2017"/>
        <d v="2017-03-06T00:00:00Z"/>
        <s v="4/23/2017"/>
        <d v="2017-05-08T00:00:00Z"/>
        <s v="3/22/2017"/>
        <s v="8/20/2017"/>
        <s v="6/21/2017"/>
        <d v="2017-04-08T00:00:00Z"/>
        <s v="4/20/2017"/>
        <s v="3/16/2017"/>
        <s v="5/30/2017"/>
        <d v="2017-05-07T00:00:00Z"/>
        <s v="5/13/2017"/>
        <d v="2017-11-05T00:00:00Z"/>
        <s v="2/20/2017"/>
        <d v="2017-10-02T00:00:00Z"/>
        <s v="4/17/2017"/>
        <d v="2017-10-01T00:00:00Z"/>
        <d v="2017-05-06T00:00:00Z"/>
        <d v="2017-07-03T00:00:00Z"/>
        <s v="5/28/2017"/>
        <s v="3/27/2017"/>
        <s v="2/15/2017"/>
        <s v="7/16/2017"/>
        <d v="2017-08-01T00:00:00Z"/>
        <d v="2017-10-04T00:00:00Z"/>
        <d v="2017-10-07T00:00:00Z"/>
        <s v="2/19/2017"/>
        <s v="2/25/2017"/>
        <d v="2017-10-08T00:00:00Z"/>
        <d v="2017-05-04T00:00:00Z"/>
        <s v="5/19/2017"/>
        <d v="2017-07-08T00:00:00Z"/>
        <s v="4/14/2017"/>
        <s v="4/26/2017"/>
        <s v="7/13/2017"/>
        <d v="2017-06-06T00:00:00Z"/>
        <s v="1/18/2017"/>
        <s v="6/24/2017"/>
        <s v="7/25/2017"/>
        <s v="2/21/2017"/>
        <s v="7/23/2017"/>
        <d v="2017-01-04T00:00:00Z"/>
        <d v="2017-12-05T00:00:00Z"/>
        <s v="8/31/2017"/>
        <d v="2017-01-03T00:00:00Z"/>
        <d v="2017-06-04T00:00:00Z"/>
        <s v="1/17/2017"/>
        <d v="2017-03-04T00:00:00Z"/>
        <s v="7/22/2017"/>
        <s v="3/14/2017"/>
        <s v="8/23/2017"/>
        <s v="7/21/2017"/>
        <s v="3/23/2017"/>
        <s v="5/14/2017"/>
        <d v="2017-11-06T00:00:00Z"/>
        <s v="6/15/2017"/>
        <s v="2/24/2017"/>
        <s v="5/16/2017"/>
        <s v="2/28/2017"/>
        <s v="6/20/2017"/>
        <s v="6/28/2017"/>
        <s v="7/31/2017"/>
        <d v="2017-12-06T00:00:00Z"/>
        <d v="2017-02-04T00:00:00Z"/>
        <d v="2017-10-03T00:00:00Z"/>
        <s v="5/25/2017"/>
        <s v="3/15/2017"/>
        <s v="3/20/2017"/>
        <s v="8/14/2017"/>
        <d v="2017-06-03T00:00:00Z"/>
        <d v="2017-03-07T00:00:00Z"/>
        <d v="2017-09-04T00:00:00Z"/>
        <s v="1/13/2017"/>
      </sharedItems>
    </cacheField>
    <cacheField name="mesShip Date" numFmtId="0">
      <sharedItems containsSemiMixedTypes="0" containsString="0" containsNumber="1" containsInteger="1">
        <n v="6.0"/>
        <n v="3.0"/>
        <n v="7.0"/>
        <n v="4.0"/>
        <n v="5.0"/>
        <n v="8.0"/>
        <n v="2.0"/>
        <n v="1.0"/>
      </sharedItems>
    </cacheField>
    <cacheField name="diaShip Date" numFmtId="0">
      <sharedItems containsSemiMixedTypes="0" containsString="0" containsNumber="1" containsInteger="1">
        <n v="13.0"/>
        <n v="12.0"/>
        <n v="2.0"/>
        <n v="24.0"/>
        <n v="25.0"/>
        <n v="9.0"/>
        <n v="20.0"/>
        <n v="1.0"/>
        <n v="3.0"/>
        <n v="23.0"/>
        <n v="5.0"/>
        <n v="22.0"/>
        <n v="21.0"/>
        <n v="4.0"/>
        <n v="16.0"/>
        <n v="30.0"/>
        <n v="11.0"/>
        <n v="10.0"/>
        <n v="17.0"/>
        <n v="7.0"/>
        <n v="28.0"/>
        <n v="27.0"/>
        <n v="15.0"/>
        <n v="8.0"/>
        <n v="19.0"/>
        <n v="14.0"/>
        <n v="26.0"/>
        <n v="6.0"/>
        <n v="18.0"/>
        <n v="31.0"/>
      </sharedItems>
    </cacheField>
    <cacheField name="anoShip Date" numFmtId="0">
      <sharedItems containsSemiMixedTypes="0" containsString="0" containsNumber="1" containsInteger="1">
        <n v="2017.0"/>
      </sharedItems>
    </cacheField>
    <cacheField name="ship date formatada" numFmtId="166">
      <sharedItems containsSemiMixedTypes="0" containsDate="1" containsString="0">
        <d v="2017-06-13T00:00:00Z"/>
        <d v="2017-03-12T00:00:00Z"/>
        <d v="2017-07-02T00:00:00Z"/>
        <d v="2017-04-12T00:00:00Z"/>
        <d v="2017-05-24T00:00:00Z"/>
        <d v="2017-04-25T00:00:00Z"/>
        <d v="2017-07-24T00:00:00Z"/>
        <d v="2017-07-09T00:00:00Z"/>
        <d v="2017-04-13T00:00:00Z"/>
        <d v="2017-07-20T00:00:00Z"/>
        <d v="2017-07-12T00:00:00Z"/>
        <d v="2017-05-01T00:00:00Z"/>
        <d v="2017-08-13T00:00:00Z"/>
        <d v="2017-06-03T00:00:00Z"/>
        <d v="2017-04-23T00:00:00Z"/>
        <d v="2017-08-05T00:00:00Z"/>
        <d v="2017-03-22T00:00:00Z"/>
        <d v="2017-08-20T00:00:00Z"/>
        <d v="2017-06-21T00:00:00Z"/>
        <d v="2017-08-04T00:00:00Z"/>
        <d v="2017-04-20T00:00:00Z"/>
        <d v="2017-03-16T00:00:00Z"/>
        <d v="2017-05-30T00:00:00Z"/>
        <d v="2017-07-05T00:00:00Z"/>
        <d v="2017-05-13T00:00:00Z"/>
        <d v="2017-05-11T00:00:00Z"/>
        <d v="2017-02-20T00:00:00Z"/>
        <d v="2017-02-10T00:00:00Z"/>
        <d v="2017-04-17T00:00:00Z"/>
        <d v="2017-01-10T00:00:00Z"/>
        <d v="2017-06-05T00:00:00Z"/>
        <d v="2017-03-07T00:00:00Z"/>
        <d v="2017-05-28T00:00:00Z"/>
        <d v="2017-03-27T00:00:00Z"/>
        <d v="2017-02-15T00:00:00Z"/>
        <d v="2017-07-16T00:00:00Z"/>
        <d v="2017-01-08T00:00:00Z"/>
        <d v="2017-04-10T00:00:00Z"/>
        <d v="2017-07-10T00:00:00Z"/>
        <d v="2017-02-19T00:00:00Z"/>
        <d v="2017-02-25T00:00:00Z"/>
        <d v="2017-08-10T00:00:00Z"/>
        <d v="2017-04-05T00:00:00Z"/>
        <d v="2017-05-19T00:00:00Z"/>
        <d v="2017-08-07T00:00:00Z"/>
        <d v="2017-04-14T00:00:00Z"/>
        <d v="2017-04-26T00:00:00Z"/>
        <d v="2017-07-13T00:00:00Z"/>
        <d v="2017-06-06T00:00:00Z"/>
        <d v="2017-01-18T00:00:00Z"/>
        <d v="2017-06-24T00:00:00Z"/>
        <d v="2017-07-25T00:00:00Z"/>
        <d v="2017-02-21T00:00:00Z"/>
        <d v="2017-07-23T00:00:00Z"/>
        <d v="2017-04-01T00:00:00Z"/>
        <d v="2017-05-12T00:00:00Z"/>
        <d v="2017-08-31T00:00:00Z"/>
        <d v="2017-03-01T00:00:00Z"/>
        <d v="2017-04-06T00:00:00Z"/>
        <d v="2017-01-17T00:00:00Z"/>
        <d v="2017-04-03T00:00:00Z"/>
        <d v="2017-07-22T00:00:00Z"/>
        <d v="2017-03-14T00:00:00Z"/>
        <d v="2017-08-23T00:00:00Z"/>
        <d v="2017-07-21T00:00:00Z"/>
        <d v="2017-03-23T00:00:00Z"/>
        <d v="2017-05-14T00:00:00Z"/>
        <d v="2017-06-11T00:00:00Z"/>
        <d v="2017-06-15T00:00:00Z"/>
        <d v="2017-02-24T00:00:00Z"/>
        <d v="2017-05-16T00:00:00Z"/>
        <d v="2017-02-28T00:00:00Z"/>
        <d v="2017-06-20T00:00:00Z"/>
        <d v="2017-06-28T00:00:00Z"/>
        <d v="2017-07-31T00:00:00Z"/>
        <d v="2017-06-12T00:00:00Z"/>
        <d v="2017-04-02T00:00:00Z"/>
        <d v="2017-03-10T00:00:00Z"/>
        <d v="2017-05-25T00:00:00Z"/>
        <d v="2017-03-15T00:00:00Z"/>
        <d v="2017-03-20T00:00:00Z"/>
        <d v="2017-08-14T00:00:00Z"/>
        <d v="2017-03-06T00:00:00Z"/>
        <d v="2017-07-03T00:00:00Z"/>
        <d v="2017-04-09T00:00:00Z"/>
        <d v="2017-01-13T00:00:00Z"/>
      </sharedItems>
    </cacheField>
    <cacheField name="Order Priority" numFmtId="0">
      <sharedItems>
        <s v="L"/>
        <s v="C"/>
        <s v="M"/>
        <s v="H"/>
      </sharedItems>
    </cacheField>
    <cacheField name="Country Code" numFmtId="0">
      <sharedItems>
        <s v="MNE"/>
        <s v="GEO"/>
        <s v="CYP"/>
        <s v="GBR"/>
        <s v="BLR"/>
        <s v="MKD"/>
        <s v="Desconhecido"/>
        <s v="FRA"/>
        <s v="AUT"/>
        <s v="LTU"/>
        <s v="CZE"/>
        <s v="FIN"/>
        <s v="AND"/>
        <s v="UKR"/>
        <s v="ISL"/>
        <s v="HRV"/>
        <s v="RUS"/>
        <s v="POL"/>
        <s v="CHE"/>
        <s v="SMR"/>
        <s v="IRL"/>
        <s v="BEL"/>
        <s v="MLT"/>
        <s v="LIE"/>
        <s v="HUN"/>
        <s v="EST"/>
        <s v="GRC"/>
        <s v="LVA"/>
        <s v="ESP"/>
        <s v="DEU"/>
        <s v="ALB"/>
        <s v="SRB"/>
        <s v="BGR"/>
        <s v="ITA"/>
        <s v="LUX"/>
        <s v="SVK"/>
        <s v="NLD"/>
        <s v="NOR"/>
        <s v="ROU"/>
        <s v="SVN"/>
        <s v="MCO"/>
        <s v="ARM"/>
        <s v="SWE"/>
      </sharedItems>
    </cacheField>
    <cacheField name="Product ID" numFmtId="0">
      <sharedItems containsSemiMixedTypes="0" containsString="0" containsNumber="1" containsInteger="1">
        <n v="2455.0"/>
        <n v="8875.0"/>
        <n v="1270.0"/>
        <n v="8969.0"/>
        <n v="7331.0"/>
        <n v="3127.0"/>
        <n v="5988.0"/>
        <n v="8293.0"/>
        <n v="8681.0"/>
        <n v="7940.0"/>
        <n v="4594.0"/>
        <n v="2103.0"/>
      </sharedItems>
    </cacheField>
    <cacheField name="Sales Channel" numFmtId="0">
      <sharedItems>
        <s v="Online"/>
        <s v="Offline"/>
      </sharedItems>
    </cacheField>
    <cacheField name="Units Sold" numFmtId="3">
      <sharedItems containsSemiMixedTypes="0" containsString="0" containsNumber="1" containsInteger="1">
        <n v="1171.0"/>
        <n v="1162.0"/>
        <n v="9103.0"/>
        <n v="5242.0"/>
        <n v="4041.0"/>
        <n v="7619.0"/>
        <n v="9653.0"/>
        <n v="5762.0"/>
        <n v="7954.0"/>
        <n v="1205.0"/>
        <n v="6999.0"/>
        <n v="5581.0"/>
        <n v="4529.0"/>
        <n v="1085.0"/>
        <n v="7872.0"/>
        <n v="1234.0"/>
        <n v="4909.0"/>
        <n v="5796.0"/>
        <n v="72.0"/>
        <n v="5016.0"/>
        <n v="905.0"/>
        <n v="8792.0"/>
        <n v="8597.0"/>
        <n v="2304.0"/>
        <n v="462.0"/>
        <n v="1534.0"/>
        <n v="2349.0"/>
        <n v="7069.0"/>
        <n v="5368.0"/>
        <n v="3126.0"/>
        <n v="3331.0"/>
        <n v="3755.0"/>
        <n v="7990.0"/>
        <n v="1046.0"/>
        <n v="6191.0"/>
        <n v="6287.0"/>
        <n v="4844.0"/>
        <n v="9061.0"/>
        <n v="1749.0"/>
        <n v="2394.0"/>
        <n v="6373.0"/>
        <n v="9284.0"/>
        <n v="2191.0"/>
        <n v="9350.0"/>
        <n v="8169.0"/>
        <n v="2099.0"/>
        <n v="1225.0"/>
        <n v="4755.0"/>
        <n v="3346.0"/>
        <n v="6171.0"/>
        <n v="4437.0"/>
        <n v="9640.0"/>
        <n v="1957.0"/>
        <n v="7416.0"/>
        <n v="343.0"/>
        <n v="9085.0"/>
        <n v="1975.0"/>
        <n v="9929.0"/>
        <n v="6842.0"/>
        <n v="2206.0"/>
        <n v="673.0"/>
        <n v="9560.0"/>
        <n v="8412.0"/>
        <n v="2203.0"/>
        <n v="22.0"/>
        <n v="600.0"/>
        <n v="1151.0"/>
        <n v="661.0"/>
        <n v="9340.0"/>
        <n v="9610.0"/>
        <n v="3747.0"/>
        <n v="8644.0"/>
        <n v="2902.0"/>
        <n v="1916.0"/>
        <n v="7410.0"/>
        <n v="9641.0"/>
        <n v="6574.0"/>
        <n v="548.0"/>
        <n v="2022.0"/>
        <n v="7939.0"/>
        <n v="2197.0"/>
        <n v="6791.0"/>
        <n v="161.0"/>
        <n v="4505.0"/>
        <n v="7258.0"/>
        <n v="5077.0"/>
        <n v="4133.0"/>
        <n v="5792.0"/>
        <n v="5436.0"/>
        <n v="176.0"/>
        <n v="8196.0"/>
        <n v="8659.0"/>
        <n v="634.0"/>
        <n v="6134.0"/>
        <n v="2531.0"/>
        <n v="1913.0"/>
        <n v="1097.0"/>
        <n v="4835.0"/>
        <n v="9917.0"/>
        <n v="5745.0"/>
        <n v="9210.0"/>
        <n v="7514.0"/>
        <n v="5755.0"/>
        <n v="6893.0"/>
        <n v="4674.0"/>
        <n v="4734.0"/>
      </sharedItems>
    </cacheField>
    <cacheField name="Unit Price" numFmtId="164">
      <sharedItems containsSemiMixedTypes="0" containsString="0" containsNumber="1">
        <n v="109.28"/>
        <n v="421.89"/>
        <n v="47.45"/>
        <n v="152.58"/>
        <n v="255.28"/>
        <n v="81.73"/>
        <n v="154.06"/>
        <n v="437.2"/>
        <n v="651.21"/>
        <n v="668.27"/>
        <n v="9.33"/>
        <n v="205.7"/>
      </sharedItems>
    </cacheField>
    <cacheField name="Unit Cost" numFmtId="164">
      <sharedItems containsSemiMixedTypes="0" containsString="0" containsNumber="1">
        <n v="35.84"/>
        <n v="364.69"/>
        <n v="31.79"/>
        <n v="97.44"/>
        <n v="159.42"/>
        <n v="56.67"/>
        <n v="90.93"/>
        <n v="263.33"/>
        <n v="524.96"/>
        <n v="502.54"/>
        <n v="6.92"/>
        <n v="117.11"/>
      </sharedItems>
    </cacheField>
    <cacheField name="receita_total" numFmtId="164">
      <sharedItems containsSemiMixedTypes="0" containsString="0" containsNumber="1">
        <n v="127966.88"/>
        <n v="490236.18"/>
        <n v="3840464.67"/>
        <n v="248732.90000000002"/>
        <n v="191745.45"/>
        <n v="361521.55000000005"/>
        <n v="1472854.7400000002"/>
        <n v="1470923.36"/>
        <n v="650080.42"/>
        <n v="98484.65000000001"/>
        <n v="1078265.94"/>
        <n v="2440013.1999999997"/>
        <n v="2949330.0900000003"/>
        <n v="276978.8"/>
        <n v="5126325.12"/>
        <n v="539504.7999999999"/>
        <n v="536455.52"/>
        <n v="275020.2"/>
        <n v="48115.44"/>
        <n v="772764.96"/>
        <n v="604784.35"/>
        <n v="3843862.4"/>
        <n v="5598452.37"/>
        <n v="1539694.08"/>
        <n v="117939.36"/>
        <n v="391599.52"/>
        <n v="361886.94"/>
        <n v="577749.37"/>
        <n v="3587273.36"/>
        <n v="476965.08"/>
        <n v="272242.63"/>
        <n v="1641686.0"/>
        <n v="379125.5"/>
        <n v="441296.94"/>
        <n v="944622.78"/>
        <n v="4094157.27"/>
        <n v="739097.52"/>
        <n v="2313092.08"/>
        <n v="1168804.23"/>
        <n v="1046656.7999999999"/>
        <n v="59460.090000000004"/>
        <n v="6045833.640000001"/>
        <n v="334302.78"/>
        <n v="443657.5"/>
        <n v="76216.77"/>
        <n v="320265.42000000004"/>
        <n v="186910.50000000003"/>
        <n v="1213856.4"/>
        <n v="688272.2"/>
        <n v="504355.83"/>
        <n v="2889418.77"/>
        <n v="1470871.2000000002"/>
        <n v="825638.73"/>
        <n v="4955890.32"/>
        <n v="87561.04"/>
        <n v="1386189.3"/>
        <n v="863470.0"/>
        <n v="1514966.82"/>
        <n v="2886571.38"/>
        <n v="1436569.26"/>
        <n v="31933.850000000002"/>
        <n v="89194.8"/>
        <n v="399149.4"/>
        <n v="339394.18"/>
        <n v="3389.32"/>
        <n v="400962.0"/>
        <n v="485595.38999999996"/>
        <n v="278869.29"/>
        <n v="443183.0"/>
        <n v="1050180.8"/>
        <n v="577262.8200000001"/>
        <n v="5776525.88"/>
        <n v="442787.16000000003"/>
        <n v="808341.24"/>
        <n v="4825466.100000001"/>
        <n v="1485292.46"/>
        <n v="61335.42"/>
        <n v="59885.44"/>
        <n v="853061.58"/>
        <n v="376705.55000000005"/>
        <n v="451922.89999999997"/>
        <n v="2865054.9899999998"/>
        <n v="13158.53"/>
        <n v="1900614.45"/>
        <n v="3173197.6"/>
        <n v="2219664.4"/>
        <n v="196110.85"/>
        <n v="54039.36"/>
        <n v="594046.08"/>
        <n v="76947.2"/>
        <n v="3583291.1999999997"/>
        <n v="3785714.8"/>
        <n v="267478.26"/>
        <n v="4099168.1799999997"/>
        <n v="276587.68"/>
        <n v="1245764.73"/>
        <n v="462813.32999999996"/>
        <n v="2039838.15"/>
        <n v="1527813.02"/>
        <n v="272600.25"/>
        <n v="4026612.0"/>
        <n v="1146486.12"/>
        <n v="878097.9"/>
        <n v="1061935.58"/>
        <n v="221781.30000000002"/>
        <n v="44168.22"/>
      </sharedItems>
    </cacheField>
    <cacheField name="custo_total" numFmtId="164">
      <sharedItems containsSemiMixedTypes="0" containsString="0" containsNumber="1">
        <n v="41968.64000000001"/>
        <n v="423769.77999999997"/>
        <n v="3319773.07"/>
        <n v="166643.18"/>
        <n v="128463.39"/>
        <n v="242208.00999999998"/>
        <n v="940588.32"/>
        <n v="918578.0399999999"/>
        <n v="450753.18"/>
        <n v="68287.35"/>
        <n v="636419.0700000001"/>
        <n v="1469644.73"/>
        <n v="2377543.8400000003"/>
        <n v="172970.69999999998"/>
        <n v="4132485.12"/>
        <n v="324949.22"/>
        <n v="175938.56000000003"/>
        <n v="184254.84"/>
        <n v="36182.880000000005"/>
        <n v="456104.88000000006"/>
        <n v="454798.7"/>
        <n v="2315197.36"/>
        <n v="4513081.12"/>
        <n v="1157852.1600000001"/>
        <n v="73652.04"/>
        <n v="244550.27999999997"/>
        <n v="213594.57"/>
        <n v="400600.23000000004"/>
        <n v="2697634.72"/>
        <n v="304597.44"/>
        <n v="188767.77000000002"/>
        <n v="988804.1499999999"/>
        <n v="254002.1"/>
        <n v="381465.74"/>
        <n v="603251.04"/>
        <n v="3300423.52"/>
        <n v="471999.36"/>
        <n v="1444504.6199999999"/>
        <n v="878942.4600000001"/>
        <n v="630412.02"/>
        <n v="44101.159999999996"/>
        <n v="4873728.640000001"/>
        <n v="213491.04"/>
        <n v="297236.5"/>
        <n v="56529.479999999996"/>
        <n v="204526.56"/>
        <n v="119364.0"/>
        <n v="758042.1"/>
        <n v="391850.06"/>
        <n v="349710.57"/>
        <n v="2329247.52"/>
        <n v="939321.6"/>
        <n v="713698.33"/>
        <n v="3726836.64"/>
        <n v="54681.06"/>
        <n v="885242.4"/>
        <n v="520076.74999999994"/>
        <n v="967481.76"/>
        <n v="2495208.98"/>
        <n v="1158061.76"/>
        <n v="21394.67"/>
        <n v="66155.2"/>
        <n v="267417.48"/>
        <n v="200318.79"/>
        <n v="2000.46"/>
        <n v="301524.0"/>
        <n v="419758.19"/>
        <n v="241060.09"/>
        <n v="296918.6"/>
        <n v="344422.4"/>
        <n v="340714.71"/>
        <n v="4343955.76"/>
        <n v="282770.88"/>
        <n v="698746.04"/>
        <n v="3889953.6"/>
        <n v="876656.1300000001"/>
        <n v="45492.08"/>
        <n v="19640.320000000003"/>
        <n v="737403.18"/>
        <n v="252380.81"/>
        <n v="257290.67"/>
        <n v="2476609.79"/>
        <n v="9123.87"/>
        <n v="1642928.45"/>
        <n v="1911249.14"/>
        <n v="1336926.41"/>
        <n v="131388.07"/>
        <n v="40080.64"/>
        <n v="194826.24000000002"/>
        <n v="46346.079999999994"/>
        <n v="2158252.6799999997"/>
        <n v="2280174.4699999997"/>
        <n v="231213.46"/>
        <n v="3082580.3600000003"/>
        <n v="90711.04000000001"/>
        <n v="1004248.4800000001"/>
        <n v="400064.93"/>
        <n v="1763276.15"/>
        <n v="901752.81"/>
        <n v="182633.55"/>
        <n v="2425269.3"/>
        <n v="732164.16"/>
        <n v="560767.2"/>
        <n v="626780.49"/>
        <n v="148586.46"/>
        <n v="32759.28"/>
      </sharedItems>
    </cacheField>
    <cacheField name="lucro_total" numFmtId="164">
      <sharedItems containsSemiMixedTypes="0" containsString="0" containsNumber="1">
        <n v="85998.23999999999"/>
        <n v="66466.40000000002"/>
        <n v="520691.6000000001"/>
        <n v="82089.72000000003"/>
        <n v="63282.06000000001"/>
        <n v="119313.54000000007"/>
        <n v="532266.4200000003"/>
        <n v="552345.3200000002"/>
        <n v="199327.24000000005"/>
        <n v="30197.300000000003"/>
        <n v="441846.8699999999"/>
        <n v="970368.4699999997"/>
        <n v="571786.25"/>
        <n v="104008.1"/>
        <n v="993840.0"/>
        <n v="214555.57999999996"/>
        <n v="360516.95999999996"/>
        <n v="90765.36000000002"/>
        <n v="11932.559999999998"/>
        <n v="316660.0799999999"/>
        <n v="149985.64999999997"/>
        <n v="1528665.04"/>
        <n v="1085371.25"/>
        <n v="381841.9199999999"/>
        <n v="44287.32000000001"/>
        <n v="147049.24000000005"/>
        <n v="148292.37"/>
        <n v="177149.13999999996"/>
        <n v="889638.6399999997"/>
        <n v="172367.64"/>
        <n v="83474.85999999999"/>
        <n v="652881.8500000001"/>
        <n v="125123.4"/>
        <n v="59831.20000000001"/>
        <n v="341371.74"/>
        <n v="793733.75"/>
        <n v="267098.16000000003"/>
        <n v="868587.4600000002"/>
        <n v="289861.7699999999"/>
        <n v="416244.7799999999"/>
        <n v="15358.930000000008"/>
        <n v="1172105.0"/>
        <n v="120811.74000000002"/>
        <n v="146421.0"/>
        <n v="19687.290000000008"/>
        <n v="115738.86000000004"/>
        <n v="67546.50000000003"/>
        <n v="455814.29999999993"/>
        <n v="296422.13999999996"/>
        <n v="154645.26"/>
        <n v="560171.25"/>
        <n v="531549.6000000002"/>
        <n v="111940.40000000002"/>
        <n v="1229053.6800000002"/>
        <n v="32879.979999999996"/>
        <n v="500946.9"/>
        <n v="343393.25000000006"/>
        <n v="547485.06"/>
        <n v="391362.3999999999"/>
        <n v="278507.5"/>
        <n v="10539.180000000004"/>
        <n v="23039.600000000006"/>
        <n v="131731.92000000004"/>
        <n v="139075.38999999998"/>
        <n v="1388.8600000000001"/>
        <n v="99438.0"/>
        <n v="65837.19999999995"/>
        <n v="37809.19999999998"/>
        <n v="146264.40000000002"/>
        <n v="705758.4"/>
        <n v="236548.11000000004"/>
        <n v="1432570.12"/>
        <n v="160016.28000000003"/>
        <n v="109595.19999999995"/>
        <n v="935512.5000000005"/>
        <n v="608636.3299999998"/>
        <n v="15843.339999999997"/>
        <n v="40245.119999999995"/>
        <n v="115658.3999999999"/>
        <n v="124324.74000000005"/>
        <n v="194632.22999999995"/>
        <n v="388445.1999999997"/>
        <n v="4034.66"/>
        <n v="257686.0"/>
        <n v="1261948.4600000002"/>
        <n v="882737.99"/>
        <n v="64722.78"/>
        <n v="13958.720000000001"/>
        <n v="399219.83999999997"/>
        <n v="30601.120000000003"/>
        <n v="1425038.52"/>
        <n v="1505540.33"/>
        <n v="36264.80000000002"/>
        <n v="1016587.8199999994"/>
        <n v="185876.63999999998"/>
        <n v="241516.24999999988"/>
        <n v="62748.399999999965"/>
        <n v="276562.0"/>
        <n v="626060.21"/>
        <n v="89966.70000000001"/>
        <n v="1601342.7000000002"/>
        <n v="414321.9600000001"/>
        <n v="317330.70000000007"/>
        <n v="435155.0900000001"/>
        <n v="73194.84000000003"/>
        <n v="11408.940000000002"/>
      </sharedItems>
    </cacheField>
    <cacheField name="item_type" numFmtId="0">
      <sharedItems>
        <s v="Clothes"/>
        <s v="Meat"/>
        <s v="Beverages"/>
        <s v="Snacks"/>
        <s v="Baby Food"/>
        <s v="Personal Care"/>
        <s v="Vegetables"/>
        <s v="Cosmetics"/>
        <s v="Office Supplies"/>
        <s v="Household"/>
        <s v="Fruits"/>
        <s v="Cereal"/>
      </sharedItems>
    </cacheField>
    <cacheField name="region" numFmtId="0">
      <sharedItems>
        <s v="Europe"/>
        <s v="Asia"/>
        <s v="Desconhecido"/>
      </sharedItems>
    </cacheField>
    <cacheField name="sub-region" numFmtId="0">
      <sharedItems>
        <s v="Southern Europe"/>
        <s v="Western Asia"/>
        <s v="Northern Europe"/>
        <s v="Eastern Europe"/>
        <s v="Desconhecido"/>
        <s v="Western Europe"/>
      </sharedItems>
    </cacheField>
    <cacheField name="% margem" numFmtId="10">
      <sharedItems containsSemiMixedTypes="0" containsString="0" containsNumber="1">
        <n v="0.67203513909224"/>
        <n v="0.13558036455000125"/>
        <n v="0.13558036455000122"/>
        <n v="0.3300316122233931"/>
        <n v="0.33003161222339317"/>
        <n v="0.36138419189933163"/>
        <n v="0.3755092447508619"/>
        <n v="0.30661935641747223"/>
        <n v="0.3066193564174722"/>
        <n v="0.40977541217707375"/>
        <n v="0.3976898444647758"/>
        <n v="0.19386987300563563"/>
        <n v="0.37550924475086184"/>
        <n v="0.19386987300563566"/>
        <n v="0.39768984446477584"/>
        <n v="0.24799856345489094"/>
        <n v="0.40977541217707386"/>
        <n v="0.30661935641747207"/>
        <n v="0.2479985634548909"/>
        <n v="0.3613841918993315"/>
        <n v="0.3066193564174721"/>
        <n v="0.3976898444647759"/>
        <n v="0.33003161222339306"/>
        <n v="0.36138419189933146"/>
        <n v="0.2583065380493034"/>
        <n v="0.3613841918993316"/>
        <n v="0.3755092447508618"/>
        <n v="0.4306757413709285"/>
        <n v="0.24799856345489102"/>
        <n v="0.13558036455000116"/>
        <n v="0.25830653804930337"/>
        <n v="0.4097754121770738"/>
        <n v="0.247998563454891"/>
        <n v="0.1355803645500011"/>
        <n v="0.13558036455000114"/>
        <n v="0.6720351390922401"/>
        <n v="0.4097754121770739"/>
        <n v="0.19386987300563574"/>
        <n v="0.25830653804930326"/>
        <n v="0.13558036455000108"/>
        <n v="0.43067574137092846"/>
        <n v="0.1355803645500012"/>
        <n v="0.2583065380493033"/>
        <n v="0.24799856345489085"/>
        <n v="0.19386987300563557"/>
      </sharedItems>
    </cacheField>
    <cacheField name="lead_time" numFmtId="0">
      <sharedItems containsSemiMixedTypes="0" containsString="0" containsNumber="1" containsInteger="1">
        <n v="31.0"/>
        <n v="18.0"/>
        <n v="23.0"/>
        <n v="4.0"/>
        <n v="27.0"/>
        <n v="32.0"/>
        <n v="13.0"/>
        <n v="46.0"/>
        <n v="11.0"/>
        <n v="43.0"/>
        <n v="36.0"/>
        <n v="14.0"/>
        <n v="50.0"/>
        <n v="7.0"/>
        <n v="41.0"/>
        <n v="28.0"/>
        <n v="0.0"/>
        <n v="47.0"/>
        <n v="22.0"/>
        <n v="26.0"/>
        <n v="9.0"/>
        <n v="6.0"/>
        <n v="24.0"/>
        <n v="44.0"/>
        <n v="40.0"/>
        <n v="2.0"/>
        <n v="5.0"/>
        <n v="20.0"/>
        <n v="8.0"/>
        <n v="19.0"/>
        <n v="16.0"/>
        <n v="38.0"/>
        <n v="15.0"/>
        <n v="45.0"/>
        <n v="12.0"/>
        <n v="10.0"/>
        <n v="48.0"/>
        <n v="25.0"/>
        <n v="39.0"/>
        <n v="29.0"/>
        <n v="42.0"/>
        <n v="34.0"/>
        <n v="3.0"/>
        <n v="17.0"/>
      </sharedItems>
    </cacheField>
    <cacheField name="dia da semana compra" numFmtId="0">
      <sharedItems containsSemiMixedTypes="0" containsString="0" containsNumber="1" containsInteger="1">
        <n v="7.0"/>
        <n v="4.0"/>
        <n v="6.0"/>
        <n v="5.0"/>
        <n v="3.0"/>
        <n v="2.0"/>
        <n v="1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1331" sheet="vendas_dia_semana"/>
  </cacheSource>
  <cacheFields>
    <cacheField name="order date formatada" numFmtId="166">
      <sharedItems containsSemiMixedTypes="0" containsDate="1" containsString="0">
        <d v="2014-10-08T00:00:00Z"/>
        <d v="2016-08-11T00:00:00Z"/>
        <d v="2014-07-18T00:00:00Z"/>
        <d v="2017-05-13T00:00:00Z"/>
        <d v="2012-08-11T00:00:00Z"/>
        <d v="2015-03-15T00:00:00Z"/>
        <d v="2013-04-20T00:00:00Z"/>
        <d v="2011-11-12T00:00:00Z"/>
        <d v="2012-09-19T00:00:00Z"/>
        <d v="2011-01-23T00:00:00Z"/>
        <d v="2012-02-19T00:00:00Z"/>
        <d v="2017-02-22T00:00:00Z"/>
        <d v="2013-03-27T00:00:00Z"/>
        <d v="2014-01-01T00:00:00Z"/>
        <d v="2016-06-02T00:00:00Z"/>
        <d v="2013-10-28T00:00:00Z"/>
        <d v="2015-02-19T00:00:00Z"/>
        <d v="2012-03-12T00:00:00Z"/>
        <d v="2012-05-26T00:00:00Z"/>
        <d v="2017-06-09T00:00:00Z"/>
        <d v="2011-04-28T00:00:00Z"/>
        <d v="2016-10-28T00:00:00Z"/>
        <d v="2016-12-15T00:00:00Z"/>
        <d v="2010-10-29T00:00:00Z"/>
        <d v="2010-02-03T00:00:00Z"/>
        <d v="2015-12-04T00:00:00Z"/>
        <d v="2015-01-24T00:00:00Z"/>
        <d v="2016-02-19T00:00:00Z"/>
        <d v="2014-08-02T00:00:00Z"/>
        <d v="2011-06-02T00:00:00Z"/>
        <d v="2015-01-14T00:00:00Z"/>
        <d v="2015-05-13T00:00:00Z"/>
        <d v="2011-03-23T00:00:00Z"/>
        <d v="2016-11-21T00:00:00Z"/>
        <d v="2017-04-08T00:00:00Z"/>
        <d v="2017-04-27T00:00:00Z"/>
        <d v="2016-01-10T00:00:00Z"/>
        <d v="2017-03-24T00:00:00Z"/>
        <d v="2014-01-02T00:00:00Z"/>
        <d v="2010-05-13T00:00:00Z"/>
        <d v="2012-07-24T00:00:00Z"/>
        <d v="2017-07-11T00:00:00Z"/>
        <d v="2012-05-18T00:00:00Z"/>
        <d v="2017-05-24T00:00:00Z"/>
        <d v="2011-12-07T00:00:00Z"/>
        <d v="2013-09-20T00:00:00Z"/>
        <d v="2010-09-09T00:00:00Z"/>
        <d v="2011-01-25T00:00:00Z"/>
        <d v="2011-02-13T00:00:00Z"/>
        <d v="2013-06-16T00:00:00Z"/>
        <d v="2012-06-08T00:00:00Z"/>
        <d v="2011-04-19T00:00:00Z"/>
        <d v="2014-03-21T00:00:00Z"/>
        <d v="2013-09-18T00:00:00Z"/>
        <d v="2013-10-27T00:00:00Z"/>
        <d v="2017-03-13T00:00:00Z"/>
        <d v="2017-07-09T00:00:00Z"/>
        <d v="2012-09-20T00:00:00Z"/>
        <d v="2016-01-27T00:00:00Z"/>
        <d v="2011-02-28T00:00:00Z"/>
        <d v="2012-04-02T00:00:00Z"/>
        <d v="2016-02-20T00:00:00Z"/>
        <d v="2013-07-13T00:00:00Z"/>
        <d v="2014-08-09T00:00:00Z"/>
        <d v="2010-07-09T00:00:00Z"/>
        <d v="2016-08-27T00:00:00Z"/>
        <d v="2014-07-01T00:00:00Z"/>
        <d v="2014-07-08T00:00:00Z"/>
        <d v="2011-03-29T00:00:00Z"/>
        <d v="2013-07-15T00:00:00Z"/>
        <d v="2012-07-18T00:00:00Z"/>
        <d v="2011-03-13T00:00:00Z"/>
        <d v="2014-02-08T00:00:00Z"/>
        <d v="2013-08-18T00:00:00Z"/>
        <d v="2012-05-21T00:00:00Z"/>
        <d v="2013-03-12T00:00:00Z"/>
        <d v="2011-01-06T00:00:00Z"/>
        <d v="2017-05-01T00:00:00Z"/>
        <d v="2011-11-27T00:00:00Z"/>
        <d v="2015-09-29T00:00:00Z"/>
        <d v="2013-09-19T00:00:00Z"/>
        <d v="2013-04-29T00:00:00Z"/>
        <d v="2015-05-19T00:00:00Z"/>
        <d v="2017-06-06T00:00:00Z"/>
        <d v="2013-01-04T00:00:00Z"/>
        <d v="2012-05-07T00:00:00Z"/>
        <d v="2010-05-02T00:00:00Z"/>
        <d v="2011-08-22T00:00:00Z"/>
        <d v="2014-01-28T00:00:00Z"/>
        <d v="2015-03-12T00:00:00Z"/>
        <d v="2016-06-26T00:00:00Z"/>
        <d v="2014-03-22T00:00:00Z"/>
        <d v="2014-06-08T00:00:00Z"/>
        <d v="2012-11-19T00:00:00Z"/>
        <d v="2015-09-27T00:00:00Z"/>
        <d v="2011-10-29T00:00:00Z"/>
        <d v="2010-03-01T00:00:00Z"/>
        <d v="2012-08-22T00:00:00Z"/>
        <d v="2012-11-09T00:00:00Z"/>
        <d v="2011-08-30T00:00:00Z"/>
        <d v="2016-03-22T00:00:00Z"/>
        <d v="2017-04-17T00:00:00Z"/>
        <d v="2015-03-22T00:00:00Z"/>
        <d v="2011-10-10T00:00:00Z"/>
        <d v="2012-02-20T00:00:00Z"/>
        <d v="2014-08-03T00:00:00Z"/>
        <d v="2013-07-14T00:00:00Z"/>
        <d v="2010-10-22T00:00:00Z"/>
        <d v="2012-10-22T00:00:00Z"/>
        <d v="2015-06-08T00:00:00Z"/>
        <d v="2016-04-30T00:00:00Z"/>
        <d v="2017-06-24T00:00:00Z"/>
        <d v="2016-07-26T00:00:00Z"/>
        <d v="2014-06-09T00:00:00Z"/>
        <d v="2013-09-08T00:00:00Z"/>
        <d v="2012-09-08T00:00:00Z"/>
        <d v="2015-09-20T00:00:00Z"/>
        <d v="2012-05-05T00:00:00Z"/>
        <d v="2011-01-05T00:00:00Z"/>
        <d v="2017-05-03T00:00:00Z"/>
        <d v="2016-01-12T00:00:00Z"/>
        <d v="2010-05-31T00:00:00Z"/>
        <d v="2012-12-24T00:00:00Z"/>
        <d v="2014-10-27T00:00:00Z"/>
        <d v="2015-04-04T00:00:00Z"/>
        <d v="2016-11-27T00:00:00Z"/>
        <d v="2015-08-21T00:00:00Z"/>
        <d v="2012-01-06T00:00:00Z"/>
        <d v="2011-04-20T00:00:00Z"/>
        <d v="2015-08-25T00:00:00Z"/>
        <d v="2015-11-01T00:00:00Z"/>
        <d v="2017-04-16T00:00:00Z"/>
        <d v="2011-05-04T00:00:00Z"/>
        <d v="2014-05-16T00:00:00Z"/>
        <d v="2012-05-11T00:00:00Z"/>
        <d v="2012-07-28T00:00:00Z"/>
        <d v="2013-02-22T00:00:00Z"/>
        <d v="2017-06-20T00:00:00Z"/>
        <d v="2017-03-11T00:00:00Z"/>
        <d v="2012-11-01T00:00:00Z"/>
        <d v="2016-07-27T00:00:00Z"/>
        <d v="2017-07-10T00:00:00Z"/>
        <d v="2014-10-16T00:00:00Z"/>
        <d v="2011-05-17T00:00:00Z"/>
        <d v="2012-01-23T00:00:00Z"/>
        <d v="2014-07-25T00:00:00Z"/>
        <d v="2013-07-18T00:00:00Z"/>
        <d v="2013-09-26T00:00:00Z"/>
        <d v="2011-11-26T00:00:00Z"/>
        <d v="2014-04-01T00:00:00Z"/>
        <d v="2012-01-17T00:00:00Z"/>
        <d v="2014-02-09T00:00:00Z"/>
        <d v="2013-01-09T00:00:00Z"/>
        <d v="2012-01-29T00:00:00Z"/>
        <d v="2015-06-24T00:00:00Z"/>
        <d v="2010-06-15T00:00:00Z"/>
        <d v="2011-08-20T00:00:00Z"/>
        <d v="2015-08-07T00:00:00Z"/>
        <d v="2012-02-12T00:00:00Z"/>
        <d v="2015-08-29T00:00:00Z"/>
        <d v="2015-11-27T00:00:00Z"/>
        <d v="2014-03-18T00:00:00Z"/>
        <d v="2014-08-24T00:00:00Z"/>
        <d v="2011-08-23T00:00:00Z"/>
        <d v="2015-04-30T00:00:00Z"/>
        <d v="2015-02-26T00:00:00Z"/>
        <d v="2015-11-29T00:00:00Z"/>
        <d v="2012-03-20T00:00:00Z"/>
        <d v="2012-12-21T00:00:00Z"/>
        <d v="2017-06-07T00:00:00Z"/>
        <d v="2015-12-19T00:00:00Z"/>
        <d v="2014-05-20T00:00:00Z"/>
        <d v="2011-05-06T00:00:00Z"/>
        <d v="2014-06-18T00:00:00Z"/>
        <d v="2013-10-14T00:00:00Z"/>
        <d v="2011-07-28T00:00:00Z"/>
        <d v="2010-03-16T00:00:00Z"/>
        <d v="2010-05-30T00:00:00Z"/>
        <d v="2014-06-23T00:00:00Z"/>
        <d v="2012-11-30T00:00:00Z"/>
        <d v="2010-06-14T00:00:00Z"/>
        <d v="2011-11-28T00:00:00Z"/>
        <d v="2012-07-15T00:00:00Z"/>
        <d v="2015-08-28T00:00:00Z"/>
        <d v="2015-05-09T00:00:00Z"/>
        <d v="2010-01-03T00:00:00Z"/>
        <d v="2014-10-17T00:00:00Z"/>
        <d v="2017-07-07T00:00:00Z"/>
        <d v="2016-01-05T00:00:00Z"/>
        <d v="2014-09-28T00:00:00Z"/>
        <d v="2017-07-20T00:00:00Z"/>
        <d v="2014-03-09T00:00:00Z"/>
        <d v="2013-12-19T00:00:00Z"/>
        <d v="2012-12-22T00:00:00Z"/>
        <d v="2016-07-17T00:00:00Z"/>
        <d v="2017-03-04T00:00:00Z"/>
        <d v="2012-01-18T00:00:00Z"/>
        <d v="2011-12-06T00:00:00Z"/>
        <d v="2011-05-05T00:00:00Z"/>
        <d v="2014-06-14T00:00:00Z"/>
        <d v="2013-06-17T00:00:00Z"/>
        <d v="2016-08-06T00:00:00Z"/>
        <d v="2010-06-06T00:00:00Z"/>
        <d v="2016-02-26T00:00:00Z"/>
        <d v="2017-05-23T00:00:00Z"/>
        <d v="2016-12-21T00:00:00Z"/>
        <d v="2015-11-28T00:00:00Z"/>
        <d v="2010-06-05T00:00:00Z"/>
        <d v="2012-03-05T00:00:00Z"/>
        <d v="2015-07-13T00:00:00Z"/>
        <d v="2014-03-17T00:00:00Z"/>
        <d v="2012-06-29T00:00:00Z"/>
        <d v="2016-11-13T00:00:00Z"/>
        <d v="2013-01-30T00:00:00Z"/>
        <d v="2015-06-02T00:00:00Z"/>
        <d v="2010-09-03T00:00:00Z"/>
        <d v="2015-03-01T00:00:00Z"/>
        <d v="2016-05-31T00:00:00Z"/>
        <d v="2010-12-16T00:00:00Z"/>
        <d v="2012-10-01T00:00:00Z"/>
        <d v="2014-07-02T00:00:00Z"/>
        <d v="2013-05-22T00:00:00Z"/>
        <d v="2017-05-09T00:00:00Z"/>
        <d v="2015-11-05T00:00:00Z"/>
        <d v="2012-10-02T00:00:00Z"/>
        <d v="2015-06-22T00:00:00Z"/>
        <d v="2012-12-06T00:00:00Z"/>
        <d v="2011-08-06T00:00:00Z"/>
        <d v="2012-03-23T00:00:00Z"/>
        <d v="2012-06-10T00:00:00Z"/>
        <d v="2011-02-03T00:00:00Z"/>
        <d v="2016-09-05T00:00:00Z"/>
        <d v="2014-09-30T00:00:00Z"/>
        <d v="2016-01-24T00:00:00Z"/>
        <d v="2013-09-01T00:00:00Z"/>
        <d v="2014-08-18T00:00:00Z"/>
        <d v="2015-01-12T00:00:00Z"/>
        <d v="2013-09-23T00:00:00Z"/>
        <d v="2014-05-22T00:00:00Z"/>
        <d v="2010-02-25T00:00:00Z"/>
        <d v="2014-12-11T00:00:00Z"/>
        <d v="2010-06-26T00:00:00Z"/>
        <d v="2011-03-04T00:00:00Z"/>
        <d v="2010-07-20T00:00:00Z"/>
        <d v="2011-09-14T00:00:00Z"/>
        <d v="2017-04-13T00:00:00Z"/>
        <d v="2012-05-28T00:00:00Z"/>
        <d v="2015-03-21T00:00:00Z"/>
        <d v="2011-08-21T00:00:00Z"/>
        <d v="2010-10-25T00:00:00Z"/>
        <d v="2014-01-10T00:00:00Z"/>
        <d v="2010-01-01T00:00:00Z"/>
        <d v="2011-07-16T00:00:00Z"/>
        <d v="2011-10-23T00:00:00Z"/>
        <d v="2012-09-16T00:00:00Z"/>
        <d v="2015-01-20T00:00:00Z"/>
        <d v="2014-03-29T00:00:00Z"/>
        <d v="2016-07-20T00:00:00Z"/>
        <d v="2016-12-07T00:00:00Z"/>
        <d v="2013-06-29T00:00:00Z"/>
        <d v="2016-10-27T00:00:00Z"/>
        <d v="2014-08-31T00:00:00Z"/>
        <d v="2012-12-03T00:00:00Z"/>
        <d v="2015-01-15T00:00:00Z"/>
        <d v="2015-11-30T00:00:00Z"/>
        <d v="2016-02-21T00:00:00Z"/>
        <d v="2012-04-10T00:00:00Z"/>
        <d v="2017-02-13T00:00:00Z"/>
        <d v="2013-01-05T00:00:00Z"/>
        <d v="2013-10-23T00:00:00Z"/>
        <d v="2017-02-01T00:00:00Z"/>
        <d v="2012-05-24T00:00:00Z"/>
        <d v="2010-05-27T00:00:00Z"/>
        <d v="2016-05-28T00:00:00Z"/>
        <d v="2015-01-18T00:00:00Z"/>
        <d v="2015-04-27T00:00:00Z"/>
        <d v="2010-09-20T00:00:00Z"/>
        <d v="2014-01-16T00:00:00Z"/>
        <d v="2011-12-12T00:00:00Z"/>
        <d v="2016-07-25T00:00:00Z"/>
        <d v="2012-12-23T00:00:00Z"/>
        <d v="2011-08-13T00:00:00Z"/>
        <d v="2011-04-14T00:00:00Z"/>
        <d v="2012-11-14T00:00:00Z"/>
        <d v="2013-09-29T00:00:00Z"/>
        <d v="2013-07-29T00:00:00Z"/>
        <d v="2010-12-14T00:00:00Z"/>
        <d v="2012-04-23T00:00:00Z"/>
        <d v="2015-07-24T00:00:00Z"/>
        <d v="2017-02-26T00:00:00Z"/>
        <d v="2011-02-25T00:00:00Z"/>
        <d v="2014-05-05T00:00:00Z"/>
        <d v="2012-12-14T00:00:00Z"/>
        <d v="2016-04-11T00:00:00Z"/>
        <d v="2015-01-22T00:00:00Z"/>
        <d v="2010-08-15T00:00:00Z"/>
        <d v="2017-01-04T00:00:00Z"/>
        <d v="2013-10-19T00:00:00Z"/>
        <d v="2016-05-29T00:00:00Z"/>
        <d v="2010-12-05T00:00:00Z"/>
        <d v="2012-06-15T00:00:00Z"/>
        <d v="2013-10-10T00:00:00Z"/>
        <d v="2017-04-30T00:00:00Z"/>
        <d v="2015-10-07T00:00:00Z"/>
        <d v="2015-03-11T00:00:00Z"/>
        <d v="2011-04-27T00:00:00Z"/>
        <d v="2015-05-20T00:00:00Z"/>
        <d v="2015-12-24T00:00:00Z"/>
        <d v="2013-11-01T00:00:00Z"/>
        <d v="2013-04-21T00:00:00Z"/>
        <d v="2012-06-30T00:00:00Z"/>
        <d v="2016-12-14T00:00:00Z"/>
        <d v="2011-01-18T00:00:00Z"/>
        <d v="2012-01-30T00:00:00Z"/>
        <d v="2013-11-06T00:00:00Z"/>
        <d v="2010-10-06T00:00:00Z"/>
        <d v="2017-06-11T00:00:00Z"/>
        <d v="2010-04-18T00:00:00Z"/>
        <d v="2010-01-16T00:00:00Z"/>
        <d v="2011-12-09T00:00:00Z"/>
        <d v="2011-09-17T00:00:00Z"/>
        <d v="2015-05-26T00:00:00Z"/>
        <d v="2010-06-20T00:00:00Z"/>
        <d v="2017-01-22T00:00:00Z"/>
        <d v="2013-03-07T00:00:00Z"/>
        <d v="2014-02-19T00:00:00Z"/>
        <d v="2010-10-09T00:00:00Z"/>
        <d v="2011-03-18T00:00:00Z"/>
        <d v="2014-09-10T00:00:00Z"/>
        <d v="2010-05-03T00:00:00Z"/>
        <d v="2016-09-16T00:00:00Z"/>
        <d v="2012-03-25T00:00:00Z"/>
        <d v="2010-12-26T00:00:00Z"/>
        <d v="2016-03-29T00:00:00Z"/>
        <d v="2017-02-19T00:00:00Z"/>
        <d v="2013-06-08T00:00:00Z"/>
        <d v="2012-08-19T00:00:00Z"/>
        <d v="2014-05-15T00:00:00Z"/>
        <d v="2010-12-04T00:00:00Z"/>
        <d v="2014-10-02T00:00:00Z"/>
        <d v="2016-04-17T00:00:00Z"/>
        <d v="2012-10-14T00:00:00Z"/>
        <d v="2012-11-21T00:00:00Z"/>
        <d v="2015-01-31T00:00:00Z"/>
        <d v="2010-01-12T00:00:00Z"/>
        <d v="2015-05-22T00:00:00Z"/>
        <d v="2014-07-14T00:00:00Z"/>
        <d v="2016-01-16T00:00:00Z"/>
        <d v="2013-02-24T00:00:00Z"/>
        <d v="2016-12-20T00:00:00Z"/>
        <d v="2015-08-15T00:00:00Z"/>
        <d v="2014-01-26T00:00:00Z"/>
        <d v="2011-07-22T00:00:00Z"/>
        <d v="2017-01-06T00:00:00Z"/>
        <d v="2016-06-27T00:00:00Z"/>
        <d v="2014-11-29T00:00:00Z"/>
        <d v="2012-02-15T00:00:00Z"/>
        <d v="2012-09-13T00:00:00Z"/>
        <d v="2011-06-16T00:00:00Z"/>
        <d v="2013-09-11T00:00:00Z"/>
        <d v="2015-12-27T00:00:00Z"/>
        <d v="2014-09-14T00:00:00Z"/>
        <d v="2011-11-09T00:00:00Z"/>
        <d v="2012-08-16T00:00:00Z"/>
        <d v="2016-06-28T00:00:00Z"/>
        <d v="2012-11-16T00:00:00Z"/>
        <d v="2012-11-25T00:00:00Z"/>
        <d v="2010-11-07T00:00:00Z"/>
        <d v="2017-07-14T00:00:00Z"/>
        <d v="2014-04-24T00:00:00Z"/>
        <d v="2011-12-21T00:00:00Z"/>
        <d v="2015-01-30T00:00:00Z"/>
        <d v="2012-03-04T00:00:00Z"/>
        <d v="2014-10-06T00:00:00Z"/>
        <d v="2013-02-16T00:00:00Z"/>
        <d v="2016-07-22T00:00:00Z"/>
        <d v="2010-03-20T00:00:00Z"/>
        <d v="2016-09-25T00:00:00Z"/>
        <d v="2015-02-18T00:00:00Z"/>
        <d v="2015-11-06T00:00:00Z"/>
        <d v="2012-02-26T00:00:00Z"/>
        <d v="2013-03-31T00:00:00Z"/>
        <d v="2014-04-05T00:00:00Z"/>
        <d v="2013-12-23T00:00:00Z"/>
        <d v="2012-03-31T00:00:00Z"/>
        <d v="2017-01-03T00:00:00Z"/>
        <d v="2012-01-19T00:00:00Z"/>
        <d v="2016-11-30T00:00:00Z"/>
        <d v="2016-03-12T00:00:00Z"/>
        <d v="2015-01-04T00:00:00Z"/>
        <d v="2011-06-25T00:00:00Z"/>
        <d v="2011-07-05T00:00:00Z"/>
        <d v="2010-05-08T00:00:00Z"/>
        <d v="2017-03-12T00:00:00Z"/>
        <d v="2012-08-14T00:00:00Z"/>
        <d v="2011-12-26T00:00:00Z"/>
        <d v="2016-07-30T00:00:00Z"/>
        <d v="2016-01-31T00:00:00Z"/>
        <d v="2010-10-12T00:00:00Z"/>
        <d v="2016-01-21T00:00:00Z"/>
        <d v="2014-03-08T00:00:00Z"/>
        <d v="2010-02-07T00:00:00Z"/>
        <d v="2013-03-29T00:00:00Z"/>
        <d v="2014-10-29T00:00:00Z"/>
        <d v="2012-06-25T00:00:00Z"/>
        <d v="2010-02-19T00:00:00Z"/>
        <d v="2014-05-17T00:00:00Z"/>
        <d v="2015-06-01T00:00:00Z"/>
        <d v="2013-07-11T00:00:00Z"/>
        <d v="2010-06-28T00:00:00Z"/>
        <d v="2011-03-21T00:00:00Z"/>
        <d v="2016-10-15T00:00:00Z"/>
        <d v="2015-08-03T00:00:00Z"/>
        <d v="2014-12-09T00:00:00Z"/>
        <d v="2016-04-03T00:00:00Z"/>
        <d v="2014-08-07T00:00:00Z"/>
        <d v="2013-09-30T00:00:00Z"/>
        <d v="2013-03-30T00:00:00Z"/>
        <d v="2014-07-24T00:00:00Z"/>
        <d v="2012-02-06T00:00:00Z"/>
        <d v="2017-03-01T00:00:00Z"/>
        <d v="2013-01-24T00:00:00Z"/>
        <d v="2016-06-03T00:00:00Z"/>
        <d v="2012-12-31T00:00:00Z"/>
        <d v="2016-06-29T00:00:00Z"/>
        <d v="2015-05-10T00:00:00Z"/>
        <d v="2014-08-30T00:00:00Z"/>
        <d v="2012-01-10T00:00:00Z"/>
        <d v="2012-07-05T00:00:00Z"/>
        <d v="2016-09-20T00:00:00Z"/>
        <d v="2011-03-02T00:00:00Z"/>
        <d v="2013-12-07T00:00:00Z"/>
        <d v="2015-03-14T00:00:00Z"/>
        <d v="2016-05-15T00:00:00Z"/>
        <d v="2013-02-05T00:00:00Z"/>
        <d v="2011-12-20T00:00:00Z"/>
        <d v="2013-04-05T00:00:00Z"/>
        <d v="2010-08-19T00:00:00Z"/>
        <d v="2015-12-03T00:00:00Z"/>
        <d v="2013-11-04T00:00:00Z"/>
        <d v="2014-10-18T00:00:00Z"/>
        <d v="2013-06-05T00:00:00Z"/>
        <d v="2015-08-26T00:00:00Z"/>
        <d v="2016-08-01T00:00:00Z"/>
        <d v="2015-09-02T00:00:00Z"/>
        <d v="2011-06-05T00:00:00Z"/>
        <d v="2013-03-05T00:00:00Z"/>
        <d v="2010-09-27T00:00:00Z"/>
        <d v="2012-07-11T00:00:00Z"/>
        <d v="2010-09-25T00:00:00Z"/>
        <d v="2013-10-21T00:00:00Z"/>
        <d v="2011-11-29T00:00:00Z"/>
        <d v="2013-02-21T00:00:00Z"/>
        <d v="2011-06-13T00:00:00Z"/>
        <d v="2012-06-17T00:00:00Z"/>
        <d v="2017-02-11T00:00:00Z"/>
        <d v="2011-10-07T00:00:00Z"/>
        <d v="2015-03-17T00:00:00Z"/>
        <d v="2013-06-15T00:00:00Z"/>
        <d v="2015-03-20T00:00:00Z"/>
        <d v="2016-04-24T00:00:00Z"/>
        <d v="2013-04-03T00:00:00Z"/>
        <d v="2013-08-19T00:00:00Z"/>
        <d v="2014-01-04T00:00:00Z"/>
        <d v="2015-06-06T00:00:00Z"/>
        <d v="2011-11-06T00:00:00Z"/>
        <d v="2015-10-24T00:00:00Z"/>
        <d v="2014-08-22T00:00:00Z"/>
        <d v="2010-04-14T00:00:00Z"/>
        <d v="2016-07-03T00:00:00Z"/>
        <d v="2014-03-20T00:00:00Z"/>
        <d v="2011-12-24T00:00:00Z"/>
        <d v="2012-02-01T00:00:00Z"/>
        <d v="2014-07-19T00:00:00Z"/>
        <d v="2012-12-01T00:00:00Z"/>
        <d v="2013-11-15T00:00:00Z"/>
        <d v="2012-03-01T00:00:00Z"/>
        <d v="2017-01-28T00:00:00Z"/>
        <d v="2016-02-17T00:00:00Z"/>
        <d v="2016-02-15T00:00:00Z"/>
        <d v="2013-04-02T00:00:00Z"/>
        <d v="2014-01-07T00:00:00Z"/>
        <d v="2011-03-14T00:00:00Z"/>
        <d v="2010-08-01T00:00:00Z"/>
        <d v="2011-08-16T00:00:00Z"/>
        <d v="2013-03-11T00:00:00Z"/>
        <d v="2013-07-30T00:00:00Z"/>
        <d v="2016-03-10T00:00:00Z"/>
        <d v="2015-09-18T00:00:00Z"/>
        <d v="2016-11-12T00:00:00Z"/>
        <d v="2010-08-31T00:00:00Z"/>
        <d v="2010-12-18T00:00:00Z"/>
        <d v="2013-07-20T00:00:00Z"/>
        <d v="2013-11-27T00:00:00Z"/>
        <d v="2011-01-13T00:00:00Z"/>
        <d v="2010-05-26T00:00:00Z"/>
        <d v="2015-03-09T00:00:00Z"/>
        <d v="2014-08-16T00:00:00Z"/>
        <d v="2012-12-09T00:00:00Z"/>
        <d v="2010-07-31T00:00:00Z"/>
        <d v="2011-05-14T00:00:00Z"/>
        <d v="2017-07-22T00:00:00Z"/>
        <d v="2012-10-05T00:00:00Z"/>
        <d v="2016-02-04T00:00:00Z"/>
        <d v="2010-01-20T00:00:00Z"/>
        <d v="2015-05-14T00:00:00Z"/>
        <d v="2011-09-12T00:00:00Z"/>
        <d v="2010-01-11T00:00:00Z"/>
        <d v="2017-03-23T00:00:00Z"/>
        <d v="2010-01-23T00:00:00Z"/>
        <d v="2015-11-04T00:00:00Z"/>
        <d v="2014-09-07T00:00:00Z"/>
        <d v="2012-08-23T00:00:00Z"/>
        <d v="2017-07-18T00:00:00Z"/>
        <d v="2010-04-09T00:00:00Z"/>
        <d v="2016-11-11T00:00:00Z"/>
        <d v="2014-09-03T00:00:00Z"/>
        <d v="2016-10-05T00:00:00Z"/>
        <d v="2015-10-31T00:00:00Z"/>
        <d v="2011-03-03T00:00:00Z"/>
        <d v="2014-05-09T00:00:00Z"/>
        <d v="2010-05-01T00:00:00Z"/>
        <d v="2014-11-07T00:00:00Z"/>
        <d v="2013-03-20T00:00:00Z"/>
        <d v="2015-09-15T00:00:00Z"/>
        <d v="2012-06-05T00:00:00Z"/>
        <d v="2012-10-28T00:00:00Z"/>
        <d v="2015-04-08T00:00:00Z"/>
        <d v="2015-04-18T00:00:00Z"/>
        <d v="2014-06-10T00:00:00Z"/>
        <d v="2016-03-02T00:00:00Z"/>
        <d v="2013-10-29T00:00:00Z"/>
        <d v="2015-12-09T00:00:00Z"/>
        <d v="2011-07-13T00:00:00Z"/>
        <d v="2015-12-14T00:00:00Z"/>
        <d v="2011-10-03T00:00:00Z"/>
        <d v="2010-05-04T00:00:00Z"/>
        <d v="2015-07-22T00:00:00Z"/>
        <d v="2012-10-27T00:00:00Z"/>
        <d v="2014-03-11T00:00:00Z"/>
        <d v="2014-04-14T00:00:00Z"/>
        <d v="2011-09-22T00:00:00Z"/>
        <d v="2011-11-04T00:00:00Z"/>
        <d v="2010-09-07T00:00:00Z"/>
        <d v="2010-09-26T00:00:00Z"/>
        <d v="2015-05-15T00:00:00Z"/>
        <d v="2015-09-23T00:00:00Z"/>
        <d v="2012-05-22T00:00:00Z"/>
        <d v="2017-07-02T00:00:00Z"/>
        <d v="2011-02-01T00:00:00Z"/>
        <d v="2012-09-03T00:00:00Z"/>
        <d v="2010-02-11T00:00:00Z"/>
        <d v="2012-01-25T00:00:00Z"/>
        <d v="2015-06-14T00:00:00Z"/>
        <d v="2017-03-18T00:00:00Z"/>
        <d v="2016-10-22T00:00:00Z"/>
        <d v="2011-06-10T00:00:00Z"/>
        <d v="2010-03-02T00:00:00Z"/>
        <d v="2011-10-16T00:00:00Z"/>
        <d v="2010-02-16T00:00:00Z"/>
        <d v="2010-01-06T00:00:00Z"/>
        <d v="2015-11-16T00:00:00Z"/>
        <d v="2013-11-25T00:00:00Z"/>
        <d v="2013-02-06T00:00:00Z"/>
        <d v="2014-11-01T00:00:00Z"/>
        <d v="2014-12-25T00:00:00Z"/>
        <d v="2015-11-21T00:00:00Z"/>
        <d v="2012-09-09T00:00:00Z"/>
        <d v="2011-06-03T00:00:00Z"/>
        <d v="2011-11-19T00:00:00Z"/>
        <d v="2016-12-02T00:00:00Z"/>
        <d v="2012-06-14T00:00:00Z"/>
        <d v="2012-01-04T00:00:00Z"/>
        <d v="2013-06-19T00:00:00Z"/>
        <d v="2012-04-29T00:00:00Z"/>
        <d v="2010-12-21T00:00:00Z"/>
        <d v="2014-05-19T00:00:00Z"/>
        <d v="2010-09-29T00:00:00Z"/>
        <d v="2013-02-09T00:00:00Z"/>
        <d v="2012-08-07T00:00:00Z"/>
        <d v="2015-07-19T00:00:00Z"/>
        <d v="2010-05-10T00:00:00Z"/>
        <d v="2016-11-16T00:00:00Z"/>
        <d v="2015-01-21T00:00:00Z"/>
        <d v="2014-07-21T00:00:00Z"/>
        <d v="2010-07-24T00:00:00Z"/>
        <d v="2014-04-21T00:00:00Z"/>
        <d v="2017-05-31T00:00:00Z"/>
        <d v="2014-10-14T00:00:00Z"/>
        <d v="2012-03-10T00:00:00Z"/>
        <d v="2016-08-04T00:00:00Z"/>
        <d v="2013-04-30T00:00:00Z"/>
        <d v="2013-11-07T00:00:00Z"/>
        <d v="2010-11-25T00:00:00Z"/>
        <d v="2012-04-28T00:00:00Z"/>
        <d v="2011-06-09T00:00:00Z"/>
        <d v="2015-09-25T00:00:00Z"/>
        <d v="2016-09-19T00:00:00Z"/>
        <d v="2014-12-04T00:00:00Z"/>
        <d v="2014-10-31T00:00:00Z"/>
        <d v="2017-04-03T00:00:00Z"/>
        <d v="2015-05-30T00:00:00Z"/>
        <d v="2016-07-16T00:00:00Z"/>
        <d v="2011-07-08T00:00:00Z"/>
        <d v="2016-08-16T00:00:00Z"/>
        <d v="2014-12-21T00:00:00Z"/>
        <d v="2012-07-22T00:00:00Z"/>
        <d v="2016-01-20T00:00:00Z"/>
        <d v="2011-12-05T00:00:00Z"/>
        <d v="2012-09-30T00:00:00Z"/>
        <d v="2011-04-05T00:00:00Z"/>
        <d v="2013-02-25T00:00:00Z"/>
        <d v="2016-01-22T00:00:00Z"/>
        <d v="2015-07-03T00:00:00Z"/>
        <d v="2010-11-11T00:00:00Z"/>
        <d v="2017-04-21T00:00:00Z"/>
        <d v="2012-03-16T00:00:00Z"/>
        <d v="2012-03-21T00:00:00Z"/>
        <d v="2011-10-21T00:00:00Z"/>
        <d v="2017-04-07T00:00:00Z"/>
        <d v="2015-10-18T00:00:00Z"/>
        <d v="2016-10-24T00:00:00Z"/>
        <d v="2010-12-20T00:00:00Z"/>
        <d v="2010-09-19T00:00:00Z"/>
        <d v="2014-08-25T00:00:00Z"/>
        <d v="2016-03-14T00:00:00Z"/>
        <d v="2012-12-05T00:00:00Z"/>
        <d v="2017-06-28T00:00:00Z"/>
        <d v="2011-02-04T00:00:00Z"/>
        <d v="2015-04-03T00:00:00Z"/>
        <d v="2012-11-08T00:00:00Z"/>
        <d v="2011-03-15T00:00:00Z"/>
        <d v="2016-09-30T00:00:00Z"/>
        <d v="2012-04-22T00:00:00Z"/>
        <d v="2015-07-09T00:00:00Z"/>
        <d v="2013-03-24T00:00:00Z"/>
        <d v="2010-12-08T00:00:00Z"/>
        <d v="2016-09-28T00:00:00Z"/>
        <d v="2016-05-06T00:00:00Z"/>
        <d v="2011-09-10T00:00:00Z"/>
        <d v="2015-02-16T00:00:00Z"/>
        <d v="2011-04-18T00:00:00Z"/>
        <d v="2016-05-25T00:00:00Z"/>
        <d v="2011-01-31T00:00:00Z"/>
        <d v="2014-03-31T00:00:00Z"/>
        <d v="2010-05-22T00:00:00Z"/>
        <d v="2016-01-11T00:00:00Z"/>
        <d v="2010-10-07T00:00:00Z"/>
        <d v="2010-02-20T00:00:00Z"/>
        <d v="2012-04-13T00:00:00Z"/>
        <d v="2013-03-15T00:00:00Z"/>
        <d v="2015-05-05T00:00:00Z"/>
        <d v="2011-02-15T00:00:00Z"/>
        <d v="2011-04-26T00:00:00Z"/>
        <d v="2011-09-11T00:00:00Z"/>
        <d v="2016-06-09T00:00:00Z"/>
        <d v="2014-05-08T00:00:00Z"/>
        <d v="2012-11-05T00:00:00Z"/>
        <d v="2012-05-17T00:00:00Z"/>
        <d v="2016-11-14T00:00:00Z"/>
        <d v="2017-04-22T00:00:00Z"/>
        <d v="2014-05-10T00:00:00Z"/>
        <d v="2012-10-24T00:00:00Z"/>
        <d v="2012-08-12T00:00:00Z"/>
        <d v="2012-09-06T00:00:00Z"/>
        <d v="2014-11-03T00:00:00Z"/>
        <d v="2012-02-13T00:00:00Z"/>
        <d v="2015-07-12T00:00:00Z"/>
        <d v="2010-03-04T00:00:00Z"/>
        <d v="2014-04-09T00:00:00Z"/>
        <d v="2012-09-11T00:00:00Z"/>
        <d v="2015-04-24T00:00:00Z"/>
        <d v="2015-03-16T00:00:00Z"/>
        <d v="2014-02-12T00:00:00Z"/>
        <d v="2014-11-06T00:00:00Z"/>
        <d v="2010-09-12T00:00:00Z"/>
        <d v="2016-08-03T00:00:00Z"/>
        <d v="2014-01-27T00:00:00Z"/>
        <d v="2013-11-10T00:00:00Z"/>
        <d v="2011-01-21T00:00:00Z"/>
        <d v="2016-01-25T00:00:00Z"/>
        <d v="2011-09-02T00:00:00Z"/>
        <d v="2016-08-12T00:00:00Z"/>
        <d v="2016-05-23T00:00:00Z"/>
        <d v="2015-08-11T00:00:00Z"/>
        <d v="2017-01-14T00:00:00Z"/>
        <d v="2011-05-07T00:00:00Z"/>
        <d v="2015-09-09T00:00:00Z"/>
        <d v="2017-06-30T00:00:00Z"/>
        <d v="2011-01-02T00:00:00Z"/>
        <d v="2016-04-15T00:00:00Z"/>
        <d v="2013-05-24T00:00:00Z"/>
        <d v="2016-04-26T00:00:00Z"/>
        <d v="2015-12-25T00:00:00Z"/>
        <d v="2011-09-08T00:00:00Z"/>
        <d v="2010-07-19T00:00:00Z"/>
        <d v="2014-02-21T00:00:00Z"/>
        <d v="2013-03-03T00:00:00Z"/>
        <d v="2012-03-15T00:00:00Z"/>
        <d v="2014-09-25T00:00:00Z"/>
        <d v="2012-08-21T00:00:00Z"/>
        <d v="2011-07-17T00:00:00Z"/>
        <d v="2014-04-15T00:00:00Z"/>
        <d v="2014-01-14T00:00:00Z"/>
        <d v="2014-02-02T00:00:00Z"/>
        <d v="2015-07-26T00:00:00Z"/>
        <d v="2012-10-09T00:00:00Z"/>
        <d v="2012-09-17T00:00:00Z"/>
        <d v="2012-10-26T00:00:00Z"/>
        <d v="2013-07-24T00:00:00Z"/>
        <d v="2013-08-12T00:00:00Z"/>
        <d v="2011-03-30T00:00:00Z"/>
        <d v="2015-04-01T00:00:00Z"/>
        <d v="2015-10-19T00:00:00Z"/>
        <d v="2014-10-21T00:00:00Z"/>
        <d v="2015-11-02T00:00:00Z"/>
        <d v="2011-05-25T00:00:00Z"/>
        <d v="2015-10-27T00:00:00Z"/>
        <d v="2011-05-11T00:00:00Z"/>
        <d v="2012-04-26T00:00:00Z"/>
        <d v="2016-07-06T00:00:00Z"/>
        <d v="2016-09-12T00:00:00Z"/>
        <d v="2016-10-01T00:00:00Z"/>
        <d v="2013-06-20T00:00:00Z"/>
        <d v="2010-10-13T00:00:00Z"/>
        <d v="2011-04-07T00:00:00Z"/>
        <d v="2010-06-09T00:00:00Z"/>
        <d v="2016-02-29T00:00:00Z"/>
        <d v="2014-06-11T00:00:00Z"/>
        <d v="2012-10-12T00:00:00Z"/>
        <d v="2012-02-21T00:00:00Z"/>
        <d v="2010-12-02T00:00:00Z"/>
        <d v="2015-12-17T00:00:00Z"/>
        <d v="2017-02-09T00:00:00Z"/>
        <d v="2014-04-19T00:00:00Z"/>
        <d v="2016-03-23T00:00:00Z"/>
        <d v="2014-02-10T00:00:00Z"/>
        <d v="2014-05-28T00:00:00Z"/>
        <d v="2011-06-24T00:00:00Z"/>
        <d v="2015-05-31T00:00:00Z"/>
        <d v="2013-04-26T00:00:00Z"/>
        <d v="2015-07-28T00:00:00Z"/>
        <d v="2016-12-18T00:00:00Z"/>
        <d v="2016-03-11T00:00:00Z"/>
        <d v="2014-06-26T00:00:00Z"/>
        <d v="2011-11-21T00:00:00Z"/>
        <d v="2015-09-26T00:00:00Z"/>
        <d v="2014-07-28T00:00:00Z"/>
        <d v="2015-02-11T00:00:00Z"/>
        <d v="2012-10-18T00:00:00Z"/>
        <d v="2013-02-11T00:00:00Z"/>
        <d v="2014-06-24T00:00:00Z"/>
        <d v="2015-07-30T00:00:00Z"/>
        <d v="2012-10-04T00:00:00Z"/>
        <d v="2012-11-06T00:00:00Z"/>
        <d v="2010-10-31T00:00:00Z"/>
        <d v="2014-06-27T00:00:00Z"/>
        <d v="2012-12-15T00:00:00Z"/>
        <d v="2011-02-22T00:00:00Z"/>
        <d v="2012-06-03T00:00:00Z"/>
        <d v="2014-04-27T00:00:00Z"/>
        <d v="2017-06-21T00:00:00Z"/>
        <d v="2010-03-08T00:00:00Z"/>
        <d v="2013-05-26T00:00:00Z"/>
        <d v="2015-11-26T00:00:00Z"/>
        <d v="2013-08-24T00:00:00Z"/>
        <d v="2011-09-26T00:00:00Z"/>
        <d v="2016-04-29T00:00:00Z"/>
        <d v="2010-01-10T00:00:00Z"/>
        <d v="2010-06-23T00:00:00Z"/>
        <d v="2013-06-10T00:00:00Z"/>
        <d v="2016-11-04T00:00:00Z"/>
        <d v="2013-02-10T00:00:00Z"/>
        <d v="2016-12-27T00:00:00Z"/>
        <d v="2015-01-09T00:00:00Z"/>
        <d v="2016-12-23T00:00:00Z"/>
        <d v="2017-05-02T00:00:00Z"/>
        <d v="2015-06-23T00:00:00Z"/>
        <d v="2013-03-16T00:00:00Z"/>
        <d v="2010-08-23T00:00:00Z"/>
        <d v="2011-05-21T00:00:00Z"/>
        <d v="2010-03-19T00:00:00Z"/>
        <d v="2017-03-03T00:00:00Z"/>
        <d v="2012-06-13T00:00:00Z"/>
        <d v="2014-11-23T00:00:00Z"/>
        <d v="2011-12-08T00:00:00Z"/>
        <d v="2014-01-05T00:00:00Z"/>
        <d v="2010-05-16T00:00:00Z"/>
        <d v="2013-11-18T00:00:00Z"/>
        <d v="2017-07-17T00:00:00Z"/>
        <d v="2016-11-17T00:00:00Z"/>
        <d v="2016-01-30T00:00:00Z"/>
        <d v="2015-02-13T00:00:00Z"/>
        <d v="2016-12-31T00:00:00Z"/>
        <d v="2010-12-30T00:00:00Z"/>
        <d v="2016-09-18T00:00:00Z"/>
        <d v="2012-06-18T00:00:00Z"/>
        <d v="2017-01-12T00:00:00Z"/>
        <d v="2015-03-24T00:00:00Z"/>
        <d v="2016-11-15T00:00:00Z"/>
        <d v="2012-05-09T00:00:00Z"/>
        <d v="2014-01-08T00:00:00Z"/>
        <d v="2013-01-06T00:00:00Z"/>
        <d v="2012-01-07T00:00:00Z"/>
        <d v="2016-03-04T00:00:00Z"/>
        <d v="2011-02-02T00:00:00Z"/>
        <d v="2012-04-08T00:00:00Z"/>
        <d v="2015-03-07T00:00:00Z"/>
        <d v="2012-06-22T00:00:00Z"/>
        <d v="2012-10-30T00:00:00Z"/>
        <d v="2017-03-31T00:00:00Z"/>
        <d v="2012-04-06T00:00:00Z"/>
        <d v="2013-02-13T00:00:00Z"/>
        <d v="2014-01-21T00:00:00Z"/>
        <d v="2015-06-27T00:00:00Z"/>
        <d v="2013-07-19T00:00:00Z"/>
        <d v="2013-12-15T00:00:00Z"/>
        <d v="2011-06-27T00:00:00Z"/>
        <d v="2014-06-15T00:00:00Z"/>
        <d v="2010-07-12T00:00:00Z"/>
        <d v="2014-01-09T00:00:00Z"/>
        <d v="2012-08-20T00:00:00Z"/>
        <d v="2012-12-18T00:00:00Z"/>
        <d v="2014-11-10T00:00:00Z"/>
        <d v="2013-07-31T00:00:00Z"/>
        <d v="2012-10-19T00:00:00Z"/>
        <d v="2016-03-17T00:00:00Z"/>
        <d v="2010-07-28T00:00:00Z"/>
        <d v="2013-08-22T00:00:00Z"/>
        <d v="2014-05-27T00:00:00Z"/>
        <d v="2016-05-10T00:00:00Z"/>
        <d v="2010-08-14T00:00:00Z"/>
        <d v="2010-02-13T00:00:00Z"/>
        <d v="2014-03-14T00:00:00Z"/>
        <d v="2017-03-08T00:00:00Z"/>
        <d v="2016-09-27T00:00:00Z"/>
        <d v="2012-07-31T00:00:00Z"/>
        <d v="2011-10-09T00:00:00Z"/>
        <d v="2012-10-20T00:00:00Z"/>
        <d v="2014-12-12T00:00:00Z"/>
        <d v="2010-01-18T00:00:00Z"/>
        <d v="2013-03-14T00:00:00Z"/>
        <d v="2011-02-21T00:00:00Z"/>
        <d v="2012-08-01T00:00:00Z"/>
        <d v="2016-07-29T00:00:00Z"/>
        <d v="2012-03-02T00:00:00Z"/>
        <d v="2015-06-26T00:00:00Z"/>
        <d v="2011-02-26T00:00:00Z"/>
        <d v="2010-10-16T00:00:00Z"/>
        <d v="2014-07-06T00:00:00Z"/>
        <d v="2016-09-06T00:00:00Z"/>
        <d v="2014-06-19T00:00:00Z"/>
        <d v="2014-01-06T00:00:00Z"/>
        <d v="2014-07-26T00:00:00Z"/>
        <d v="2013-02-14T00:00:00Z"/>
        <d v="2012-01-02T00:00:00Z"/>
        <d v="2011-01-22T00:00:00Z"/>
        <d v="2014-11-24T00:00:00Z"/>
        <d v="2013-11-26T00:00:00Z"/>
        <d v="2013-06-27T00:00:00Z"/>
        <d v="2012-02-17T00:00:00Z"/>
        <d v="2013-09-10T00:00:00Z"/>
        <d v="2015-11-09T00:00:00Z"/>
        <d v="2017-04-25T00:00:00Z"/>
        <d v="2013-06-03T00:00:00Z"/>
        <d v="2015-02-12T00:00:00Z"/>
        <d v="2016-12-06T00:00:00Z"/>
        <d v="2011-05-23T00:00:00Z"/>
        <d v="2013-10-17T00:00:00Z"/>
        <d v="2014-11-22T00:00:00Z"/>
        <d v="2017-06-03T00:00:00Z"/>
        <d v="2015-11-25T00:00:00Z"/>
        <d v="2017-02-12T00:00:00Z"/>
        <d v="2016-11-29T00:00:00Z"/>
        <d v="2010-01-30T00:00:00Z"/>
        <d v="2010-08-28T00:00:00Z"/>
        <d v="2012-09-28T00:00:00Z"/>
        <d v="2015-05-06T00:00:00Z"/>
        <d v="2010-01-13T00:00:00Z"/>
        <d v="2016-03-28T00:00:00Z"/>
        <d v="2015-04-15T00:00:00Z"/>
        <d v="2012-09-29T00:00:00Z"/>
        <d v="2016-05-13T00:00:00Z"/>
        <d v="2011-01-28T00:00:00Z"/>
        <d v="2011-10-22T00:00:00Z"/>
        <d v="2010-01-26T00:00:00Z"/>
        <d v="2011-04-23T00:00:00Z"/>
        <d v="2011-11-05T00:00:00Z"/>
        <d v="2017-05-28T00:00:00Z"/>
        <d v="2011-07-20T00:00:00Z"/>
        <d v="2016-06-17T00:00:00Z"/>
        <d v="2011-07-24T00:00:00Z"/>
        <d v="2016-11-28T00:00:00Z"/>
        <d v="2017-05-06T00:00:00Z"/>
        <d v="2014-08-05T00:00:00Z"/>
        <d v="2012-08-29T00:00:00Z"/>
        <d v="2013-06-13T00:00:00Z"/>
        <d v="2016-05-09T00:00:00Z"/>
        <d v="2013-04-28T00:00:00Z"/>
        <d v="2016-08-14T00:00:00Z"/>
        <d v="2014-07-27T00:00:00Z"/>
        <d v="2010-08-27T00:00:00Z"/>
        <d v="2017-01-26T00:00:00Z"/>
        <d v="2012-04-21T00:00:00Z"/>
        <d v="2017-04-04T00:00:00Z"/>
        <d v="2010-02-10T00:00:00Z"/>
        <d v="2014-02-17T00:00:00Z"/>
        <d v="2014-12-23T00:00:00Z"/>
        <d v="2010-12-10T00:00:00Z"/>
        <d v="2010-10-20T00:00:00Z"/>
        <d v="2011-04-10T00:00:00Z"/>
        <d v="2015-07-27T00:00:00Z"/>
        <d v="2010-03-17T00:00:00Z"/>
        <d v="2012-07-08T00:00:00Z"/>
        <d v="2014-06-21T00:00:00Z"/>
        <d v="2011-12-30T00:00:00Z"/>
        <d v="2011-12-15T00:00:00Z"/>
        <d v="2014-11-25T00:00:00Z"/>
        <d v="2016-08-10T00:00:00Z"/>
        <d v="2014-08-11T00:00:00Z"/>
        <d v="2015-07-18T00:00:00Z"/>
        <d v="2013-05-14T00:00:00Z"/>
        <d v="2010-12-13T00:00:00Z"/>
        <d v="2011-07-29T00:00:00Z"/>
        <d v="2016-05-11T00:00:00Z"/>
        <d v="2013-12-27T00:00:00Z"/>
        <d v="2014-03-12T00:00:00Z"/>
        <d v="2012-05-02T00:00:00Z"/>
        <d v="2010-11-12T00:00:00Z"/>
        <d v="2016-12-12T00:00:00Z"/>
        <d v="2010-07-10T00:00:00Z"/>
        <d v="2011-07-12T00:00:00Z"/>
        <d v="2015-12-23T00:00:00Z"/>
        <d v="2017-03-19T00:00:00Z"/>
        <d v="2014-08-12T00:00:00Z"/>
        <d v="2014-04-30T00:00:00Z"/>
        <d v="2016-08-21T00:00:00Z"/>
        <d v="2013-12-08T00:00:00Z"/>
        <d v="2013-08-08T00:00:00Z"/>
        <d v="2011-01-27T00:00:00Z"/>
        <d v="2014-06-03T00:00:00Z"/>
        <d v="2014-08-10T00:00:00Z"/>
        <d v="2010-10-01T00:00:00Z"/>
        <d v="2013-11-05T00:00:00Z"/>
        <d v="2010-11-22T00:00:00Z"/>
        <d v="2011-09-18T00:00:00Z"/>
        <d v="2010-08-21T00:00:00Z"/>
        <d v="2010-06-19T00:00:00Z"/>
        <d v="2015-10-10T00:00:00Z"/>
        <d v="2017-02-21T00:00:00Z"/>
        <d v="2017-05-05T00:00:00Z"/>
        <d v="2010-04-10T00:00:00Z"/>
        <d v="2012-05-30T00:00:00Z"/>
        <d v="2011-04-13T00:00:00Z"/>
        <d v="2015-08-13T00:00:00Z"/>
        <d v="2013-05-08T00:00:00Z"/>
        <d v="2010-11-16T00:00:00Z"/>
        <d v="2014-04-13T00:00:00Z"/>
        <d v="2016-11-01T00:00:00Z"/>
        <d v="2015-10-13T00:00:00Z"/>
        <d v="2014-01-13T00:00:00Z"/>
        <d v="2014-04-22T00:00:00Z"/>
        <d v="2010-06-13T00:00:00Z"/>
        <d v="2012-04-05T00:00:00Z"/>
        <d v="2014-02-06T00:00:00Z"/>
        <d v="2017-07-03T00:00:00Z"/>
        <d v="2013-10-08T00:00:00Z"/>
        <d v="2013-11-02T00:00:00Z"/>
        <d v="2010-09-01T00:00:00Z"/>
        <d v="2013-10-31T00:00:00Z"/>
        <d v="2011-08-17T00:00:00Z"/>
        <d v="2012-09-12T00:00:00Z"/>
        <d v="2010-04-21T00:00:00Z"/>
        <d v="2013-03-10T00:00:00Z"/>
        <d v="2011-08-27T00:00:00Z"/>
        <d v="2013-08-05T00:00:00Z"/>
        <d v="2016-03-27T00:00:00Z"/>
        <d v="2017-03-17T00:00:00Z"/>
        <d v="2017-05-14T00:00:00Z"/>
        <d v="2011-04-09T00:00:00Z"/>
        <d v="2017-02-18T00:00:00Z"/>
        <d v="2015-07-05T00:00:00Z"/>
        <d v="2011-01-15T00:00:00Z"/>
        <d v="2011-02-17T00:00:00Z"/>
        <d v="2017-05-22T00:00:00Z"/>
        <d v="2013-06-25T00:00:00Z"/>
        <d v="2013-10-09T00:00:00Z"/>
        <d v="2012-04-19T00:00:00Z"/>
        <d v="2013-11-13T00:00:00Z"/>
        <d v="2015-12-02T00:00:00Z"/>
        <d v="2010-10-03T00:00:00Z"/>
        <d v="2016-02-25T00:00:00Z"/>
        <d v="2011-01-08T00:00:00Z"/>
        <d v="2016-06-01T00:00:00Z"/>
        <d v="2011-10-30T00:00:00Z"/>
        <d v="2010-03-14T00:00:00Z"/>
        <d v="2014-10-03T00:00:00Z"/>
        <d v="2011-02-09T00:00:00Z"/>
        <d v="2013-02-08T00:00:00Z"/>
        <d v="2014-12-19T00:00:00Z"/>
        <d v="2014-01-30T00:00:00Z"/>
        <d v="2015-03-19T00:00:00Z"/>
        <d v="2016-07-12T00:00:00Z"/>
        <d v="2013-09-07T00:00:00Z"/>
        <d v="2010-12-03T00:00:00Z"/>
        <d v="2012-04-07T00:00:00Z"/>
        <d v="2017-07-05T00:00:00Z"/>
        <d v="2017-01-24T00:00:00Z"/>
        <d v="2017-06-16T00:00:00Z"/>
        <d v="2011-07-14T00:00:00Z"/>
        <d v="2014-05-23T00:00:00Z"/>
        <d v="2011-05-22T00:00:00Z"/>
        <d v="2016-08-18T00:00:00Z"/>
        <d v="2015-08-31T00:00:00Z"/>
        <d v="2011-03-09T00:00:00Z"/>
        <d v="2010-08-25T00:00:00Z"/>
        <d v="2014-07-31T00:00:00Z"/>
        <d v="2012-08-26T00:00:00Z"/>
        <d v="2013-11-12T00:00:00Z"/>
        <d v="2011-12-28T00:00:00Z"/>
        <d v="2010-10-26T00:00:00Z"/>
        <d v="2013-06-01T00:00:00Z"/>
        <d v="2015-08-22T00:00:00Z"/>
        <d v="2017-03-15T00:00:00Z"/>
        <d v="2016-06-05T00:00:00Z"/>
        <d v="2011-05-18T00:00:00Z"/>
        <d v="2017-07-23T00:00:00Z"/>
        <d v="2017-02-06T00:00:00Z"/>
        <d v="2013-12-14T00:00:00Z"/>
        <d v="2010-09-18T00:00:00Z"/>
        <d v="2013-09-06T00:00:00Z"/>
        <d v="2013-07-27T00:00:00Z"/>
        <d v="2012-01-27T00:00:00Z"/>
        <d v="2011-04-17T00:00:00Z"/>
        <d v="2011-10-01T00:00:00Z"/>
        <d v="2013-01-31T00:00:00Z"/>
        <d v="2012-04-12T00:00:00Z"/>
        <d v="2014-08-13T00:00:00Z"/>
        <d v="2010-07-16T00:00:00Z"/>
        <d v="2010-11-28T00:00:00Z"/>
        <d v="2012-06-11T00:00:00Z"/>
        <d v="2015-04-22T00:00:00Z"/>
        <d v="2013-11-30T00:00:00Z"/>
        <d v="2014-01-17T00:00:00Z"/>
        <d v="2011-03-08T00:00:00Z"/>
        <d v="2016-02-08T00:00:00Z"/>
        <d v="2015-06-07T00:00:00Z"/>
        <d v="2017-01-10T00:00:00Z"/>
        <d v="2014-12-05T00:00:00Z"/>
      </sharedItems>
    </cacheField>
    <cacheField name="dia da semana compra" numFmtId="0">
      <sharedItems>
        <s v="Qua"/>
        <s v="Qui"/>
        <s v="Sex"/>
        <s v="Sab"/>
        <s v="Dom"/>
        <s v="Seg"/>
        <s v="Ter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1331" sheet="analise_vendas_categorias"/>
  </cacheSource>
  <cacheFields>
    <cacheField name="item_type" numFmtId="0">
      <sharedItems>
        <s v="Cereal"/>
        <s v="Household"/>
        <s v="Clothes"/>
        <s v="Beverages"/>
        <s v="Office Supplies"/>
        <s v="Fruits"/>
        <s v="Vegetables"/>
        <s v="Baby Food"/>
        <s v="Meat"/>
        <s v="Cosmetics"/>
        <s v="Snacks"/>
        <s v="Personal Care"/>
      </sharedItems>
    </cacheField>
    <cacheField name="receita_total" numFmtId="164">
      <sharedItems containsSemiMixedTypes="0" containsString="0" containsNumber="1">
        <n v="133705.0"/>
        <n v="409960.1"/>
        <n v="3136191.11"/>
        <n v="127966.88"/>
        <n v="362897.60000000003"/>
        <n v="1445686.2000000002"/>
        <n v="62492.340000000004"/>
        <n v="680791.14"/>
        <n v="1339454.16"/>
        <n v="1504695.5"/>
        <n v="2536752.92"/>
        <n v="490236.18"/>
        <n v="68015.7"/>
        <n v="1806361.28"/>
        <n v="1045372.48"/>
        <n v="3513763.6599999997"/>
        <n v="2303902.0"/>
        <n v="536346.24"/>
        <n v="1244745.28"/>
        <n v="3840464.67"/>
        <n v="28129.95"/>
        <n v="124066.08"/>
        <n v="14326.62"/>
        <n v="1453690.0"/>
        <n v="59236.17"/>
        <n v="4803324.96"/>
        <n v="63565.29"/>
        <n v="502445.94000000006"/>
        <n v="608872.0"/>
        <n v="307143.54000000004"/>
        <n v="42417.87"/>
        <n v="308203.83"/>
        <n v="82719.78"/>
        <n v="75712.95"/>
        <n v="248732.90000000002"/>
        <n v="191745.45"/>
        <n v="76062.35"/>
        <n v="361521.55000000005"/>
        <n v="714018.16"/>
        <n v="1707721.4"/>
        <n v="243798.1"/>
        <n v="1472854.7400000002"/>
        <n v="503347.89999999997"/>
        <n v="1470923.36"/>
        <n v="998462.86"/>
        <n v="84193.92"/>
        <n v="2021307.04"/>
        <n v="2544631.04"/>
        <n v="2568829.88"/>
        <n v="338629.2"/>
        <n v="134710.55000000002"/>
        <n v="153243.75"/>
        <n v="1336.54"/>
        <n v="672317.84"/>
        <n v="1277674.02"/>
        <n v="650080.42"/>
        <n v="98484.65000000001"/>
        <n v="4016993.6"/>
        <n v="679830.14"/>
        <n v="1270378.76"/>
        <n v="695020.8"/>
        <n v="427714.30000000005"/>
        <n v="538454.8200000001"/>
        <n v="6512.1"/>
        <n v="981334.4"/>
        <n v="710450.0"/>
        <n v="459098.8"/>
        <n v="2016803.5999999999"/>
        <n v="483432.95"/>
        <n v="11742.88"/>
        <n v="470122.56"/>
        <n v="2048247.55"/>
        <n v="8285.04"/>
        <n v="1411386.24"/>
        <n v="5662251.71"/>
        <n v="1107900.2"/>
        <n v="389302.0"/>
        <n v="811407.66"/>
        <n v="1078265.94"/>
        <n v="2201739.1999999997"/>
        <n v="1800826.8"/>
        <n v="55352.850000000006"/>
        <n v="1570434.5"/>
        <n v="2582047.6500000004"/>
        <n v="2440013.1999999997"/>
        <n v="1447182.32"/>
        <n v="291525.99"/>
        <n v="929207.84"/>
        <n v="1302.42"/>
        <n v="32319.12"/>
        <n v="1097809.2"/>
        <n v="69844.38"/>
        <n v="1051273.6"/>
        <n v="1670041.76"/>
        <n v="601775.52"/>
        <n v="86703.69"/>
        <n v="3779712.51"/>
        <n v="5000641.59"/>
        <n v="713666.36"/>
        <n v="216851.19999999998"/>
        <n v="881328.21"/>
        <n v="291340.48"/>
        <n v="123275.1"/>
        <n v="1227963.84"/>
        <n v="2949330.0900000003"/>
        <n v="2921166.36"/>
        <n v="195501.92"/>
        <n v="5409601.470000001"/>
        <n v="5184934.0200000005"/>
        <n v="2052195.92"/>
        <n v="1530195.03"/>
        <n v="784715.4"/>
        <n v="60113.19"/>
        <n v="1067993.44"/>
        <n v="795441.8999999999"/>
        <n v="276978.8"/>
        <n v="2657301.6"/>
        <n v="6261689.899999999"/>
        <n v="1262998.0"/>
        <n v="548148.48"/>
        <n v="259462.35"/>
        <n v="1180833.09"/>
        <n v="620824.0"/>
        <n v="37960.0"/>
        <n v="1038364.4"/>
        <n v="5126325.12"/>
        <n v="503.82"/>
        <n v="2849043.75"/>
        <n v="451331.64"/>
        <n v="850791.2"/>
        <n v="470013.28"/>
        <n v="135553.68"/>
        <n v="1256975.54"/>
        <n v="5117611.66"/>
        <n v="391977.08"/>
        <n v="81478.89"/>
        <n v="602528.66"/>
        <n v="4768159.62"/>
        <n v="539504.7999999999"/>
        <n v="64600.92"/>
        <n v="956200.0"/>
        <n v="162151.29"/>
        <n v="854142.8400000001"/>
        <n v="79146.6"/>
        <n v="536455.52"/>
        <n v="275020.2"/>
        <n v="2929.62"/>
        <n v="420549.35000000003"/>
        <n v="786522.7999999999"/>
        <n v="48115.44"/>
        <n v="57596.0"/>
        <n v="142373.66"/>
        <n v="201926.48"/>
        <n v="353237.06"/>
        <n v="1366053.7"/>
        <n v="237904.12"/>
        <n v="310805.46"/>
        <n v="255665.34"/>
        <n v="2120610.96"/>
        <n v="779871.09"/>
        <n v="2208253.1100000003"/>
        <n v="961559.16"/>
        <n v="3957971.6"/>
        <n v="486308.4"/>
        <n v="808606.7"/>
        <n v="2009634.06"/>
        <n v="128331.98"/>
        <n v="3414969.1999999997"/>
        <n v="535132.7999999999"/>
        <n v="5740416.15"/>
        <n v="473727.1"/>
        <n v="3644936.4"/>
        <n v="415482.56"/>
        <n v="2974727.2800000003"/>
        <n v="64388.76"/>
        <n v="3885770.0700000003"/>
        <n v="425009.65"/>
        <n v="758558.22"/>
        <n v="923414.16"/>
        <n v="420815.64"/>
        <n v="158147.55000000002"/>
        <n v="772764.96"/>
        <n v="208835.55"/>
        <n v="0.0"/>
        <n v="4970685.930000001"/>
        <n v="390133.9"/>
        <n v="1661617.52"/>
        <n v="3956062.53"/>
        <n v="309372.8"/>
        <n v="410346.4"/>
        <n v="1744328.24"/>
        <n v="412198.15"/>
        <n v="63453.33"/>
        <n v="4505070.78"/>
        <n v="708264.0"/>
        <n v="2649469.1999999997"/>
        <n v="29579.52"/>
        <n v="60333.6"/>
        <n v="376231.05000000005"/>
        <n v="689666.08"/>
        <n v="34204.64"/>
        <n v="752858.4"/>
        <n v="604784.35"/>
        <n v="5904521.07"/>
        <n v="936092.48"/>
        <n v="3843862.4"/>
        <n v="989311.84"/>
        <n v="5889543.24"/>
        <n v="424392.80000000005"/>
        <n v="707046.23"/>
        <n v="5598452.37"/>
        <n v="5374436.13"/>
        <n v="1539694.08"/>
        <n v="84698.25"/>
        <n v="5728.62"/>
        <n v="5768418.180000001"/>
        <n v="144195.69999999998"/>
        <n v="235257.1"/>
        <n v="414665.55000000005"/>
        <n v="314742.23000000004"/>
        <n v="963588.7999999999"/>
        <n v="117939.36"/>
        <n v="37438.05"/>
        <n v="108425.73"/>
        <n v="361164.87"/>
        <n v="1931112.4"/>
        <n v="5714367.75"/>
        <n v="788633.14"/>
        <n v="28064.64"/>
        <n v="13441.44"/>
        <n v="44476.96"/>
        <n v="2988668.76"/>
        <n v="977181.76"/>
        <n v="604369.38"/>
        <n v="391599.52"/>
        <n v="168352.6"/>
        <n v="6282874.08"/>
        <n v="467505.12000000005"/>
        <n v="1993353.81"/>
        <n v="2996868.4200000004"/>
        <n v="361886.94"/>
        <n v="2309290.4"/>
        <n v="1092362.8800000001"/>
        <n v="2742580.08"/>
        <n v="28950.99"/>
        <n v="450250.57"/>
        <n v="28381.86"/>
        <n v="881233.92"/>
        <n v="2205874.48"/>
        <n v="351319.80000000005"/>
        <n v="3644822.37"/>
        <n v="39858.0"/>
        <n v="666262.9600000001"/>
        <n v="53041.05"/>
        <n v="781024.16"/>
        <n v="959880.78"/>
        <n v="742912.02"/>
        <n v="3872280.4"/>
        <n v="4086471.05"/>
        <n v="2156507.29"/>
        <n v="4344873.12"/>
        <n v="191128.6"/>
        <n v="1005807.3600000001"/>
        <n v="52630.53"/>
        <n v="693587.16"/>
        <n v="809840.8999999999"/>
        <n v="577749.37"/>
        <n v="658535.28"/>
        <n v="591532.64"/>
        <n v="1301162.16"/>
        <n v="66056.4"/>
        <n v="265970.1"/>
        <n v="2391207.7600000002"/>
        <n v="422188.86000000004"/>
        <n v="826091.2"/>
        <n v="1741867.5999999999"/>
        <n v="437294.28"/>
        <n v="369236.07"/>
        <n v="1247768.8"/>
        <n v="1167324.0"/>
        <n v="15560.06"/>
        <n v="786651.25"/>
        <n v="3113738.4"/>
        <n v="1305812.56"/>
        <n v="276492.59"/>
        <n v="5802.83"/>
        <n v="1575332.8800000001"/>
        <n v="5621244.720000001"/>
        <n v="98300.37"/>
        <n v="4275816.0"/>
        <n v="3587273.36"/>
        <n v="25237.65"/>
        <n v="451012.25"/>
        <n v="476965.08"/>
        <n v="63332.04"/>
        <n v="1654364.8"/>
        <n v="565244.68"/>
        <n v="52891.77"/>
        <n v="2310794.56"/>
        <n v="894501.12"/>
        <n v="177323.06"/>
        <n v="357017.76"/>
        <n v="3847797.1999999997"/>
        <n v="78661.23"/>
        <n v="515155.04"/>
        <n v="2138991.12"/>
        <n v="636268.05"/>
        <n v="13593.81"/>
        <n v="546142.7"/>
        <n v="1571959.4"/>
        <n v="571537.89"/>
        <n v="2413417.12"/>
        <n v="68771.43000000001"/>
        <n v="85139.64000000001"/>
        <n v="252054.40000000002"/>
        <n v="1883853.13"/>
        <n v="42012.99"/>
        <n v="272242.63"/>
        <n v="18144.06"/>
        <n v="3942669.6"/>
        <n v="57939.3"/>
        <n v="368520.57"/>
        <n v="152504.30000000002"/>
        <n v="1641686.0"/>
        <n v="246028.25000000003"/>
        <n v="12968.7"/>
        <n v="3615517.9200000004"/>
        <n v="2526250.88"/>
        <n v="605437.4400000001"/>
        <n v="2100699.12"/>
        <n v="379125.5"/>
        <n v="1449773.5999999999"/>
        <n v="73310.25"/>
        <n v="3918735.28"/>
        <n v="186158.5"/>
        <n v="1770871.2999999998"/>
        <n v="710975.68"/>
        <n v="3032419.1999999997"/>
        <n v="203275.80000000002"/>
        <n v="3006187.1999999997"/>
        <n v="1206963.84"/>
        <n v="1743553.5999999999"/>
        <n v="5159536.83"/>
        <n v="920918.8999999999"/>
        <n v="4151214.0"/>
        <n v="441296.94"/>
        <n v="728569.76"/>
        <n v="151527.42"/>
        <n v="4149902.4"/>
        <n v="4211984.8"/>
        <n v="6069928.41"/>
        <n v="352612.38"/>
        <n v="3700175.22"/>
        <n v="944622.78"/>
        <n v="3340056.0900000003"/>
        <n v="4094157.27"/>
        <n v="161472.35"/>
        <n v="1545804.96"/>
        <n v="853338.34"/>
        <n v="1838426.0"/>
        <n v="556306.68"/>
        <n v="913391.84"/>
        <n v="3654411.1799999997"/>
        <n v="1970897.5999999999"/>
        <n v="379926.8"/>
        <n v="61297.5"/>
        <n v="739097.52"/>
        <n v="674148.3200000001"/>
        <n v="1810445.2"/>
        <n v="1829248.8900000001"/>
        <n v="190757.82"/>
        <n v="19615.2"/>
        <n v="48450.69"/>
        <n v="818058.6"/>
        <n v="443799.85000000003"/>
        <n v="1893718.6800000002"/>
        <n v="82629.03"/>
        <n v="1031603.2"/>
        <n v="778723.4400000001"/>
        <n v="777778.7999999999"/>
        <n v="278768.75"/>
        <n v="938278.08"/>
        <n v="611650.88"/>
        <n v="750998.76"/>
        <n v="402696.8"/>
        <n v="855698.56"/>
        <n v="1419200.72"/>
        <n v="2313092.08"/>
        <n v="370465.69999999995"/>
        <n v="228779.1"/>
        <n v="85966.62"/>
        <n v="2739932.4"/>
        <n v="1892390.64"/>
        <n v="6294435.13"/>
        <n v="2894628.45"/>
        <n v="1145186.08"/>
        <n v="158862.6"/>
        <n v="585350.26"/>
        <n v="22792.350000000002"/>
        <n v="535144.16"/>
        <n v="170695.36000000002"/>
        <n v="3936986.0"/>
        <n v="278341.7"/>
        <n v="1081325.6"/>
        <n v="1168804.23"/>
        <n v="756982.56"/>
        <n v="4196117.9399999995"/>
        <n v="782150.7999999999"/>
        <n v="1599839.76"/>
        <n v="1083401.92"/>
        <n v="41854.38"/>
        <n v="254343.76"/>
        <n v="863530.56"/>
        <n v="623495.91"/>
        <n v="957020.72"/>
        <n v="9413.97"/>
        <n v="1222321.1700000002"/>
        <n v="1252140.8"/>
        <n v="4183566.8"/>
        <n v="627931.5900000001"/>
        <n v="1463724.06"/>
        <n v="413553.80000000005"/>
        <n v="452628.28"/>
        <n v="817218.27"/>
        <n v="336133.74000000005"/>
        <n v="1046656.7999999999"/>
        <n v="2492180.67"/>
        <n v="1228440.4"/>
        <n v="714226.9800000001"/>
        <n v="1074165.4"/>
        <n v="570792.3"/>
        <n v="116631.9"/>
        <n v="248867.85"/>
        <n v="59460.090000000004"/>
        <n v="627485.76"/>
        <n v="768451.28"/>
        <n v="5183102.12"/>
        <n v="68538.18000000001"/>
        <n v="218981.75"/>
        <n v="86061.69"/>
        <n v="816103.04"/>
        <n v="551023.66"/>
        <n v="42744.79"/>
        <n v="414855.35000000003"/>
        <n v="1706802.08"/>
        <n v="952185.2999999999"/>
        <n v="1743051.84"/>
        <n v="946236.52"/>
        <n v="71561.1"/>
        <n v="1048682.34"/>
        <n v="1123533.4"/>
        <n v="1599934.5999999999"/>
        <n v="851797.74"/>
        <n v="350934.0"/>
        <n v="1316478.96"/>
        <n v="2354192.16"/>
        <n v="44061.16"/>
        <n v="918039.1"/>
        <n v="786014.12"/>
        <n v="676015.28"/>
        <n v="3146646.72"/>
        <n v="254915.87000000002"/>
        <n v="6045833.640000001"/>
        <n v="2620358.79"/>
        <n v="528443.2999999999"/>
        <n v="511581.12"/>
        <n v="1245729.16"/>
        <n v="68668.8"/>
        <n v="303442.75"/>
        <n v="1797681.76"/>
        <n v="334302.78"/>
        <n v="1159737.04"/>
        <n v="669236.64"/>
        <n v="218554.7"/>
        <n v="607115.8200000001"/>
        <n v="2283495.6"/>
        <n v="3080640.78"/>
        <n v="5010688.46"/>
        <n v="2678579.61"/>
        <n v="740520.0"/>
        <n v="380359.2"/>
        <n v="97681.5"/>
        <n v="377464.75"/>
        <n v="873062.7600000001"/>
        <n v="5087903.73"/>
        <n v="928601.8800000001"/>
        <n v="724127.8"/>
        <n v="526180.6"/>
        <n v="1005157.4400000001"/>
        <n v="198862.95"/>
        <n v="313739.4"/>
        <n v="4303846.890000001"/>
        <n v="346443.72000000003"/>
        <n v="1401663.2"/>
        <n v="438915.54000000004"/>
        <n v="237180.46000000002"/>
        <n v="104342.55"/>
        <n v="18458.050000000003"/>
        <n v="3248974.8899999997"/>
        <n v="625240.98"/>
        <n v="862839.9"/>
        <n v="423116.21"/>
        <n v="208738.42"/>
        <n v="443657.5"/>
        <n v="1671106.7999999998"/>
        <n v="32878.92"/>
        <n v="180482.96"/>
        <n v="1971840.2"/>
        <n v="1052361.2"/>
        <n v="167688.30000000002"/>
        <n v="1420888.48"/>
        <n v="1944467.76"/>
        <n v="3170272.88"/>
        <n v="1419947.0999999999"/>
        <n v="3386943.21"/>
        <n v="324876.75"/>
        <n v="1256621.3"/>
        <n v="892623.64"/>
        <n v="33028.2"/>
        <n v="146024.8"/>
        <n v="2047010.28"/>
        <n v="1302728.04"/>
        <n v="1849860.0999999999"/>
        <n v="2623200.0"/>
        <n v="1689443.04"/>
        <n v="49504.98"/>
        <n v="206440.4"/>
        <n v="97707.5"/>
        <n v="847946.24"/>
        <n v="530345.97"/>
        <n v="3528906.99"/>
        <n v="2558762.85"/>
        <n v="1833156.1500000001"/>
        <n v="3938765.04"/>
        <n v="1922003.12"/>
        <n v="76216.77"/>
        <n v="75191.6"/>
        <n v="157252.48"/>
        <n v="414717.87"/>
        <n v="3857922.71"/>
        <n v="978495.54"/>
        <n v="859500.74"/>
        <n v="17596.38"/>
        <n v="98157.73000000001"/>
        <n v="661359.16"/>
        <n v="603553.4400000001"/>
        <n v="1775727.68"/>
        <n v="5326246.59"/>
        <n v="831461.8200000001"/>
        <n v="77131.11"/>
        <n v="1964741.73"/>
        <n v="1898405.2999999998"/>
        <n v="224106.35"/>
        <n v="784165.4"/>
        <n v="1235555.2"/>
        <n v="128076.16"/>
        <n v="12632.82"/>
        <n v="379090.8"/>
        <n v="28115.120000000003"/>
        <n v="38803.47"/>
        <n v="609563.84"/>
        <n v="320265.42000000004"/>
        <n v="133192.15"/>
        <n v="186910.50000000003"/>
        <n v="1533493.5"/>
        <n v="529449.2"/>
        <n v="226716.1"/>
        <n v="690700.23"/>
        <n v="1592436.64"/>
        <n v="45772.98"/>
        <n v="1213856.4"/>
        <n v="1380543.84"/>
        <n v="262473.2"/>
        <n v="2215319.84"/>
        <n v="59814.63"/>
        <n v="688272.2"/>
        <n v="6340180.5600000005"/>
        <n v="37382.100000000006"/>
        <n v="504355.83"/>
        <n v="4090880.4"/>
        <n v="542137.14"/>
        <n v="23539.59"/>
        <n v="52945.26"/>
        <n v="403945.32"/>
        <n v="880691.7600000001"/>
        <n v="1336624.56"/>
        <n v="4879707.54"/>
        <n v="762118.5"/>
        <n v="278436.60000000003"/>
        <n v="1104764.26"/>
        <n v="7977.15"/>
        <n v="137663.62"/>
        <n v="547320.32"/>
        <n v="681907.2"/>
        <n v="1942381.5599999998"/>
        <n v="3332775.6"/>
        <n v="3519406.38"/>
        <n v="619627.38"/>
        <n v="197266.3"/>
        <n v="791043.75"/>
        <n v="672399.84"/>
        <n v="532199.04"/>
        <n v="1338279.1800000002"/>
        <n v="179437.76"/>
        <n v="943195.68"/>
        <n v="490134.81"/>
        <n v="233643.80000000002"/>
        <n v="354901.08"/>
        <n v="53428.700000000004"/>
        <n v="3802415.1900000004"/>
        <n v="4683904.43"/>
        <n v="1055568.78"/>
        <n v="3061338.21"/>
        <n v="852056.16"/>
        <n v="2889418.77"/>
        <n v="1112621.32"/>
        <n v="3207629.67"/>
        <n v="168600.90000000002"/>
        <n v="702351.77"/>
        <n v="3550626.2399999998"/>
        <n v="1430708.37"/>
        <n v="1829723.26"/>
        <n v="84287.22"/>
        <n v="1470871.2000000002"/>
        <n v="1192261.14"/>
        <n v="266587.2"/>
        <n v="763662.9"/>
        <n v="839256.0"/>
        <n v="929317.12"/>
        <n v="6036716.7"/>
        <n v="3879257.97"/>
        <n v="1302418.8"/>
        <n v="649560.32"/>
        <n v="864951.2"/>
        <n v="867819.98"/>
        <n v="393954.4"/>
        <n v="580251.4400000001"/>
        <n v="420656.5"/>
        <n v="7172.13"/>
        <n v="2097031.26"/>
        <n v="2001395.2"/>
        <n v="1507490.4000000001"/>
        <n v="4100498.8"/>
        <n v="824736.16"/>
        <n v="16560.75"/>
        <n v="510554.84"/>
        <n v="554047.67"/>
        <n v="449986.11000000004"/>
        <n v="586833.6"/>
        <n v="1414506.48"/>
        <n v="3692803.17"/>
        <n v="2947323.54"/>
        <n v="5639530.53"/>
        <n v="1387077.3"/>
        <n v="52716.950000000004"/>
        <n v="181174.56"/>
        <n v="518822.04000000004"/>
        <n v="228870.00000000003"/>
        <n v="257791.52"/>
        <n v="179765.6"/>
        <n v="3324468.8"/>
        <n v="5409.3"/>
        <n v="825638.73"/>
        <n v="3233758.53"/>
        <n v="814275.99"/>
        <n v="430563.2"/>
        <n v="2772239.19"/>
        <n v="314088.39"/>
        <n v="2320901.71"/>
        <n v="420337.39"/>
        <n v="426416.1"/>
        <n v="275920.48000000004"/>
        <n v="82243.95"/>
        <n v="910444.8600000001"/>
        <n v="2334267.11"/>
        <n v="3009892.62"/>
        <n v="4955890.32"/>
        <n v="2522206.8"/>
        <n v="1786194.16"/>
        <n v="1855825.4"/>
        <n v="4117224.51"/>
        <n v="1553398.98"/>
        <n v="470029.23000000004"/>
        <n v="818891.7"/>
        <n v="154497.2"/>
        <n v="459268.55000000005"/>
        <n v="514714.46"/>
        <n v="434232.69999999995"/>
        <n v="747308.1"/>
        <n v="458020.38"/>
        <n v="75797.52"/>
        <n v="637534.5900000001"/>
        <n v="771939.8500000001"/>
        <n v="109717.12"/>
        <n v="87561.04"/>
        <n v="359718.45"/>
        <n v="83130.3"/>
        <n v="4037979.1999999997"/>
        <n v="1386189.3"/>
        <n v="939020.5"/>
        <n v="1830357.6"/>
        <n v="3698206.1799999997"/>
        <n v="221896.95"/>
        <n v="5493179.399999999"/>
        <n v="939303.8200000001"/>
        <n v="863322.8999999999"/>
        <n v="967654.96"/>
        <n v="863470.0"/>
        <n v="923719.3200000001"/>
        <n v="4894494.36"/>
        <n v="4337058.600000001"/>
        <n v="713421.17"/>
        <n v="4205426.8"/>
        <n v="252954.35"/>
        <n v="3083594.01"/>
        <n v="85154.91"/>
        <n v="904178.14"/>
        <n v="46258.14"/>
        <n v="1766027.04"/>
        <n v="1037962.2"/>
        <n v="176696.3"/>
        <n v="105671.15000000001"/>
        <n v="3397362.5700000003"/>
        <n v="1068975.48"/>
        <n v="910183.74"/>
        <n v="1589146.06"/>
        <n v="1966654.2000000002"/>
        <n v="3474865.6"/>
        <n v="802570.8"/>
        <n v="774343.5000000001"/>
        <n v="516572.70999999996"/>
        <n v="569733.7200000001"/>
        <n v="6359716.86"/>
        <n v="498205.39999999997"/>
        <n v="473799.68"/>
        <n v="455399.56"/>
        <n v="623027.79"/>
        <n v="530019.05"/>
        <n v="38066.4"/>
        <n v="1638811.9"/>
        <n v="935010.2400000001"/>
        <n v="836647.68"/>
        <n v="302319.27"/>
        <n v="611340.4"/>
        <n v="1514966.82"/>
        <n v="552903.4500000001"/>
        <n v="453574.55000000005"/>
        <n v="778886.9"/>
        <n v="2324613.9"/>
        <n v="1951360.32"/>
        <n v="860398.6200000001"/>
        <n v="229007.46000000002"/>
        <n v="92637.57"/>
        <n v="46406.100000000006"/>
        <n v="69514.25"/>
        <n v="43123.26"/>
        <n v="146715.40000000002"/>
        <n v="258556.48"/>
        <n v="3489.42"/>
        <n v="1814922.27"/>
        <n v="1470432.1800000002"/>
        <n v="347510.4"/>
        <n v="791881.9700000001"/>
        <n v="1121805.51"/>
        <n v="174003.17"/>
        <n v="4599.69"/>
        <n v="432754.54"/>
        <n v="1826184.4"/>
        <n v="346195.2"/>
        <n v="4962573.02"/>
        <n v="65937.68000000001"/>
        <n v="839105.36"/>
        <n v="33420.06"/>
        <n v="3118610.88"/>
        <n v="1040776.56"/>
        <n v="220172.94000000003"/>
        <n v="3645373.6"/>
        <n v="187953.2"/>
        <n v="143020.71"/>
        <n v="873088.4"/>
        <n v="1001347.6"/>
        <n v="2886571.38"/>
        <n v="4151463.75"/>
        <n v="4985962.47"/>
        <n v="353083.68"/>
        <n v="14209.59"/>
        <n v="4784439.87"/>
        <n v="1436569.26"/>
        <n v="1137594.4"/>
        <n v="214459.52000000002"/>
        <n v="1061218.08"/>
        <n v="1756472.2999999998"/>
        <n v="124965.17000000001"/>
        <n v="114983.59999999999"/>
        <n v="1349626.1099999999"/>
        <n v="812477.93"/>
        <n v="2825600.19"/>
        <n v="73794.74"/>
        <n v="38253.0"/>
        <n v="800302.8"/>
        <n v="1220238.4"/>
        <n v="1427781.04"/>
        <n v="2831303.79"/>
        <n v="919720.2"/>
        <n v="321501.76"/>
        <n v="70455.63"/>
        <n v="678956.64"/>
        <n v="13584.48"/>
        <n v="277391.62"/>
        <n v="73119.21"/>
        <n v="430530.1"/>
        <n v="618242.78"/>
        <n v="516025.56000000006"/>
        <n v="3090566.8"/>
        <n v="2402184.8"/>
        <n v="129098.34"/>
        <n v="1303293.2"/>
        <n v="67754.17"/>
        <n v="43897.65"/>
        <n v="31933.850000000002"/>
        <n v="146047.0"/>
        <n v="1696846.16"/>
        <n v="3813485.7600000002"/>
        <n v="1044.96"/>
        <n v="2635446.87"/>
        <n v="356966.35000000003"/>
        <n v="148708.30000000002"/>
        <n v="2099746.53"/>
        <n v="1499818.95"/>
        <n v="89194.8"/>
        <n v="403255.82"/>
        <n v="5294988.510000001"/>
        <n v="650976.27"/>
        <n v="144286.38"/>
        <n v="1319771.2"/>
        <n v="440358.0"/>
        <n v="439814.05000000005"/>
        <n v="1306523.04"/>
        <n v="1075643.04"/>
        <n v="991141.6200000001"/>
        <n v="468568.75"/>
        <n v="1149133.54"/>
        <n v="2354447.44"/>
        <n v="732863.42"/>
        <n v="1783007.5999999999"/>
        <n v="288528.78"/>
        <n v="56655.3"/>
        <n v="399149.4"/>
        <n v="241757.34000000003"/>
        <n v="3478763.8200000003"/>
        <n v="1299523.86"/>
        <n v="1919939.71"/>
        <n v="1067788.7"/>
        <n v="57855.33"/>
        <n v="5191789.63"/>
        <n v="5807490.78"/>
        <n v="6468853.6"/>
        <n v="170945.19999999998"/>
        <n v="21489.93"/>
        <n v="1632714.3"/>
        <n v="3794478.6599999997"/>
        <n v="92908.14"/>
        <n v="84921.66"/>
        <n v="4142605.73"/>
        <n v="1179689.5"/>
        <n v="417149.92000000004"/>
        <n v="1272570.8"/>
        <n v="290877.07"/>
        <n v="3346431.48"/>
        <n v="50587.26"/>
        <n v="1678848.0"/>
        <n v="1245112.92"/>
        <n v="781392.3200000001"/>
        <n v="4080481.8600000003"/>
        <n v="1397352.57"/>
        <n v="1710395.5"/>
        <n v="132317.46"/>
        <n v="753295.6"/>
        <n v="1449477.63"/>
        <n v="339394.18"/>
        <n v="137984.6"/>
        <n v="1144049.56"/>
        <n v="2477759.9699999997"/>
        <n v="45362.200000000004"/>
        <n v="288989.2"/>
        <n v="247519.2"/>
        <n v="1156163.12"/>
        <n v="242820.16"/>
        <n v="1721091.9"/>
        <n v="3960168.02"/>
        <n v="3389.32"/>
        <n v="400962.0"/>
        <n v="1113985.5999999999"/>
        <n v="438322.08"/>
        <n v="318764.79"/>
        <n v="714376.22"/>
        <n v="684748.48"/>
        <n v="563645.04"/>
        <n v="3780403.3899999997"/>
        <n v="485595.38999999996"/>
        <n v="3850420.4"/>
        <n v="2218719.51"/>
        <n v="2423758.05"/>
        <n v="2270715.6"/>
        <n v="1855885.6"/>
        <n v="4179632.0"/>
        <n v="1086442.0"/>
        <n v="1908484.5999999999"/>
        <n v="6032809.44"/>
        <n v="278869.29"/>
        <n v="3957750.09"/>
        <n v="882917.86"/>
        <n v="776000.22"/>
        <n v="357650.48000000004"/>
        <n v="705002.98"/>
        <n v="178089.67"/>
        <n v="5134986.68"/>
        <n v="1264583.04"/>
        <n v="443183.0"/>
        <n v="66728.16"/>
        <n v="3424215.48"/>
        <n v="337391.4"/>
        <n v="6111997.42"/>
        <n v="16075.59"/>
        <n v="80368.62"/>
        <n v="62156.46"/>
        <n v="5866074.06"/>
        <n v="976744.64"/>
        <n v="1050180.8"/>
        <n v="85267.65000000001"/>
        <n v="2905637.96"/>
        <n v="774576.64"/>
        <n v="301212.60000000003"/>
        <n v="1012044.0"/>
        <n v="1366820.32"/>
        <n v="49057.14"/>
        <n v="64730.16"/>
        <n v="255277.42"/>
        <n v="2490227.04"/>
        <n v="4290822.69"/>
        <n v="325545.12"/>
        <n v="7491.99"/>
        <n v="752565.4400000001"/>
        <n v="1287927.78"/>
        <n v="29090.94"/>
        <n v="577262.8200000001"/>
        <n v="1269313.02"/>
        <n v="3404835.65"/>
        <n v="16187.55"/>
        <n v="1130635.12"/>
        <n v="2683220.4"/>
        <n v="100601.18000000001"/>
        <n v="3274190.8"/>
        <n v="1472505.48"/>
        <n v="2189934.8"/>
        <n v="4367665.470000001"/>
        <n v="3016935.39"/>
        <n v="98174.05"/>
        <n v="3495780.54"/>
        <n v="378899.39999999997"/>
        <n v="408108.8"/>
        <n v="6483446.760000001"/>
        <n v="169586.30000000002"/>
        <n v="5776525.88"/>
        <n v="266557.26"/>
        <n v="278106.39999999997"/>
        <n v="39057.840000000004"/>
        <n v="630303.66"/>
        <n v="2380377.7399999998"/>
        <n v="569994.7"/>
        <n v="442787.16000000003"/>
        <n v="243568.86000000002"/>
        <n v="135659.55000000002"/>
        <n v="1023485.2"/>
        <n v="1026347.72"/>
        <n v="841565.28"/>
        <n v="1123251.46"/>
        <n v="1003846.08"/>
        <n v="1600589.2"/>
        <n v="1462784.4600000002"/>
        <n v="808341.24"/>
        <n v="4825466.100000001"/>
        <n v="588144.96"/>
        <n v="1117360.56"/>
        <n v="41863.71"/>
        <n v="85749.96"/>
        <n v="1111489.12"/>
        <n v="65384.64"/>
        <n v="69928.35"/>
        <n v="930579.0900000001"/>
        <n v="358794.7"/>
        <n v="492524.96"/>
        <n v="1425097.2000000002"/>
        <n v="6745.59"/>
        <n v="1271154.57"/>
        <n v="35919.65"/>
        <n v="6285079.35"/>
        <n v="1485292.46"/>
        <n v="1763476.6800000002"/>
        <n v="1598501.8399999999"/>
        <n v="467572.10000000003"/>
        <n v="470846.35000000003"/>
        <n v="894019.68"/>
        <n v="521273.94"/>
        <n v="449841.92000000004"/>
        <n v="2691658.1999999997"/>
        <n v="5707204.44"/>
        <n v="726532.3999999999"/>
        <n v="326503.12"/>
        <n v="4101810.4"/>
        <n v="416085.66000000003"/>
        <n v="61335.42"/>
        <n v="2358993.1"/>
        <n v="157043.44999999998"/>
        <n v="695895.04"/>
        <n v="810199.8"/>
        <n v="1118321.54"/>
        <n v="1375355.52"/>
        <n v="686029.18"/>
        <n v="248897.0"/>
        <n v="243038.90000000002"/>
        <n v="3442075.6"/>
        <n v="87646.02"/>
        <n v="64899.48"/>
        <n v="309399.36"/>
        <n v="392875.92"/>
        <n v="6510146.37"/>
        <n v="914346.1"/>
        <n v="1179604.44"/>
        <n v="1850667.5999999999"/>
        <n v="966144.48"/>
        <n v="3117767.1"/>
        <n v="59885.44"/>
        <n v="853061.58"/>
        <n v="973460.4"/>
        <n v="1469497.9800000002"/>
        <n v="3845225.58"/>
        <n v="376705.55000000005"/>
        <n v="730705.6200000001"/>
        <n v="526913.31"/>
        <n v="657986.0"/>
        <n v="77532.3"/>
        <n v="1383949.5999999999"/>
        <n v="451922.89999999997"/>
        <n v="2540094.27"/>
        <n v="419932.5"/>
        <n v="2865054.9899999998"/>
        <n v="412103.25"/>
        <n v="117011.70000000001"/>
        <n v="255802.95"/>
        <n v="300733.39999999997"/>
        <n v="1407916.02"/>
        <n v="347838.24"/>
        <n v="1164794.6099999999"/>
        <n v="13158.53"/>
        <n v="148359.78"/>
        <n v="3000940.8"/>
        <n v="1006165.86"/>
        <n v="677247.76"/>
        <n v="1960404.8"/>
        <n v="165676.72"/>
        <n v="1683860.2"/>
        <n v="1303039.48"/>
        <n v="395666.0"/>
        <n v="993119.6"/>
        <n v="58079.25"/>
        <n v="794829.6"/>
        <n v="3787728.42"/>
        <n v="2997443.1999999997"/>
        <n v="85574.76"/>
        <n v="836083.62"/>
        <n v="360038.22000000003"/>
        <n v="37590.64"/>
        <n v="2869231.2600000002"/>
        <n v="917245.6"/>
        <n v="458655.48000000004"/>
        <n v="1900614.45"/>
        <n v="6672675.95"/>
        <n v="988072.0"/>
        <n v="1888509.0"/>
        <n v="262272.0"/>
        <n v="1753796.73"/>
        <n v="48731.15"/>
        <n v="1974080.24"/>
        <n v="3173197.6"/>
        <n v="1672594.56"/>
        <n v="2582195.28"/>
        <n v="2309727.6"/>
        <n v="26142.66"/>
        <n v="1333460.0"/>
        <n v="107426.8"/>
        <n v="251571.09999999998"/>
        <n v="5024053.859999999"/>
        <n v="126436.31000000001"/>
        <n v="1736833.73"/>
        <n v="2219664.4"/>
        <n v="3923413.17"/>
        <n v="196110.85"/>
        <n v="1272060.24"/>
        <n v="539826.65"/>
        <n v="778947.84"/>
        <n v="375385.89"/>
        <n v="3175619.04"/>
        <n v="1366358.1400000001"/>
        <n v="26091.180000000004"/>
        <n v="395590.65"/>
        <n v="2081042.56"/>
        <n v="3120720.33"/>
        <n v="2046242.74"/>
        <n v="680720.4"/>
        <n v="220935.84000000003"/>
        <n v="3755664.78"/>
        <n v="1406875.92"/>
        <n v="1945334.79"/>
        <n v="873923.8200000001"/>
        <n v="51837.48"/>
        <n v="2360318.88"/>
        <n v="206776.8"/>
        <n v="386484.8"/>
        <n v="102244.23000000001"/>
        <n v="10285.0"/>
        <n v="6310876.11"/>
        <n v="4391760.24"/>
        <n v="1201862.8"/>
        <n v="59549.75"/>
        <n v="1769337.57"/>
        <n v="568840.8"/>
        <n v="1333244.04"/>
        <n v="21874.45"/>
        <n v="4934218.17"/>
        <n v="364934.85"/>
        <n v="4129037.4299999997"/>
        <n v="2161853.4499999997"/>
        <n v="317915.0"/>
        <n v="3567979.5900000003"/>
        <n v="2010305.8499999999"/>
        <n v="2826902.6100000003"/>
        <n v="1073909.89"/>
        <n v="268500.96"/>
        <n v="54039.36"/>
        <n v="408312.97"/>
        <n v="121002.72"/>
        <n v="4672543.84"/>
        <n v="3964845.9099999997"/>
        <n v="397773.35000000003"/>
        <n v="55326.9"/>
        <n v="70033.73999999999"/>
        <n v="53333.8"/>
        <n v="3260365.92"/>
        <n v="503293.34"/>
        <n v="149522.4"/>
        <n v="208590.2"/>
        <n v="42610.11"/>
        <n v="1992970.96"/>
        <n v="298880.8"/>
        <n v="2584652.49"/>
        <n v="1300591.9200000002"/>
        <n v="4859329.0200000005"/>
        <n v="371486.05000000005"/>
        <n v="758008.4400000001"/>
        <n v="159293.52000000002"/>
        <n v="2530602.06"/>
        <n v="3224083.38"/>
        <n v="594046.08"/>
        <n v="6155888.13"/>
        <n v="307657.82"/>
        <n v="76947.2"/>
        <n v="299910.6"/>
        <n v="9171.39"/>
        <n v="4841616.149999999"/>
        <n v="1234278.8"/>
        <n v="1825310.0"/>
        <n v="1177480.58"/>
        <n v="235209.65000000002"/>
        <n v="2046715.0"/>
        <n v="2367799.56"/>
        <n v="89717.28"/>
        <n v="91629.93000000001"/>
        <n v="3583291.1999999997"/>
        <n v="513173.86"/>
        <n v="3589862.01"/>
        <n v="4496605.05"/>
        <n v="28633.77"/>
        <n v="1899433.7999999998"/>
        <n v="6222261.97"/>
        <n v="1819827.9"/>
        <n v="317867.55000000005"/>
        <n v="541810.24"/>
        <n v="1028324.8"/>
        <n v="1830158.8199999998"/>
        <n v="1636439.5999999999"/>
        <n v="1046190.2"/>
        <n v="3785714.8"/>
        <n v="15041.650000000001"/>
        <n v="72232.86"/>
        <n v="643215.1"/>
        <n v="756448.77"/>
        <n v="7432.4"/>
        <n v="800558.08"/>
        <n v="1364047.24"/>
        <n v="430344.64"/>
        <n v="1022496.22"/>
        <n v="3456966.6599999997"/>
        <n v="599734.74"/>
        <n v="491765.34"/>
        <n v="101302.56"/>
        <n v="39363.27"/>
        <n v="267478.26"/>
        <n v="296380.08"/>
        <n v="435768.48000000004"/>
        <n v="332629.84"/>
        <n v="1322759.16"/>
        <n v="732176.0"/>
        <n v="4099168.1799999997"/>
        <n v="276587.68"/>
        <n v="1244188.56"/>
        <n v="1245764.73"/>
        <n v="280856.55"/>
        <n v="960571.2"/>
        <n v="1903878.24"/>
        <n v="407796.82"/>
        <n v="914953.6"/>
        <n v="462813.32999999996"/>
        <n v="325127.4"/>
        <n v="1834377.72"/>
        <n v="379516.5"/>
        <n v="2039838.15"/>
        <n v="182255.45"/>
        <n v="884949.4400000001"/>
        <n v="432127.15"/>
        <n v="349967.86000000004"/>
        <n v="95869.29000000001"/>
        <n v="1158993.3800000001"/>
        <n v="1013572.0"/>
        <n v="429673.34"/>
        <n v="469660.10000000003"/>
        <n v="222777.75"/>
        <n v="319972.95"/>
        <n v="623326.76"/>
        <n v="1362352.58"/>
        <n v="775669.4400000001"/>
        <n v="492668.44"/>
        <n v="1574016.4"/>
        <n v="1527813.02"/>
        <n v="557316.87"/>
        <n v="1197142.6800000002"/>
        <n v="1195967.78"/>
        <n v="882706.7999999999"/>
        <n v="737876.88"/>
        <n v="698446.08"/>
        <n v="4077988.7399999998"/>
        <n v="283323.95"/>
        <n v="1021506.2"/>
        <n v="1354605.2400000002"/>
        <n v="345008.95"/>
        <n v="262873.0"/>
        <n v="2730893.9699999997"/>
        <n v="613524.18"/>
        <n v="272600.25"/>
        <n v="4026612.0"/>
        <n v="1146486.12"/>
        <n v="119775.3"/>
        <n v="5447068.77"/>
        <n v="1511174.54"/>
        <n v="217892.18000000002"/>
        <n v="1604434.8"/>
        <n v="1160533.98"/>
        <n v="73238.40000000001"/>
        <n v="133910.69999999998"/>
        <n v="343632.9"/>
        <n v="393092.69999999995"/>
        <n v="1409045.0"/>
        <n v="88271.13"/>
        <n v="2744394.4499999997"/>
        <n v="164195.57"/>
        <n v="1015563.52"/>
        <n v="983835.8400000001"/>
        <n v="811742.14"/>
        <n v="2812318.7399999998"/>
        <n v="2059608.14"/>
        <n v="4166163.75"/>
        <n v="319433.06"/>
        <n v="834765.18"/>
        <n v="1905604.7999999998"/>
        <n v="1412576.1400000001"/>
        <n v="878097.9"/>
        <n v="27948.050000000003"/>
        <n v="73982.56"/>
        <n v="14676.09"/>
        <n v="1061935.58"/>
        <n v="4460788.5"/>
        <n v="221781.30000000002"/>
        <n v="145713.90000000002"/>
        <n v="2193110.48"/>
        <n v="2500963.92"/>
        <n v="1383872.8800000001"/>
        <n v="801607.8400000001"/>
        <n v="3112864.0"/>
        <n v="196490.45"/>
        <n v="1172272.1400000001"/>
        <n v="1440476.52"/>
        <n v="182018.2"/>
        <n v="1176604.0"/>
        <n v="536644.08"/>
        <n v="1377296.4"/>
        <n v="1155211.2"/>
        <n v="814602.91"/>
        <n v="748891.5"/>
        <n v="5026726.9399999995"/>
        <n v="352364.1"/>
        <n v="59357.46"/>
        <n v="588582.08"/>
        <n v="4361130.02"/>
        <n v="760491.26"/>
        <n v="30126.57"/>
        <n v="1148363.24"/>
        <n v="711214.4600000001"/>
        <n v="280239.7"/>
        <n v="44168.22"/>
        <n v="246360.40000000002"/>
        <n v="146530.72"/>
        <n v="905004.0"/>
        <n v="3666129.2199999997"/>
      </sharedItems>
    </cacheField>
    <cacheField name="custo_total" numFmtId="164">
      <sharedItems containsSemiMixedTypes="0" containsString="0" containsNumber="1">
        <n v="76121.5"/>
        <n v="233400.23"/>
        <n v="2358420.22"/>
        <n v="41968.64000000001"/>
        <n v="243129.91999999998"/>
        <n v="1165411.2000000002"/>
        <n v="46350.159999999996"/>
        <n v="401819.67000000004"/>
        <n v="836476.74"/>
        <n v="856659.65"/>
        <n v="1907641.84"/>
        <n v="423769.77999999997"/>
        <n v="50446.8"/>
        <n v="1128055.92"/>
        <n v="342845.44000000006"/>
        <n v="2642355.3200000003"/>
        <n v="1438765.5"/>
        <n v="175902.72000000003"/>
        <n v="777331.9199999999"/>
        <n v="3319773.07"/>
        <n v="20863.8"/>
        <n v="77478.12"/>
        <n v="11549.12"/>
        <n v="875572.25"/>
        <n v="43935.08"/>
        <n v="3872104.9600000004"/>
        <n v="47145.96"/>
        <n v="320869.92"/>
        <n v="346645.6"/>
        <n v="196146.72"/>
        <n v="29411.73"/>
        <n v="213702.57"/>
        <n v="61352.72"/>
        <n v="56155.8"/>
        <n v="166643.18"/>
        <n v="128463.39"/>
        <n v="50959.369999999995"/>
        <n v="242208.00999999998"/>
        <n v="445897.74"/>
        <n v="972247.22"/>
        <n v="163337.02"/>
        <n v="940588.32"/>
        <n v="286568.17"/>
        <n v="918578.0399999999"/>
        <n v="589317.3300000001"/>
        <n v="62446.08"/>
        <n v="1262287.5599999998"/>
        <n v="1589098.5599999998"/>
        <n v="1931763.76"/>
        <n v="272979.2"/>
        <n v="90251.81"/>
        <n v="106256.25"/>
        <n v="1005.08"/>
        <n v="396818.52"/>
        <n v="1029971.52"/>
        <n v="450753.18"/>
        <n v="68287.35"/>
        <n v="2419476.04"/>
        <n v="471381.06"/>
        <n v="749808.78"/>
        <n v="227942.40000000002"/>
        <n v="286555.06"/>
        <n v="343865.76"/>
        <n v="5249.6"/>
        <n v="321843.2"/>
        <n v="427911.25"/>
        <n v="270971.4"/>
        <n v="1214741.29"/>
        <n v="335203.05"/>
        <n v="7333.32"/>
        <n v="154183.68000000002"/>
        <n v="1540285.1"/>
        <n v="6144.96"/>
        <n v="1061364.48"/>
        <n v="4258021.42"/>
        <n v="630754.46"/>
        <n v="243115.49999999997"/>
        <n v="654100.16"/>
        <n v="636419.0700000001"/>
        <n v="1326129.88"/>
        <n v="1084656.27"/>
        <n v="44621.600000000006"/>
        <n v="1180969.0"/>
        <n v="2081466.4000000001"/>
        <n v="1469644.73"/>
        <n v="903751.98"/>
        <n v="252000.79"/>
        <n v="304747.52"/>
        <n v="1049.92"/>
        <n v="23970.88"/>
        <n v="661221.63"/>
        <n v="51803.12"/>
        <n v="344780.80000000005"/>
        <n v="1042925.6399999999"/>
        <n v="384303.36"/>
        <n v="64307.56"/>
        <n v="3267257.71"/>
        <n v="4031167.8400000003"/>
        <n v="494842.44"/>
        <n v="130611.68"/>
        <n v="761837.41"/>
        <n v="95549.44"/>
        <n v="82590.42"/>
        <n v="784197.12"/>
        <n v="2377543.8400000003"/>
        <n v="2525113.56"/>
        <n v="64117.76000000001"/>
        <n v="4360842.720000001"/>
        <n v="4179731.5200000005"/>
        <n v="1281577.38"/>
        <n v="1322730.63"/>
        <n v="678323.4"/>
        <n v="44585.56"/>
        <n v="350264.32"/>
        <n v="452864.37"/>
        <n v="172970.69999999998"/>
        <n v="1600519.74"/>
        <n v="4708799.8"/>
        <n v="719055.4"/>
        <n v="179773.44000000003"/>
        <n v="224284.35"/>
        <n v="887988.18"/>
        <n v="373928.6"/>
        <n v="25432.0"/>
        <n v="612868.2000000001"/>
        <n v="4132485.12"/>
        <n v="373.68"/>
        <n v="2296700.0"/>
        <n v="288227.52"/>
        <n v="512440.18"/>
        <n v="154147.84000000003"/>
        <n v="84652.01999999999"/>
        <n v="741897.8700000001"/>
        <n v="3848451.3200000003"/>
        <n v="271789.32"/>
        <n v="60432.36"/>
        <n v="355627.23000000004"/>
        <n v="3843757.12"/>
        <n v="324949.22"/>
        <n v="47914.08"/>
        <n v="313600.00000000006"/>
        <n v="130715.04000000001"/>
        <n v="545469.12"/>
        <n v="53025.72"/>
        <n v="175938.56000000003"/>
        <n v="184254.84"/>
        <n v="2172.88"/>
        <n v="281754.77"/>
        <n v="473730.67"/>
        <n v="36182.880000000005"/>
        <n v="32790.8"/>
        <n v="98719.14"/>
        <n v="126101.21999999999"/>
        <n v="244927.74000000002"/>
        <n v="777727.51"/>
        <n v="178904.24000000002"/>
        <n v="198485.28"/>
        <n v="221002.13999999998"/>
        <n v="1324301.94"/>
        <n v="586464.18"/>
        <n v="1780139.36"/>
        <n v="614066.88"/>
        <n v="2383926.4899999998"/>
        <n v="303695.1"/>
        <n v="460359.41"/>
        <n v="1620026.56"/>
        <n v="75744.69"/>
        <n v="2056870.63"/>
        <n v="322315.92"/>
        <n v="4627522.4"/>
        <n v="269704.33"/>
        <n v="2195382.21"/>
        <n v="136263.68000000002"/>
        <n v="2398017.2800000003"/>
        <n v="41119.68"/>
        <n v="3132436.3200000003"/>
        <n v="284743.02999999997"/>
        <n v="655712.62"/>
        <n v="589706.88"/>
        <n v="268739.52"/>
        <n v="109656.45"/>
        <n v="456104.88000000006"/>
        <n v="180521.55"/>
        <n v="0.0"/>
        <n v="4007019.68"/>
        <n v="261377.38"/>
        <n v="1037664.7799999999"/>
        <n v="3419698.13"/>
        <n v="176133.44"/>
        <n v="134579.2"/>
        <n v="1089316.8599999999"/>
        <n v="276159.73"/>
        <n v="47062.92"/>
        <n v="3631673.2800000003"/>
        <n v="426594.6"/>
        <n v="2290253.2"/>
        <n v="17458.56"/>
        <n v="36339.54"/>
        <n v="252062.91"/>
        <n v="226186.24000000002"/>
        <n v="11217.920000000002"/>
        <n v="453454.25999999995"/>
        <n v="454798.7"/>
        <n v="4759812.32"/>
        <n v="307005.44"/>
        <n v="2315197.36"/>
        <n v="324459.52"/>
        <n v="4747738.24"/>
        <n v="284329.76"/>
        <n v="490252.17000000004"/>
        <n v="4513081.12"/>
        <n v="4332494.88"/>
        <n v="1157852.1600000001"/>
        <n v="56745.15"/>
        <n v="4248.88"/>
        <n v="4650095.680000001"/>
        <n v="82094.11"/>
        <n v="157614.82"/>
        <n v="277812.81"/>
        <n v="218236.17"/>
        <n v="580379.32"/>
        <n v="73652.04"/>
        <n v="25082.309999999998"/>
        <n v="93725.33"/>
        <n v="250424.73"/>
        <n v="1163128.6099999999"/>
        <n v="4606524.0"/>
        <n v="465470.67000000004"/>
        <n v="20815.36"/>
        <n v="4408.320000000001"/>
        <n v="14586.880000000001"/>
        <n v="2583463.96"/>
        <n v="320481.28"/>
        <n v="385959.83999999997"/>
        <n v="244550.27999999997"/>
        <n v="112790.92"/>
        <n v="5064814.08"/>
        <n v="298556.16"/>
        <n v="1606902.56"/>
        <n v="2415865.9200000004"/>
        <n v="213594.57"/>
        <n v="1390909.0599999998"/>
        <n v="358256.64"/>
        <n v="2062424.1600000001"/>
        <n v="21472.76"/>
        <n v="312195.03"/>
        <n v="21050.64"/>
        <n v="289013.76"/>
        <n v="1377548.22"/>
        <n v="235373.16"/>
        <n v="2938201.12"/>
        <n v="26703.6"/>
        <n v="461973.84"/>
        <n v="39340.2"/>
        <n v="256148.48"/>
        <n v="612995.04"/>
        <n v="474435.36"/>
        <n v="2332313.81"/>
        <n v="3073032.1"/>
        <n v="1621696.58"/>
        <n v="3502533.12"/>
        <n v="128050.12"/>
        <n v="642324.48"/>
        <n v="39035.72"/>
        <n v="599550.36"/>
        <n v="461062.07"/>
        <n v="400600.23000000004"/>
        <n v="420551.04"/>
        <n v="194001.92"/>
        <n v="812563.74"/>
        <n v="48993.6"/>
        <n v="151423.23"/>
        <n v="1493287.14"/>
        <n v="269616.48"/>
        <n v="470313.76"/>
        <n v="991687.48"/>
        <n v="279263.04"/>
        <n v="297652.32"/>
        <n v="751543.82"/>
        <n v="703091.1"/>
        <n v="9183.93"/>
        <n v="545448.75"/>
        <n v="1875436.2599999998"/>
        <n v="770722.68"/>
        <n v="191714.61000000002"/>
        <n v="4023.57"/>
        <n v="983780.82"/>
        <n v="4531454.720000001"/>
        <n v="84972.77"/>
        <n v="2575367.4"/>
        <n v="2697634.72"/>
        <n v="18718.6"/>
        <n v="302163.95"/>
        <n v="304597.44"/>
        <n v="46972.96"/>
        <n v="996440.72"/>
        <n v="391929.72000000003"/>
        <n v="39229.48"/>
        <n v="1443069.8399999999"/>
        <n v="558607.6799999999"/>
        <n v="104660.43000000001"/>
        <n v="117089.28000000001"/>
        <n v="2317567.33"/>
        <n v="58342.52"/>
        <n v="321709.56"/>
        <n v="1335780.18"/>
        <n v="441175.95"/>
        <n v="10082.44"/>
        <n v="322346.85000000003"/>
        <n v="894954.62"/>
        <n v="396293.31"/>
        <n v="1507156.68"/>
        <n v="51007.32"/>
        <n v="54371.52"/>
        <n v="168868.47999999998"/>
        <n v="1416660.26"/>
        <n v="31160.76"/>
        <n v="188767.77000000002"/>
        <n v="12580.74"/>
        <n v="2374709.94"/>
        <n v="42973.2"/>
        <n v="255525.03"/>
        <n v="102173.06"/>
        <n v="988804.1499999999"/>
        <n v="164831.15"/>
        <n v="9618.8"/>
        <n v="2914577.9200000004"/>
        <n v="1577620.3199999998"/>
        <n v="386641.92"/>
        <n v="1311867.18"/>
        <n v="254002.1"/>
        <n v="825391.28"/>
        <n v="49115.549999999996"/>
        <n v="2946894.56"/>
        <n v="105984.55"/>
        <n v="1008199.99"/>
        <n v="233175.04"/>
        <n v="1826456.88"/>
        <n v="136188.36"/>
        <n v="1810657.0799999998"/>
        <n v="753737.7599999999"/>
        <n v="1050160.04"/>
        <n v="4159258.08"/>
        <n v="524301.47"/>
        <n v="2500318.3499999996"/>
        <n v="381465.74"/>
        <n v="238945.28000000003"/>
        <n v="105066.18000000001"/>
        <n v="2499528.36"/>
        <n v="2536921.2199999997"/>
        <n v="4893152.16"/>
        <n v="225183.84"/>
        <n v="2982822.72"/>
        <n v="603251.04"/>
        <n v="2692519.8400000003"/>
        <n v="3300423.52"/>
        <n v="108181.37"/>
        <n v="1336224.16"/>
        <n v="503661.27"/>
        <n v="1107302.65"/>
        <n v="355266.24"/>
        <n v="570404.76"/>
        <n v="3158944.78"/>
        <n v="1187091.64"/>
        <n v="228833.77"/>
        <n v="42502.5"/>
        <n v="471999.36"/>
        <n v="221096.96000000002"/>
        <n v="1090449.53"/>
        <n v="1474612.6400000001"/>
        <n v="132267.78"/>
        <n v="13600.800000000001"/>
        <n v="35935.56"/>
        <n v="482838.30000000005"/>
        <n v="297331.87"/>
        <n v="1526583.6800000002"/>
        <n v="57293.37"/>
        <n v="338329.60000000003"/>
        <n v="539951.76"/>
        <n v="468464.06999999995"/>
        <n v="186766.25"/>
        <n v="307722.24000000005"/>
        <n v="381970.31999999995"/>
        <n v="479599.68"/>
        <n v="132070.40000000002"/>
        <n v="534375.84"/>
        <n v="837647.16"/>
        <n v="1444504.6199999999"/>
        <n v="210915.11"/>
        <n v="135031.05000000002"/>
        <n v="63760.88"/>
        <n v="1650289.1099999999"/>
        <n v="1181780.46"/>
        <n v="4733424.26"/>
        <n v="2333447.2"/>
        <n v="715158.12"/>
        <n v="106432.92"/>
        <n v="405870.54000000004"/>
        <n v="18373.600000000002"/>
        <n v="175508.48"/>
        <n v="55982.08"/>
        <n v="2371286.65"/>
        <n v="186480.13999999998"/>
        <n v="354636.80000000005"/>
        <n v="878942.4600000001"/>
        <n v="248263.68000000002"/>
        <n v="3627206.7399999998"/>
        <n v="471097.37"/>
        <n v="999085.1399999999"/>
        <n v="355317.76"/>
        <n v="31043.12"/>
        <n v="176357.04"/>
        <n v="283207.68000000005"/>
        <n v="468869.82"/>
        <n v="564857.16"/>
        <n v="6982.28"/>
        <n v="985349.92"/>
        <n v="754177.12"/>
        <n v="2519804.77"/>
        <n v="435395.61"/>
        <n v="863925.93"/>
        <n v="286750.2"/>
        <n v="267152.34"/>
        <n v="566643.3300000001"/>
        <n v="214660.32"/>
        <n v="630412.02"/>
        <n v="2009021.9200000002"/>
        <n v="699380.92"/>
        <n v="456116.64"/>
        <n v="611548.42"/>
        <n v="336895.65"/>
        <n v="66401.37"/>
        <n v="172560.15"/>
        <n v="44101.159999999996"/>
        <n v="205793.28000000003"/>
        <n v="453558.84"/>
        <n v="3897700.24"/>
        <n v="50834.32"/>
        <n v="146710.85"/>
        <n v="59673.51"/>
        <n v="267653.12000000005"/>
        <n v="382069.14"/>
        <n v="29638.41"/>
        <n v="277939.97"/>
        <n v="1065882.1199999999"/>
        <n v="542102.19"/>
        <n v="1088519.76"/>
        <n v="558492.06"/>
        <n v="53076.4"/>
        <n v="669705.12"/>
        <n v="639654.82"/>
        <n v="910881.58"/>
        <n v="502751.97000000003"/>
        <n v="224112.0"/>
        <n v="822128.94"/>
        <n v="1470171.24"/>
        <n v="26005.980000000003"/>
        <n v="522661.93"/>
        <n v="463924.86000000004"/>
        <n v="399000.84"/>
        <n v="2536606.72"/>
        <n v="176753.73"/>
        <n v="4873728.640000001"/>
        <n v="2265089.59"/>
        <n v="300855.59"/>
        <n v="319477.68"/>
        <n v="735259.9800000001"/>
        <n v="50931.2"/>
        <n v="203297.05"/>
        <n v="1122635.64"/>
        <n v="213491.04"/>
        <n v="724245.0599999999"/>
        <n v="394999.92000000004"/>
        <n v="146424.74"/>
        <n v="387713.76"/>
        <n v="1375372.5899999999"/>
        <n v="2662966.38"/>
        <n v="3768044.92"/>
        <n v="2315416.81"/>
        <n v="421596.0"/>
        <n v="254828.63999999998"/>
        <n v="78744.0"/>
        <n v="252889.44999999998"/>
        <n v="557551.6799999999"/>
        <n v="4101512.4800000004"/>
        <n v="593019.84"/>
        <n v="502096.2"/>
        <n v="299567.38"/>
        <n v="329656.32"/>
        <n v="133231.88999999998"/>
        <n v="210195.47999999998"/>
        <n v="3469460.64"/>
        <n v="279278.72000000003"/>
        <n v="844235.98"/>
        <n v="353823.04000000004"/>
        <n v="164456.34"/>
        <n v="69906.20999999999"/>
        <n v="12366.31"/>
        <n v="2808477.69"/>
        <n v="540470.58"/>
        <n v="551023.2"/>
        <n v="293380.59"/>
        <n v="144735.18"/>
        <n v="297236.5"/>
        <n v="951401.64"/>
        <n v="24386.079999999998"/>
        <n v="112709.93999999999"/>
        <n v="1122616.46"/>
        <n v="599134.76"/>
        <n v="112345.86"/>
        <n v="887331.72"/>
        <n v="1214302.14"/>
        <n v="2384049.7600000002"/>
        <n v="808410.33"/>
        <n v="2730316.96"/>
        <n v="225263.25"/>
        <n v="715424.99"/>
        <n v="526848.42"/>
        <n v="24496.8"/>
        <n v="87952.22"/>
        <n v="1769475.88"/>
        <n v="831942.72"/>
        <n v="1053170.23"/>
        <n v="1579980.0"/>
        <n v="1055041.5599999998"/>
        <n v="36717.52"/>
        <n v="121846.20000000001"/>
        <n v="55627.25"/>
        <n v="500478.72000000003"/>
        <n v="367731.63"/>
        <n v="2844758.24"/>
        <n v="2211844.85"/>
        <n v="1477762.4000000001"/>
        <n v="3404745.84"/>
        <n v="1200273.18"/>
        <n v="56529.479999999996"/>
        <n v="52136.4"/>
        <n v="98202.71999999999"/>
        <n v="358490.27"/>
        <n v="2901163.42"/>
        <n v="624882.72"/>
        <n v="507298.47000000003"/>
        <n v="13051.119999999999"/>
        <n v="68060.67"/>
        <n v="458573.64"/>
        <n v="197944.32"/>
        <n v="1108925.52"/>
        <n v="4293647.84"/>
        <n v="490749.21"/>
        <n v="57207.64"/>
        <n v="1698361.33"/>
        <n v="1080808.19"/>
        <n v="150144.16999999998"/>
        <n v="462833.7"/>
        <n v="771592.7999999999"/>
        <n v="42004.48"/>
        <n v="9369.68"/>
        <n v="236738.69999999998"/>
        <n v="19494.48"/>
        <n v="28780.28"/>
        <n v="199915.52000000002"/>
        <n v="204526.56"/>
        <n v="89234.53"/>
        <n v="119364.0"/>
        <n v="873055.05"/>
        <n v="318892.63"/>
        <n v="151892.62"/>
        <n v="478918.17000000004"/>
        <n v="994461.96"/>
        <n v="33949.52"/>
        <n v="758042.1"/>
        <n v="881637.12"/>
        <n v="149432.36"/>
        <n v="1383446.7599999998"/>
        <n v="44364.12"/>
        <n v="391850.06"/>
        <n v="5111010.5600000005"/>
        <n v="23872.8"/>
        <n v="349710.57"/>
        <n v="2463978.81"/>
        <n v="319982.67000000004"/>
        <n v="17459.16"/>
        <n v="33811.68"/>
        <n v="238418.46000000002"/>
        <n v="562423.6799999999"/>
        <n v="788908.68"/>
        <n v="3669547.08"/>
        <n v="433892.55"/>
        <n v="186543.72"/>
        <n v="652059.03"/>
        <n v="5916.6"/>
        <n v="103523.24"/>
        <n v="341796.48"/>
        <n v="223641.60000000003"/>
        <n v="1679032.76"/>
        <n v="2007364.5899999999"/>
        <n v="3042243.98"/>
        <n v="395703.83999999997"/>
        <n v="112308.49"/>
        <n v="683793.75"/>
        <n v="220523.52000000002"/>
        <n v="339870.72"/>
        <n v="854646.24"/>
        <n v="58849.280000000006"/>
        <n v="309335.04000000004"/>
        <n v="339849.99"/>
        <n v="156533.96"/>
        <n v="226645.44"/>
        <n v="35795.54"/>
        <n v="3065241.4400000004"/>
        <n v="3522302.8600000003"/>
        <n v="912454.38"/>
        <n v="2467836.96"/>
        <n v="279444.48000000004"/>
        <n v="2329247.52"/>
        <n v="656696.4600000001"/>
        <n v="2772738.07"/>
        <n v="107671.2"/>
        <n v="528169.54"/>
        <n v="3069231.04"/>
        <n v="1153337.12"/>
        <n v="1375954.52"/>
        <n v="62515.28"/>
        <n v="939321.6"/>
        <n v="1030613.94"/>
        <n v="151774.56"/>
        <n v="487687.2"/>
        <n v="477808.8"/>
        <n v="304783.36000000004"/>
        <n v="4866379.2"/>
        <n v="3127186.72"/>
        <n v="784460.07"/>
        <n v="213032.96000000002"/>
        <n v="283673.60000000003"/>
        <n v="512208.69000000006"/>
        <n v="129203.20000000001"/>
        <n v="362361.66"/>
        <n v="239489.95"/>
        <n v="6199.73"/>
        <n v="1576970.52"/>
        <n v="1249852.7999999998"/>
        <n v="962707.2"/>
        <n v="2469772.07"/>
        <n v="270484.48000000004"/>
        <n v="12283.0"/>
        <n v="301342.02"/>
        <n v="384165.93"/>
        <n v="362747.36000000004"/>
        <n v="192460.80000000002"/>
        <n v="883346.22"/>
        <n v="3192131.57"/>
        <n v="2547724.34"/>
        <n v="4240935.0600000005"/>
        <n v="1118164.8"/>
        <n v="35318.69"/>
        <n v="106933.68000000001"/>
        <n v="359741.16000000003"/>
        <n v="146160.0"/>
        <n v="84546.56000000001"/>
        <n v="58956.8"/>
        <n v="2002361.3199999998"/>
        <n v="3624.06"/>
        <n v="713698.33"/>
        <n v="2431791.06"/>
        <n v="564603.21"/>
        <n v="141209.6"/>
        <n v="2396377.9899999998"/>
        <n v="217782.81"/>
        <n v="1745321.4200000002"/>
        <n v="291453.81"/>
        <n v="242769.03"/>
        <n v="191317.92"/>
        <n v="60999.8"/>
        <n v="581424.48"/>
        <n v="1755372.22"/>
        <n v="2426365.12"/>
        <n v="3726836.64"/>
        <n v="1519150.77"/>
        <n v="1115461.74"/>
        <n v="1056566.42"/>
        <n v="3559009.71"/>
        <n v="1342788.58"/>
        <n v="325909.17"/>
        <n v="466214.91"/>
        <n v="103508.23999999999"/>
        <n v="307695.41"/>
        <n v="303797.13"/>
        <n v="247219.21"/>
        <n v="425460.63"/>
        <n v="270334.89"/>
        <n v="44737.560000000005"/>
        <n v="513935.84"/>
        <n v="535248.15"/>
        <n v="35983.36"/>
        <n v="54681.06"/>
        <n v="240999.99"/>
        <n v="61657.2"/>
        <n v="2432115.88"/>
        <n v="885242.4"/>
        <n v="534607.15"/>
        <n v="1143041.4"/>
        <n v="2781056.3600000003"/>
        <n v="153859.05000000002"/>
        <n v="4130878.8000000003"/>
        <n v="554400.2100000001"/>
        <n v="491510.67"/>
        <n v="727677.92"/>
        <n v="520076.74999999994"/>
        <n v="589901.76"/>
        <n v="3945599.3600000003"/>
        <n v="3496233.6"/>
        <n v="494672.43"/>
        <n v="2532971.27"/>
        <n v="175393.65"/>
        <n v="2665519.21"/>
        <n v="63158.84"/>
        <n v="533668.17"/>
        <n v="34309.36"/>
        <n v="1102867.5599999998"/>
        <n v="590937.0599999999"/>
        <n v="100597.49"/>
        <n v="70796.33"/>
        <n v="2738716.3200000003"/>
        <n v="682664.64"/>
        <n v="684459.48"/>
        <n v="1195040.12"/>
        <n v="1585379.2000000002"/>
        <n v="2092946.8399999999"/>
        <n v="512534.39999999997"/>
        <n v="494508.0"/>
        <n v="388463.42000000004"/>
        <n v="363840.95999999996"/>
        <n v="5126759.36"/>
        <n v="283640.42"/>
        <n v="295883.51999999996"/>
        <n v="315765.24"/>
        <n v="431995.41000000003"/>
        <n v="367504.95"/>
        <n v="28233.6"/>
        <n v="933015.37"/>
        <n v="597112.32"/>
        <n v="274391.04000000004"/>
        <n v="209622.33000000002"/>
        <n v="423891.60000000003"/>
        <n v="967481.76"/>
        <n v="383372.55"/>
        <n v="303880.61"/>
        <n v="540065.1"/>
        <n v="2009441.9"/>
        <n v="1218606.48"/>
        <n v="549464.16"/>
        <n v="158789.34"/>
        <n v="68708.68"/>
        <n v="31090.62"/>
        <n v="46572.35"/>
        <n v="31984.239999999998"/>
        <n v="98294.68"/>
        <n v="84797.44"/>
        <n v="2588.08"/>
        <n v="1463063.52"/>
        <n v="1185359.6800000002"/>
        <n v="113971.20000000001"/>
        <n v="549075.63"/>
        <n v="969710.71"/>
        <n v="120650.43000000001"/>
        <n v="3411.56"/>
        <n v="255422.37000000002"/>
        <n v="1099929.41"/>
        <n v="231939.84"/>
        <n v="3731862.04"/>
        <n v="38918.04"/>
        <n v="524013.54"/>
        <n v="24787.44"/>
        <n v="2695788.48"/>
        <n v="649955.34"/>
        <n v="140605.91999999998"/>
        <n v="2195645.54"/>
        <n v="110934.6"/>
        <n v="123629.91"/>
        <n v="525870.01"/>
        <n v="570091.48"/>
        <n v="2495208.98"/>
        <n v="3346620.0"/>
        <n v="3749450.94"/>
        <n v="115799.04000000001"/>
        <n v="10539.16"/>
        <n v="3856881.12"/>
        <n v="1158061.76"/>
        <n v="685184.6599999999"/>
        <n v="148702.08000000002"/>
        <n v="348042.24000000005"/>
        <n v="1000002.29"/>
        <n v="86648.43000000001"/>
        <n v="69255.79"/>
        <n v="1166643.31"/>
        <n v="563356.47"/>
        <n v="2277801.44"/>
        <n v="43555.47"/>
        <n v="28372.0"/>
        <n v="499781.69999999995"/>
        <n v="762027.6"/>
        <n v="891636.0599999999"/>
        <n v="2447434.59"/>
        <n v="795024.2"/>
        <n v="105441.28000000001"/>
        <n v="60903.23"/>
        <n v="222673.92"/>
        <n v="10075.52"/>
        <n v="192337.98"/>
        <n v="54232.04"/>
        <n v="245111.23"/>
        <n v="364902.09"/>
        <n v="329542.08"/>
        <n v="1861479.7699999998"/>
        <n v="1500142.2"/>
        <n v="111595.14"/>
        <n v="784986.73"/>
        <n v="46979.43"/>
        <n v="32558.6"/>
        <n v="21394.67"/>
        <n v="83148.1"/>
        <n v="1059664.74"/>
        <n v="3074165.7600000002"/>
        <n v="775.04"/>
        <n v="2124513.12"/>
        <n v="239156.16999999998"/>
        <n v="99629.86"/>
        <n v="1815062.13"/>
        <n v="1296472.95"/>
        <n v="66155.2"/>
        <n v="279609.78"/>
        <n v="4268449.760000001"/>
        <n v="562716.67"/>
        <n v="124723.98"/>
        <n v="751377.76"/>
        <n v="274999.5"/>
        <n v="294661.51"/>
        <n v="815911.5599999999"/>
        <n v="352773.12000000005"/>
        <n v="798989.1200000001"/>
        <n v="313926.25"/>
        <n v="678246.87"/>
        <n v="1470330.66"/>
        <n v="432554.01"/>
        <n v="1015109.48"/>
        <n v="184259.04"/>
        <n v="37957.26"/>
        <n v="267417.48"/>
        <n v="167629.86000000002"/>
        <n v="2804336.3200000003"/>
        <n v="829896.48"/>
        <n v="1443797.4200000002"/>
        <n v="607918.01"/>
        <n v="42910.92"/>
        <n v="3904233.2600000002"/>
        <n v="4681593.28"/>
        <n v="4864587.2"/>
        <n v="102962.03"/>
        <n v="17323.68"/>
        <n v="1411350.3"/>
        <n v="3280021.86"/>
        <n v="68909.36"/>
        <n v="62985.84"/>
        <n v="3115245.46"/>
        <n v="671625.85"/>
        <n v="289243.68"/>
        <n v="794708.7"/>
        <n v="201688.53"/>
        <n v="2892721.08"/>
        <n v="37520.24"/>
        <n v="1011187.2"/>
        <n v="734896.26"/>
        <n v="461196.96"/>
        <n v="3289399.3600000003"/>
        <n v="1050811.1400000001"/>
        <n v="973769.65"/>
        <n v="99502.92"/>
        <n v="453717.58999999997"/>
        <n v="1090009.26"/>
        <n v="200318.79"/>
        <n v="92445.31999999999"/>
        <n v="675246.18"/>
        <n v="2141824.37"/>
        <n v="30391.239999999998"/>
        <n v="174061.12999999998"/>
        <n v="81177.6"/>
        <n v="722013.1799999999"/>
        <n v="79636.48000000001"/>
        <n v="979859.37"/>
        <n v="2978052.04"/>
        <n v="2000.46"/>
        <n v="301524.0"/>
        <n v="670964.84"/>
        <n v="143754.24000000002"/>
        <n v="239711.58000000002"/>
        <n v="421642.41000000003"/>
        <n v="224573.44000000003"/>
        <n v="487225.84"/>
        <n v="2842868.7800000003"/>
        <n v="419758.19"/>
        <n v="2319147.31"/>
        <n v="1917904.71"/>
        <n v="2095144.05"/>
        <n v="1418040.9"/>
        <n v="1158983.4"/>
        <n v="2517434.8"/>
        <n v="654375.0499999999"/>
        <n v="1086546.58"/>
        <n v="4863229.44"/>
        <n v="241060.09"/>
        <n v="3421156.89"/>
        <n v="521119.83"/>
        <n v="458014.41000000003"/>
        <n v="247987.92"/>
        <n v="488835.42000000004"/>
        <n v="123483.93000000001"/>
        <n v="3861517.3600000003"/>
        <n v="807582.72"/>
        <n v="296918.6"/>
        <n v="49491.84"/>
        <n v="2575014.96"/>
        <n v="199136.7"/>
        <n v="4596230.84"/>
        <n v="11923.16"/>
        <n v="59608.88"/>
        <n v="46101.04"/>
        <n v="4411296.12"/>
        <n v="320337.92000000004"/>
        <n v="344422.4"/>
        <n v="57126.63"/>
        <n v="2185043.92"/>
        <n v="254033.92"/>
        <n v="201802.91999999998"/>
        <n v="576181.2"/>
        <n v="806730.9600000001"/>
        <n v="36385.36"/>
        <n v="44882.64"/>
        <n v="150671.01"/>
        <n v="2007447.04"/>
        <n v="3458961.4400000004"/>
        <n v="106767.36000000002"/>
        <n v="5556.76"/>
        <n v="469970.16"/>
        <n v="822491.04"/>
        <n v="21576.56"/>
        <n v="340714.71"/>
        <n v="810603.36"/>
        <n v="2560441.3000000003"/>
        <n v="12006.2"/>
        <n v="706071.1799999999"/>
        <n v="2319428.4"/>
        <n v="59377.29"/>
        <n v="1972078.3699999999"/>
        <n v="869108.9400000001"/>
        <n v="1319019.97"/>
        <n v="3520906.72"/>
        <n v="2607898.19"/>
        <n v="65773.51"/>
        <n v="3021821.34"/>
        <n v="215716.62"/>
        <n v="232346.24"/>
        <n v="5226501.760000001"/>
        <n v="113617.45999999999"/>
        <n v="4343955.76"/>
        <n v="170227.68"/>
        <n v="158332.72"/>
        <n v="24391.26"/>
        <n v="544846.86"/>
        <n v="1790047.48"/>
        <n v="324511.81"/>
        <n v="282770.88"/>
        <n v="143760.33000000002"/>
        <n v="90887.61"/>
        <n v="616455.5299999999"/>
        <n v="605775.66"/>
        <n v="276003.84"/>
        <n v="662970.63"/>
        <n v="329226.24000000005"/>
        <n v="964051.1299999999"/>
        <n v="934157.28"/>
        <n v="698746.04"/>
        <n v="3889953.6"/>
        <n v="192890.88"/>
        <n v="697781.34"/>
        <n v="31050.04"/>
        <n v="54761.28"/>
        <n v="694114.6799999999"/>
        <n v="48495.36"/>
        <n v="51865.4"/>
        <n v="750167.8400000001"/>
        <n v="248781.30000000002"/>
        <n v="161530.88"/>
        <n v="910089.6"/>
        <n v="5003.16"/>
        <n v="1098810.97"/>
        <n v="24065.03"/>
        <n v="4726388.7"/>
        <n v="876656.1300000001"/>
        <n v="1421591.6800000002"/>
        <n v="1202075.68"/>
        <n v="275972.55000000005"/>
        <n v="315452.17"/>
        <n v="293207.04000000004"/>
        <n v="361441.26"/>
        <n v="311911.68"/>
        <n v="2326722.2"/>
        <n v="4600749.44"/>
        <n v="413632.52"/>
        <n v="203898.18"/>
        <n v="2470562.06"/>
        <n v="265718.88"/>
        <n v="45492.08"/>
        <n v="1773966.2000000002"/>
        <n v="118096.90000000001"/>
        <n v="228229.12000000002"/>
        <n v="517406.39999999997"/>
        <n v="660060.87"/>
        <n v="1108715.52"/>
        <n v="404911.29000000004"/>
        <n v="141703.1"/>
        <n v="162828.38"/>
        <n v="2073197.0899999999"/>
        <n v="65006.479999999996"/>
        <n v="48135.52"/>
        <n v="193217.03999999998"/>
        <n v="245347.37999999998"/>
        <n v="5248025.12"/>
        <n v="539669.55"/>
        <n v="1019673.24"/>
        <n v="1114675.89"/>
        <n v="316861.44"/>
        <n v="2695059.1"/>
        <n v="19640.320000000003"/>
        <n v="737403.18"/>
        <n v="621667.2"/>
        <n v="938444.64"/>
        <n v="2891615.16"/>
        <n v="252380.81"/>
        <n v="466640.16"/>
        <n v="365351.49"/>
        <n v="396311.64999999997"/>
        <n v="57505.2"/>
        <n v="787916.08"/>
        <n v="257290.67"/>
        <n v="1910154.54"/>
        <n v="281341.5"/>
        <n v="2476609.79"/>
        <n v="276096.14999999997"/>
        <n v="78394.14"/>
        <n v="171379.88999999998"/>
        <n v="171214.82"/>
        <n v="1134963.52"/>
        <n v="114078.72000000002"/>
        <n v="875927.2200000001"/>
        <n v="9123.87"/>
        <n v="87565.59000000001"/>
        <n v="1807497.1199999999"/>
        <n v="593863.8300000001"/>
        <n v="399728.28"/>
        <n v="1180771.72"/>
        <n v="103463.57999999999"/>
        <n v="958662.46"/>
        <n v="769085.9400000001"/>
        <n v="238313.65"/>
        <n v="565407.08"/>
        <n v="43077.0"/>
        <n v="478733.93999999994"/>
        <n v="3274186.82"/>
        <n v="1805390.48"/>
        <n v="63470.24"/>
        <n v="493477.11000000004"/>
        <n v="212503.41"/>
        <n v="22186.920000000002"/>
        <n v="2312973.7600000002"/>
        <n v="552466.34"/>
        <n v="292904.64"/>
        <n v="1642928.45"/>
        <n v="5017861.9"/>
        <n v="595125.7999999999"/>
        <n v="1522384.0"/>
        <n v="86016.00000000001"/>
        <n v="1516016.33"/>
        <n v="32648.329999999998"/>
        <n v="1232794.8599999999"/>
        <n v="1911249.14"/>
        <n v="1044519.84"/>
        <n v="1941814.56"/>
        <n v="1391172.39"/>
        <n v="19389.84"/>
        <n v="803156.5"/>
        <n v="71972.56"/>
        <n v="143225.53"/>
        <n v="3778095.72"/>
        <n v="87668.49"/>
        <n v="1306101.46"/>
        <n v="1336926.41"/>
        <n v="2950412.3400000003"/>
        <n v="131388.07"/>
        <n v="794389.86"/>
        <n v="374305.35000000003"/>
        <n v="255467.52000000002"/>
        <n v="260285.31"/>
        <n v="2388070.08"/>
        <n v="806458.17"/>
        <n v="16662.239999999998"/>
        <n v="265033.23"/>
        <n v="1299591.8399999999"/>
        <n v="2697611.93"/>
        <n v="1538777.48"/>
        <n v="410004.81"/>
        <n v="141093.12"/>
        <n v="3246470.38"/>
        <n v="830372.76"/>
        <n v="1681585.59"/>
        <n v="704496.3200000001"/>
        <n v="38447.52"/>
        <n v="1473997.3199999998"/>
        <n v="129130.2"/>
        <n v="232783.71999999997"/>
        <n v="70894.17"/>
        <n v="5855.5"/>
        <n v="5087387.36"/>
        <n v="3540330.24"/>
        <n v="723894.1699999999"/>
        <n v="39896.45"/>
        <n v="1426316.32"/>
        <n v="394423.2"/>
        <n v="851430.72"/>
        <n v="14655.19"/>
        <n v="3977621.9200000004"/>
        <n v="315456.85"/>
        <n v="3569221.03"/>
        <n v="1625716.9000000001"/>
        <n v="212993.0"/>
        <n v="2876255.8400000003"/>
        <n v="1737747.85"/>
        <n v="2278851.3600000003"/>
        <n v="807581.78"/>
        <n v="88058.88"/>
        <n v="40080.64"/>
        <n v="307051.94"/>
        <n v="75565.07999999999"/>
        <n v="3513759.68"/>
        <n v="2981569.8200000003"/>
        <n v="266495.57"/>
        <n v="41035.6"/>
        <n v="60538.54"/>
        <n v="35731.96"/>
        <n v="2818324.32"/>
        <n v="348973.86"/>
        <n v="90058.86"/>
        <n v="139748.84"/>
        <n v="31603.64"/>
        <n v="1244591.94"/>
        <n v="98022.40000000001"/>
        <n v="2083566.2400000002"/>
        <n v="830578.5599999999"/>
        <n v="3917251.5200000005"/>
        <n v="248883.91"/>
        <n v="611053.4400000001"/>
        <n v="101727.36"/>
        <n v="2039994.56"/>
        <n v="2786960.98"/>
        <n v="194826.24000000002"/>
        <n v="4962446.88"/>
        <n v="181587.21000000002"/>
        <n v="46346.079999999994"/>
        <n v="170746.38"/>
        <n v="6802.36"/>
        <n v="3640902.3000000003"/>
        <n v="770795.7"/>
        <n v="1099402.75"/>
        <n v="694977.9900000001"/>
        <n v="157583.03"/>
        <n v="1165244.5"/>
        <n v="1908754.56"/>
        <n v="66542.72"/>
        <n v="67961.31999999999"/>
        <n v="2158252.6799999997"/>
        <n v="302887.83"/>
        <n v="3103147.21"/>
        <n v="3624848.8000000003"/>
        <n v="21237.48"/>
        <n v="1081393.74"/>
        <n v="4679149.94"/>
        <n v="1036072.17"/>
        <n v="212961.21"/>
        <n v="177694.72000000003"/>
        <n v="337254.4"/>
        <n v="1582025.22"/>
        <n v="985644.19"/>
        <n v="595621.46"/>
        <n v="2280174.4699999997"/>
        <n v="10077.43"/>
        <n v="53574.64"/>
        <n v="445992.9"/>
        <n v="653889.17"/>
        <n v="4476.61"/>
        <n v="499941.11999999994"/>
        <n v="805094.2200000001"/>
        <n v="141137.92"/>
        <n v="603502.41"/>
        <n v="2988269.86"/>
        <n v="415844.46"/>
        <n v="314049.12"/>
        <n v="33223.68"/>
        <n v="29195.48"/>
        <n v="231213.46"/>
        <n v="185086.62"/>
        <n v="278288.64"/>
        <n v="207724.25999999998"/>
        <n v="780724.9800000001"/>
        <n v="240128.00000000003"/>
        <n v="3082580.3600000003"/>
        <n v="90711.04000000001"/>
        <n v="734350.68"/>
        <n v="1004248.4800000001"/>
        <n v="188165.01"/>
        <n v="315033.60000000003"/>
        <n v="1188954.3599999999"/>
        <n v="240691.71000000002"/>
        <n v="520905.27999999997"/>
        <n v="400064.93"/>
        <n v="217825.08"/>
        <n v="1585672.1199999999"/>
        <n v="216067.95"/>
        <n v="1763276.15"/>
        <n v="122105.39"/>
        <n v="290232.32"/>
        <n v="289511.52999999997"/>
        <n v="242660.94"/>
        <n v="66473.91"/>
        <n v="684066.39"/>
        <n v="332416.00000000006"/>
        <n v="253603.77000000002"/>
        <n v="314657.42"/>
        <n v="149254.05"/>
        <n v="221863.05000000002"/>
        <n v="367902.78"/>
        <n v="804093.9900000001"/>
        <n v="254392.32000000004"/>
        <n v="341606.76"/>
        <n v="896125.72"/>
        <n v="901752.81"/>
        <n v="386432.73000000004"/>
        <n v="764514.24"/>
        <n v="705889.5900000001"/>
        <n v="531663.27"/>
        <n v="471219.83999999997"/>
        <n v="436173.11999999994"/>
        <n v="3525093.54"/>
        <n v="189818.09"/>
        <n v="581568.26"/>
        <n v="865072.32"/>
        <n v="231145.09"/>
        <n v="176116.6"/>
        <n v="2360638.37"/>
        <n v="391806.24"/>
        <n v="182633.55"/>
        <n v="2425269.3"/>
        <n v="732164.16"/>
        <n v="76490.4"/>
        <n v="4096203.54"/>
        <n v="891932.3700000001"/>
        <n v="151082.22"/>
        <n v="1001954.7"/>
        <n v="684975.6900000001"/>
        <n v="46771.2"/>
        <n v="76238.61"/>
        <n v="230223.18"/>
        <n v="223797.21"/>
        <n v="802203.5"/>
        <n v="65470.12"/>
        <n v="2372308.45"/>
        <n v="113850.03"/>
        <n v="599410.56"/>
        <n v="628293.12"/>
        <n v="479110.17000000004"/>
        <n v="2431023.54"/>
        <n v="1548828.28"/>
        <n v="3601313.75"/>
        <n v="240214.12"/>
        <n v="533094.24"/>
        <n v="1084907.04"/>
        <n v="833737.17"/>
        <n v="560767.2"/>
        <n v="18724.31"/>
        <n v="24263.680000000004"/>
        <n v="10885.16"/>
        <n v="626780.49"/>
        <n v="3595976.0000000005"/>
        <n v="148586.46"/>
        <n v="93055.2"/>
        <n v="1369577.22"/>
        <n v="2161882.32"/>
        <n v="864215.82"/>
        <n v="555819.36"/>
        <n v="1874909.5999999999"/>
        <n v="131642.38999999998"/>
        <n v="748631.52"/>
        <n v="1161211.52"/>
        <n v="121946.44"/>
        <n v="669869.2"/>
        <n v="463885.68"/>
        <n v="812914.2000000001"/>
        <n v="657689.76"/>
        <n v="564829.89"/>
        <n v="603704.0"/>
        <n v="3780105.8800000004"/>
        <n v="200609.43"/>
        <n v="44025.04"/>
        <n v="193034.24000000002"/>
        <n v="3279576.04"/>
        <n v="571890.52"/>
        <n v="22344.68"/>
        <n v="677792.2200000001"/>
        <n v="493142.34"/>
        <n v="187751.74"/>
        <n v="32759.28"/>
        <n v="165053.68"/>
        <n v="91507.07999999999"/>
        <n v="545093.1"/>
        <n v="2756934.44"/>
      </sharedItems>
    </cacheField>
    <cacheField name="lucro_total" numFmtId="164">
      <sharedItems containsSemiMixedTypes="0" containsString="0" containsNumber="1">
        <n v="57583.5"/>
        <n v="176559.86999999997"/>
        <n v="777770.8899999997"/>
        <n v="85998.23999999999"/>
        <n v="119767.68000000005"/>
        <n v="280275.0"/>
        <n v="16142.180000000008"/>
        <n v="278971.47"/>
        <n v="502977.4199999999"/>
        <n v="648035.85"/>
        <n v="629111.0799999998"/>
        <n v="66466.40000000002"/>
        <n v="17568.899999999994"/>
        <n v="678305.3600000001"/>
        <n v="702527.0399999999"/>
        <n v="871408.3399999994"/>
        <n v="865136.5"/>
        <n v="360443.51999999996"/>
        <n v="467413.3600000001"/>
        <n v="520691.6000000001"/>
        <n v="7266.1500000000015"/>
        <n v="46587.96000000001"/>
        <n v="2777.5"/>
        <n v="578117.75"/>
        <n v="15301.089999999997"/>
        <n v="931219.9999999995"/>
        <n v="16419.33"/>
        <n v="181576.02000000008"/>
        <n v="262226.4"/>
        <n v="110996.82000000004"/>
        <n v="13006.140000000003"/>
        <n v="94501.26000000001"/>
        <n v="21367.059999999998"/>
        <n v="19557.149999999994"/>
        <n v="82089.72000000003"/>
        <n v="63282.06000000001"/>
        <n v="25102.98000000001"/>
        <n v="119313.54000000007"/>
        <n v="268120.42000000004"/>
        <n v="735474.1799999999"/>
        <n v="80461.08000000002"/>
        <n v="532266.4200000003"/>
        <n v="216779.72999999998"/>
        <n v="552345.3200000002"/>
        <n v="409145.5299999999"/>
        <n v="21747.839999999997"/>
        <n v="759019.4800000002"/>
        <n v="955532.4800000002"/>
        <n v="637066.1199999999"/>
        <n v="65650.0"/>
        <n v="44458.74000000002"/>
        <n v="46987.5"/>
        <n v="331.4599999999999"/>
        <n v="275499.31999999995"/>
        <n v="247702.5"/>
        <n v="199327.24000000005"/>
        <n v="30197.300000000003"/>
        <n v="1597517.56"/>
        <n v="208449.08000000002"/>
        <n v="520569.98"/>
        <n v="467078.4"/>
        <n v="141159.24000000005"/>
        <n v="194589.06000000006"/>
        <n v="1262.5"/>
        <n v="659491.2"/>
        <n v="282538.75"/>
        <n v="188127.39999999997"/>
        <n v="802062.3099999998"/>
        <n v="148229.90000000002"/>
        <n v="4409.5599999999995"/>
        <n v="315938.88"/>
        <n v="507962.44999999995"/>
        <n v="2140.080000000001"/>
        <n v="350021.76"/>
        <n v="1404230.29"/>
        <n v="477145.74"/>
        <n v="146186.50000000003"/>
        <n v="157307.5"/>
        <n v="441846.8699999999"/>
        <n v="875609.3199999998"/>
        <n v="716170.53"/>
        <n v="10731.25"/>
        <n v="389465.5"/>
        <n v="500581.25000000023"/>
        <n v="970368.4699999997"/>
        <n v="543430.3400000001"/>
        <n v="39525.19999999998"/>
        <n v="624460.32"/>
        <n v="252.5"/>
        <n v="8348.239999999998"/>
        <n v="436587.56999999995"/>
        <n v="18041.260000000002"/>
        <n v="706492.8"/>
        <n v="627116.1200000001"/>
        <n v="217472.16000000003"/>
        <n v="22396.130000000005"/>
        <n v="512454.7999999998"/>
        <n v="969473.7499999995"/>
        <n v="218823.91999999998"/>
        <n v="86239.51999999999"/>
        <n v="119490.79999999993"/>
        <n v="195791.03999999998"/>
        <n v="40684.68000000001"/>
        <n v="443766.7200000001"/>
        <n v="571786.25"/>
        <n v="396052.7999999998"/>
        <n v="131384.16"/>
        <n v="1048758.75"/>
        <n v="1005202.5"/>
        <n v="770618.54"/>
        <n v="207464.40000000014"/>
        <n v="106392.0"/>
        <n v="15527.630000000005"/>
        <n v="717729.1199999999"/>
        <n v="342577.5299999999"/>
        <n v="104008.1"/>
        <n v="1056781.86"/>
        <n v="1552890.0999999996"/>
        <n v="543942.6"/>
        <n v="368375.0399999999"/>
        <n v="35178.0"/>
        <n v="292844.91000000003"/>
        <n v="246895.40000000002"/>
        <n v="12528.0"/>
        <n v="425496.19999999995"/>
        <n v="993840.0"/>
        <n v="130.14"/>
        <n v="552343.75"/>
        <n v="163104.12"/>
        <n v="338351.01999999996"/>
        <n v="315865.44"/>
        <n v="50901.66"/>
        <n v="515077.6699999999"/>
        <n v="1269160.3399999999"/>
        <n v="120187.76000000001"/>
        <n v="21046.53"/>
        <n v="246901.43"/>
        <n v="924402.5"/>
        <n v="214555.57999999996"/>
        <n v="16686.839999999997"/>
        <n v="642600.0"/>
        <n v="31436.25"/>
        <n v="308673.7200000001"/>
        <n v="26120.880000000005"/>
        <n v="360516.95999999996"/>
        <n v="90765.36000000002"/>
        <n v="756.7399999999998"/>
        <n v="138794.58000000002"/>
        <n v="312792.12999999995"/>
        <n v="11932.559999999998"/>
        <n v="24805.199999999997"/>
        <n v="43654.520000000004"/>
        <n v="75825.26000000002"/>
        <n v="108309.31999999998"/>
        <n v="588326.19"/>
        <n v="58999.879999999976"/>
        <n v="112320.18000000002"/>
        <n v="34663.20000000001"/>
        <n v="796309.02"/>
        <n v="193406.90999999992"/>
        <n v="428113.75000000023"/>
        <n v="347492.28"/>
        <n v="1574045.1100000003"/>
        <n v="182613.30000000005"/>
        <n v="348247.29"/>
        <n v="389607.5"/>
        <n v="52587.28999999999"/>
        <n v="1358098.5699999998"/>
        <n v="212816.87999999995"/>
        <n v="1112893.75"/>
        <n v="204022.76999999996"/>
        <n v="1449554.19"/>
        <n v="279218.88"/>
        <n v="576710.0"/>
        <n v="23269.08"/>
        <n v="753333.75"/>
        <n v="140266.62000000005"/>
        <n v="102845.59999999998"/>
        <n v="333707.28"/>
        <n v="152076.12"/>
        <n v="48491.10000000002"/>
        <n v="316660.0799999999"/>
        <n v="28314.0"/>
        <n v="0.0"/>
        <n v="963666.2500000005"/>
        <n v="128756.52000000002"/>
        <n v="623952.7400000001"/>
        <n v="536364.3999999999"/>
        <n v="133239.36"/>
        <n v="275767.2"/>
        <n v="655011.3800000001"/>
        <n v="136038.42000000004"/>
        <n v="16390.410000000003"/>
        <n v="873397.5"/>
        <n v="281669.4"/>
        <n v="359215.99999999953"/>
        <n v="12120.96"/>
        <n v="23994.059999999998"/>
        <n v="124168.14000000004"/>
        <n v="463479.83999999997"/>
        <n v="22986.719999999998"/>
        <n v="299404.1400000001"/>
        <n v="149985.64999999997"/>
        <n v="1144708.75"/>
        <n v="629087.04"/>
        <n v="1528665.04"/>
        <n v="664852.32"/>
        <n v="1141805.0"/>
        <n v="140063.04000000004"/>
        <n v="216794.05999999994"/>
        <n v="1085371.25"/>
        <n v="1041941.25"/>
        <n v="381841.9199999999"/>
        <n v="27953.1"/>
        <n v="1479.7399999999998"/>
        <n v="1118322.5"/>
        <n v="62101.58999999998"/>
        <n v="77642.28"/>
        <n v="136852.74000000005"/>
        <n v="96506.06000000003"/>
        <n v="383209.48"/>
        <n v="44287.32000000001"/>
        <n v="12355.740000000005"/>
        <n v="14700.399999999994"/>
        <n v="110740.13999999998"/>
        <n v="767983.79"/>
        <n v="1107843.75"/>
        <n v="323162.47"/>
        <n v="7249.279999999999"/>
        <n v="9033.119999999999"/>
        <n v="29890.079999999998"/>
        <n v="405204.7999999998"/>
        <n v="656700.48"/>
        <n v="218409.54000000004"/>
        <n v="147049.24000000005"/>
        <n v="55561.68000000001"/>
        <n v="1218060.0"/>
        <n v="168948.96000000008"/>
        <n v="386451.25"/>
        <n v="581002.5"/>
        <n v="148292.37"/>
        <n v="918381.3400000001"/>
        <n v="734106.2400000001"/>
        <n v="680155.9199999999"/>
        <n v="7478.230000000003"/>
        <n v="138055.53999999998"/>
        <n v="7331.220000000001"/>
        <n v="592220.16"/>
        <n v="828326.26"/>
        <n v="115946.64000000004"/>
        <n v="706621.25"/>
        <n v="13154.400000000001"/>
        <n v="204289.12000000005"/>
        <n v="13700.850000000006"/>
        <n v="524875.68"/>
        <n v="346885.74"/>
        <n v="268476.66000000003"/>
        <n v="1539966.5899999999"/>
        <n v="1013438.9499999997"/>
        <n v="534810.71"/>
        <n v="842340.0"/>
        <n v="63078.48000000001"/>
        <n v="363482.8800000001"/>
        <n v="13594.809999999998"/>
        <n v="94036.80000000005"/>
        <n v="348778.8299999999"/>
        <n v="177149.13999999996"/>
        <n v="237984.24000000005"/>
        <n v="397530.72"/>
        <n v="488598.4199999999"/>
        <n v="17062.799999999996"/>
        <n v="114546.86999999997"/>
        <n v="897920.6200000003"/>
        <n v="152572.38000000006"/>
        <n v="355777.43999999994"/>
        <n v="750180.1199999999"/>
        <n v="158031.24000000005"/>
        <n v="71583.75"/>
        <n v="496224.9800000001"/>
        <n v="464232.9"/>
        <n v="6376.129999999999"/>
        <n v="241202.5"/>
        <n v="1238302.1400000001"/>
        <n v="535089.88"/>
        <n v="84777.98000000001"/>
        <n v="1779.2599999999998"/>
        <n v="591552.0600000002"/>
        <n v="1089790.0"/>
        <n v="13327.599999999991"/>
        <n v="1700448.6"/>
        <n v="889638.6399999997"/>
        <n v="6519.050000000003"/>
        <n v="148848.3"/>
        <n v="172367.64"/>
        <n v="16359.080000000002"/>
        <n v="657924.0800000001"/>
        <n v="173314.96000000002"/>
        <n v="13662.289999999994"/>
        <n v="867724.7200000002"/>
        <n v="335893.44000000006"/>
        <n v="72662.62999999999"/>
        <n v="239928.47999999998"/>
        <n v="1530229.8699999996"/>
        <n v="20318.71"/>
        <n v="193445.47999999998"/>
        <n v="803210.9400000002"/>
        <n v="195092.10000000003"/>
        <n v="3511.369999999999"/>
        <n v="223795.84999999992"/>
        <n v="677004.7799999999"/>
        <n v="175244.58000000002"/>
        <n v="906260.4400000002"/>
        <n v="17764.110000000008"/>
        <n v="30768.120000000017"/>
        <n v="83185.92000000004"/>
        <n v="467192.8699999999"/>
        <n v="10852.23"/>
        <n v="83474.85999999999"/>
        <n v="5563.3200000000015"/>
        <n v="1567959.6600000001"/>
        <n v="14966.100000000006"/>
        <n v="112995.54000000001"/>
        <n v="50331.24000000002"/>
        <n v="652881.8500000001"/>
        <n v="81197.10000000003"/>
        <n v="3349.9000000000015"/>
        <n v="700940.0"/>
        <n v="948630.56"/>
        <n v="218795.52000000008"/>
        <n v="788831.9400000002"/>
        <n v="125123.4"/>
        <n v="624382.3199999998"/>
        <n v="24194.700000000004"/>
        <n v="971840.7199999997"/>
        <n v="80173.95"/>
        <n v="762671.3099999998"/>
        <n v="477800.64"/>
        <n v="1205962.3199999998"/>
        <n v="67087.44000000003"/>
        <n v="1195530.1199999999"/>
        <n v="453226.0800000002"/>
        <n v="693393.5599999998"/>
        <n v="1000278.75"/>
        <n v="396617.42999999993"/>
        <n v="1650895.6500000004"/>
        <n v="59831.20000000001"/>
        <n v="489624.48"/>
        <n v="46461.240000000005"/>
        <n v="1650374.04"/>
        <n v="1675063.58"/>
        <n v="1176776.25"/>
        <n v="127428.54000000001"/>
        <n v="717352.5"/>
        <n v="341371.74"/>
        <n v="647536.25"/>
        <n v="793733.75"/>
        <n v="53290.98000000001"/>
        <n v="209580.80000000005"/>
        <n v="349677.06999999995"/>
        <n v="731123.3500000001"/>
        <n v="201040.44000000006"/>
        <n v="342987.07999999996"/>
        <n v="495466.3999999999"/>
        <n v="783805.96"/>
        <n v="151093.03"/>
        <n v="18795.0"/>
        <n v="267098.16000000003"/>
        <n v="453051.36000000004"/>
        <n v="719995.6699999999"/>
        <n v="354636.25"/>
        <n v="58490.04000000001"/>
        <n v="6014.4"/>
        <n v="12515.130000000005"/>
        <n v="335220.29999999993"/>
        <n v="146467.98000000004"/>
        <n v="367135.0"/>
        <n v="25335.659999999996"/>
        <n v="693273.5999999999"/>
        <n v="238771.68000000005"/>
        <n v="309314.73"/>
        <n v="92002.5"/>
        <n v="630555.8399999999"/>
        <n v="229680.56000000006"/>
        <n v="271399.08"/>
        <n v="270626.39999999997"/>
        <n v="321322.7200000001"/>
        <n v="581553.5599999999"/>
        <n v="868587.4600000002"/>
        <n v="159550.58999999997"/>
        <n v="93748.04999999999"/>
        <n v="22205.739999999998"/>
        <n v="1089643.29"/>
        <n v="710610.1799999999"/>
        <n v="1561010.87"/>
        <n v="561181.25"/>
        <n v="430027.9600000001"/>
        <n v="52429.68000000001"/>
        <n v="179479.71999999997"/>
        <n v="4418.75"/>
        <n v="359635.68000000005"/>
        <n v="114713.28000000001"/>
        <n v="1565699.35"/>
        <n v="91861.56000000003"/>
        <n v="726688.8"/>
        <n v="289861.7699999999"/>
        <n v="508718.88"/>
        <n v="568911.1999999997"/>
        <n v="311053.42999999993"/>
        <n v="600754.6200000001"/>
        <n v="728084.1599999999"/>
        <n v="10811.259999999998"/>
        <n v="77986.72"/>
        <n v="580322.88"/>
        <n v="154626.09000000003"/>
        <n v="392163.55999999994"/>
        <n v="2431.6899999999996"/>
        <n v="236971.25000000012"/>
        <n v="497963.68000000005"/>
        <n v="1663762.0299999998"/>
        <n v="192535.9800000001"/>
        <n v="599798.13"/>
        <n v="126803.60000000003"/>
        <n v="185475.94"/>
        <n v="250574.93999999994"/>
        <n v="121473.42000000004"/>
        <n v="416244.7799999999"/>
        <n v="483158.74999999977"/>
        <n v="529059.4799999999"/>
        <n v="258110.34000000008"/>
        <n v="462616.97999999986"/>
        <n v="233896.65000000002"/>
        <n v="50230.53"/>
        <n v="76307.70000000001"/>
        <n v="15358.930000000008"/>
        <n v="421692.48"/>
        <n v="314892.44"/>
        <n v="1285401.88"/>
        <n v="17703.860000000008"/>
        <n v="72270.9"/>
        <n v="26388.18"/>
        <n v="548449.9199999999"/>
        <n v="168954.52000000002"/>
        <n v="13106.380000000001"/>
        <n v="136915.38000000006"/>
        <n v="640919.9600000002"/>
        <n v="410083.11"/>
        <n v="654532.0800000001"/>
        <n v="387744.45999999996"/>
        <n v="18484.700000000004"/>
        <n v="378977.2200000001"/>
        <n v="483878.57999999996"/>
        <n v="689053.0199999999"/>
        <n v="349045.76999999996"/>
        <n v="126822.0"/>
        <n v="494350.02"/>
        <n v="884020.9200000002"/>
        <n v="18055.18"/>
        <n v="395377.17"/>
        <n v="322089.25999999995"/>
        <n v="277014.44"/>
        <n v="610040.0"/>
        <n v="78162.14000000001"/>
        <n v="1172105.0"/>
        <n v="355269.2000000002"/>
        <n v="227587.7099999999"/>
        <n v="192103.44"/>
        <n v="510469.1799999998"/>
        <n v="17737.600000000006"/>
        <n v="100145.70000000001"/>
        <n v="675046.1200000001"/>
        <n v="120811.74000000002"/>
        <n v="435491.9800000001"/>
        <n v="274236.72"/>
        <n v="72129.96000000002"/>
        <n v="219402.06000000006"/>
        <n v="908123.0100000002"/>
        <n v="417674.3999999999"/>
        <n v="1242643.54"/>
        <n v="363162.7999999998"/>
        <n v="318924.0"/>
        <n v="125530.56000000003"/>
        <n v="18937.5"/>
        <n v="124575.30000000002"/>
        <n v="315511.0800000002"/>
        <n v="986391.25"/>
        <n v="335582.04000000015"/>
        <n v="222031.60000000003"/>
        <n v="226613.21999999997"/>
        <n v="675501.1200000001"/>
        <n v="65631.06000000003"/>
        <n v="103543.92000000004"/>
        <n v="834386.2500000005"/>
        <n v="67165.0"/>
        <n v="557427.22"/>
        <n v="85092.5"/>
        <n v="72724.12000000002"/>
        <n v="34436.34000000001"/>
        <n v="6091.740000000003"/>
        <n v="440497.1999999997"/>
        <n v="84770.40000000002"/>
        <n v="311816.70000000007"/>
        <n v="129735.62"/>
        <n v="64003.24000000002"/>
        <n v="146421.0"/>
        <n v="719705.1599999998"/>
        <n v="8492.84"/>
        <n v="67773.02"/>
        <n v="849223.74"/>
        <n v="453226.43999999994"/>
        <n v="55342.44000000002"/>
        <n v="533556.76"/>
        <n v="730165.6200000001"/>
        <n v="786223.1199999996"/>
        <n v="611536.7699999999"/>
        <n v="656626.25"/>
        <n v="99613.5"/>
        <n v="541196.31"/>
        <n v="365775.22"/>
        <n v="8531.399999999998"/>
        <n v="58072.57999999999"/>
        <n v="277534.40000000014"/>
        <n v="470785.32000000007"/>
        <n v="796689.8699999999"/>
        <n v="1043220.0"/>
        <n v="634401.4800000002"/>
        <n v="12787.460000000006"/>
        <n v="84594.19999999998"/>
        <n v="42080.25"/>
        <n v="347467.51999999996"/>
        <n v="162614.33999999997"/>
        <n v="684148.75"/>
        <n v="346918.0"/>
        <n v="355393.75"/>
        <n v="534019.2000000002"/>
        <n v="721729.9400000002"/>
        <n v="19687.290000000008"/>
        <n v="23055.200000000004"/>
        <n v="59049.760000000024"/>
        <n v="56227.59999999998"/>
        <n v="956759.29"/>
        <n v="353612.82000000007"/>
        <n v="352202.26999999996"/>
        <n v="4545.260000000002"/>
        <n v="30097.060000000012"/>
        <n v="202785.52000000002"/>
        <n v="405609.12000000005"/>
        <n v="666802.1599999999"/>
        <n v="1032598.75"/>
        <n v="340712.61000000004"/>
        <n v="19923.47"/>
        <n v="266380.3999999999"/>
        <n v="817597.1099999999"/>
        <n v="73962.18000000002"/>
        <n v="321331.7"/>
        <n v="463962.4"/>
        <n v="86071.68"/>
        <n v="3263.1399999999994"/>
        <n v="142352.1"/>
        <n v="8620.640000000003"/>
        <n v="10023.190000000002"/>
        <n v="409648.31999999995"/>
        <n v="115738.86000000004"/>
        <n v="43957.619999999995"/>
        <n v="67546.50000000003"/>
        <n v="660438.45"/>
        <n v="210556.56999999995"/>
        <n v="74823.48000000001"/>
        <n v="211782.05999999994"/>
        <n v="597974.6799999999"/>
        <n v="11823.460000000006"/>
        <n v="455814.29999999993"/>
        <n v="498906.7200000001"/>
        <n v="113040.84000000003"/>
        <n v="831873.0800000001"/>
        <n v="15450.509999999995"/>
        <n v="296422.13999999996"/>
        <n v="1229170.0"/>
        <n v="13509.300000000007"/>
        <n v="154645.26"/>
        <n v="1626901.5899999999"/>
        <n v="222154.46999999997"/>
        <n v="6080.43"/>
        <n v="19133.58"/>
        <n v="165526.86"/>
        <n v="318268.0800000002"/>
        <n v="547715.88"/>
        <n v="1210160.46"/>
        <n v="328225.95"/>
        <n v="91892.88000000003"/>
        <n v="452705.23"/>
        <n v="2060.5499999999993"/>
        <n v="34140.37999999999"/>
        <n v="205523.83999999997"/>
        <n v="458265.5999999999"/>
        <n v="263348.7999999998"/>
        <n v="1325411.0100000002"/>
        <n v="477162.3999999999"/>
        <n v="223923.54000000004"/>
        <n v="84957.80999999998"/>
        <n v="107250.0"/>
        <n v="451876.31999999995"/>
        <n v="192328.32000000007"/>
        <n v="483632.9400000002"/>
        <n v="120588.48000000001"/>
        <n v="633860.64"/>
        <n v="150284.82"/>
        <n v="77109.84000000003"/>
        <n v="128255.64000000001"/>
        <n v="17633.160000000003"/>
        <n v="737173.75"/>
        <n v="1161601.5699999994"/>
        <n v="143114.40000000002"/>
        <n v="593501.25"/>
        <n v="572611.6799999999"/>
        <n v="560171.25"/>
        <n v="455924.86"/>
        <n v="434891.6000000001"/>
        <n v="60929.700000000026"/>
        <n v="174182.22999999998"/>
        <n v="481395.1999999997"/>
        <n v="277371.25"/>
        <n v="453768.74"/>
        <n v="21771.940000000002"/>
        <n v="531549.6000000002"/>
        <n v="161647.19999999995"/>
        <n v="114812.64000000001"/>
        <n v="275975.7"/>
        <n v="361447.2"/>
        <n v="624533.76"/>
        <n v="1170337.5"/>
        <n v="752071.25"/>
        <n v="517958.7300000001"/>
        <n v="436527.3599999999"/>
        <n v="581277.5999999999"/>
        <n v="355611.2899999999"/>
        <n v="264751.2"/>
        <n v="217889.7800000001"/>
        <n v="181166.55"/>
        <n v="972.4000000000005"/>
        <n v="520060.74"/>
        <n v="751542.4000000001"/>
        <n v="544783.2000000002"/>
        <n v="1630726.73"/>
        <n v="554251.6799999999"/>
        <n v="4277.75"/>
        <n v="209212.82"/>
        <n v="169881.74000000005"/>
        <n v="87238.75"/>
        <n v="394372.79999999993"/>
        <n v="531160.26"/>
        <n v="500671.6000000001"/>
        <n v="399599.2000000002"/>
        <n v="1398595.4699999997"/>
        <n v="268912.5"/>
        <n v="17398.260000000002"/>
        <n v="74240.87999999999"/>
        <n v="159080.88"/>
        <n v="82710.00000000003"/>
        <n v="173244.95999999996"/>
        <n v="120808.8"/>
        <n v="1322107.48"/>
        <n v="1785.2400000000002"/>
        <n v="111940.40000000002"/>
        <n v="801967.4699999997"/>
        <n v="249672.78000000003"/>
        <n v="289353.6"/>
        <n v="375861.2000000002"/>
        <n v="96305.58000000002"/>
        <n v="575580.2899999998"/>
        <n v="128883.58000000002"/>
        <n v="183647.06999999998"/>
        <n v="84602.56000000003"/>
        <n v="21244.149999999994"/>
        <n v="329020.3800000001"/>
        <n v="578894.8899999999"/>
        <n v="583527.5"/>
        <n v="1229053.6800000002"/>
        <n v="1003056.0299999998"/>
        <n v="670732.4199999999"/>
        <n v="799258.98"/>
        <n v="558214.7999999998"/>
        <n v="210610.3999999999"/>
        <n v="144120.06000000006"/>
        <n v="352676.79"/>
        <n v="50988.96000000002"/>
        <n v="151573.14000000007"/>
        <n v="210917.33000000002"/>
        <n v="187013.48999999996"/>
        <n v="321847.47"/>
        <n v="187685.49"/>
        <n v="31059.96"/>
        <n v="123598.75000000006"/>
        <n v="236691.70000000007"/>
        <n v="73733.76"/>
        <n v="32879.979999999996"/>
        <n v="118718.46000000002"/>
        <n v="21473.100000000006"/>
        <n v="1605863.3199999998"/>
        <n v="500946.9"/>
        <n v="404413.35"/>
        <n v="687316.2000000002"/>
        <n v="917149.8199999994"/>
        <n v="68037.9"/>
        <n v="1362300.5999999992"/>
        <n v="384903.61"/>
        <n v="371812.2299999999"/>
        <n v="239977.03999999992"/>
        <n v="343393.25000000006"/>
        <n v="333817.56000000006"/>
        <n v="948895.0"/>
        <n v="840825.0000000005"/>
        <n v="218748.74000000005"/>
        <n v="1672455.5299999998"/>
        <n v="77560.70000000001"/>
        <n v="418074.7999999998"/>
        <n v="21996.070000000007"/>
        <n v="370509.97"/>
        <n v="11948.779999999999"/>
        <n v="663159.4800000002"/>
        <n v="447025.14"/>
        <n v="76098.80999999998"/>
        <n v="34874.82000000001"/>
        <n v="658646.25"/>
        <n v="386310.83999999997"/>
        <n v="225724.26"/>
        <n v="394105.93999999994"/>
        <n v="381275.0"/>
        <n v="1381918.7600000002"/>
        <n v="290036.4000000001"/>
        <n v="279835.5000000001"/>
        <n v="128109.28999999992"/>
        <n v="205892.76000000013"/>
        <n v="1232957.5"/>
        <n v="214564.97999999998"/>
        <n v="177916.16000000003"/>
        <n v="139634.32"/>
        <n v="191032.38"/>
        <n v="162514.10000000003"/>
        <n v="9832.800000000003"/>
        <n v="705796.5299999999"/>
        <n v="337897.92000000016"/>
        <n v="562256.64"/>
        <n v="92696.94"/>
        <n v="187448.8"/>
        <n v="547485.06"/>
        <n v="169530.90000000008"/>
        <n v="149693.94000000006"/>
        <n v="238821.80000000005"/>
        <n v="315172.0"/>
        <n v="732753.8400000001"/>
        <n v="310934.4600000001"/>
        <n v="70218.12000000002"/>
        <n v="23928.890000000014"/>
        <n v="15315.480000000007"/>
        <n v="22941.9"/>
        <n v="11139.020000000004"/>
        <n v="48420.72000000003"/>
        <n v="173759.04"/>
        <n v="901.3400000000001"/>
        <n v="351858.75"/>
        <n v="285072.5"/>
        <n v="233539.2"/>
        <n v="242806.34000000008"/>
        <n v="152094.80000000005"/>
        <n v="53352.740000000005"/>
        <n v="1188.1299999999997"/>
        <n v="177332.16999999995"/>
        <n v="726254.99"/>
        <n v="114255.36000000002"/>
        <n v="1230710.9799999995"/>
        <n v="27019.640000000007"/>
        <n v="315091.82"/>
        <n v="8632.619999999999"/>
        <n v="422822.3999999999"/>
        <n v="390821.2200000001"/>
        <n v="79567.02000000005"/>
        <n v="1449728.06"/>
        <n v="77018.6"/>
        <n v="19390.79999999999"/>
        <n v="347218.39"/>
        <n v="431256.12"/>
        <n v="391362.3999999999"/>
        <n v="804843.75"/>
        <n v="1236511.5299999998"/>
        <n v="237284.63999999998"/>
        <n v="3670.4300000000003"/>
        <n v="927558.75"/>
        <n v="278507.5"/>
        <n v="452409.74"/>
        <n v="65757.44"/>
        <n v="713175.8400000001"/>
        <n v="756470.0099999998"/>
        <n v="38316.740000000005"/>
        <n v="45727.81"/>
        <n v="182982.7999999998"/>
        <n v="249121.46000000008"/>
        <n v="547798.75"/>
        <n v="30239.270000000004"/>
        <n v="9881.0"/>
        <n v="300521.1000000001"/>
        <n v="458210.79999999993"/>
        <n v="536144.9800000001"/>
        <n v="383869.2000000002"/>
        <n v="124696.0"/>
        <n v="216060.47999999998"/>
        <n v="9552.400000000001"/>
        <n v="456282.72"/>
        <n v="3508.959999999999"/>
        <n v="85053.63999999998"/>
        <n v="18887.170000000006"/>
        <n v="185418.86999999997"/>
        <n v="253340.69"/>
        <n v="186483.48000000004"/>
        <n v="1229087.03"/>
        <n v="902042.5999999999"/>
        <n v="17503.199999999997"/>
        <n v="518306.47"/>
        <n v="20774.739999999998"/>
        <n v="11339.050000000003"/>
        <n v="10539.180000000004"/>
        <n v="62898.899999999994"/>
        <n v="637181.4199999999"/>
        <n v="739320.0"/>
        <n v="269.9200000000001"/>
        <n v="510933.75"/>
        <n v="117810.18000000005"/>
        <n v="49078.44000000002"/>
        <n v="284684.3999999999"/>
        <n v="203346.0"/>
        <n v="23039.600000000006"/>
        <n v="123646.03999999998"/>
        <n v="1026538.75"/>
        <n v="88259.59999999998"/>
        <n v="19562.40000000001"/>
        <n v="568393.44"/>
        <n v="165358.5"/>
        <n v="145152.54000000004"/>
        <n v="490611.4800000001"/>
        <n v="722869.9199999999"/>
        <n v="192152.5"/>
        <n v="154642.5"/>
        <n v="470886.67000000004"/>
        <n v="884116.78"/>
        <n v="300309.41000000003"/>
        <n v="767898.1199999999"/>
        <n v="104269.74000000002"/>
        <n v="18698.04"/>
        <n v="131731.92000000004"/>
        <n v="74127.48000000001"/>
        <n v="674427.5"/>
        <n v="469627.3800000001"/>
        <n v="476142.2899999998"/>
        <n v="459870.68999999994"/>
        <n v="14944.410000000003"/>
        <n v="1287556.3699999996"/>
        <n v="1125897.5"/>
        <n v="1604266.3999999994"/>
        <n v="67983.16999999998"/>
        <n v="4166.25"/>
        <n v="221364.0"/>
        <n v="514456.7999999998"/>
        <n v="23998.78"/>
        <n v="21935.820000000007"/>
        <n v="1027360.27"/>
        <n v="508063.65"/>
        <n v="127906.24000000005"/>
        <n v="477862.1000000001"/>
        <n v="89188.54000000001"/>
        <n v="453710.3999999999"/>
        <n v="13067.020000000004"/>
        <n v="667660.8"/>
        <n v="510216.6599999999"/>
        <n v="320195.36000000004"/>
        <n v="791082.5"/>
        <n v="346541.42999999993"/>
        <n v="736625.85"/>
        <n v="32814.53999999999"/>
        <n v="299578.01"/>
        <n v="359468.3699999999"/>
        <n v="139075.38999999998"/>
        <n v="45539.28000000001"/>
        <n v="468803.38"/>
        <n v="335935.5999999996"/>
        <n v="14970.960000000006"/>
        <n v="114928.07000000004"/>
        <n v="166341.6"/>
        <n v="434149.9400000002"/>
        <n v="163183.68"/>
        <n v="741232.5299999999"/>
        <n v="982115.98"/>
        <n v="1388.8600000000001"/>
        <n v="99438.0"/>
        <n v="443020.7599999999"/>
        <n v="294567.83999999997"/>
        <n v="79053.20999999996"/>
        <n v="292733.80999999994"/>
        <n v="460175.0399999999"/>
        <n v="76419.20000000001"/>
        <n v="937534.6099999994"/>
        <n v="65837.19999999995"/>
        <n v="1531273.0899999999"/>
        <n v="300814.7999999998"/>
        <n v="328613.99999999977"/>
        <n v="852674.7000000002"/>
        <n v="696902.2000000002"/>
        <n v="1662197.2000000002"/>
        <n v="432066.95000000007"/>
        <n v="821938.0199999998"/>
        <n v="1169580.0"/>
        <n v="37809.19999999998"/>
        <n v="536593.1999999997"/>
        <n v="361798.02999999997"/>
        <n v="317985.80999999994"/>
        <n v="109662.56000000003"/>
        <n v="216167.55999999994"/>
        <n v="54605.740000000005"/>
        <n v="1273469.3199999994"/>
        <n v="457000.32000000007"/>
        <n v="146264.40000000002"/>
        <n v="17236.320000000007"/>
        <n v="849200.52"/>
        <n v="138254.7"/>
        <n v="1515766.58"/>
        <n v="4152.43"/>
        <n v="20759.739999999998"/>
        <n v="16055.419999999998"/>
        <n v="1454777.9399999995"/>
        <n v="656406.72"/>
        <n v="705758.4"/>
        <n v="28141.02000000001"/>
        <n v="720594.04"/>
        <n v="520542.72"/>
        <n v="99409.68000000005"/>
        <n v="435862.80000000005"/>
        <n v="560089.36"/>
        <n v="12671.779999999999"/>
        <n v="19847.520000000004"/>
        <n v="104606.41"/>
        <n v="482780.0"/>
        <n v="831861.25"/>
        <n v="218777.75999999998"/>
        <n v="1935.2299999999996"/>
        <n v="282595.2800000001"/>
        <n v="465436.74"/>
        <n v="7514.379999999997"/>
        <n v="236548.11000000004"/>
        <n v="458709.66000000003"/>
        <n v="844394.3499999996"/>
        <n v="4181.3499999999985"/>
        <n v="424563.9400000002"/>
        <n v="363792.0"/>
        <n v="41223.89000000001"/>
        <n v="1302112.43"/>
        <n v="603396.5399999999"/>
        <n v="870914.8299999998"/>
        <n v="846758.7500000005"/>
        <n v="409037.2000000002"/>
        <n v="32400.540000000008"/>
        <n v="473959.2000000002"/>
        <n v="163182.77999999997"/>
        <n v="175762.56"/>
        <n v="1256945.0"/>
        <n v="55968.840000000026"/>
        <n v="1432570.12"/>
        <n v="96329.58000000002"/>
        <n v="119773.67999999996"/>
        <n v="14666.580000000005"/>
        <n v="85456.80000000005"/>
        <n v="590330.2599999998"/>
        <n v="245482.88999999996"/>
        <n v="160016.28000000003"/>
        <n v="99808.53"/>
        <n v="44771.94000000002"/>
        <n v="407029.67000000004"/>
        <n v="420572.05999999994"/>
        <n v="565561.44"/>
        <n v="460280.82999999996"/>
        <n v="674619.8399999999"/>
        <n v="636538.0700000001"/>
        <n v="528627.1800000002"/>
        <n v="109595.19999999995"/>
        <n v="935512.5000000005"/>
        <n v="395254.07999999996"/>
        <n v="419579.2200000001"/>
        <n v="10813.669999999998"/>
        <n v="30988.680000000008"/>
        <n v="417374.4400000002"/>
        <n v="16889.28"/>
        <n v="18062.950000000004"/>
        <n v="180411.25"/>
        <n v="110013.4"/>
        <n v="330994.08"/>
        <n v="515007.6000000002"/>
        <n v="1742.4300000000003"/>
        <n v="172343.6000000001"/>
        <n v="11854.620000000003"/>
        <n v="1558690.6499999994"/>
        <n v="608636.3299999998"/>
        <n v="341885.0"/>
        <n v="396426.1599999999"/>
        <n v="191599.55"/>
        <n v="155394.18000000005"/>
        <n v="600812.64"/>
        <n v="159832.68"/>
        <n v="137930.24000000005"/>
        <n v="364935.99999999953"/>
        <n v="1106455.0"/>
        <n v="312899.8799999999"/>
        <n v="122604.94"/>
        <n v="1631248.3399999999"/>
        <n v="150366.78000000003"/>
        <n v="15843.339999999997"/>
        <n v="585026.8999999999"/>
        <n v="38946.549999999974"/>
        <n v="467665.92000000004"/>
        <n v="292793.4000000001"/>
        <n v="458260.67000000004"/>
        <n v="266640.0"/>
        <n v="281117.89"/>
        <n v="107193.9"/>
        <n v="80210.52000000002"/>
        <n v="1368878.5100000002"/>
        <n v="22639.540000000008"/>
        <n v="16763.960000000006"/>
        <n v="116182.32"/>
        <n v="147528.54"/>
        <n v="1262121.25"/>
        <n v="374676.54999999993"/>
        <n v="159931.19999999995"/>
        <n v="735991.71"/>
        <n v="649283.04"/>
        <n v="422708.0"/>
        <n v="40245.119999999995"/>
        <n v="115658.3999999999"/>
        <n v="351793.20000000007"/>
        <n v="531053.3400000002"/>
        <n v="953610.4199999999"/>
        <n v="124324.74000000005"/>
        <n v="264065.46000000014"/>
        <n v="161561.82000000007"/>
        <n v="261674.35000000003"/>
        <n v="20027.100000000006"/>
        <n v="596033.5199999999"/>
        <n v="194632.22999999995"/>
        <n v="629939.73"/>
        <n v="138591.0"/>
        <n v="388445.1999999997"/>
        <n v="136007.10000000003"/>
        <n v="38617.56000000001"/>
        <n v="84423.06000000003"/>
        <n v="129518.57999999996"/>
        <n v="272952.5"/>
        <n v="233759.51999999996"/>
        <n v="288867.3899999998"/>
        <n v="4034.66"/>
        <n v="60794.18999999999"/>
        <n v="1193443.68"/>
        <n v="412302.0299999999"/>
        <n v="277519.48"/>
        <n v="779633.0800000001"/>
        <n v="62213.140000000014"/>
        <n v="725197.74"/>
        <n v="533953.5399999999"/>
        <n v="157352.35"/>
        <n v="427712.52"/>
        <n v="15002.25"/>
        <n v="316095.66000000003"/>
        <n v="513541.6000000001"/>
        <n v="1192052.7199999997"/>
        <n v="22104.519999999997"/>
        <n v="342606.50999999995"/>
        <n v="147534.81000000003"/>
        <n v="15403.719999999998"/>
        <n v="556257.5"/>
        <n v="364779.26"/>
        <n v="165750.84000000003"/>
        <n v="257686.0"/>
        <n v="1654814.0499999998"/>
        <n v="392946.20000000007"/>
        <n v="366125.0"/>
        <n v="176256.0"/>
        <n v="237780.3999999999"/>
        <n v="16082.820000000003"/>
        <n v="741285.3800000001"/>
        <n v="1261948.4600000002"/>
        <n v="628074.7200000001"/>
        <n v="640380.7199999997"/>
        <n v="918555.2100000002"/>
        <n v="6752.82"/>
        <n v="530303.5"/>
        <n v="35454.240000000005"/>
        <n v="108345.56999999998"/>
        <n v="1245958.1399999992"/>
        <n v="38767.82000000001"/>
        <n v="430732.27"/>
        <n v="882737.99"/>
        <n v="973000.8299999996"/>
        <n v="64722.78"/>
        <n v="477670.38"/>
        <n v="165521.3"/>
        <n v="523480.31999999995"/>
        <n v="115100.58000000002"/>
        <n v="787548.96"/>
        <n v="559899.9700000001"/>
        <n v="9428.940000000006"/>
        <n v="130557.42000000004"/>
        <n v="781450.7200000002"/>
        <n v="423108.3999999999"/>
        <n v="507465.26"/>
        <n v="270715.59"/>
        <n v="79842.72000000003"/>
        <n v="509194.3999999999"/>
        <n v="576503.1599999999"/>
        <n v="263749.19999999995"/>
        <n v="169427.5"/>
        <n v="13389.960000000006"/>
        <n v="886321.56"/>
        <n v="77646.59999999999"/>
        <n v="153701.08000000002"/>
        <n v="31350.060000000012"/>
        <n v="4429.5"/>
        <n v="1223488.75"/>
        <n v="851430.0"/>
        <n v="477968.6300000001"/>
        <n v="19653.300000000003"/>
        <n v="343021.25"/>
        <n v="174417.60000000003"/>
        <n v="481813.32000000007"/>
        <n v="7219.26"/>
        <n v="956596.2499999995"/>
        <n v="49478.0"/>
        <n v="559816.3999999999"/>
        <n v="536136.5499999996"/>
        <n v="104922.0"/>
        <n v="691723.75"/>
        <n v="272557.99999999977"/>
        <n v="548051.25"/>
        <n v="266328.10999999987"/>
        <n v="180442.08000000002"/>
        <n v="13958.720000000001"/>
        <n v="101261.02999999997"/>
        <n v="45437.640000000014"/>
        <n v="1158784.1599999997"/>
        <n v="983276.0899999994"/>
        <n v="131277.78000000003"/>
        <n v="14291.300000000003"/>
        <n v="9495.19999999999"/>
        <n v="17601.840000000004"/>
        <n v="442041.6000000001"/>
        <n v="154319.48000000004"/>
        <n v="59463.53999999999"/>
        <n v="68841.36000000002"/>
        <n v="11006.470000000001"/>
        <n v="748379.02"/>
        <n v="200858.39999999997"/>
        <n v="501086.25"/>
        <n v="470013.3600000002"/>
        <n v="942077.5"/>
        <n v="122602.14000000004"/>
        <n v="146955.0"/>
        <n v="57566.16000000002"/>
        <n v="490607.5"/>
        <n v="437122.3999999999"/>
        <n v="399219.83999999997"/>
        <n v="1193441.25"/>
        <n v="126070.60999999999"/>
        <n v="30601.120000000003"/>
        <n v="129164.21999999997"/>
        <n v="2369.0299999999997"/>
        <n v="1200713.8499999992"/>
        <n v="463483.1000000001"/>
        <n v="725907.25"/>
        <n v="482502.58999999997"/>
        <n v="77626.62000000002"/>
        <n v="881470.5"/>
        <n v="459045.0"/>
        <n v="23174.559999999998"/>
        <n v="23668.610000000015"/>
        <n v="1425038.52"/>
        <n v="210286.02999999997"/>
        <n v="486714.7999999998"/>
        <n v="871756.2499999995"/>
        <n v="7396.290000000001"/>
        <n v="818040.0599999998"/>
        <n v="1543112.0299999993"/>
        <n v="783755.7299999999"/>
        <n v="104906.34000000005"/>
        <n v="364115.51999999996"/>
        <n v="691070.4"/>
        <n v="248133.59999999986"/>
        <n v="650795.4099999999"/>
        <n v="450568.74"/>
        <n v="1505540.33"/>
        <n v="4964.220000000001"/>
        <n v="18658.22"/>
        <n v="197222.19999999995"/>
        <n v="102559.59999999998"/>
        <n v="2955.79"/>
        <n v="300616.96"/>
        <n v="558953.0199999999"/>
        <n v="289206.72"/>
        <n v="418993.80999999994"/>
        <n v="468696.7999999998"/>
        <n v="183890.27999999997"/>
        <n v="177716.22000000003"/>
        <n v="68078.88"/>
        <n v="10167.789999999997"/>
        <n v="36264.80000000002"/>
        <n v="111293.46000000002"/>
        <n v="157479.84000000003"/>
        <n v="124905.58000000005"/>
        <n v="542034.1799999998"/>
        <n v="492048.0"/>
        <n v="1016587.8199999994"/>
        <n v="185876.63999999998"/>
        <n v="509837.88"/>
        <n v="241516.24999999988"/>
        <n v="92691.53999999998"/>
        <n v="645537.5999999999"/>
        <n v="714923.8800000001"/>
        <n v="167105.11"/>
        <n v="394048.32"/>
        <n v="62748.399999999965"/>
        <n v="107302.32000000004"/>
        <n v="248705.6000000001"/>
        <n v="163448.55"/>
        <n v="276562.0"/>
        <n v="60150.06000000001"/>
        <n v="594717.1200000001"/>
        <n v="142615.62000000005"/>
        <n v="107306.92000000004"/>
        <n v="29395.380000000005"/>
        <n v="474926.9900000001"/>
        <n v="681156.0"/>
        <n v="176069.57"/>
        <n v="155002.68000000005"/>
        <n v="73523.70000000001"/>
        <n v="98109.9"/>
        <n v="255423.97999999998"/>
        <n v="558258.59"/>
        <n v="521277.12"/>
        <n v="151061.68"/>
        <n v="677890.6799999999"/>
        <n v="626060.21"/>
        <n v="170884.13999999996"/>
        <n v="432628.4400000002"/>
        <n v="490078.18999999994"/>
        <n v="351043.5299999999"/>
        <n v="266657.04000000004"/>
        <n v="262272.96"/>
        <n v="552895.1999999997"/>
        <n v="93505.86000000002"/>
        <n v="439937.93999999994"/>
        <n v="489532.9200000003"/>
        <n v="113863.86000000002"/>
        <n v="86756.4"/>
        <n v="370255.5999999996"/>
        <n v="221717.94000000006"/>
        <n v="89966.70000000001"/>
        <n v="1601342.7000000002"/>
        <n v="414321.9600000001"/>
        <n v="43284.90000000001"/>
        <n v="1350865.2299999995"/>
        <n v="619242.1699999999"/>
        <n v="66809.96000000002"/>
        <n v="602480.1000000001"/>
        <n v="475558.2899999999"/>
        <n v="26467.20000000001"/>
        <n v="57672.08999999998"/>
        <n v="113409.72000000003"/>
        <n v="169295.48999999996"/>
        <n v="606841.5"/>
        <n v="22801.010000000002"/>
        <n v="372085.99999999953"/>
        <n v="50345.54000000001"/>
        <n v="416152.95999999996"/>
        <n v="355542.7200000001"/>
        <n v="332631.97"/>
        <n v="381295.1999999997"/>
        <n v="510779.85999999987"/>
        <n v="564850.0"/>
        <n v="79218.94"/>
        <n v="301670.94000000006"/>
        <n v="820697.7599999998"/>
        <n v="578838.9700000001"/>
        <n v="317330.70000000007"/>
        <n v="9223.740000000002"/>
        <n v="49718.87999999999"/>
        <n v="3790.9300000000003"/>
        <n v="435155.0900000001"/>
        <n v="864812.4999999995"/>
        <n v="73194.84000000003"/>
        <n v="52658.700000000026"/>
        <n v="823533.26"/>
        <n v="339081.6000000001"/>
        <n v="519657.0600000002"/>
        <n v="245788.4800000001"/>
        <n v="1237954.4000000001"/>
        <n v="64848.06000000003"/>
        <n v="423640.6200000001"/>
        <n v="279265.0"/>
        <n v="60071.76000000001"/>
        <n v="506734.80000000005"/>
        <n v="72758.39999999997"/>
        <n v="564382.1999999998"/>
        <n v="497521.43999999994"/>
        <n v="249773.02000000002"/>
        <n v="145187.5"/>
        <n v="1246621.0599999991"/>
        <n v="151754.66999999998"/>
        <n v="15332.419999999998"/>
        <n v="395547.83999999997"/>
        <n v="1081553.9799999995"/>
        <n v="188600.74"/>
        <n v="7781.889999999999"/>
        <n v="470571.0199999999"/>
        <n v="218072.12000000005"/>
        <n v="92487.96000000002"/>
        <n v="11408.940000000002"/>
        <n v="81306.72000000003"/>
        <n v="55023.640000000014"/>
        <n v="359910.9"/>
        <n v="909194.7799999998"/>
      </sharedItems>
    </cacheField>
    <cacheField name="Units Sold" numFmtId="3">
      <sharedItems containsString="0" containsBlank="1" containsNumber="1" containsInteger="1">
        <n v="650.0"/>
        <n v="1993.0"/>
        <n v="4693.0"/>
        <n v="1171.0"/>
        <n v="7648.0"/>
        <n v="2220.0"/>
        <n v="6698.0"/>
        <n v="4419.0"/>
        <n v="5247.0"/>
        <n v="7315.0"/>
        <n v="3796.0"/>
        <n v="1162.0"/>
        <n v="7290.0"/>
        <n v="7076.0"/>
        <n v="9566.0"/>
        <n v="5258.0"/>
        <n v="9025.0"/>
        <n v="4908.0"/>
        <n v="4876.0"/>
        <n v="9103.0"/>
        <n v="3015.0"/>
        <n v="486.0"/>
        <n v="22.0"/>
        <n v="3325.0"/>
        <n v="6349.0"/>
        <n v="7376.0"/>
        <n v="6813.0"/>
        <n v="3293.0"/>
        <n v="2960.0"/>
        <n v="2013.0"/>
        <n v="519.0"/>
        <n v="3771.0"/>
        <n v="8866.0"/>
        <n v="8115.0"/>
        <n v="5242.0"/>
        <n v="4041.0"/>
        <n v="1603.0"/>
        <n v="7619.0"/>
        <n v="2797.0"/>
        <n v="8302.0"/>
        <n v="5138.0"/>
        <n v="9653.0"/>
        <n v="2447.0"/>
        <n v="5762.0"/>
        <n v="6481.0"/>
        <n v="9024.0"/>
        <n v="7918.0"/>
        <n v="9968.0"/>
        <n v="3844.0"/>
        <n v="520.0"/>
        <n v="2839.0"/>
        <n v="1875.0"/>
        <n v="2.0"/>
        <n v="4364.0"/>
        <n v="1962.0"/>
        <n v="7954.0"/>
        <n v="1205.0"/>
        <n v="9188.0"/>
        <n v="8318.0"/>
        <n v="8246.0"/>
        <n v="6360.0"/>
        <n v="9014.0"/>
        <n v="3529.0"/>
        <n v="10.0"/>
        <n v="8980.0"/>
        <n v="1625.0"/>
        <n v="2980.0"/>
        <n v="4613.0"/>
        <n v="5915.0"/>
        <n v="46.0"/>
        <n v="4302.0"/>
        <n v="3065.0"/>
        <n v="888.0"/>
        <n v="2112.0"/>
        <n v="8473.0"/>
        <n v="5386.0"/>
        <n v="1525.0"/>
        <n v="1246.0"/>
        <n v="6999.0"/>
        <n v="5036.0"/>
        <n v="4119.0"/>
        <n v="85.0"/>
        <n v="2350.0"/>
        <n v="3965.0"/>
        <n v="5581.0"/>
        <n v="5669.0"/>
        <n v="691.0"/>
        <n v="8503.0"/>
        <n v="3464.0"/>
        <n v="2511.0"/>
        <n v="7486.0"/>
        <n v="9620.0"/>
        <n v="6542.0"/>
        <n v="3944.0"/>
        <n v="9293.0"/>
        <n v="8959.0"/>
        <n v="7679.0"/>
        <n v="8732.0"/>
        <n v="496.0"/>
        <n v="2089.0"/>
        <n v="2666.0"/>
        <n v="2598.0"/>
        <n v="8048.0"/>
        <n v="4529.0"/>
        <n v="6924.0"/>
        <n v="1789.0"/>
        <n v="8307.0"/>
        <n v="7962.0"/>
        <n v="8039.0"/>
        <n v="3627.0"/>
        <n v="1860.0"/>
        <n v="6443.0"/>
        <n v="9773.0"/>
        <n v="3867.0"/>
        <n v="1085.0"/>
        <n v="6078.0"/>
        <n v="9370.0"/>
        <n v="6140.0"/>
        <n v="5016.0"/>
        <n v="615.0"/>
        <n v="1767.0"/>
        <n v="1420.0"/>
        <n v="800.0"/>
        <n v="6740.0"/>
        <n v="7872.0"/>
        <n v="54.0"/>
        <n v="4375.0"/>
        <n v="2958.0"/>
        <n v="1946.0"/>
        <n v="4301.0"/>
        <n v="531.0"/>
        <n v="8159.0"/>
        <n v="7658.0"/>
        <n v="4796.0"/>
        <n v="8733.0"/>
        <n v="3911.0"/>
        <n v="7322.0"/>
        <n v="1234.0"/>
        <n v="8750.0"/>
        <n v="249.0"/>
        <n v="5598.0"/>
        <n v="1668.0"/>
        <n v="4909.0"/>
        <n v="5796.0"/>
        <n v="314.0"/>
        <n v="8863.0"/>
        <n v="1799.0"/>
        <n v="72.0"/>
        <n v="280.0"/>
        <n v="1742.0"/>
        <n v="791.0"/>
        <n v="4322.0"/>
        <n v="6641.0"/>
        <n v="356.0"/>
        <n v="2037.0"/>
        <n v="606.0"/>
        <n v="1167.0"/>
        <n v="3391.0"/>
        <n v="6302.0"/>
        <n v="9053.0"/>
        <n v="1905.0"/>
        <n v="3931.0"/>
        <n v="3086.0"/>
        <n v="833.0"/>
        <n v="7811.0"/>
        <n v="1224.0"/>
        <n v="8815.0"/>
        <n v="2303.0"/>
        <n v="8337.0"/>
        <n v="3802.0"/>
        <n v="4568.0"/>
        <n v="422.0"/>
        <n v="5967.0"/>
        <n v="8957.0"/>
        <n v="1798.0"/>
        <n v="6052.0"/>
        <n v="2758.0"/>
        <n v="1935.0"/>
        <n v="495.0"/>
        <m/>
        <n v="7633.0"/>
        <n v="8222.0"/>
        <n v="6509.0"/>
        <n v="9377.0"/>
        <n v="1504.0"/>
        <n v="3755.0"/>
        <n v="6833.0"/>
        <n v="8687.0"/>
        <n v="6801.0"/>
        <n v="6918.0"/>
        <n v="1620.0"/>
        <n v="6280.0"/>
        <n v="192.0"/>
        <n v="138.0"/>
        <n v="7929.0"/>
        <n v="6311.0"/>
        <n v="313.0"/>
        <n v="1722.0"/>
        <n v="905.0"/>
        <n v="9067.0"/>
        <n v="8566.0"/>
        <n v="8792.0"/>
        <n v="9044.0"/>
        <n v="8944.0"/>
        <n v="8651.0"/>
        <n v="8597.0"/>
        <n v="8253.0"/>
        <n v="2304.0"/>
        <n v="1785.0"/>
        <n v="614.0"/>
        <n v="8858.0"/>
        <n v="701.0"/>
        <n v="4958.0"/>
        <n v="8739.0"/>
        <n v="3851.0"/>
        <n v="2204.0"/>
        <n v="462.0"/>
        <n v="789.0"/>
        <n v="257.0"/>
        <n v="4417.0"/>
        <n v="8775.0"/>
        <n v="5119.0"/>
        <n v="3008.0"/>
        <n v="123.0"/>
        <n v="407.0"/>
        <n v="7084.0"/>
        <n v="8942.0"/>
        <n v="3961.0"/>
        <n v="1534.0"/>
        <n v="3548.0"/>
        <n v="9648.0"/>
        <n v="3064.0"/>
        <n v="3061.0"/>
        <n v="4602.0"/>
        <n v="2349.0"/>
        <n v="5282.0"/>
        <n v="9996.0"/>
        <n v="4104.0"/>
        <n v="3103.0"/>
        <n v="5509.0"/>
        <n v="3042.0"/>
        <n v="8064.0"/>
        <n v="8641.0"/>
        <n v="7404.0"/>
        <n v="5597.0"/>
        <n v="840.0"/>
        <n v="8152.0"/>
        <n v="5685.0"/>
        <n v="7147.0"/>
        <n v="6291.0"/>
        <n v="4869.0"/>
        <n v="8857.0"/>
        <n v="6115.0"/>
        <n v="3227.0"/>
        <n v="6672.0"/>
        <n v="4028.0"/>
        <n v="6592.0"/>
        <n v="5641.0"/>
        <n v="1644.0"/>
        <n v="3937.0"/>
        <n v="7069.0"/>
        <n v="4316.0"/>
        <n v="5413.0"/>
        <n v="5097.0"/>
        <n v="7080.0"/>
        <n v="1293.0"/>
        <n v="9367.0"/>
        <n v="2767.0"/>
        <n v="4016.0"/>
        <n v="8468.0"/>
        <n v="2866.0"/>
        <n v="567.0"/>
        <n v="2854.0"/>
        <n v="2670.0"/>
        <n v="101.0"/>
        <n v="9625.0"/>
        <n v="7122.0"/>
        <n v="8476.0"/>
        <n v="3383.0"/>
        <n v="71.0"/>
        <n v="6171.0"/>
        <n v="8632.0"/>
        <n v="233.0"/>
        <n v="9780.0"/>
        <n v="5368.0"/>
        <n v="2705.0"/>
        <n v="9505.0"/>
        <n v="3126.0"/>
        <n v="6788.0"/>
        <n v="3784.0"/>
        <n v="6916.0"/>
        <n v="9052.0"/>
        <n v="3504.0"/>
        <n v="1151.0"/>
        <n v="3267.0"/>
        <n v="8801.0"/>
        <n v="8431.0"/>
        <n v="2018.0"/>
        <n v="8379.0"/>
        <n v="7785.0"/>
        <n v="1457.0"/>
        <n v="3545.0"/>
        <n v="7642.0"/>
        <n v="6993.0"/>
        <n v="9454.0"/>
        <n v="7371.0"/>
        <n v="558.0"/>
        <n v="5312.0"/>
        <n v="2819.0"/>
        <n v="4503.0"/>
        <n v="3331.0"/>
        <n v="222.0"/>
        <n v="9018.0"/>
        <n v="6210.0"/>
        <n v="4509.0"/>
        <n v="3214.0"/>
        <n v="5185.0"/>
        <n v="1390.0"/>
        <n v="5552.0"/>
        <n v="9896.0"/>
        <n v="3968.0"/>
        <n v="8229.0"/>
        <n v="7990.0"/>
        <n v="7048.0"/>
        <n v="1545.0"/>
        <n v="5864.0"/>
        <n v="8609.0"/>
        <n v="6506.0"/>
        <n v="6936.0"/>
        <n v="4284.0"/>
        <n v="6876.0"/>
        <n v="4728.0"/>
        <n v="3988.0"/>
        <n v="7923.0"/>
        <n v="4477.0"/>
        <n v="9495.0"/>
        <n v="1046.0"/>
        <n v="6667.0"/>
        <n v="1854.0"/>
        <n v="9492.0"/>
        <n v="9634.0"/>
        <n v="9321.0"/>
        <n v="2311.0"/>
        <n v="5682.0"/>
        <n v="6191.0"/>
        <n v="5129.0"/>
        <n v="6287.0"/>
        <n v="3403.0"/>
        <n v="3664.0"/>
        <n v="5539.0"/>
        <n v="4205.0"/>
        <n v="3646.0"/>
        <n v="3578.0"/>
        <n v="8662.0"/>
        <n v="4508.0"/>
        <n v="869.0"/>
        <n v="750.0"/>
        <n v="4844.0"/>
        <n v="6169.0"/>
        <n v="4141.0"/>
        <n v="2809.0"/>
        <n v="2334.0"/>
        <n v="240.0"/>
        <n v="5193.0"/>
        <n v="5310.0"/>
        <n v="9353.0"/>
        <n v="2908.0"/>
        <n v="1011.0"/>
        <n v="9440.0"/>
        <n v="9528.0"/>
        <n v="1779.0"/>
        <n v="5875.0"/>
        <n v="8586.0"/>
        <n v="2396.0"/>
        <n v="4922.0"/>
        <n v="3685.0"/>
        <n v="3352.0"/>
        <n v="9212.0"/>
        <n v="9061.0"/>
        <n v="1801.0"/>
        <n v="1485.0"/>
        <n v="9214.0"/>
        <n v="6267.0"/>
        <n v="7413.0"/>
        <n v="9419.0"/>
        <n v="4445.0"/>
        <n v="4486.0"/>
        <n v="3348.0"/>
        <n v="7162.0"/>
        <n v="35.0"/>
        <n v="4897.0"/>
        <n v="1562.0"/>
        <n v="9005.0"/>
        <n v="5866.0"/>
        <n v="9895.0"/>
        <n v="1749.0"/>
        <n v="6927.0"/>
        <n v="9946.0"/>
        <n v="9914.0"/>
        <n v="3112.0"/>
        <n v="7902.0"/>
        <n v="933.0"/>
        <n v="6212.0"/>
        <n v="1009.0"/>
        <n v="1877.0"/>
        <n v="2864.0"/>
        <n v="9569.0"/>
        <n v="7683.0"/>
        <n v="9501.0"/>
        <n v="5060.0"/>
        <n v="2938.0"/>
        <n v="9999.0"/>
        <n v="2203.0"/>
        <n v="2394.0"/>
        <n v="3827.0"/>
        <n v="5972.0"/>
        <n v="4681.0"/>
        <n v="5222.0"/>
        <n v="3705.0"/>
        <n v="3045.0"/>
        <n v="6373.0"/>
        <n v="5742.0"/>
        <n v="4988.0"/>
        <n v="7756.0"/>
        <n v="7346.0"/>
        <n v="4615.0"/>
        <n v="1053.0"/>
        <n v="7468.0"/>
        <n v="6742.0"/>
        <n v="523.0"/>
        <n v="8743.0"/>
        <n v="6686.0"/>
        <n v="4629.0"/>
        <n v="6828.0"/>
        <n v="6142.0"/>
        <n v="7670.0"/>
        <n v="6873.0"/>
        <n v="5462.0"/>
        <n v="7778.0"/>
        <n v="5529.0"/>
        <n v="2300.0"/>
        <n v="5157.0"/>
        <n v="9222.0"/>
        <n v="286.0"/>
        <n v="4463.0"/>
        <n v="5102.0"/>
        <n v="4388.0"/>
        <n v="4832.0"/>
        <n v="3119.0"/>
        <n v="9284.0"/>
        <n v="6211.0"/>
        <n v="2569.0"/>
        <n v="2004.0"/>
        <n v="8086.0"/>
        <n v="7360.0"/>
        <n v="6395.0"/>
        <n v="7042.0"/>
        <n v="2191.0"/>
        <n v="4543.0"/>
        <n v="4344.0"/>
        <n v="4606.0"/>
        <n v="3979.0"/>
        <n v="5223.0"/>
        <n v="7302.0"/>
        <n v="7498.0"/>
        <n v="3600.0"/>
        <n v="8016.0"/>
        <n v="150.0"/>
        <n v="7955.0"/>
        <n v="5722.0"/>
        <n v="7813.0"/>
        <n v="6086.0"/>
        <n v="8860.0"/>
        <n v="2558.0"/>
        <n v="9198.0"/>
        <n v="4191.0"/>
        <n v="6612.0"/>
        <n v="6609.0"/>
        <n v="532.0"/>
        <n v="3206.0"/>
        <n v="674.0"/>
        <n v="2902.0"/>
        <n v="2199.0"/>
        <n v="389.0"/>
        <n v="7701.0"/>
        <n v="1482.0"/>
        <n v="5655.0"/>
        <n v="5177.0"/>
        <n v="2554.0"/>
        <n v="9350.0"/>
        <n v="8124.0"/>
        <n v="3524.0"/>
        <n v="707.0"/>
        <n v="9586.0"/>
        <n v="5116.0"/>
        <n v="3534.0"/>
        <n v="5566.0"/>
        <n v="7617.0"/>
        <n v="4744.0"/>
        <n v="6903.0"/>
        <n v="5201.0"/>
        <n v="3975.0"/>
        <n v="6109.0"/>
        <n v="5794.0"/>
        <n v="3540.0"/>
        <n v="334.0"/>
        <n v="4852.0"/>
        <n v="8538.0"/>
        <n v="8993.0"/>
        <n v="6000.0"/>
        <n v="6618.0"/>
        <n v="5306.0"/>
        <n v="1340.0"/>
        <n v="475.0"/>
        <n v="5504.0"/>
        <n v="6489.0"/>
        <n v="5419.0"/>
        <n v="6065.0"/>
        <n v="2815.0"/>
        <n v="9336.0"/>
        <n v="7529.0"/>
        <n v="8169.0"/>
        <n v="920.0"/>
        <n v="616.0"/>
        <n v="983.0"/>
        <n v="5773.0"/>
        <n v="6413.0"/>
        <n v="5579.0"/>
        <n v="1886.0"/>
        <n v="1201.0"/>
        <n v="8092.0"/>
        <n v="5523.0"/>
        <n v="6956.0"/>
        <n v="8179.0"/>
        <n v="5397.0"/>
        <n v="8267.0"/>
        <n v="4657.0"/>
        <n v="9229.0"/>
        <n v="4723.0"/>
        <n v="5090.0"/>
        <n v="4840.0"/>
        <n v="1172.0"/>
        <n v="1354.0"/>
        <n v="344.0"/>
        <n v="4159.0"/>
        <n v="5578.0"/>
        <n v="2099.0"/>
        <n v="2807.0"/>
        <n v="1225.0"/>
        <n v="7455.0"/>
        <n v="1211.0"/>
        <n v="4778.0"/>
        <n v="8451.0"/>
        <n v="6238.0"/>
        <n v="4906.0"/>
        <n v="4755.0"/>
        <n v="9048.0"/>
        <n v="1276.0"/>
        <n v="8678.0"/>
        <n v="6411.0"/>
        <n v="3346.0"/>
        <n v="9736.0"/>
        <n v="245.0"/>
        <n v="9357.0"/>
        <n v="3519.0"/>
        <n v="2523.0"/>
        <n v="347.0"/>
        <n v="2622.0"/>
        <n v="5772.0"/>
        <n v="8676.0"/>
        <n v="5868.0"/>
        <n v="7171.0"/>
        <n v="855.0"/>
        <n v="206.0"/>
        <n v="2144.0"/>
        <n v="6240.0"/>
        <n v="4604.0"/>
        <n v="7623.0"/>
        <n v="8342.0"/>
        <n v="4061.0"/>
        <n v="959.0"/>
        <n v="6153.0"/>
        <n v="3488.0"/>
        <n v="8771.0"/>
        <n v="1642.0"/>
        <n v="8631.0"/>
        <n v="5997.0"/>
        <n v="4924.0"/>
        <n v="2326.0"/>
        <n v="1126.0"/>
        <n v="5839.0"/>
        <n v="7009.0"/>
        <n v="2502.0"/>
        <n v="4701.0"/>
        <n v="7797.0"/>
        <n v="4437.0"/>
        <n v="7222.0"/>
        <n v="7603.0"/>
        <n v="1105.0"/>
        <n v="1051.0"/>
        <n v="8416.0"/>
        <n v="2197.0"/>
        <n v="2738.0"/>
        <n v="9034.0"/>
        <n v="9640.0"/>
        <n v="2826.0"/>
        <n v="1296.0"/>
        <n v="5005.0"/>
        <n v="4080.0"/>
        <n v="8504.0"/>
        <n v="9270.0"/>
        <n v="5957.0"/>
        <n v="2979.0"/>
        <n v="5944.0"/>
        <n v="7915.0"/>
        <n v="5633.0"/>
        <n v="3605.0"/>
        <n v="2273.0"/>
        <n v="2045.0"/>
        <n v="17.0"/>
        <n v="3138.0"/>
        <n v="7840.0"/>
        <n v="9880.0"/>
        <n v="9379.0"/>
        <n v="7547.0"/>
        <n v="1775.0"/>
        <n v="3314.0"/>
        <n v="6779.0"/>
        <n v="5370.0"/>
        <n v="5541.0"/>
        <n v="8753.0"/>
        <n v="6986.0"/>
        <n v="8439.0"/>
        <n v="2130.0"/>
        <n v="1111.0"/>
        <n v="1176.0"/>
        <n v="6348.0"/>
        <n v="1500.0"/>
        <n v="2359.0"/>
        <n v="1645.0"/>
        <n v="7604.0"/>
        <n v="114.0"/>
        <n v="1957.0"/>
        <n v="4839.0"/>
        <n v="9963.0"/>
        <n v="3940.0"/>
        <n v="6571.0"/>
        <n v="3843.0"/>
        <n v="3473.0"/>
        <n v="5143.0"/>
        <n v="2073.0"/>
        <n v="3376.0"/>
        <n v="3493.0"/>
        <n v="4622.0"/>
        <n v="7416.0"/>
        <n v="5769.0"/>
        <n v="6997.0"/>
        <n v="9022.0"/>
        <n v="9759.0"/>
        <n v="3682.0"/>
        <n v="5751.0"/>
        <n v="3981.0"/>
        <n v="3256.0"/>
        <n v="9679.0"/>
        <n v="3341.0"/>
        <n v="2111.0"/>
        <n v="3633.0"/>
        <n v="2973.0"/>
        <n v="492.0"/>
        <n v="979.0"/>
        <n v="9445.0"/>
        <n v="1004.0"/>
        <n v="343.0"/>
        <n v="7581.0"/>
        <n v="8910.0"/>
        <n v="9236.0"/>
        <n v="9085.0"/>
        <n v="4565.0"/>
        <n v="7170.0"/>
        <n v="5534.0"/>
        <n v="2715.0"/>
        <n v="8220.0"/>
        <n v="6097.0"/>
        <n v="4197.0"/>
        <n v="1448.0"/>
        <n v="1975.0"/>
        <n v="6054.0"/>
        <n v="7516.0"/>
        <n v="6660.0"/>
        <n v="8729.0"/>
        <n v="9619.0"/>
        <n v="3095.0"/>
        <n v="7309.0"/>
        <n v="9127.0"/>
        <n v="5869.0"/>
        <n v="5046.0"/>
        <n v="859.0"/>
        <n v="2227.0"/>
        <n v="5217.0"/>
        <n v="7006.0"/>
        <n v="1362.0"/>
        <n v="2378.0"/>
        <n v="3020.0"/>
        <n v="7948.0"/>
        <n v="5260.0"/>
        <n v="5075.0"/>
        <n v="773.0"/>
        <n v="3734.0"/>
        <n v="9766.0"/>
        <n v="2422.0"/>
        <n v="1856.0"/>
        <n v="5572.0"/>
        <n v="6485.0"/>
        <n v="7967.0"/>
        <n v="6128.0"/>
        <n v="7656.0"/>
        <n v="3699.0"/>
        <n v="7480.0"/>
        <n v="9929.0"/>
        <n v="6765.0"/>
        <n v="9559.0"/>
        <n v="9530.0"/>
        <n v="5510.0"/>
        <n v="7644.0"/>
        <n v="5639.0"/>
        <n v="2802.0"/>
        <n v="978.0"/>
        <n v="1465.0"/>
        <n v="3092.0"/>
        <n v="2366.0"/>
        <n v="374.0"/>
        <n v="2787.0"/>
        <n v="2258.0"/>
        <n v="3180.0"/>
        <n v="9689.0"/>
        <n v="2659.0"/>
        <n v="2129.0"/>
        <n v="493.0"/>
        <n v="4177.0"/>
        <n v="7296.0"/>
        <n v="7426.0"/>
        <n v="428.0"/>
        <n v="3287.0"/>
        <n v="3582.0"/>
        <n v="7392.0"/>
        <n v="4077.0"/>
        <n v="1443.0"/>
        <n v="8338.0"/>
        <n v="1220.0"/>
        <n v="339.0"/>
        <n v="1997.0"/>
        <n v="4868.0"/>
        <n v="6842.0"/>
        <n v="6375.0"/>
        <n v="7461.0"/>
        <n v="3231.0"/>
        <n v="1523.0"/>
        <n v="7347.0"/>
        <n v="2206.0"/>
        <n v="2602.0"/>
        <n v="2624.0"/>
        <n v="9711.0"/>
        <n v="8539.0"/>
        <n v="1529.0"/>
        <n v="263.0"/>
        <n v="3199.0"/>
        <n v="9941.0"/>
        <n v="4339.0"/>
        <n v="479.0"/>
        <n v="4100.0"/>
        <n v="3135.0"/>
        <n v="4780.0"/>
        <n v="5593.0"/>
        <n v="6711.0"/>
        <n v="2180.0"/>
        <n v="2942.0"/>
        <n v="167.0"/>
        <n v="6213.0"/>
        <n v="1456.0"/>
        <n v="3394.0"/>
        <n v="7837.0"/>
        <n v="2093.0"/>
        <n v="4013.0"/>
        <n v="3382.0"/>
        <n v="9410.0"/>
        <n v="306.0"/>
        <n v="2981.0"/>
        <n v="829.0"/>
        <n v="4705.0"/>
        <n v="673.0"/>
        <n v="710.0"/>
        <n v="6647.0"/>
        <n v="5856.0"/>
        <n v="112.0"/>
        <n v="4047.0"/>
        <n v="7523.0"/>
        <n v="3134.0"/>
        <n v="4977.0"/>
        <n v="3555.0"/>
        <n v="9560.0"/>
        <n v="4934.0"/>
        <n v="8131.0"/>
        <n v="1543.0"/>
        <n v="342.0"/>
        <n v="6416.0"/>
        <n v="1725.0"/>
        <n v="9269.0"/>
        <n v="5118.0"/>
        <n v="9843.0"/>
        <n v="1522.0"/>
        <n v="9875.0"/>
        <n v="7459.0"/>
        <n v="9223.0"/>
        <n v="4757.0"/>
        <n v="8668.0"/>
        <n v="1891.0"/>
        <n v="1194.0"/>
        <n v="8412.0"/>
        <n v="5342.0"/>
        <n v="8517.0"/>
        <n v="2873.0"/>
        <n v="5191.0"/>
        <n v="6201.0"/>
        <n v="7769.0"/>
        <n v="8918.0"/>
        <n v="9680.0"/>
        <n v="391.0"/>
        <n v="33.0"/>
        <n v="3870.0"/>
        <n v="8994.0"/>
        <n v="9958.0"/>
        <n v="9102.0"/>
        <n v="6199.0"/>
        <n v="5735.0"/>
        <n v="5104.0"/>
        <n v="4985.0"/>
        <n v="3559.0"/>
        <n v="7932.0"/>
        <n v="5422.0"/>
        <n v="3840.0"/>
        <n v="8082.0"/>
        <n v="5072.0"/>
        <n v="6266.0"/>
        <n v="2091.0"/>
        <n v="8315.0"/>
        <n v="198.0"/>
        <n v="1723.0"/>
        <n v="2169.0"/>
        <n v="5873.0"/>
        <n v="956.0"/>
        <n v="661.0"/>
        <n v="2265.0"/>
        <n v="2222.0"/>
        <n v="8367.0"/>
        <n v="5926.0"/>
        <n v="600.0"/>
        <n v="2548.0"/>
        <n v="4011.0"/>
        <n v="477.0"/>
        <n v="4637.0"/>
        <n v="1336.0"/>
        <n v="5657.0"/>
        <n v="8807.0"/>
        <n v="5259.0"/>
        <n v="5745.0"/>
        <n v="8895.0"/>
        <n v="7270.0"/>
        <n v="2485.0"/>
        <n v="9278.0"/>
        <n v="9264.0"/>
        <n v="9381.0"/>
        <n v="5731.0"/>
        <n v="5037.0"/>
        <n v="4376.0"/>
        <n v="8626.0"/>
        <n v="2179.0"/>
        <n v="7684.0"/>
        <n v="8288.0"/>
        <n v="9340.0"/>
        <n v="7152.0"/>
        <n v="5124.0"/>
        <n v="2190.0"/>
        <n v="9146.0"/>
        <n v="8614.0"/>
        <n v="6662.0"/>
        <n v="8778.0"/>
        <n v="8938.0"/>
        <n v="9610.0"/>
        <n v="1797.0"/>
        <n v="4348.0"/>
        <n v="7088.0"/>
        <n v="4920.0"/>
        <n v="8872.0"/>
        <n v="792.0"/>
        <n v="1657.0"/>
        <n v="3824.0"/>
        <n v="6589.0"/>
        <n v="803.0"/>
        <n v="2948.0"/>
        <n v="8441.0"/>
        <n v="3118.0"/>
        <n v="3747.0"/>
        <n v="8319.0"/>
        <n v="5095.0"/>
        <n v="1735.0"/>
        <n v="4429.0"/>
        <n v="653.0"/>
        <n v="7489.0"/>
        <n v="9558.0"/>
        <n v="5009.0"/>
        <n v="6707.0"/>
        <n v="7151.0"/>
        <n v="2069.0"/>
        <n v="8286.0"/>
        <n v="1842.0"/>
        <n v="1984.0"/>
        <n v="9956.0"/>
        <n v="3574.0"/>
        <n v="8644.0"/>
        <n v="1747.0"/>
        <n v="1352.0"/>
        <n v="153.0"/>
        <n v="1494.0"/>
        <n v="3562.0"/>
        <n v="2771.0"/>
        <n v="1581.0"/>
        <n v="2859.0"/>
        <n v="2341.0"/>
        <n v="7291.0"/>
        <n v="9186.0"/>
        <n v="3661.0"/>
        <n v="9587.0"/>
        <n v="1916.0"/>
        <n v="7410.0"/>
        <n v="5382.0"/>
        <n v="4377.0"/>
        <n v="4487.0"/>
        <n v="562.0"/>
        <n v="4354.0"/>
        <n v="7008.0"/>
        <n v="7495.0"/>
        <n v="1429.0"/>
        <n v="4390.0"/>
        <n v="4507.0"/>
        <n v="723.0"/>
        <n v="3013.0"/>
        <n v="757.0"/>
        <n v="9405.0"/>
        <n v="9641.0"/>
        <n v="2708.0"/>
        <n v="2392.0"/>
        <n v="3035.0"/>
        <n v="9923.0"/>
        <n v="8181.0"/>
        <n v="6378.0"/>
        <n v="6380.0"/>
        <n v="8764.0"/>
        <n v="3532.0"/>
        <n v="1279.0"/>
        <n v="9382.0"/>
        <n v="2727.0"/>
        <n v="6574.0"/>
        <n v="3530.0"/>
        <n v="235.0"/>
        <n v="6368.0"/>
        <n v="7259.0"/>
        <n v="4453.0"/>
        <n v="1210.0"/>
        <n v="5122.0"/>
        <n v="7873.0"/>
        <n v="9394.0"/>
        <n v="1212.0"/>
        <n v="1539.0"/>
        <n v="9997.0"/>
        <n v="5935.0"/>
        <n v="2796.0"/>
        <n v="4233.0"/>
        <n v="8841.0"/>
        <n v="7390.0"/>
        <n v="548.0"/>
        <n v="2022.0"/>
        <n v="9631.0"/>
        <n v="5754.0"/>
        <n v="7939.0"/>
        <n v="4789.0"/>
        <n v="6447.0"/>
        <n v="1505.0"/>
        <n v="8310.0"/>
        <n v="6728.0"/>
        <n v="3801.0"/>
        <n v="8850.0"/>
        <n v="6791.0"/>
        <n v="8685.0"/>
        <n v="2466.0"/>
        <n v="5391.0"/>
        <n v="1462.0"/>
        <n v="2162.0"/>
        <n v="3183.0"/>
        <n v="1743.0"/>
        <n v="161.0"/>
        <n v="963.0"/>
        <n v="6864.0"/>
        <n v="6531.0"/>
        <n v="4396.0"/>
        <n v="4484.0"/>
        <n v="649.0"/>
        <n v="8186.0"/>
        <n v="8458.0"/>
        <n v="4828.0"/>
        <n v="6225.0"/>
        <n v="1818.0"/>
        <n v="8978.0"/>
        <n v="6856.0"/>
        <n v="9172.0"/>
        <n v="5427.0"/>
        <n v="2337.0"/>
        <n v="244.0"/>
        <n v="4406.0"/>
        <n v="2098.0"/>
        <n v="3006.0"/>
        <n v="4505.0"/>
        <n v="9985.0"/>
        <n v="2260.0"/>
        <n v="2900.0"/>
        <n v="2400.0"/>
        <n v="4157.0"/>
        <n v="1027.0"/>
        <n v="7733.0"/>
        <n v="7258.0"/>
        <n v="6552.0"/>
        <n v="3864.0"/>
        <n v="5283.0"/>
        <n v="3050.0"/>
        <n v="2264.0"/>
        <n v="1223.0"/>
        <n v="7518.0"/>
        <n v="1547.0"/>
        <n v="2599.0"/>
        <n v="5077.0"/>
        <n v="5871.0"/>
        <n v="4133.0"/>
        <n v="4983.0"/>
        <n v="6605.0"/>
        <n v="7128.0"/>
        <n v="4593.0"/>
        <n v="4752.0"/>
        <n v="8869.0"/>
        <n v="171.0"/>
        <n v="7397.0"/>
        <n v="3062.0"/>
        <n v="1557.0"/>
        <n v="8902.0"/>
        <n v="9132.0"/>
        <n v="4611.0"/>
        <n v="1342.0"/>
        <n v="5556.0"/>
        <n v="9246.0"/>
        <n v="810.0"/>
        <n v="884.0"/>
        <n v="1251.0"/>
        <n v="50.0"/>
        <n v="9691.0"/>
        <n v="6744.0"/>
        <n v="2749.0"/>
        <n v="1255.0"/>
        <n v="2717.0"/>
        <n v="6960.0"/>
        <n v="8738.0"/>
        <n v="461.0"/>
        <n v="7577.0"/>
        <n v="865.0"/>
        <n v="9787.0"/>
        <n v="3235.0"/>
        <n v="6700.0"/>
        <n v="5479.0"/>
        <n v="4765.0"/>
        <n v="4341.0"/>
        <n v="1607.0"/>
        <n v="2457.0"/>
        <n v="5792.0"/>
        <n v="611.0"/>
        <n v="474.0"/>
        <n v="6992.0"/>
        <n v="5933.0"/>
        <n v="8383.0"/>
        <n v="5930.0"/>
        <n v="166.0"/>
        <n v="1124.0"/>
        <n v="7728.0"/>
        <n v="6158.0"/>
        <n v="4567.0"/>
        <n v="7807.0"/>
        <n v="2735.0"/>
        <n v="3969.0"/>
        <n v="8524.0"/>
        <n v="7462.0"/>
        <n v="7829.0"/>
        <n v="1164.0"/>
        <n v="1044.0"/>
        <n v="3886.0"/>
        <n v="5436.0"/>
        <n v="9453.0"/>
        <n v="176.0"/>
        <n v="1458.0"/>
        <n v="7245.0"/>
        <n v="4835.0"/>
        <n v="4175.0"/>
        <n v="7643.0"/>
        <n v="4957.0"/>
        <n v="9950.0"/>
        <n v="3636.0"/>
        <n v="9616.0"/>
        <n v="9821.0"/>
        <n v="8196.0"/>
        <n v="8509.0"/>
        <n v="6905.0"/>
        <n v="3069.0"/>
        <n v="9234.0"/>
        <n v="9311.0"/>
        <n v="8847.0"/>
        <n v="6699.0"/>
        <n v="4338.0"/>
        <n v="3743.0"/>
        <n v="5086.0"/>
        <n v="8659.0"/>
        <n v="317.0"/>
        <n v="7742.0"/>
        <n v="7870.0"/>
        <n v="1793.0"/>
        <n v="3136.0"/>
        <n v="8854.0"/>
        <n v="3938.0"/>
        <n v="6637.0"/>
        <n v="8194.0"/>
        <n v="7338.0"/>
        <n v="3223.0"/>
        <n v="927.0"/>
        <n v="4219.0"/>
        <n v="634.0"/>
        <n v="1161.0"/>
        <n v="2856.0"/>
        <n v="1303.0"/>
        <n v="6134.0"/>
        <n v="2531.0"/>
        <n v="8076.0"/>
        <n v="1913.0"/>
        <n v="5919.0"/>
        <n v="8790.0"/>
        <n v="7458.0"/>
        <n v="2647.0"/>
        <n v="4448.0"/>
        <n v="1097.0"/>
        <n v="6852.0"/>
        <n v="1845.0"/>
        <n v="3841.0"/>
        <n v="8098.0"/>
        <n v="9107.0"/>
        <n v="4282.0"/>
        <n v="1173.0"/>
        <n v="9275.0"/>
        <n v="2789.0"/>
        <n v="9898.0"/>
        <n v="4695.0"/>
        <n v="3915.0"/>
        <n v="4046.0"/>
        <n v="8843.0"/>
        <n v="7098.0"/>
        <n v="6028.0"/>
        <n v="7652.0"/>
        <n v="9917.0"/>
        <n v="6819.0"/>
        <n v="7846.0"/>
        <n v="7763.0"/>
        <n v="2019.0"/>
        <n v="4836.0"/>
        <n v="2736.0"/>
        <n v="9666.0"/>
        <n v="5971.0"/>
        <n v="4966.0"/>
        <n v="8878.0"/>
        <n v="7271.0"/>
        <n v="5540.0"/>
        <n v="6473.0"/>
        <n v="4021.0"/>
        <n v="9210.0"/>
        <n v="7514.0"/>
        <n v="785.0"/>
        <n v="8151.0"/>
        <n v="9809.0"/>
        <n v="6285.0"/>
        <n v="7533.0"/>
        <n v="480.0"/>
        <n v="651.0"/>
        <n v="7242.0"/>
        <n v="1911.0"/>
        <n v="6850.0"/>
        <n v="9461.0"/>
        <n v="6505.0"/>
        <n v="2009.0"/>
        <n v="6448.0"/>
        <n v="5269.0"/>
        <n v="6666.0"/>
        <n v="3082.0"/>
        <n v="478.0"/>
        <n v="5471.0"/>
        <n v="9169.0"/>
        <n v="5755.0"/>
        <n v="589.0"/>
        <n v="677.0"/>
        <n v="1573.0"/>
        <n v="6893.0"/>
        <n v="4674.0"/>
        <n v="955.0"/>
        <n v="8591.0"/>
        <n v="5928.0"/>
        <n v="5421.0"/>
        <n v="9808.0"/>
        <n v="7120.0"/>
        <n v="2212.0"/>
        <n v="3836.0"/>
        <n v="5720.0"/>
        <n v="1272.0"/>
        <n v="8940.0"/>
        <n v="5616.0"/>
        <n v="9967.0"/>
        <n v="1150.0"/>
        <n v="7522.0"/>
        <n v="1713.0"/>
        <n v="6362.0"/>
        <n v="6526.0"/>
        <n v="1138.0"/>
        <n v="3229.0"/>
        <n v="7454.0"/>
        <n v="8702.0"/>
        <n v="5906.0"/>
        <n v="4734.0"/>
        <n v="5192.0"/>
        <n v="574.0"/>
        <n v="2070.0"/>
        <n v="5486.0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331" sheet="metricas_receita"/>
  </cacheSource>
  <cacheFields>
    <cacheField name="Country Code" numFmtId="0">
      <sharedItems>
        <s v="NOR"/>
        <s v="SRB"/>
        <s v="Desconhecido"/>
        <s v="MNE"/>
        <s v="SVK"/>
        <s v="FRA"/>
        <s v="ESP"/>
        <s v="HRV"/>
        <s v="DEU"/>
        <s v="ARM"/>
        <s v="GEO"/>
        <s v="GBR"/>
        <s v="SVN"/>
        <s v="ROU"/>
        <s v="POL"/>
        <s v="LUX"/>
        <s v="CYP"/>
        <s v="BEL"/>
        <s v="LTU"/>
        <s v="RUS"/>
        <s v="MLT"/>
        <s v="UKR"/>
        <s v="CZE"/>
        <s v="PRT"/>
        <s v="BLR"/>
        <s v="EST"/>
        <s v="AUT"/>
        <s v="MKD"/>
        <s v="SMR"/>
        <s v="NLD"/>
        <s v="CHE"/>
        <s v="HUN"/>
        <s v="LVA"/>
        <s v="BGR"/>
        <s v="ITA"/>
        <s v="IRL"/>
        <s v="AND"/>
        <s v="LIE"/>
        <s v="FIN"/>
        <s v="ALB"/>
        <s v="SWE"/>
        <s v="BIH"/>
        <s v="DNK"/>
        <s v="MCO"/>
        <s v="ISL"/>
        <s v="GRC"/>
      </sharedItems>
    </cacheField>
    <cacheField name="receita_total" numFmtId="164">
      <sharedItems containsSemiMixedTypes="0" containsString="0" containsNumber="1">
        <n v="133705.0"/>
        <n v="409960.1"/>
        <n v="3136191.11"/>
        <n v="127966.88"/>
        <n v="362897.60000000003"/>
        <n v="1445686.2000000002"/>
        <n v="62492.340000000004"/>
        <n v="680791.14"/>
        <n v="1339454.16"/>
        <n v="1504695.5"/>
        <n v="2536752.92"/>
        <n v="490236.18"/>
        <n v="68015.7"/>
        <n v="1806361.28"/>
        <n v="1045372.48"/>
        <n v="3513763.6599999997"/>
        <n v="2303902.0"/>
        <n v="536346.24"/>
        <n v="1244745.28"/>
        <n v="3840464.67"/>
        <n v="28129.95"/>
        <n v="124066.08"/>
        <n v="14326.62"/>
        <n v="1453690.0"/>
        <n v="59236.17"/>
        <n v="4803324.96"/>
        <n v="63565.29"/>
        <n v="502445.94000000006"/>
        <n v="608872.0"/>
        <n v="307143.54000000004"/>
        <n v="42417.87"/>
        <n v="308203.83"/>
        <n v="82719.78"/>
        <n v="75712.95"/>
        <n v="248732.90000000002"/>
        <n v="191745.45"/>
        <n v="76062.35"/>
        <n v="361521.55000000005"/>
        <n v="714018.16"/>
        <n v="1707721.4"/>
        <n v="243798.1"/>
        <n v="1472854.7400000002"/>
        <n v="503347.89999999997"/>
        <n v="1470923.36"/>
        <n v="998462.86"/>
        <n v="84193.92"/>
        <n v="2021307.04"/>
        <n v="2544631.04"/>
        <n v="2568829.88"/>
        <n v="338629.2"/>
        <n v="134710.55000000002"/>
        <n v="153243.75"/>
        <n v="1336.54"/>
        <n v="672317.84"/>
        <n v="1277674.02"/>
        <n v="650080.42"/>
        <n v="98484.65000000001"/>
        <n v="4016993.6"/>
        <n v="679830.14"/>
        <n v="1270378.76"/>
        <n v="695020.8"/>
        <n v="427714.30000000005"/>
        <n v="538454.8200000001"/>
        <n v="6512.1"/>
        <n v="981334.4"/>
        <n v="710450.0"/>
        <n v="459098.8"/>
        <n v="2016803.5999999999"/>
        <n v="483432.95"/>
        <n v="11742.88"/>
        <n v="470122.56"/>
        <n v="2048247.55"/>
        <n v="8285.04"/>
        <n v="1411386.24"/>
        <n v="5662251.71"/>
        <n v="1107900.2"/>
        <n v="389302.0"/>
        <n v="811407.66"/>
        <n v="1078265.94"/>
        <n v="2201739.1999999997"/>
        <n v="1800826.8"/>
        <n v="55352.850000000006"/>
        <n v="1570434.5"/>
        <n v="2582047.6500000004"/>
        <n v="2440013.1999999997"/>
        <n v="1447182.32"/>
        <n v="291525.99"/>
        <n v="929207.84"/>
        <n v="1302.42"/>
        <n v="32319.12"/>
        <n v="1097809.2"/>
        <n v="69844.38"/>
        <n v="1051273.6"/>
        <n v="1670041.76"/>
        <n v="601775.52"/>
        <n v="86703.69"/>
        <n v="3779712.51"/>
        <n v="5000641.59"/>
        <n v="713666.36"/>
        <n v="216851.19999999998"/>
        <n v="881328.21"/>
        <n v="291340.48"/>
        <n v="123275.1"/>
        <n v="1227963.84"/>
        <n v="2949330.0900000003"/>
        <n v="2921166.36"/>
        <n v="195501.92"/>
        <n v="5409601.470000001"/>
        <n v="5184934.0200000005"/>
        <n v="2052195.92"/>
        <n v="1530195.03"/>
        <n v="784715.4"/>
        <n v="60113.19"/>
        <n v="1067993.44"/>
        <n v="795441.8999999999"/>
        <n v="276978.8"/>
        <n v="2657301.6"/>
        <n v="6261689.899999999"/>
        <n v="1262998.0"/>
        <n v="548148.48"/>
        <n v="259462.35"/>
        <n v="1180833.09"/>
        <n v="620824.0"/>
        <n v="37960.0"/>
        <n v="1038364.4"/>
        <n v="5126325.12"/>
        <n v="503.82"/>
        <n v="2849043.75"/>
        <n v="451331.64"/>
        <n v="850791.2"/>
        <n v="470013.28"/>
        <n v="135553.68"/>
        <n v="1256975.54"/>
        <n v="5117611.66"/>
        <n v="391977.08"/>
        <n v="81478.89"/>
        <n v="602528.66"/>
        <n v="4768159.62"/>
        <n v="539504.7999999999"/>
        <n v="64600.92"/>
        <n v="956200.0"/>
        <n v="162151.29"/>
        <n v="854142.8400000001"/>
        <n v="79146.6"/>
        <n v="536455.52"/>
        <n v="275020.2"/>
        <n v="2929.62"/>
        <n v="420549.35000000003"/>
        <n v="786522.7999999999"/>
        <n v="48115.44"/>
        <n v="57596.0"/>
        <n v="142373.66"/>
        <n v="201926.48"/>
        <n v="353237.06"/>
        <n v="1366053.7"/>
        <n v="237904.12"/>
        <n v="310805.46"/>
        <n v="255665.34"/>
        <n v="2120610.96"/>
        <n v="779871.09"/>
        <n v="2208253.1100000003"/>
        <n v="961559.16"/>
        <n v="3957971.6"/>
        <n v="486308.4"/>
        <n v="808606.7"/>
        <n v="2009634.06"/>
        <n v="128331.98"/>
        <n v="3414969.1999999997"/>
        <n v="535132.7999999999"/>
        <n v="5740416.15"/>
        <n v="473727.1"/>
        <n v="3644936.4"/>
        <n v="415482.56"/>
        <n v="2974727.2800000003"/>
        <n v="64388.76"/>
        <n v="3885770.0700000003"/>
        <n v="425009.65"/>
        <n v="758558.22"/>
        <n v="923414.16"/>
        <n v="420815.64"/>
        <n v="158147.55000000002"/>
        <n v="772764.96"/>
        <n v="208835.55"/>
        <n v="0.0"/>
        <n v="4970685.930000001"/>
        <n v="390133.9"/>
        <n v="1661617.52"/>
        <n v="3956062.53"/>
        <n v="309372.8"/>
        <n v="410346.4"/>
        <n v="1744328.24"/>
        <n v="412198.15"/>
        <n v="63453.33"/>
        <n v="4505070.78"/>
        <n v="708264.0"/>
        <n v="2649469.1999999997"/>
        <n v="29579.52"/>
        <n v="60333.6"/>
        <n v="376231.05000000005"/>
        <n v="689666.08"/>
        <n v="34204.64"/>
        <n v="752858.4"/>
        <n v="604784.35"/>
        <n v="5904521.07"/>
        <n v="936092.48"/>
        <n v="3843862.4"/>
        <n v="989311.84"/>
        <n v="5889543.24"/>
        <n v="424392.80000000005"/>
        <n v="707046.23"/>
        <n v="5598452.37"/>
        <n v="5374436.13"/>
        <n v="1539694.08"/>
        <n v="84698.25"/>
        <n v="5728.62"/>
        <n v="5768418.180000001"/>
        <n v="144195.69999999998"/>
        <n v="235257.1"/>
        <n v="414665.55000000005"/>
        <n v="314742.23000000004"/>
        <n v="963588.7999999999"/>
        <n v="117939.36"/>
        <n v="37438.05"/>
        <n v="108425.73"/>
        <n v="361164.87"/>
        <n v="1931112.4"/>
        <n v="5714367.75"/>
        <n v="788633.14"/>
        <n v="28064.64"/>
        <n v="13441.44"/>
        <n v="44476.96"/>
        <n v="2988668.76"/>
        <n v="977181.76"/>
        <n v="604369.38"/>
        <n v="391599.52"/>
        <n v="168352.6"/>
        <n v="6282874.08"/>
        <n v="467505.12000000005"/>
        <n v="1993353.81"/>
        <n v="2996868.4200000004"/>
        <n v="361886.94"/>
        <n v="2309290.4"/>
        <n v="1092362.8800000001"/>
        <n v="2742580.08"/>
        <n v="28950.99"/>
        <n v="450250.57"/>
        <n v="28381.86"/>
        <n v="881233.92"/>
        <n v="2205874.48"/>
        <n v="351319.80000000005"/>
        <n v="3644822.37"/>
        <n v="39858.0"/>
        <n v="666262.9600000001"/>
        <n v="53041.05"/>
        <n v="781024.16"/>
        <n v="959880.78"/>
        <n v="742912.02"/>
        <n v="3872280.4"/>
        <n v="4086471.05"/>
        <n v="2156507.29"/>
        <n v="4344873.12"/>
        <n v="191128.6"/>
        <n v="1005807.3600000001"/>
        <n v="52630.53"/>
        <n v="693587.16"/>
        <n v="809840.8999999999"/>
        <n v="577749.37"/>
        <n v="658535.28"/>
        <n v="591532.64"/>
        <n v="1301162.16"/>
        <n v="66056.4"/>
        <n v="265970.1"/>
        <n v="2391207.7600000002"/>
        <n v="422188.86000000004"/>
        <n v="826091.2"/>
        <n v="1741867.5999999999"/>
        <n v="437294.28"/>
        <n v="369236.07"/>
        <n v="1247768.8"/>
        <n v="1167324.0"/>
        <n v="15560.06"/>
        <n v="786651.25"/>
        <n v="3113738.4"/>
        <n v="1305812.56"/>
        <n v="276492.59"/>
        <n v="5802.83"/>
        <n v="1575332.8800000001"/>
        <n v="5621244.720000001"/>
        <n v="98300.37"/>
        <n v="4275816.0"/>
        <n v="3587273.36"/>
        <n v="25237.65"/>
        <n v="451012.25"/>
        <n v="476965.08"/>
        <n v="63332.04"/>
        <n v="1654364.8"/>
        <n v="565244.68"/>
        <n v="52891.77"/>
        <n v="2310794.56"/>
        <n v="894501.12"/>
        <n v="177323.06"/>
        <n v="357017.76"/>
        <n v="3847797.1999999997"/>
        <n v="78661.23"/>
        <n v="515155.04"/>
        <n v="2138991.12"/>
        <n v="636268.05"/>
        <n v="13593.81"/>
        <n v="546142.7"/>
        <n v="1571959.4"/>
        <n v="571537.89"/>
        <n v="2413417.12"/>
        <n v="68771.43000000001"/>
        <n v="85139.64000000001"/>
        <n v="252054.40000000002"/>
        <n v="1883853.13"/>
        <n v="42012.99"/>
        <n v="272242.63"/>
        <n v="18144.06"/>
        <n v="3942669.6"/>
        <n v="57939.3"/>
        <n v="368520.57"/>
        <n v="152504.30000000002"/>
        <n v="1641686.0"/>
        <n v="246028.25000000003"/>
        <n v="12968.7"/>
        <n v="3615517.9200000004"/>
        <n v="2526250.88"/>
        <n v="605437.4400000001"/>
        <n v="2100699.12"/>
        <n v="379125.5"/>
        <n v="1449773.5999999999"/>
        <n v="73310.25"/>
        <n v="3918735.28"/>
        <n v="186158.5"/>
        <n v="1770871.2999999998"/>
        <n v="710975.68"/>
        <n v="3032419.1999999997"/>
        <n v="203275.80000000002"/>
        <n v="3006187.1999999997"/>
        <n v="1206963.84"/>
        <n v="1743553.5999999999"/>
        <n v="5159536.83"/>
        <n v="920918.8999999999"/>
        <n v="4151214.0"/>
        <n v="441296.94"/>
        <n v="728569.76"/>
        <n v="151527.42"/>
        <n v="4149902.4"/>
        <n v="4211984.8"/>
        <n v="6069928.41"/>
        <n v="352612.38"/>
        <n v="3700175.22"/>
        <n v="944622.78"/>
        <n v="3340056.0900000003"/>
        <n v="4094157.27"/>
        <n v="161472.35"/>
        <n v="1545804.96"/>
        <n v="853338.34"/>
        <n v="1838426.0"/>
        <n v="556306.68"/>
        <n v="913391.84"/>
        <n v="3654411.1799999997"/>
        <n v="1970897.5999999999"/>
        <n v="379926.8"/>
        <n v="61297.5"/>
        <n v="739097.52"/>
        <n v="674148.3200000001"/>
        <n v="1810445.2"/>
        <n v="1829248.8900000001"/>
        <n v="190757.82"/>
        <n v="19615.2"/>
        <n v="48450.69"/>
        <n v="818058.6"/>
        <n v="443799.85000000003"/>
        <n v="1893718.6800000002"/>
        <n v="82629.03"/>
        <n v="1031603.2"/>
        <n v="778723.4400000001"/>
        <n v="777778.7999999999"/>
        <n v="278768.75"/>
        <n v="938278.08"/>
        <n v="611650.88"/>
        <n v="750998.76"/>
        <n v="402696.8"/>
        <n v="855698.56"/>
        <n v="1419200.72"/>
        <n v="2313092.08"/>
        <n v="370465.69999999995"/>
        <n v="228779.1"/>
        <n v="85966.62"/>
        <n v="2739932.4"/>
        <n v="1892390.64"/>
        <n v="6294435.13"/>
        <n v="2894628.45"/>
        <n v="1145186.08"/>
        <n v="158862.6"/>
        <n v="585350.26"/>
        <n v="22792.350000000002"/>
        <n v="535144.16"/>
        <n v="170695.36000000002"/>
        <n v="3936986.0"/>
        <n v="278341.7"/>
        <n v="1081325.6"/>
        <n v="1168804.23"/>
        <n v="756982.56"/>
        <n v="4196117.9399999995"/>
        <n v="782150.7999999999"/>
        <n v="1599839.76"/>
        <n v="1083401.92"/>
        <n v="41854.38"/>
        <n v="254343.76"/>
        <n v="863530.56"/>
        <n v="623495.91"/>
        <n v="957020.72"/>
        <n v="9413.97"/>
        <n v="1222321.1700000002"/>
        <n v="1252140.8"/>
        <n v="4183566.8"/>
        <n v="627931.5900000001"/>
        <n v="1463724.06"/>
        <n v="413553.80000000005"/>
        <n v="452628.28"/>
        <n v="817218.27"/>
        <n v="336133.74000000005"/>
        <n v="1046656.7999999999"/>
        <n v="2492180.67"/>
        <n v="1228440.4"/>
        <n v="714226.9800000001"/>
        <n v="1074165.4"/>
        <n v="570792.3"/>
        <n v="116631.9"/>
        <n v="248867.85"/>
        <n v="59460.090000000004"/>
        <n v="627485.76"/>
        <n v="768451.28"/>
        <n v="5183102.12"/>
        <n v="68538.18000000001"/>
        <n v="218981.75"/>
        <n v="86061.69"/>
        <n v="816103.04"/>
        <n v="551023.66"/>
        <n v="42744.79"/>
        <n v="414855.35000000003"/>
        <n v="1706802.08"/>
        <n v="952185.2999999999"/>
        <n v="1743051.84"/>
        <n v="946236.52"/>
        <n v="71561.1"/>
        <n v="1048682.34"/>
        <n v="1123533.4"/>
        <n v="1599934.5999999999"/>
        <n v="851797.74"/>
        <n v="350934.0"/>
        <n v="1316478.96"/>
        <n v="2354192.16"/>
        <n v="44061.16"/>
        <n v="918039.1"/>
        <n v="786014.12"/>
        <n v="676015.28"/>
        <n v="3146646.72"/>
        <n v="254915.87000000002"/>
        <n v="6045833.640000001"/>
        <n v="2620358.79"/>
        <n v="528443.2999999999"/>
        <n v="511581.12"/>
        <n v="1245729.16"/>
        <n v="68668.8"/>
        <n v="303442.75"/>
        <n v="1797681.76"/>
        <n v="334302.78"/>
        <n v="1159737.04"/>
        <n v="669236.64"/>
        <n v="218554.7"/>
        <n v="607115.8200000001"/>
        <n v="2283495.6"/>
        <n v="3080640.78"/>
        <n v="5010688.46"/>
        <n v="2678579.61"/>
        <n v="740520.0"/>
        <n v="380359.2"/>
        <n v="97681.5"/>
        <n v="377464.75"/>
        <n v="873062.7600000001"/>
        <n v="5087903.73"/>
        <n v="928601.8800000001"/>
        <n v="724127.8"/>
        <n v="526180.6"/>
        <n v="1005157.4400000001"/>
        <n v="198862.95"/>
        <n v="313739.4"/>
        <n v="4303846.890000001"/>
        <n v="346443.72000000003"/>
        <n v="1401663.2"/>
        <n v="438915.54000000004"/>
        <n v="237180.46000000002"/>
        <n v="104342.55"/>
        <n v="18458.050000000003"/>
        <n v="3248974.8899999997"/>
        <n v="625240.98"/>
        <n v="862839.9"/>
        <n v="423116.21"/>
        <n v="208738.42"/>
        <n v="443657.5"/>
        <n v="1671106.7999999998"/>
        <n v="32878.92"/>
        <n v="180482.96"/>
        <n v="1971840.2"/>
        <n v="1052361.2"/>
        <n v="167688.30000000002"/>
        <n v="1420888.48"/>
        <n v="1944467.76"/>
        <n v="3170272.88"/>
        <n v="1419947.0999999999"/>
        <n v="3386943.21"/>
        <n v="324876.75"/>
        <n v="1256621.3"/>
        <n v="892623.64"/>
        <n v="33028.2"/>
        <n v="146024.8"/>
        <n v="2047010.28"/>
        <n v="1302728.04"/>
        <n v="1849860.0999999999"/>
        <n v="2623200.0"/>
        <n v="1689443.04"/>
        <n v="49504.98"/>
        <n v="206440.4"/>
        <n v="97707.5"/>
        <n v="847946.24"/>
        <n v="530345.97"/>
        <n v="3528906.99"/>
        <n v="2558762.85"/>
        <n v="1833156.1500000001"/>
        <n v="3938765.04"/>
        <n v="1922003.12"/>
        <n v="76216.77"/>
        <n v="75191.6"/>
        <n v="157252.48"/>
        <n v="414717.87"/>
        <n v="3857922.71"/>
        <n v="978495.54"/>
        <n v="859500.74"/>
        <n v="17596.38"/>
        <n v="98157.73000000001"/>
        <n v="661359.16"/>
        <n v="603553.4400000001"/>
        <n v="1775727.68"/>
        <n v="5326246.59"/>
        <n v="831461.8200000001"/>
        <n v="77131.11"/>
        <n v="1964741.73"/>
        <n v="1898405.2999999998"/>
        <n v="224106.35"/>
        <n v="784165.4"/>
        <n v="1235555.2"/>
        <n v="128076.16"/>
        <n v="12632.82"/>
        <n v="379090.8"/>
        <n v="28115.120000000003"/>
        <n v="38803.47"/>
        <n v="609563.84"/>
        <n v="320265.42000000004"/>
        <n v="133192.15"/>
        <n v="186910.50000000003"/>
        <n v="1533493.5"/>
        <n v="529449.2"/>
        <n v="226716.1"/>
        <n v="690700.23"/>
        <n v="1592436.64"/>
        <n v="45772.98"/>
        <n v="1213856.4"/>
        <n v="1380543.84"/>
        <n v="262473.2"/>
        <n v="2215319.84"/>
        <n v="59814.63"/>
        <n v="688272.2"/>
        <n v="6340180.5600000005"/>
        <n v="37382.100000000006"/>
        <n v="504355.83"/>
        <n v="4090880.4"/>
        <n v="542137.14"/>
        <n v="23539.59"/>
        <n v="52945.26"/>
        <n v="403945.32"/>
        <n v="880691.7600000001"/>
        <n v="1336624.56"/>
        <n v="4879707.54"/>
        <n v="762118.5"/>
        <n v="278436.60000000003"/>
        <n v="1104764.26"/>
        <n v="7977.15"/>
        <n v="137663.62"/>
        <n v="547320.32"/>
        <n v="681907.2"/>
        <n v="1942381.5599999998"/>
        <n v="3332775.6"/>
        <n v="3519406.38"/>
        <n v="619627.38"/>
        <n v="197266.3"/>
        <n v="791043.75"/>
        <n v="672399.84"/>
        <n v="532199.04"/>
        <n v="1338279.1800000002"/>
        <n v="179437.76"/>
        <n v="943195.68"/>
        <n v="490134.81"/>
        <n v="233643.80000000002"/>
        <n v="354901.08"/>
        <n v="53428.700000000004"/>
        <n v="3802415.1900000004"/>
        <n v="4683904.43"/>
        <n v="1055568.78"/>
        <n v="3061338.21"/>
        <n v="852056.16"/>
        <n v="2889418.77"/>
        <n v="1112621.32"/>
        <n v="3207629.67"/>
        <n v="168600.90000000002"/>
        <n v="702351.77"/>
        <n v="3550626.2399999998"/>
        <n v="1430708.37"/>
        <n v="1829723.26"/>
        <n v="84287.22"/>
        <n v="1470871.2000000002"/>
        <n v="1192261.14"/>
        <n v="266587.2"/>
        <n v="763662.9"/>
        <n v="839256.0"/>
        <n v="929317.12"/>
        <n v="6036716.7"/>
        <n v="3879257.97"/>
        <n v="1302418.8"/>
        <n v="649560.32"/>
        <n v="864951.2"/>
        <n v="867819.98"/>
        <n v="393954.4"/>
        <n v="580251.4400000001"/>
        <n v="420656.5"/>
        <n v="7172.13"/>
        <n v="2097031.26"/>
        <n v="2001395.2"/>
        <n v="1507490.4000000001"/>
        <n v="4100498.8"/>
        <n v="824736.16"/>
        <n v="16560.75"/>
        <n v="510554.84"/>
        <n v="554047.67"/>
        <n v="449986.11000000004"/>
        <n v="586833.6"/>
        <n v="1414506.48"/>
        <n v="3692803.17"/>
        <n v="2947323.54"/>
        <n v="5639530.53"/>
        <n v="1387077.3"/>
        <n v="52716.950000000004"/>
        <n v="181174.56"/>
        <n v="518822.04000000004"/>
        <n v="228870.00000000003"/>
        <n v="257791.52"/>
        <n v="179765.6"/>
        <n v="3324468.8"/>
        <n v="5409.3"/>
        <n v="825638.73"/>
        <n v="3233758.53"/>
        <n v="814275.99"/>
        <n v="430563.2"/>
        <n v="2772239.19"/>
        <n v="314088.39"/>
        <n v="2320901.71"/>
        <n v="420337.39"/>
        <n v="426416.1"/>
        <n v="275920.48000000004"/>
        <n v="82243.95"/>
        <n v="910444.8600000001"/>
        <n v="2334267.11"/>
        <n v="3009892.62"/>
        <n v="4955890.32"/>
        <n v="2522206.8"/>
        <n v="1786194.16"/>
        <n v="1855825.4"/>
        <n v="4117224.51"/>
        <n v="1553398.98"/>
        <n v="470029.23000000004"/>
        <n v="818891.7"/>
        <n v="154497.2"/>
        <n v="459268.55000000005"/>
        <n v="514714.46"/>
        <n v="434232.69999999995"/>
        <n v="747308.1"/>
        <n v="458020.38"/>
        <n v="75797.52"/>
        <n v="637534.5900000001"/>
        <n v="771939.8500000001"/>
        <n v="109717.12"/>
        <n v="87561.04"/>
        <n v="359718.45"/>
        <n v="83130.3"/>
        <n v="4037979.1999999997"/>
        <n v="1386189.3"/>
        <n v="939020.5"/>
        <n v="1830357.6"/>
        <n v="3698206.1799999997"/>
        <n v="221896.95"/>
        <n v="5493179.399999999"/>
        <n v="939303.8200000001"/>
        <n v="863322.8999999999"/>
        <n v="967654.96"/>
        <n v="863470.0"/>
        <n v="923719.3200000001"/>
        <n v="4894494.36"/>
        <n v="4337058.600000001"/>
        <n v="713421.17"/>
        <n v="4205426.8"/>
        <n v="252954.35"/>
        <n v="3083594.01"/>
        <n v="85154.91"/>
        <n v="904178.14"/>
        <n v="46258.14"/>
        <n v="1766027.04"/>
        <n v="1037962.2"/>
        <n v="176696.3"/>
        <n v="105671.15000000001"/>
        <n v="3397362.5700000003"/>
        <n v="1068975.48"/>
        <n v="910183.74"/>
        <n v="1589146.06"/>
        <n v="1966654.2000000002"/>
        <n v="3474865.6"/>
        <n v="802570.8"/>
        <n v="774343.5000000001"/>
        <n v="516572.70999999996"/>
        <n v="569733.7200000001"/>
        <n v="6359716.86"/>
        <n v="498205.39999999997"/>
        <n v="473799.68"/>
        <n v="455399.56"/>
        <n v="623027.79"/>
        <n v="530019.05"/>
        <n v="38066.4"/>
        <n v="1638811.9"/>
        <n v="935010.2400000001"/>
        <n v="836647.68"/>
        <n v="302319.27"/>
        <n v="611340.4"/>
        <n v="1514966.82"/>
        <n v="552903.4500000001"/>
        <n v="453574.55000000005"/>
        <n v="778886.9"/>
        <n v="2324613.9"/>
        <n v="1951360.32"/>
        <n v="860398.6200000001"/>
        <n v="229007.46000000002"/>
        <n v="92637.57"/>
        <n v="46406.100000000006"/>
        <n v="69514.25"/>
        <n v="43123.26"/>
        <n v="146715.40000000002"/>
        <n v="258556.48"/>
        <n v="3489.42"/>
        <n v="1814922.27"/>
        <n v="1470432.1800000002"/>
        <n v="347510.4"/>
        <n v="791881.9700000001"/>
        <n v="1121805.51"/>
        <n v="174003.17"/>
        <n v="4599.69"/>
        <n v="432754.54"/>
        <n v="1826184.4"/>
        <n v="346195.2"/>
        <n v="4962573.02"/>
        <n v="65937.68000000001"/>
        <n v="839105.36"/>
        <n v="33420.06"/>
        <n v="3118610.88"/>
        <n v="1040776.56"/>
        <n v="220172.94000000003"/>
        <n v="3645373.6"/>
        <n v="187953.2"/>
        <n v="143020.71"/>
        <n v="873088.4"/>
        <n v="1001347.6"/>
        <n v="2886571.38"/>
        <n v="4151463.75"/>
        <n v="4985962.47"/>
        <n v="353083.68"/>
        <n v="14209.59"/>
        <n v="4784439.87"/>
        <n v="1436569.26"/>
        <n v="1137594.4"/>
        <n v="214459.52000000002"/>
        <n v="1061218.08"/>
        <n v="1756472.2999999998"/>
        <n v="124965.17000000001"/>
        <n v="114983.59999999999"/>
        <n v="1349626.1099999999"/>
        <n v="812477.93"/>
        <n v="2825600.19"/>
        <n v="73794.74"/>
        <n v="38253.0"/>
        <n v="800302.8"/>
        <n v="1220238.4"/>
        <n v="1427781.04"/>
        <n v="2831303.79"/>
        <n v="919720.2"/>
        <n v="321501.76"/>
        <n v="70455.63"/>
        <n v="678956.64"/>
        <n v="13584.48"/>
        <n v="277391.62"/>
        <n v="73119.21"/>
        <n v="430530.1"/>
        <n v="618242.78"/>
        <n v="516025.56000000006"/>
        <n v="3090566.8"/>
        <n v="2402184.8"/>
        <n v="129098.34"/>
        <n v="1303293.2"/>
        <n v="67754.17"/>
        <n v="43897.65"/>
        <n v="31933.850000000002"/>
        <n v="146047.0"/>
        <n v="1696846.16"/>
        <n v="3813485.7600000002"/>
        <n v="1044.96"/>
        <n v="2635446.87"/>
        <n v="356966.35000000003"/>
        <n v="148708.30000000002"/>
        <n v="2099746.53"/>
        <n v="1499818.95"/>
        <n v="89194.8"/>
        <n v="403255.82"/>
        <n v="5294988.510000001"/>
        <n v="650976.27"/>
        <n v="144286.38"/>
        <n v="1319771.2"/>
        <n v="440358.0"/>
        <n v="439814.05000000005"/>
        <n v="1306523.04"/>
        <n v="1075643.04"/>
        <n v="991141.6200000001"/>
        <n v="468568.75"/>
        <n v="1149133.54"/>
        <n v="2354447.44"/>
        <n v="732863.42"/>
        <n v="1783007.5999999999"/>
        <n v="288528.78"/>
        <n v="56655.3"/>
        <n v="399149.4"/>
        <n v="241757.34000000003"/>
        <n v="3478763.8200000003"/>
        <n v="1299523.86"/>
        <n v="1919939.71"/>
        <n v="1067788.7"/>
        <n v="57855.33"/>
        <n v="5191789.63"/>
        <n v="5807490.78"/>
        <n v="6468853.6"/>
        <n v="170945.19999999998"/>
        <n v="21489.93"/>
        <n v="1632714.3"/>
        <n v="3794478.6599999997"/>
        <n v="92908.14"/>
        <n v="84921.66"/>
        <n v="4142605.73"/>
        <n v="1179689.5"/>
        <n v="417149.92000000004"/>
        <n v="1272570.8"/>
        <n v="290877.07"/>
        <n v="3346431.48"/>
        <n v="50587.26"/>
        <n v="1678848.0"/>
        <n v="1245112.92"/>
        <n v="781392.3200000001"/>
        <n v="4080481.8600000003"/>
        <n v="1397352.57"/>
        <n v="1710395.5"/>
        <n v="132317.46"/>
        <n v="753295.6"/>
        <n v="1449477.63"/>
        <n v="339394.18"/>
        <n v="137984.6"/>
        <n v="1144049.56"/>
        <n v="2477759.9699999997"/>
        <n v="45362.200000000004"/>
        <n v="288989.2"/>
        <n v="247519.2"/>
        <n v="1156163.12"/>
        <n v="242820.16"/>
        <n v="1721091.9"/>
        <n v="3960168.02"/>
        <n v="3389.32"/>
        <n v="400962.0"/>
        <n v="1113985.5999999999"/>
        <n v="438322.08"/>
        <n v="318764.79"/>
        <n v="714376.22"/>
        <n v="684748.48"/>
        <n v="563645.04"/>
        <n v="3780403.3899999997"/>
        <n v="485595.38999999996"/>
        <n v="3850420.4"/>
        <n v="2218719.51"/>
        <n v="2423758.05"/>
        <n v="2270715.6"/>
        <n v="1855885.6"/>
        <n v="4179632.0"/>
        <n v="1086442.0"/>
        <n v="1908484.5999999999"/>
        <n v="6032809.44"/>
        <n v="278869.29"/>
        <n v="3957750.09"/>
        <n v="882917.86"/>
        <n v="776000.22"/>
        <n v="357650.48000000004"/>
        <n v="705002.98"/>
        <n v="178089.67"/>
        <n v="5134986.68"/>
        <n v="1264583.04"/>
        <n v="443183.0"/>
        <n v="66728.16"/>
        <n v="3424215.48"/>
        <n v="337391.4"/>
        <n v="6111997.42"/>
        <n v="16075.59"/>
        <n v="80368.62"/>
        <n v="62156.46"/>
        <n v="5866074.06"/>
        <n v="976744.64"/>
        <n v="1050180.8"/>
        <n v="85267.65000000001"/>
        <n v="2905637.96"/>
        <n v="774576.64"/>
        <n v="301212.60000000003"/>
        <n v="1012044.0"/>
        <n v="1366820.32"/>
        <n v="49057.14"/>
        <n v="64730.16"/>
        <n v="255277.42"/>
        <n v="2490227.04"/>
        <n v="4290822.69"/>
        <n v="325545.12"/>
        <n v="7491.99"/>
        <n v="752565.4400000001"/>
        <n v="1287927.78"/>
        <n v="29090.94"/>
        <n v="577262.8200000001"/>
        <n v="1269313.02"/>
        <n v="3404835.65"/>
        <n v="16187.55"/>
        <n v="1130635.12"/>
        <n v="2683220.4"/>
        <n v="100601.18000000001"/>
        <n v="3274190.8"/>
        <n v="1472505.48"/>
        <n v="2189934.8"/>
        <n v="4367665.470000001"/>
        <n v="3016935.39"/>
        <n v="98174.05"/>
        <n v="3495780.54"/>
        <n v="378899.39999999997"/>
        <n v="408108.8"/>
        <n v="6483446.760000001"/>
        <n v="169586.30000000002"/>
        <n v="5776525.88"/>
        <n v="266557.26"/>
        <n v="278106.39999999997"/>
        <n v="39057.840000000004"/>
        <n v="630303.66"/>
        <n v="2380377.7399999998"/>
        <n v="569994.7"/>
        <n v="442787.16000000003"/>
        <n v="243568.86000000002"/>
        <n v="135659.55000000002"/>
        <n v="1023485.2"/>
        <n v="1026347.72"/>
        <n v="841565.28"/>
        <n v="1123251.46"/>
        <n v="1003846.08"/>
        <n v="1600589.2"/>
        <n v="1462784.4600000002"/>
        <n v="808341.24"/>
        <n v="4825466.100000001"/>
        <n v="588144.96"/>
        <n v="1117360.56"/>
        <n v="41863.71"/>
        <n v="85749.96"/>
        <n v="1111489.12"/>
        <n v="65384.64"/>
        <n v="69928.35"/>
        <n v="930579.0900000001"/>
        <n v="358794.7"/>
        <n v="492524.96"/>
        <n v="1425097.2000000002"/>
        <n v="6745.59"/>
        <n v="1271154.57"/>
        <n v="35919.65"/>
        <n v="6285079.35"/>
        <n v="1485292.46"/>
        <n v="1763476.6800000002"/>
        <n v="1598501.8399999999"/>
        <n v="467572.10000000003"/>
        <n v="470846.35000000003"/>
        <n v="894019.68"/>
        <n v="521273.94"/>
        <n v="449841.92000000004"/>
        <n v="2691658.1999999997"/>
        <n v="5707204.44"/>
        <n v="726532.3999999999"/>
        <n v="326503.12"/>
        <n v="4101810.4"/>
        <n v="416085.66000000003"/>
        <n v="61335.42"/>
        <n v="2358993.1"/>
        <n v="157043.44999999998"/>
        <n v="695895.04"/>
        <n v="810199.8"/>
        <n v="1118321.54"/>
        <n v="1375355.52"/>
        <n v="686029.18"/>
        <n v="248897.0"/>
        <n v="243038.90000000002"/>
        <n v="3442075.6"/>
        <n v="87646.02"/>
        <n v="64899.48"/>
        <n v="309399.36"/>
        <n v="392875.92"/>
        <n v="6510146.37"/>
        <n v="914346.1"/>
        <n v="1179604.44"/>
        <n v="1850667.5999999999"/>
        <n v="966144.48"/>
        <n v="3117767.1"/>
        <n v="59885.44"/>
        <n v="853061.58"/>
        <n v="973460.4"/>
        <n v="1469497.9800000002"/>
        <n v="3845225.58"/>
        <n v="376705.55000000005"/>
        <n v="730705.6200000001"/>
        <n v="526913.31"/>
        <n v="657986.0"/>
        <n v="77532.3"/>
        <n v="1383949.5999999999"/>
        <n v="451922.89999999997"/>
        <n v="2540094.27"/>
        <n v="419932.5"/>
        <n v="2865054.9899999998"/>
        <n v="412103.25"/>
        <n v="117011.70000000001"/>
        <n v="255802.95"/>
        <n v="300733.39999999997"/>
        <n v="1407916.02"/>
        <n v="347838.24"/>
        <n v="1164794.6099999999"/>
        <n v="13158.53"/>
        <n v="148359.78"/>
        <n v="3000940.8"/>
        <n v="1006165.86"/>
        <n v="677247.76"/>
        <n v="1960404.8"/>
        <n v="165676.72"/>
        <n v="1683860.2"/>
        <n v="1303039.48"/>
        <n v="395666.0"/>
        <n v="993119.6"/>
        <n v="58079.25"/>
        <n v="794829.6"/>
        <n v="3787728.42"/>
        <n v="2997443.1999999997"/>
        <n v="85574.76"/>
        <n v="836083.62"/>
        <n v="360038.22000000003"/>
        <n v="37590.64"/>
        <n v="2869231.2600000002"/>
        <n v="917245.6"/>
        <n v="458655.48000000004"/>
        <n v="1900614.45"/>
        <n v="6672675.95"/>
        <n v="988072.0"/>
        <n v="1888509.0"/>
        <n v="262272.0"/>
        <n v="1753796.73"/>
        <n v="48731.15"/>
        <n v="1974080.24"/>
        <n v="3173197.6"/>
        <n v="1672594.56"/>
        <n v="2582195.28"/>
        <n v="2309727.6"/>
        <n v="26142.66"/>
        <n v="1333460.0"/>
        <n v="107426.8"/>
        <n v="251571.09999999998"/>
        <n v="5024053.859999999"/>
        <n v="126436.31000000001"/>
        <n v="1736833.73"/>
        <n v="2219664.4"/>
        <n v="3923413.17"/>
        <n v="196110.85"/>
        <n v="1272060.24"/>
        <n v="539826.65"/>
        <n v="778947.84"/>
        <n v="375385.89"/>
        <n v="3175619.04"/>
        <n v="1366358.1400000001"/>
        <n v="26091.180000000004"/>
        <n v="395590.65"/>
        <n v="2081042.56"/>
        <n v="3120720.33"/>
        <n v="2046242.74"/>
        <n v="680720.4"/>
        <n v="220935.84000000003"/>
        <n v="3755664.78"/>
        <n v="1406875.92"/>
        <n v="1945334.79"/>
        <n v="873923.8200000001"/>
        <n v="51837.48"/>
        <n v="2360318.88"/>
        <n v="206776.8"/>
        <n v="386484.8"/>
        <n v="102244.23000000001"/>
        <n v="10285.0"/>
        <n v="6310876.11"/>
        <n v="4391760.24"/>
        <n v="1201862.8"/>
        <n v="59549.75"/>
        <n v="1769337.57"/>
        <n v="568840.8"/>
        <n v="1333244.04"/>
        <n v="21874.45"/>
        <n v="4934218.17"/>
        <n v="364934.85"/>
        <n v="4129037.4299999997"/>
        <n v="2161853.4499999997"/>
        <n v="317915.0"/>
        <n v="3567979.5900000003"/>
        <n v="2010305.8499999999"/>
        <n v="2826902.6100000003"/>
        <n v="1073909.89"/>
        <n v="268500.96"/>
        <n v="54039.36"/>
        <n v="408312.97"/>
        <n v="121002.72"/>
        <n v="4672543.84"/>
        <n v="3964845.9099999997"/>
        <n v="397773.35000000003"/>
        <n v="55326.9"/>
        <n v="70033.73999999999"/>
        <n v="53333.8"/>
        <n v="3260365.92"/>
        <n v="503293.34"/>
        <n v="149522.4"/>
        <n v="208590.2"/>
        <n v="42610.11"/>
        <n v="1992970.96"/>
        <n v="298880.8"/>
        <n v="2584652.49"/>
        <n v="1300591.9200000002"/>
        <n v="4859329.0200000005"/>
        <n v="371486.05000000005"/>
        <n v="758008.4400000001"/>
        <n v="159293.52000000002"/>
        <n v="2530602.06"/>
        <n v="3224083.38"/>
        <n v="594046.08"/>
        <n v="6155888.13"/>
        <n v="307657.82"/>
        <n v="76947.2"/>
        <n v="299910.6"/>
        <n v="9171.39"/>
        <n v="4841616.149999999"/>
        <n v="1234278.8"/>
        <n v="1825310.0"/>
        <n v="1177480.58"/>
        <n v="235209.65000000002"/>
        <n v="2046715.0"/>
        <n v="2367799.56"/>
        <n v="89717.28"/>
        <n v="91629.93000000001"/>
        <n v="3583291.1999999997"/>
        <n v="513173.86"/>
        <n v="3589862.01"/>
        <n v="4496605.05"/>
        <n v="28633.77"/>
        <n v="1899433.7999999998"/>
        <n v="6222261.97"/>
        <n v="1819827.9"/>
        <n v="317867.55000000005"/>
        <n v="541810.24"/>
        <n v="1028324.8"/>
        <n v="1830158.8199999998"/>
        <n v="1636439.5999999999"/>
        <n v="1046190.2"/>
        <n v="3785714.8"/>
        <n v="15041.650000000001"/>
        <n v="72232.86"/>
        <n v="643215.1"/>
        <n v="756448.77"/>
        <n v="7432.4"/>
        <n v="800558.08"/>
        <n v="1364047.24"/>
        <n v="430344.64"/>
        <n v="1022496.22"/>
        <n v="3456966.6599999997"/>
        <n v="599734.74"/>
        <n v="491765.34"/>
        <n v="101302.56"/>
        <n v="39363.27"/>
        <n v="267478.26"/>
        <n v="296380.08"/>
        <n v="435768.48000000004"/>
        <n v="332629.84"/>
        <n v="1322759.16"/>
        <n v="732176.0"/>
        <n v="4099168.1799999997"/>
        <n v="276587.68"/>
        <n v="1244188.56"/>
        <n v="1245764.73"/>
        <n v="280856.55"/>
        <n v="960571.2"/>
        <n v="1903878.24"/>
        <n v="407796.82"/>
        <n v="914953.6"/>
        <n v="462813.32999999996"/>
        <n v="325127.4"/>
        <n v="1834377.72"/>
        <n v="379516.5"/>
        <n v="2039838.15"/>
        <n v="182255.45"/>
        <n v="884949.4400000001"/>
        <n v="432127.15"/>
        <n v="349967.86000000004"/>
        <n v="95869.29000000001"/>
        <n v="1158993.3800000001"/>
        <n v="1013572.0"/>
        <n v="429673.34"/>
        <n v="469660.10000000003"/>
        <n v="222777.75"/>
        <n v="319972.95"/>
        <n v="623326.76"/>
        <n v="1362352.58"/>
        <n v="775669.4400000001"/>
        <n v="492668.44"/>
        <n v="1574016.4"/>
        <n v="1527813.02"/>
        <n v="557316.87"/>
        <n v="1197142.6800000002"/>
        <n v="1195967.78"/>
        <n v="882706.7999999999"/>
        <n v="737876.88"/>
        <n v="698446.08"/>
        <n v="4077988.7399999998"/>
        <n v="283323.95"/>
        <n v="1021506.2"/>
        <n v="1354605.2400000002"/>
        <n v="345008.95"/>
        <n v="262873.0"/>
        <n v="2730893.9699999997"/>
        <n v="613524.18"/>
        <n v="272600.25"/>
        <n v="4026612.0"/>
        <n v="1146486.12"/>
        <n v="119775.3"/>
        <n v="5447068.77"/>
        <n v="1511174.54"/>
        <n v="217892.18000000002"/>
        <n v="1604434.8"/>
        <n v="1160533.98"/>
        <n v="73238.40000000001"/>
        <n v="133910.69999999998"/>
        <n v="343632.9"/>
        <n v="393092.69999999995"/>
        <n v="1409045.0"/>
        <n v="88271.13"/>
        <n v="2744394.4499999997"/>
        <n v="164195.57"/>
        <n v="1015563.52"/>
        <n v="983835.8400000001"/>
        <n v="811742.14"/>
        <n v="2812318.7399999998"/>
        <n v="2059608.14"/>
        <n v="4166163.75"/>
        <n v="319433.06"/>
        <n v="834765.18"/>
        <n v="1905604.7999999998"/>
        <n v="1412576.1400000001"/>
        <n v="878097.9"/>
        <n v="27948.050000000003"/>
        <n v="73982.56"/>
        <n v="14676.09"/>
        <n v="1061935.58"/>
        <n v="4460788.5"/>
        <n v="221781.30000000002"/>
        <n v="145713.90000000002"/>
        <n v="2193110.48"/>
        <n v="2500963.92"/>
        <n v="1383872.8800000001"/>
        <n v="801607.8400000001"/>
        <n v="3112864.0"/>
        <n v="196490.45"/>
        <n v="1172272.1400000001"/>
        <n v="1440476.52"/>
        <n v="182018.2"/>
        <n v="1176604.0"/>
        <n v="536644.08"/>
        <n v="1377296.4"/>
        <n v="1155211.2"/>
        <n v="814602.91"/>
        <n v="748891.5"/>
        <n v="5026726.9399999995"/>
        <n v="352364.1"/>
        <n v="59357.46"/>
        <n v="588582.08"/>
        <n v="4361130.02"/>
        <n v="760491.26"/>
        <n v="30126.57"/>
        <n v="1148363.24"/>
        <n v="711214.4600000001"/>
        <n v="280239.7"/>
        <n v="44168.22"/>
        <n v="246360.40000000002"/>
        <n v="146530.72"/>
        <n v="905004.0"/>
        <n v="3666129.2199999997"/>
      </sharedItems>
    </cacheField>
    <cacheField name="lucro_total" numFmtId="164">
      <sharedItems containsSemiMixedTypes="0" containsString="0" containsNumber="1">
        <n v="57583.5"/>
        <n v="176559.86999999997"/>
        <n v="777770.8899999997"/>
        <n v="85998.23999999999"/>
        <n v="119767.68000000005"/>
        <n v="280275.0"/>
        <n v="16142.180000000008"/>
        <n v="278971.47"/>
        <n v="502977.4199999999"/>
        <n v="648035.85"/>
        <n v="629111.0799999998"/>
        <n v="66466.40000000002"/>
        <n v="17568.899999999994"/>
        <n v="678305.3600000001"/>
        <n v="702527.0399999999"/>
        <n v="871408.3399999994"/>
        <n v="865136.5"/>
        <n v="360443.51999999996"/>
        <n v="467413.3600000001"/>
        <n v="520691.6000000001"/>
        <n v="7266.1500000000015"/>
        <n v="46587.96000000001"/>
        <n v="2777.5"/>
        <n v="578117.75"/>
        <n v="15301.089999999997"/>
        <n v="931219.9999999995"/>
        <n v="16419.33"/>
        <n v="181576.02000000008"/>
        <n v="262226.4"/>
        <n v="110996.82000000004"/>
        <n v="13006.140000000003"/>
        <n v="94501.26000000001"/>
        <n v="21367.059999999998"/>
        <n v="19557.149999999994"/>
        <n v="82089.72000000003"/>
        <n v="63282.06000000001"/>
        <n v="25102.98000000001"/>
        <n v="119313.54000000007"/>
        <n v="268120.42000000004"/>
        <n v="735474.1799999999"/>
        <n v="80461.08000000002"/>
        <n v="532266.4200000003"/>
        <n v="216779.72999999998"/>
        <n v="552345.3200000002"/>
        <n v="409145.5299999999"/>
        <n v="21747.839999999997"/>
        <n v="759019.4800000002"/>
        <n v="955532.4800000002"/>
        <n v="637066.1199999999"/>
        <n v="65650.0"/>
        <n v="44458.74000000002"/>
        <n v="46987.5"/>
        <n v="331.4599999999999"/>
        <n v="275499.31999999995"/>
        <n v="247702.5"/>
        <n v="199327.24000000005"/>
        <n v="30197.300000000003"/>
        <n v="1597517.56"/>
        <n v="208449.08000000002"/>
        <n v="520569.98"/>
        <n v="467078.4"/>
        <n v="141159.24000000005"/>
        <n v="194589.06000000006"/>
        <n v="1262.5"/>
        <n v="659491.2"/>
        <n v="282538.75"/>
        <n v="188127.39999999997"/>
        <n v="802062.3099999998"/>
        <n v="148229.90000000002"/>
        <n v="4409.5599999999995"/>
        <n v="315938.88"/>
        <n v="507962.44999999995"/>
        <n v="2140.080000000001"/>
        <n v="350021.76"/>
        <n v="1404230.29"/>
        <n v="477145.74"/>
        <n v="146186.50000000003"/>
        <n v="157307.5"/>
        <n v="441846.8699999999"/>
        <n v="875609.3199999998"/>
        <n v="716170.53"/>
        <n v="10731.25"/>
        <n v="389465.5"/>
        <n v="500581.25000000023"/>
        <n v="970368.4699999997"/>
        <n v="543430.3400000001"/>
        <n v="39525.19999999998"/>
        <n v="624460.32"/>
        <n v="252.5"/>
        <n v="8348.239999999998"/>
        <n v="436587.56999999995"/>
        <n v="18041.260000000002"/>
        <n v="706492.8"/>
        <n v="627116.1200000001"/>
        <n v="217472.16000000003"/>
        <n v="22396.130000000005"/>
        <n v="512454.7999999998"/>
        <n v="969473.7499999995"/>
        <n v="218823.91999999998"/>
        <n v="86239.51999999999"/>
        <n v="119490.79999999993"/>
        <n v="195791.03999999998"/>
        <n v="40684.68000000001"/>
        <n v="443766.7200000001"/>
        <n v="571786.25"/>
        <n v="396052.7999999998"/>
        <n v="131384.16"/>
        <n v="1048758.75"/>
        <n v="1005202.5"/>
        <n v="770618.54"/>
        <n v="207464.40000000014"/>
        <n v="106392.0"/>
        <n v="15527.630000000005"/>
        <n v="717729.1199999999"/>
        <n v="342577.5299999999"/>
        <n v="104008.1"/>
        <n v="1056781.86"/>
        <n v="1552890.0999999996"/>
        <n v="543942.6"/>
        <n v="368375.0399999999"/>
        <n v="35178.0"/>
        <n v="292844.91000000003"/>
        <n v="246895.40000000002"/>
        <n v="12528.0"/>
        <n v="425496.19999999995"/>
        <n v="993840.0"/>
        <n v="130.14"/>
        <n v="552343.75"/>
        <n v="163104.12"/>
        <n v="338351.01999999996"/>
        <n v="315865.44"/>
        <n v="50901.66"/>
        <n v="515077.6699999999"/>
        <n v="1269160.3399999999"/>
        <n v="120187.76000000001"/>
        <n v="21046.53"/>
        <n v="246901.43"/>
        <n v="924402.5"/>
        <n v="214555.57999999996"/>
        <n v="16686.839999999997"/>
        <n v="642600.0"/>
        <n v="31436.25"/>
        <n v="308673.7200000001"/>
        <n v="26120.880000000005"/>
        <n v="360516.95999999996"/>
        <n v="90765.36000000002"/>
        <n v="756.7399999999998"/>
        <n v="138794.58000000002"/>
        <n v="312792.12999999995"/>
        <n v="11932.559999999998"/>
        <n v="24805.199999999997"/>
        <n v="43654.520000000004"/>
        <n v="75825.26000000002"/>
        <n v="108309.31999999998"/>
        <n v="588326.19"/>
        <n v="58999.879999999976"/>
        <n v="112320.18000000002"/>
        <n v="34663.20000000001"/>
        <n v="796309.02"/>
        <n v="193406.90999999992"/>
        <n v="428113.75000000023"/>
        <n v="347492.28"/>
        <n v="1574045.1100000003"/>
        <n v="182613.30000000005"/>
        <n v="348247.29"/>
        <n v="389607.5"/>
        <n v="52587.28999999999"/>
        <n v="1358098.5699999998"/>
        <n v="212816.87999999995"/>
        <n v="1112893.75"/>
        <n v="204022.76999999996"/>
        <n v="1449554.19"/>
        <n v="279218.88"/>
        <n v="576710.0"/>
        <n v="23269.08"/>
        <n v="753333.75"/>
        <n v="140266.62000000005"/>
        <n v="102845.59999999998"/>
        <n v="333707.28"/>
        <n v="152076.12"/>
        <n v="48491.10000000002"/>
        <n v="316660.0799999999"/>
        <n v="28314.0"/>
        <n v="0.0"/>
        <n v="963666.2500000005"/>
        <n v="128756.52000000002"/>
        <n v="623952.7400000001"/>
        <n v="536364.3999999999"/>
        <n v="133239.36"/>
        <n v="275767.2"/>
        <n v="655011.3800000001"/>
        <n v="136038.42000000004"/>
        <n v="16390.410000000003"/>
        <n v="873397.5"/>
        <n v="281669.4"/>
        <n v="359215.99999999953"/>
        <n v="12120.96"/>
        <n v="23994.059999999998"/>
        <n v="124168.14000000004"/>
        <n v="463479.83999999997"/>
        <n v="22986.719999999998"/>
        <n v="299404.1400000001"/>
        <n v="149985.64999999997"/>
        <n v="1144708.75"/>
        <n v="629087.04"/>
        <n v="1528665.04"/>
        <n v="664852.32"/>
        <n v="1141805.0"/>
        <n v="140063.04000000004"/>
        <n v="216794.05999999994"/>
        <n v="1085371.25"/>
        <n v="1041941.25"/>
        <n v="381841.9199999999"/>
        <n v="27953.1"/>
        <n v="1479.7399999999998"/>
        <n v="1118322.5"/>
        <n v="62101.58999999998"/>
        <n v="77642.28"/>
        <n v="136852.74000000005"/>
        <n v="96506.06000000003"/>
        <n v="383209.48"/>
        <n v="44287.32000000001"/>
        <n v="12355.740000000005"/>
        <n v="14700.399999999994"/>
        <n v="110740.13999999998"/>
        <n v="767983.79"/>
        <n v="1107843.75"/>
        <n v="323162.47"/>
        <n v="7249.279999999999"/>
        <n v="9033.119999999999"/>
        <n v="29890.079999999998"/>
        <n v="405204.7999999998"/>
        <n v="656700.48"/>
        <n v="218409.54000000004"/>
        <n v="147049.24000000005"/>
        <n v="55561.68000000001"/>
        <n v="1218060.0"/>
        <n v="168948.96000000008"/>
        <n v="386451.25"/>
        <n v="581002.5"/>
        <n v="148292.37"/>
        <n v="918381.3400000001"/>
        <n v="734106.2400000001"/>
        <n v="680155.9199999999"/>
        <n v="7478.230000000003"/>
        <n v="138055.53999999998"/>
        <n v="7331.220000000001"/>
        <n v="592220.16"/>
        <n v="828326.26"/>
        <n v="115946.64000000004"/>
        <n v="706621.25"/>
        <n v="13154.400000000001"/>
        <n v="204289.12000000005"/>
        <n v="13700.850000000006"/>
        <n v="524875.68"/>
        <n v="346885.74"/>
        <n v="268476.66000000003"/>
        <n v="1539966.5899999999"/>
        <n v="1013438.9499999997"/>
        <n v="534810.71"/>
        <n v="842340.0"/>
        <n v="63078.48000000001"/>
        <n v="363482.8800000001"/>
        <n v="13594.809999999998"/>
        <n v="94036.80000000005"/>
        <n v="348778.8299999999"/>
        <n v="177149.13999999996"/>
        <n v="237984.24000000005"/>
        <n v="397530.72"/>
        <n v="488598.4199999999"/>
        <n v="17062.799999999996"/>
        <n v="114546.86999999997"/>
        <n v="897920.6200000003"/>
        <n v="152572.38000000006"/>
        <n v="355777.43999999994"/>
        <n v="750180.1199999999"/>
        <n v="158031.24000000005"/>
        <n v="71583.75"/>
        <n v="496224.9800000001"/>
        <n v="464232.9"/>
        <n v="6376.129999999999"/>
        <n v="241202.5"/>
        <n v="1238302.1400000001"/>
        <n v="535089.88"/>
        <n v="84777.98000000001"/>
        <n v="1779.2599999999998"/>
        <n v="591552.0600000002"/>
        <n v="1089790.0"/>
        <n v="13327.599999999991"/>
        <n v="1700448.6"/>
        <n v="889638.6399999997"/>
        <n v="6519.050000000003"/>
        <n v="148848.3"/>
        <n v="172367.64"/>
        <n v="16359.080000000002"/>
        <n v="657924.0800000001"/>
        <n v="173314.96000000002"/>
        <n v="13662.289999999994"/>
        <n v="867724.7200000002"/>
        <n v="335893.44000000006"/>
        <n v="72662.62999999999"/>
        <n v="239928.47999999998"/>
        <n v="1530229.8699999996"/>
        <n v="20318.71"/>
        <n v="193445.47999999998"/>
        <n v="803210.9400000002"/>
        <n v="195092.10000000003"/>
        <n v="3511.369999999999"/>
        <n v="223795.84999999992"/>
        <n v="677004.7799999999"/>
        <n v="175244.58000000002"/>
        <n v="906260.4400000002"/>
        <n v="17764.110000000008"/>
        <n v="30768.120000000017"/>
        <n v="83185.92000000004"/>
        <n v="467192.8699999999"/>
        <n v="10852.23"/>
        <n v="83474.85999999999"/>
        <n v="5563.3200000000015"/>
        <n v="1567959.6600000001"/>
        <n v="14966.100000000006"/>
        <n v="112995.54000000001"/>
        <n v="50331.24000000002"/>
        <n v="652881.8500000001"/>
        <n v="81197.10000000003"/>
        <n v="3349.9000000000015"/>
        <n v="700940.0"/>
        <n v="948630.56"/>
        <n v="218795.52000000008"/>
        <n v="788831.9400000002"/>
        <n v="125123.4"/>
        <n v="624382.3199999998"/>
        <n v="24194.700000000004"/>
        <n v="971840.7199999997"/>
        <n v="80173.95"/>
        <n v="762671.3099999998"/>
        <n v="477800.64"/>
        <n v="1205962.3199999998"/>
        <n v="67087.44000000003"/>
        <n v="1195530.1199999999"/>
        <n v="453226.0800000002"/>
        <n v="693393.5599999998"/>
        <n v="1000278.75"/>
        <n v="396617.42999999993"/>
        <n v="1650895.6500000004"/>
        <n v="59831.20000000001"/>
        <n v="489624.48"/>
        <n v="46461.240000000005"/>
        <n v="1650374.04"/>
        <n v="1675063.58"/>
        <n v="1176776.25"/>
        <n v="127428.54000000001"/>
        <n v="717352.5"/>
        <n v="341371.74"/>
        <n v="647536.25"/>
        <n v="793733.75"/>
        <n v="53290.98000000001"/>
        <n v="209580.80000000005"/>
        <n v="349677.06999999995"/>
        <n v="731123.3500000001"/>
        <n v="201040.44000000006"/>
        <n v="342987.07999999996"/>
        <n v="495466.3999999999"/>
        <n v="783805.96"/>
        <n v="151093.03"/>
        <n v="18795.0"/>
        <n v="267098.16000000003"/>
        <n v="453051.36000000004"/>
        <n v="719995.6699999999"/>
        <n v="354636.25"/>
        <n v="58490.04000000001"/>
        <n v="6014.4"/>
        <n v="12515.130000000005"/>
        <n v="335220.29999999993"/>
        <n v="146467.98000000004"/>
        <n v="367135.0"/>
        <n v="25335.659999999996"/>
        <n v="693273.5999999999"/>
        <n v="238771.68000000005"/>
        <n v="309314.73"/>
        <n v="92002.5"/>
        <n v="630555.8399999999"/>
        <n v="229680.56000000006"/>
        <n v="271399.08"/>
        <n v="270626.39999999997"/>
        <n v="321322.7200000001"/>
        <n v="581553.5599999999"/>
        <n v="868587.4600000002"/>
        <n v="159550.58999999997"/>
        <n v="93748.04999999999"/>
        <n v="22205.739999999998"/>
        <n v="1089643.29"/>
        <n v="710610.1799999999"/>
        <n v="1561010.87"/>
        <n v="561181.25"/>
        <n v="430027.9600000001"/>
        <n v="52429.68000000001"/>
        <n v="179479.71999999997"/>
        <n v="4418.75"/>
        <n v="359635.68000000005"/>
        <n v="114713.28000000001"/>
        <n v="1565699.35"/>
        <n v="91861.56000000003"/>
        <n v="726688.8"/>
        <n v="289861.7699999999"/>
        <n v="508718.88"/>
        <n v="568911.1999999997"/>
        <n v="311053.42999999993"/>
        <n v="600754.6200000001"/>
        <n v="728084.1599999999"/>
        <n v="10811.259999999998"/>
        <n v="77986.72"/>
        <n v="580322.88"/>
        <n v="154626.09000000003"/>
        <n v="392163.55999999994"/>
        <n v="2431.6899999999996"/>
        <n v="236971.25000000012"/>
        <n v="497963.68000000005"/>
        <n v="1663762.0299999998"/>
        <n v="192535.9800000001"/>
        <n v="599798.13"/>
        <n v="126803.60000000003"/>
        <n v="185475.94"/>
        <n v="250574.93999999994"/>
        <n v="121473.42000000004"/>
        <n v="416244.7799999999"/>
        <n v="483158.74999999977"/>
        <n v="529059.4799999999"/>
        <n v="258110.34000000008"/>
        <n v="462616.97999999986"/>
        <n v="233896.65000000002"/>
        <n v="50230.53"/>
        <n v="76307.70000000001"/>
        <n v="15358.930000000008"/>
        <n v="421692.48"/>
        <n v="314892.44"/>
        <n v="1285401.88"/>
        <n v="17703.860000000008"/>
        <n v="72270.9"/>
        <n v="26388.18"/>
        <n v="548449.9199999999"/>
        <n v="168954.52000000002"/>
        <n v="13106.380000000001"/>
        <n v="136915.38000000006"/>
        <n v="640919.9600000002"/>
        <n v="410083.11"/>
        <n v="654532.0800000001"/>
        <n v="387744.45999999996"/>
        <n v="18484.700000000004"/>
        <n v="378977.2200000001"/>
        <n v="483878.57999999996"/>
        <n v="689053.0199999999"/>
        <n v="349045.76999999996"/>
        <n v="126822.0"/>
        <n v="494350.02"/>
        <n v="884020.9200000002"/>
        <n v="18055.18"/>
        <n v="395377.17"/>
        <n v="322089.25999999995"/>
        <n v="277014.44"/>
        <n v="610040.0"/>
        <n v="78162.14000000001"/>
        <n v="1172105.0"/>
        <n v="355269.2000000002"/>
        <n v="227587.7099999999"/>
        <n v="192103.44"/>
        <n v="510469.1799999998"/>
        <n v="17737.600000000006"/>
        <n v="100145.70000000001"/>
        <n v="675046.1200000001"/>
        <n v="120811.74000000002"/>
        <n v="435491.9800000001"/>
        <n v="274236.72"/>
        <n v="72129.96000000002"/>
        <n v="219402.06000000006"/>
        <n v="908123.0100000002"/>
        <n v="417674.3999999999"/>
        <n v="1242643.54"/>
        <n v="363162.7999999998"/>
        <n v="318924.0"/>
        <n v="125530.56000000003"/>
        <n v="18937.5"/>
        <n v="124575.30000000002"/>
        <n v="315511.0800000002"/>
        <n v="986391.25"/>
        <n v="335582.04000000015"/>
        <n v="222031.60000000003"/>
        <n v="226613.21999999997"/>
        <n v="675501.1200000001"/>
        <n v="65631.06000000003"/>
        <n v="103543.92000000004"/>
        <n v="834386.2500000005"/>
        <n v="67165.0"/>
        <n v="557427.22"/>
        <n v="85092.5"/>
        <n v="72724.12000000002"/>
        <n v="34436.34000000001"/>
        <n v="6091.740000000003"/>
        <n v="440497.1999999997"/>
        <n v="84770.40000000002"/>
        <n v="311816.70000000007"/>
        <n v="129735.62"/>
        <n v="64003.24000000002"/>
        <n v="146421.0"/>
        <n v="719705.1599999998"/>
        <n v="8492.84"/>
        <n v="67773.02"/>
        <n v="849223.74"/>
        <n v="453226.43999999994"/>
        <n v="55342.44000000002"/>
        <n v="533556.76"/>
        <n v="730165.6200000001"/>
        <n v="786223.1199999996"/>
        <n v="611536.7699999999"/>
        <n v="656626.25"/>
        <n v="99613.5"/>
        <n v="541196.31"/>
        <n v="365775.22"/>
        <n v="8531.399999999998"/>
        <n v="58072.57999999999"/>
        <n v="277534.40000000014"/>
        <n v="470785.32000000007"/>
        <n v="796689.8699999999"/>
        <n v="1043220.0"/>
        <n v="634401.4800000002"/>
        <n v="12787.460000000006"/>
        <n v="84594.19999999998"/>
        <n v="42080.25"/>
        <n v="347467.51999999996"/>
        <n v="162614.33999999997"/>
        <n v="684148.75"/>
        <n v="346918.0"/>
        <n v="355393.75"/>
        <n v="534019.2000000002"/>
        <n v="721729.9400000002"/>
        <n v="19687.290000000008"/>
        <n v="23055.200000000004"/>
        <n v="59049.760000000024"/>
        <n v="56227.59999999998"/>
        <n v="956759.29"/>
        <n v="353612.82000000007"/>
        <n v="352202.26999999996"/>
        <n v="4545.260000000002"/>
        <n v="30097.060000000012"/>
        <n v="202785.52000000002"/>
        <n v="405609.12000000005"/>
        <n v="666802.1599999999"/>
        <n v="1032598.75"/>
        <n v="340712.61000000004"/>
        <n v="19923.47"/>
        <n v="266380.3999999999"/>
        <n v="817597.1099999999"/>
        <n v="73962.18000000002"/>
        <n v="321331.7"/>
        <n v="463962.4"/>
        <n v="86071.68"/>
        <n v="3263.1399999999994"/>
        <n v="142352.1"/>
        <n v="8620.640000000003"/>
        <n v="10023.190000000002"/>
        <n v="409648.31999999995"/>
        <n v="115738.86000000004"/>
        <n v="43957.619999999995"/>
        <n v="67546.50000000003"/>
        <n v="660438.45"/>
        <n v="210556.56999999995"/>
        <n v="74823.48000000001"/>
        <n v="211782.05999999994"/>
        <n v="597974.6799999999"/>
        <n v="11823.460000000006"/>
        <n v="455814.29999999993"/>
        <n v="498906.7200000001"/>
        <n v="113040.84000000003"/>
        <n v="831873.0800000001"/>
        <n v="15450.509999999995"/>
        <n v="296422.13999999996"/>
        <n v="1229170.0"/>
        <n v="13509.300000000007"/>
        <n v="154645.26"/>
        <n v="1626901.5899999999"/>
        <n v="222154.46999999997"/>
        <n v="6080.43"/>
        <n v="19133.58"/>
        <n v="165526.86"/>
        <n v="318268.0800000002"/>
        <n v="547715.88"/>
        <n v="1210160.46"/>
        <n v="328225.95"/>
        <n v="91892.88000000003"/>
        <n v="452705.23"/>
        <n v="2060.5499999999993"/>
        <n v="34140.37999999999"/>
        <n v="205523.83999999997"/>
        <n v="458265.5999999999"/>
        <n v="263348.7999999998"/>
        <n v="1325411.0100000002"/>
        <n v="477162.3999999999"/>
        <n v="223923.54000000004"/>
        <n v="84957.80999999998"/>
        <n v="107250.0"/>
        <n v="451876.31999999995"/>
        <n v="192328.32000000007"/>
        <n v="483632.9400000002"/>
        <n v="120588.48000000001"/>
        <n v="633860.64"/>
        <n v="150284.82"/>
        <n v="77109.84000000003"/>
        <n v="128255.64000000001"/>
        <n v="17633.160000000003"/>
        <n v="737173.75"/>
        <n v="1161601.5699999994"/>
        <n v="143114.40000000002"/>
        <n v="593501.25"/>
        <n v="572611.6799999999"/>
        <n v="560171.25"/>
        <n v="455924.86"/>
        <n v="434891.6000000001"/>
        <n v="60929.700000000026"/>
        <n v="174182.22999999998"/>
        <n v="481395.1999999997"/>
        <n v="277371.25"/>
        <n v="453768.74"/>
        <n v="21771.940000000002"/>
        <n v="531549.6000000002"/>
        <n v="161647.19999999995"/>
        <n v="114812.64000000001"/>
        <n v="275975.7"/>
        <n v="361447.2"/>
        <n v="624533.76"/>
        <n v="1170337.5"/>
        <n v="752071.25"/>
        <n v="517958.7300000001"/>
        <n v="436527.3599999999"/>
        <n v="581277.5999999999"/>
        <n v="355611.2899999999"/>
        <n v="264751.2"/>
        <n v="217889.7800000001"/>
        <n v="181166.55"/>
        <n v="972.4000000000005"/>
        <n v="520060.74"/>
        <n v="751542.4000000001"/>
        <n v="544783.2000000002"/>
        <n v="1630726.73"/>
        <n v="554251.6799999999"/>
        <n v="4277.75"/>
        <n v="209212.82"/>
        <n v="169881.74000000005"/>
        <n v="87238.75"/>
        <n v="394372.79999999993"/>
        <n v="531160.26"/>
        <n v="500671.6000000001"/>
        <n v="399599.2000000002"/>
        <n v="1398595.4699999997"/>
        <n v="268912.5"/>
        <n v="17398.260000000002"/>
        <n v="74240.87999999999"/>
        <n v="159080.88"/>
        <n v="82710.00000000003"/>
        <n v="173244.95999999996"/>
        <n v="120808.8"/>
        <n v="1322107.48"/>
        <n v="1785.2400000000002"/>
        <n v="111940.40000000002"/>
        <n v="801967.4699999997"/>
        <n v="249672.78000000003"/>
        <n v="289353.6"/>
        <n v="375861.2000000002"/>
        <n v="96305.58000000002"/>
        <n v="575580.2899999998"/>
        <n v="128883.58000000002"/>
        <n v="183647.06999999998"/>
        <n v="84602.56000000003"/>
        <n v="21244.149999999994"/>
        <n v="329020.3800000001"/>
        <n v="578894.8899999999"/>
        <n v="583527.5"/>
        <n v="1229053.6800000002"/>
        <n v="1003056.0299999998"/>
        <n v="670732.4199999999"/>
        <n v="799258.98"/>
        <n v="558214.7999999998"/>
        <n v="210610.3999999999"/>
        <n v="144120.06000000006"/>
        <n v="352676.79"/>
        <n v="50988.96000000002"/>
        <n v="151573.14000000007"/>
        <n v="210917.33000000002"/>
        <n v="187013.48999999996"/>
        <n v="321847.47"/>
        <n v="187685.49"/>
        <n v="31059.96"/>
        <n v="123598.75000000006"/>
        <n v="236691.70000000007"/>
        <n v="73733.76"/>
        <n v="32879.979999999996"/>
        <n v="118718.46000000002"/>
        <n v="21473.100000000006"/>
        <n v="1605863.3199999998"/>
        <n v="500946.9"/>
        <n v="404413.35"/>
        <n v="687316.2000000002"/>
        <n v="917149.8199999994"/>
        <n v="68037.9"/>
        <n v="1362300.5999999992"/>
        <n v="384903.61"/>
        <n v="371812.2299999999"/>
        <n v="239977.03999999992"/>
        <n v="343393.25000000006"/>
        <n v="333817.56000000006"/>
        <n v="948895.0"/>
        <n v="840825.0000000005"/>
        <n v="218748.74000000005"/>
        <n v="1672455.5299999998"/>
        <n v="77560.70000000001"/>
        <n v="418074.7999999998"/>
        <n v="21996.070000000007"/>
        <n v="370509.97"/>
        <n v="11948.779999999999"/>
        <n v="663159.4800000002"/>
        <n v="447025.14"/>
        <n v="76098.80999999998"/>
        <n v="34874.82000000001"/>
        <n v="658646.25"/>
        <n v="386310.83999999997"/>
        <n v="225724.26"/>
        <n v="394105.93999999994"/>
        <n v="381275.0"/>
        <n v="1381918.7600000002"/>
        <n v="290036.4000000001"/>
        <n v="279835.5000000001"/>
        <n v="128109.28999999992"/>
        <n v="205892.76000000013"/>
        <n v="1232957.5"/>
        <n v="214564.97999999998"/>
        <n v="177916.16000000003"/>
        <n v="139634.32"/>
        <n v="191032.38"/>
        <n v="162514.10000000003"/>
        <n v="9832.800000000003"/>
        <n v="705796.5299999999"/>
        <n v="337897.92000000016"/>
        <n v="562256.64"/>
        <n v="92696.94"/>
        <n v="187448.8"/>
        <n v="547485.06"/>
        <n v="169530.90000000008"/>
        <n v="149693.94000000006"/>
        <n v="238821.80000000005"/>
        <n v="315172.0"/>
        <n v="732753.8400000001"/>
        <n v="310934.4600000001"/>
        <n v="70218.12000000002"/>
        <n v="23928.890000000014"/>
        <n v="15315.480000000007"/>
        <n v="22941.9"/>
        <n v="11139.020000000004"/>
        <n v="48420.72000000003"/>
        <n v="173759.04"/>
        <n v="901.3400000000001"/>
        <n v="351858.75"/>
        <n v="285072.5"/>
        <n v="233539.2"/>
        <n v="242806.34000000008"/>
        <n v="152094.80000000005"/>
        <n v="53352.740000000005"/>
        <n v="1188.1299999999997"/>
        <n v="177332.16999999995"/>
        <n v="726254.99"/>
        <n v="114255.36000000002"/>
        <n v="1230710.9799999995"/>
        <n v="27019.640000000007"/>
        <n v="315091.82"/>
        <n v="8632.619999999999"/>
        <n v="422822.3999999999"/>
        <n v="390821.2200000001"/>
        <n v="79567.02000000005"/>
        <n v="1449728.06"/>
        <n v="77018.6"/>
        <n v="19390.79999999999"/>
        <n v="347218.39"/>
        <n v="431256.12"/>
        <n v="391362.3999999999"/>
        <n v="804843.75"/>
        <n v="1236511.5299999998"/>
        <n v="237284.63999999998"/>
        <n v="3670.4300000000003"/>
        <n v="927558.75"/>
        <n v="278507.5"/>
        <n v="452409.74"/>
        <n v="65757.44"/>
        <n v="713175.8400000001"/>
        <n v="756470.0099999998"/>
        <n v="38316.740000000005"/>
        <n v="45727.81"/>
        <n v="182982.7999999998"/>
        <n v="249121.46000000008"/>
        <n v="547798.75"/>
        <n v="30239.270000000004"/>
        <n v="9881.0"/>
        <n v="300521.1000000001"/>
        <n v="458210.79999999993"/>
        <n v="536144.9800000001"/>
        <n v="383869.2000000002"/>
        <n v="124696.0"/>
        <n v="216060.47999999998"/>
        <n v="9552.400000000001"/>
        <n v="456282.72"/>
        <n v="3508.959999999999"/>
        <n v="85053.63999999998"/>
        <n v="18887.170000000006"/>
        <n v="185418.86999999997"/>
        <n v="253340.69"/>
        <n v="186483.48000000004"/>
        <n v="1229087.03"/>
        <n v="902042.5999999999"/>
        <n v="17503.199999999997"/>
        <n v="518306.47"/>
        <n v="20774.739999999998"/>
        <n v="11339.050000000003"/>
        <n v="10539.180000000004"/>
        <n v="62898.899999999994"/>
        <n v="637181.4199999999"/>
        <n v="739320.0"/>
        <n v="269.9200000000001"/>
        <n v="510933.75"/>
        <n v="117810.18000000005"/>
        <n v="49078.44000000002"/>
        <n v="284684.3999999999"/>
        <n v="203346.0"/>
        <n v="23039.600000000006"/>
        <n v="123646.03999999998"/>
        <n v="1026538.75"/>
        <n v="88259.59999999998"/>
        <n v="19562.40000000001"/>
        <n v="568393.44"/>
        <n v="165358.5"/>
        <n v="145152.54000000004"/>
        <n v="490611.4800000001"/>
        <n v="722869.9199999999"/>
        <n v="192152.5"/>
        <n v="154642.5"/>
        <n v="470886.67000000004"/>
        <n v="884116.78"/>
        <n v="300309.41000000003"/>
        <n v="767898.1199999999"/>
        <n v="104269.74000000002"/>
        <n v="18698.04"/>
        <n v="131731.92000000004"/>
        <n v="74127.48000000001"/>
        <n v="674427.5"/>
        <n v="469627.3800000001"/>
        <n v="476142.2899999998"/>
        <n v="459870.68999999994"/>
        <n v="14944.410000000003"/>
        <n v="1287556.3699999996"/>
        <n v="1125897.5"/>
        <n v="1604266.3999999994"/>
        <n v="67983.16999999998"/>
        <n v="4166.25"/>
        <n v="221364.0"/>
        <n v="514456.7999999998"/>
        <n v="23998.78"/>
        <n v="21935.820000000007"/>
        <n v="1027360.27"/>
        <n v="508063.65"/>
        <n v="127906.24000000005"/>
        <n v="477862.1000000001"/>
        <n v="89188.54000000001"/>
        <n v="453710.3999999999"/>
        <n v="13067.020000000004"/>
        <n v="667660.8"/>
        <n v="510216.6599999999"/>
        <n v="320195.36000000004"/>
        <n v="791082.5"/>
        <n v="346541.42999999993"/>
        <n v="736625.85"/>
        <n v="32814.53999999999"/>
        <n v="299578.01"/>
        <n v="359468.3699999999"/>
        <n v="139075.38999999998"/>
        <n v="45539.28000000001"/>
        <n v="468803.38"/>
        <n v="335935.5999999996"/>
        <n v="14970.960000000006"/>
        <n v="114928.07000000004"/>
        <n v="166341.6"/>
        <n v="434149.9400000002"/>
        <n v="163183.68"/>
        <n v="741232.5299999999"/>
        <n v="982115.98"/>
        <n v="1388.8600000000001"/>
        <n v="99438.0"/>
        <n v="443020.7599999999"/>
        <n v="294567.83999999997"/>
        <n v="79053.20999999996"/>
        <n v="292733.80999999994"/>
        <n v="460175.0399999999"/>
        <n v="76419.20000000001"/>
        <n v="937534.6099999994"/>
        <n v="65837.19999999995"/>
        <n v="1531273.0899999999"/>
        <n v="300814.7999999998"/>
        <n v="328613.99999999977"/>
        <n v="852674.7000000002"/>
        <n v="696902.2000000002"/>
        <n v="1662197.2000000002"/>
        <n v="432066.95000000007"/>
        <n v="821938.0199999998"/>
        <n v="1169580.0"/>
        <n v="37809.19999999998"/>
        <n v="536593.1999999997"/>
        <n v="361798.02999999997"/>
        <n v="317985.80999999994"/>
        <n v="109662.56000000003"/>
        <n v="216167.55999999994"/>
        <n v="54605.740000000005"/>
        <n v="1273469.3199999994"/>
        <n v="457000.32000000007"/>
        <n v="146264.40000000002"/>
        <n v="17236.320000000007"/>
        <n v="849200.52"/>
        <n v="138254.7"/>
        <n v="1515766.58"/>
        <n v="4152.43"/>
        <n v="20759.739999999998"/>
        <n v="16055.419999999998"/>
        <n v="1454777.9399999995"/>
        <n v="656406.72"/>
        <n v="705758.4"/>
        <n v="28141.02000000001"/>
        <n v="720594.04"/>
        <n v="520542.72"/>
        <n v="99409.68000000005"/>
        <n v="435862.80000000005"/>
        <n v="560089.36"/>
        <n v="12671.779999999999"/>
        <n v="19847.520000000004"/>
        <n v="104606.41"/>
        <n v="482780.0"/>
        <n v="831861.25"/>
        <n v="218777.75999999998"/>
        <n v="1935.2299999999996"/>
        <n v="282595.2800000001"/>
        <n v="465436.74"/>
        <n v="7514.379999999997"/>
        <n v="236548.11000000004"/>
        <n v="458709.66000000003"/>
        <n v="844394.3499999996"/>
        <n v="4181.3499999999985"/>
        <n v="424563.9400000002"/>
        <n v="363792.0"/>
        <n v="41223.89000000001"/>
        <n v="1302112.43"/>
        <n v="603396.5399999999"/>
        <n v="870914.8299999998"/>
        <n v="846758.7500000005"/>
        <n v="409037.2000000002"/>
        <n v="32400.540000000008"/>
        <n v="473959.2000000002"/>
        <n v="163182.77999999997"/>
        <n v="175762.56"/>
        <n v="1256945.0"/>
        <n v="55968.840000000026"/>
        <n v="1432570.12"/>
        <n v="96329.58000000002"/>
        <n v="119773.67999999996"/>
        <n v="14666.580000000005"/>
        <n v="85456.80000000005"/>
        <n v="590330.2599999998"/>
        <n v="245482.88999999996"/>
        <n v="160016.28000000003"/>
        <n v="99808.53"/>
        <n v="44771.94000000002"/>
        <n v="407029.67000000004"/>
        <n v="420572.05999999994"/>
        <n v="565561.44"/>
        <n v="460280.82999999996"/>
        <n v="674619.8399999999"/>
        <n v="636538.0700000001"/>
        <n v="528627.1800000002"/>
        <n v="109595.19999999995"/>
        <n v="935512.5000000005"/>
        <n v="395254.07999999996"/>
        <n v="419579.2200000001"/>
        <n v="10813.669999999998"/>
        <n v="30988.680000000008"/>
        <n v="417374.4400000002"/>
        <n v="16889.28"/>
        <n v="18062.950000000004"/>
        <n v="180411.25"/>
        <n v="110013.4"/>
        <n v="330994.08"/>
        <n v="515007.6000000002"/>
        <n v="1742.4300000000003"/>
        <n v="172343.6000000001"/>
        <n v="11854.620000000003"/>
        <n v="1558690.6499999994"/>
        <n v="608636.3299999998"/>
        <n v="341885.0"/>
        <n v="396426.1599999999"/>
        <n v="191599.55"/>
        <n v="155394.18000000005"/>
        <n v="600812.64"/>
        <n v="159832.68"/>
        <n v="137930.24000000005"/>
        <n v="364935.99999999953"/>
        <n v="1106455.0"/>
        <n v="312899.8799999999"/>
        <n v="122604.94"/>
        <n v="1631248.3399999999"/>
        <n v="150366.78000000003"/>
        <n v="15843.339999999997"/>
        <n v="585026.8999999999"/>
        <n v="38946.549999999974"/>
        <n v="467665.92000000004"/>
        <n v="292793.4000000001"/>
        <n v="458260.67000000004"/>
        <n v="266640.0"/>
        <n v="281117.89"/>
        <n v="107193.9"/>
        <n v="80210.52000000002"/>
        <n v="1368878.5100000002"/>
        <n v="22639.540000000008"/>
        <n v="16763.960000000006"/>
        <n v="116182.32"/>
        <n v="147528.54"/>
        <n v="1262121.25"/>
        <n v="374676.54999999993"/>
        <n v="159931.19999999995"/>
        <n v="735991.71"/>
        <n v="649283.04"/>
        <n v="422708.0"/>
        <n v="40245.119999999995"/>
        <n v="115658.3999999999"/>
        <n v="351793.20000000007"/>
        <n v="531053.3400000002"/>
        <n v="953610.4199999999"/>
        <n v="124324.74000000005"/>
        <n v="264065.46000000014"/>
        <n v="161561.82000000007"/>
        <n v="261674.35000000003"/>
        <n v="20027.100000000006"/>
        <n v="596033.5199999999"/>
        <n v="194632.22999999995"/>
        <n v="629939.73"/>
        <n v="138591.0"/>
        <n v="388445.1999999997"/>
        <n v="136007.10000000003"/>
        <n v="38617.56000000001"/>
        <n v="84423.06000000003"/>
        <n v="129518.57999999996"/>
        <n v="272952.5"/>
        <n v="233759.51999999996"/>
        <n v="288867.3899999998"/>
        <n v="4034.66"/>
        <n v="60794.18999999999"/>
        <n v="1193443.68"/>
        <n v="412302.0299999999"/>
        <n v="277519.48"/>
        <n v="779633.0800000001"/>
        <n v="62213.140000000014"/>
        <n v="725197.74"/>
        <n v="533953.5399999999"/>
        <n v="157352.35"/>
        <n v="427712.52"/>
        <n v="15002.25"/>
        <n v="316095.66000000003"/>
        <n v="513541.6000000001"/>
        <n v="1192052.7199999997"/>
        <n v="22104.519999999997"/>
        <n v="342606.50999999995"/>
        <n v="147534.81000000003"/>
        <n v="15403.719999999998"/>
        <n v="556257.5"/>
        <n v="364779.26"/>
        <n v="165750.84000000003"/>
        <n v="257686.0"/>
        <n v="1654814.0499999998"/>
        <n v="392946.20000000007"/>
        <n v="366125.0"/>
        <n v="176256.0"/>
        <n v="237780.3999999999"/>
        <n v="16082.820000000003"/>
        <n v="741285.3800000001"/>
        <n v="1261948.4600000002"/>
        <n v="628074.7200000001"/>
        <n v="640380.7199999997"/>
        <n v="918555.2100000002"/>
        <n v="6752.82"/>
        <n v="530303.5"/>
        <n v="35454.240000000005"/>
        <n v="108345.56999999998"/>
        <n v="1245958.1399999992"/>
        <n v="38767.82000000001"/>
        <n v="430732.27"/>
        <n v="882737.99"/>
        <n v="973000.8299999996"/>
        <n v="64722.78"/>
        <n v="477670.38"/>
        <n v="165521.3"/>
        <n v="523480.31999999995"/>
        <n v="115100.58000000002"/>
        <n v="787548.96"/>
        <n v="559899.9700000001"/>
        <n v="9428.940000000006"/>
        <n v="130557.42000000004"/>
        <n v="781450.7200000002"/>
        <n v="423108.3999999999"/>
        <n v="507465.26"/>
        <n v="270715.59"/>
        <n v="79842.72000000003"/>
        <n v="509194.3999999999"/>
        <n v="576503.1599999999"/>
        <n v="263749.19999999995"/>
        <n v="169427.5"/>
        <n v="13389.960000000006"/>
        <n v="886321.56"/>
        <n v="77646.59999999999"/>
        <n v="153701.08000000002"/>
        <n v="31350.060000000012"/>
        <n v="4429.5"/>
        <n v="1223488.75"/>
        <n v="851430.0"/>
        <n v="477968.6300000001"/>
        <n v="19653.300000000003"/>
        <n v="343021.25"/>
        <n v="174417.60000000003"/>
        <n v="481813.32000000007"/>
        <n v="7219.26"/>
        <n v="956596.2499999995"/>
        <n v="49478.0"/>
        <n v="559816.3999999999"/>
        <n v="536136.5499999996"/>
        <n v="104922.0"/>
        <n v="691723.75"/>
        <n v="272557.99999999977"/>
        <n v="548051.25"/>
        <n v="266328.10999999987"/>
        <n v="180442.08000000002"/>
        <n v="13958.720000000001"/>
        <n v="101261.02999999997"/>
        <n v="45437.640000000014"/>
        <n v="1158784.1599999997"/>
        <n v="983276.0899999994"/>
        <n v="131277.78000000003"/>
        <n v="14291.300000000003"/>
        <n v="9495.19999999999"/>
        <n v="17601.840000000004"/>
        <n v="442041.6000000001"/>
        <n v="154319.48000000004"/>
        <n v="59463.53999999999"/>
        <n v="68841.36000000002"/>
        <n v="11006.470000000001"/>
        <n v="748379.02"/>
        <n v="200858.39999999997"/>
        <n v="501086.25"/>
        <n v="470013.3600000002"/>
        <n v="942077.5"/>
        <n v="122602.14000000004"/>
        <n v="146955.0"/>
        <n v="57566.16000000002"/>
        <n v="490607.5"/>
        <n v="437122.3999999999"/>
        <n v="399219.83999999997"/>
        <n v="1193441.25"/>
        <n v="126070.60999999999"/>
        <n v="30601.120000000003"/>
        <n v="129164.21999999997"/>
        <n v="2369.0299999999997"/>
        <n v="1200713.8499999992"/>
        <n v="463483.1000000001"/>
        <n v="725907.25"/>
        <n v="482502.58999999997"/>
        <n v="77626.62000000002"/>
        <n v="881470.5"/>
        <n v="459045.0"/>
        <n v="23174.559999999998"/>
        <n v="23668.610000000015"/>
        <n v="1425038.52"/>
        <n v="210286.02999999997"/>
        <n v="486714.7999999998"/>
        <n v="871756.2499999995"/>
        <n v="7396.290000000001"/>
        <n v="818040.0599999998"/>
        <n v="1543112.0299999993"/>
        <n v="783755.7299999999"/>
        <n v="104906.34000000005"/>
        <n v="364115.51999999996"/>
        <n v="691070.4"/>
        <n v="248133.59999999986"/>
        <n v="650795.4099999999"/>
        <n v="450568.74"/>
        <n v="1505540.33"/>
        <n v="4964.220000000001"/>
        <n v="18658.22"/>
        <n v="197222.19999999995"/>
        <n v="102559.59999999998"/>
        <n v="2955.79"/>
        <n v="300616.96"/>
        <n v="558953.0199999999"/>
        <n v="289206.72"/>
        <n v="418993.80999999994"/>
        <n v="468696.7999999998"/>
        <n v="183890.27999999997"/>
        <n v="177716.22000000003"/>
        <n v="68078.88"/>
        <n v="10167.789999999997"/>
        <n v="36264.80000000002"/>
        <n v="111293.46000000002"/>
        <n v="157479.84000000003"/>
        <n v="124905.58000000005"/>
        <n v="542034.1799999998"/>
        <n v="492048.0"/>
        <n v="1016587.8199999994"/>
        <n v="185876.63999999998"/>
        <n v="509837.88"/>
        <n v="241516.24999999988"/>
        <n v="92691.53999999998"/>
        <n v="645537.5999999999"/>
        <n v="714923.8800000001"/>
        <n v="167105.11"/>
        <n v="394048.32"/>
        <n v="62748.399999999965"/>
        <n v="107302.32000000004"/>
        <n v="248705.6000000001"/>
        <n v="163448.55"/>
        <n v="276562.0"/>
        <n v="60150.06000000001"/>
        <n v="594717.1200000001"/>
        <n v="142615.62000000005"/>
        <n v="107306.92000000004"/>
        <n v="29395.380000000005"/>
        <n v="474926.9900000001"/>
        <n v="681156.0"/>
        <n v="176069.57"/>
        <n v="155002.68000000005"/>
        <n v="73523.70000000001"/>
        <n v="98109.9"/>
        <n v="255423.97999999998"/>
        <n v="558258.59"/>
        <n v="521277.12"/>
        <n v="151061.68"/>
        <n v="677890.6799999999"/>
        <n v="626060.21"/>
        <n v="170884.13999999996"/>
        <n v="432628.4400000002"/>
        <n v="490078.18999999994"/>
        <n v="351043.5299999999"/>
        <n v="266657.04000000004"/>
        <n v="262272.96"/>
        <n v="552895.1999999997"/>
        <n v="93505.86000000002"/>
        <n v="439937.93999999994"/>
        <n v="489532.9200000003"/>
        <n v="113863.86000000002"/>
        <n v="86756.4"/>
        <n v="370255.5999999996"/>
        <n v="221717.94000000006"/>
        <n v="89966.70000000001"/>
        <n v="1601342.7000000002"/>
        <n v="414321.9600000001"/>
        <n v="43284.90000000001"/>
        <n v="1350865.2299999995"/>
        <n v="619242.1699999999"/>
        <n v="66809.96000000002"/>
        <n v="602480.1000000001"/>
        <n v="475558.2899999999"/>
        <n v="26467.20000000001"/>
        <n v="57672.08999999998"/>
        <n v="113409.72000000003"/>
        <n v="169295.48999999996"/>
        <n v="606841.5"/>
        <n v="22801.010000000002"/>
        <n v="372085.99999999953"/>
        <n v="50345.54000000001"/>
        <n v="416152.95999999996"/>
        <n v="355542.7200000001"/>
        <n v="332631.97"/>
        <n v="381295.1999999997"/>
        <n v="510779.85999999987"/>
        <n v="564850.0"/>
        <n v="79218.94"/>
        <n v="301670.94000000006"/>
        <n v="820697.7599999998"/>
        <n v="578838.9700000001"/>
        <n v="317330.70000000007"/>
        <n v="9223.740000000002"/>
        <n v="49718.87999999999"/>
        <n v="3790.9300000000003"/>
        <n v="435155.0900000001"/>
        <n v="864812.4999999995"/>
        <n v="73194.84000000003"/>
        <n v="52658.700000000026"/>
        <n v="823533.26"/>
        <n v="339081.6000000001"/>
        <n v="519657.0600000002"/>
        <n v="245788.4800000001"/>
        <n v="1237954.4000000001"/>
        <n v="64848.06000000003"/>
        <n v="423640.6200000001"/>
        <n v="279265.0"/>
        <n v="60071.76000000001"/>
        <n v="506734.80000000005"/>
        <n v="72758.39999999997"/>
        <n v="564382.1999999998"/>
        <n v="497521.43999999994"/>
        <n v="249773.02000000002"/>
        <n v="145187.5"/>
        <n v="1246621.0599999991"/>
        <n v="151754.66999999998"/>
        <n v="15332.419999999998"/>
        <n v="395547.83999999997"/>
        <n v="1081553.9799999995"/>
        <n v="188600.74"/>
        <n v="7781.889999999999"/>
        <n v="470571.0199999999"/>
        <n v="218072.12000000005"/>
        <n v="92487.96000000002"/>
        <n v="11408.940000000002"/>
        <n v="81306.72000000003"/>
        <n v="55023.640000000014"/>
        <n v="359910.9"/>
        <n v="909194.7799999998"/>
      </sharedItems>
    </cacheField>
    <cacheField name="mesOrder Date" numFmtId="0">
      <sharedItems containsSemiMixedTypes="0" containsString="0" containsNumber="1" containsInteger="1">
        <n v="10.0"/>
        <n v="8.0"/>
        <n v="7.0"/>
        <n v="5.0"/>
        <n v="3.0"/>
        <n v="4.0"/>
        <n v="11.0"/>
        <n v="9.0"/>
        <n v="1.0"/>
        <n v="2.0"/>
        <n v="6.0"/>
        <n v="12.0"/>
      </sharedItems>
    </cacheField>
    <cacheField name="anoOrder Date" numFmtId="1">
      <sharedItems containsSemiMixedTypes="0" containsString="0" containsNumber="1" containsInteger="1">
        <n v="2014.0"/>
        <n v="2016.0"/>
        <n v="2017.0"/>
        <n v="2012.0"/>
        <n v="2015.0"/>
        <n v="2013.0"/>
        <n v="2011.0"/>
        <n v="2010.0"/>
      </sharedItems>
    </cacheField>
    <cacheField name="Sales Channel" numFmtId="0">
      <sharedItems>
        <s v="Online"/>
        <s v="Offline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331" sheet="venda_localizacao"/>
  </cacheSource>
  <cacheFields>
    <cacheField name="Order ID" numFmtId="0">
      <sharedItems containsSemiMixedTypes="0" containsString="0" containsNumber="1" containsInteger="1">
        <n v="1.00640618E8"/>
        <n v="1.00983083E8"/>
        <n v="1.01025998E8"/>
        <n v="1.02230632E8"/>
        <n v="1.03435266E8"/>
        <n v="1.03450715E8"/>
        <n v="1.03499639E8"/>
        <n v="1.0376228E8"/>
        <n v="1.03832662E8"/>
        <n v="1.04008615E8"/>
        <n v="1.04165685E8"/>
        <n v="1.04190576E8"/>
        <n v="1.04245078E8"/>
        <n v="1.0454849E8"/>
        <n v="1.0503E8"/>
        <n v="1.07651269E8"/>
        <n v="1.08407437E8"/>
        <n v="1.09914195E8"/>
        <n v="1.11063039E8"/>
        <n v="1.11246287E8"/>
        <n v="1.11496055E8"/>
        <n v="1.11893022E8"/>
        <n v="1.12330758E8"/>
        <n v="1.13524663E8"/>
        <n v="1.14954173E8"/>
        <n v="1.15363156E8"/>
        <n v="1.17929494E8"/>
        <n v="1.18086564E8"/>
        <n v="1.18659913E8"/>
        <n v="1.18859469E8"/>
        <n v="1.19935786E8"/>
        <n v="1.20419871E8"/>
        <n v="1.20977771E8"/>
        <n v="1.21380746E8"/>
        <n v="1.21945512E8"/>
        <n v="1.2214421E8"/>
        <n v="1.22372519E8"/>
        <n v="1.22967326E8"/>
        <n v="1.23086202E8"/>
        <n v="1.23544108E8"/>
        <n v="1.2393893E8"/>
        <n v="1.25339686E8"/>
        <n v="1.25349128E8"/>
        <n v="1.26948583E8"/>
        <n v="1.27694451E8"/>
        <n v="1.27838218E8"/>
        <n v="1.28003442E8"/>
        <n v="1.28686225E8"/>
        <n v="1.28766906E8"/>
        <n v="1.29127395E8"/>
        <n v="1.29169023E8"/>
        <n v="1.29875409E8"/>
        <n v="1.29902875E8"/>
        <n v="1.30356919E8"/>
        <n v="1.30754315E8"/>
        <n v="1.31585586E8"/>
        <n v="1.32069671E8"/>
        <n v="1.32603538E8"/>
        <n v="1.3327645E8"/>
        <n v="1.34121024E8"/>
        <n v="1.34790503E8"/>
        <n v="1.36624276E8"/>
        <n v="1.38025033E8"/>
        <n v="1.38182103E8"/>
        <n v="1.38820683E8"/>
        <n v="1.39201343E8"/>
        <n v="1.39949357E8"/>
        <n v="1.40461766E8"/>
        <n v="1.40499961E8"/>
        <n v="1.41764247E8"/>
        <n v="1.41846215E8"/>
        <n v="1.41875827E8"/>
        <n v="1.42375361E8"/>
        <n v="1.42987763E8"/>
        <n v="1.43414771E8"/>
        <n v="1.44282948E8"/>
        <n v="1.44743001E8"/>
        <n v="1.44978606E8"/>
        <n v="1.46349751E8"/>
        <n v="1.46545875E8"/>
        <n v="1.47826898E8"/>
        <n v="1.48894631E8"/>
        <n v="1.49274003E8"/>
        <n v="1.50293242E8"/>
        <n v="1.51312482E8"/>
        <n v="1.52191388E8"/>
        <n v="1.52411115E8"/>
        <n v="1.52505099E8"/>
        <n v="1.52746713E8"/>
        <n v="1.5397495E8"/>
        <n v="1.55086886E8"/>
        <n v="1.55914723E8"/>
        <n v="1.56158483E8"/>
        <n v="1.58479773E8"/>
        <n v="1.58673751E8"/>
        <n v="1.59232509E8"/>
        <n v="1.59805858E8"/>
        <n v="1.60578763E8"/>
        <n v="1.60751283E8"/>
        <n v="1.61399304E8"/>
        <n v="1.61607444E8"/>
        <n v="1.6181215E8"/>
        <n v="1.62791907E8"/>
        <n v="1.63587558E8"/>
        <n v="1.63744628E8"/>
        <n v="1.64259612E8"/>
        <n v="1.668105E8"/>
        <n v="1.68319404E8"/>
        <n v="1.68487203E8"/>
        <n v="1.68960559E8"/>
        <n v="1.68979442E8"/>
        <n v="1.69378983E8"/>
        <n v="1.69799983E8"/>
        <n v="1.73122918E8"/>
        <n v="1.74218118E8"/>
        <n v="1.74614226E8"/>
        <n v="1.74935233E8"/>
        <n v="1.75723588E8"/>
        <n v="1.76050603E8"/>
        <n v="1.76722657E8"/>
        <n v="1.7714709E8"/>
        <n v="1.78604066E8"/>
        <n v="1.79819428E8"/>
        <n v="1.80358016E8"/>
        <n v="1.80479466E8"/>
        <n v="1.81260526E8"/>
        <n v="1.82078921E8"/>
        <n v="1.82228696E8"/>
        <n v="1.83778369E8"/>
        <n v="1.83910119E8"/>
        <n v="1.84120833E8"/>
        <n v="1.84412229E8"/>
        <n v="1.84708344E8"/>
        <n v="1.84976994E8"/>
        <n v="1.8594731E8"/>
        <n v="1.85960614E8"/>
        <n v="1.8607949E8"/>
        <n v="1.86597907E8"/>
        <n v="1.86847674E8"/>
        <n v="1.8710345E8"/>
        <n v="1.88866841E8"/>
        <n v="1.89108455E8"/>
        <n v="1.89667212E8"/>
        <n v="1.89924275E8"/>
        <n v="1.9000281E8"/>
        <n v="1.92236125E8"/>
        <n v="1.92589318E8"/>
        <n v="1.92922341E8"/>
        <n v="1.93472945E8"/>
        <n v="1.94176757E8"/>
        <n v="1.94785726E8"/>
        <n v="1.94858253E8"/>
        <n v="1.94922626E8"/>
        <n v="1.95171105E8"/>
        <n v="1.95212733E8"/>
        <n v="1.95259082E8"/>
        <n v="1.96346127E8"/>
        <n v="1.98537814E8"/>
        <n v="2.0035485E8"/>
        <n v="2.00432097E8"/>
        <n v="2.00507199E8"/>
        <n v="2.01294267E8"/>
        <n v="2.02047002E8"/>
        <n v="2.0303663E8"/>
        <n v="2.03955876E8"/>
        <n v="2.04392325E8"/>
        <n v="2.04418504E8"/>
        <n v="2.05354487E8"/>
        <n v="2.08238399E8"/>
        <n v="2.08365428E8"/>
        <n v="2.09357202E8"/>
        <n v="2.09445178E8"/>
        <n v="2.09598815E8"/>
        <n v="2.09736573E8"/>
        <n v="2.11344611E8"/>
        <n v="2.12106788E8"/>
        <n v="2.12319648E8"/>
        <n v="2.12903726E8"/>
        <n v="2.14033257E8"/>
        <n v="2.14292466E8"/>
        <n v="2.15540015E8"/>
        <n v="2.15584218E8"/>
        <n v="2.16278588E8"/>
        <n v="2.17165648E8"/>
        <n v="2.17248904E8"/>
        <n v="2.1785916E8"/>
        <n v="2.17920958E8"/>
        <n v="2.1945132E8"/>
        <n v="2.20607459E8"/>
        <n v="2.21628844E8"/>
        <n v="2.22720611E8"/>
        <n v="2.23199975E8"/>
        <n v="2.23869454E8"/>
        <n v="2.2464708E8"/>
        <n v="2.282112E8"/>
        <n v="2.29105556E8"/>
        <n v="2.29355323E8"/>
        <n v="2.29693067E8"/>
        <n v="2.31341445E8"/>
        <n v="2.31369769E8"/>
        <n v="2.31450879E8"/>
        <n v="2.3186115E8"/>
        <n v="2.32196319E8"/>
        <n v="2.33440434E8"/>
        <n v="2.33709084E8"/>
        <n v="2.33811223E8"/>
        <n v="2.34082448E8"/>
        <n v="2.36042392E8"/>
        <n v="2.38170993E8"/>
        <n v="2.39048612E8"/>
        <n v="2.39386355E8"/>
        <n v="2.39554154E8"/>
        <n v="2.41392648E8"/>
        <n v="2.42168128E8"/>
        <n v="2.42265546E8"/>
        <n v="2.43070638E8"/>
        <n v="2.43144452E8"/>
        <n v="2.4322642E8"/>
        <n v="2.43340575E8"/>
        <n v="2.43391644E8"/>
        <n v="2.43521249E8"/>
        <n v="2.43684327E8"/>
        <n v="2.44023358E8"/>
        <n v="2.45440852E8"/>
        <n v="2.45556294E8"/>
        <n v="2.46603858E8"/>
        <n v="2.46922719E8"/>
        <n v="2.49039304E8"/>
        <n v="2.49606645E8"/>
        <n v="2.49765861E8"/>
        <n v="2.50848186E8"/>
        <n v="2.51208674E8"/>
        <n v="2.51823222E8"/>
        <n v="2.51907765E8"/>
        <n v="2.52541625E8"/>
        <n v="2.53055322E8"/>
        <n v="2.53211104E8"/>
        <n v="2.55047452E8"/>
        <n v="2.56095016E8"/>
        <n v="2.59006392E8"/>
        <n v="2.59032571E8"/>
        <n v="2.60630738E8"/>
        <n v="2.6118735E8"/>
        <n v="2.61640536E8"/>
        <n v="2.62177836E8"/>
        <n v="2.63098371E8"/>
        <n v="2.6342796E8"/>
        <n v="2.63647687E8"/>
        <n v="2.63852393E8"/>
        <n v="2.63882005E8"/>
        <n v="2.63977277E8"/>
        <n v="2.64163959E8"/>
        <n v="2.64526593E8"/>
        <n v="2.64856183E8"/>
        <n v="2.6492871E8"/>
        <n v="2.64959609E8"/>
        <n v="2.65191352E8"/>
        <n v="2.65914475E8"/>
        <n v="2.66614854E8"/>
        <n v="2.66638886E8"/>
        <n v="2.68373954E8"/>
        <n v="2.70358788E8"/>
        <n v="2.72361218E8"/>
        <n v="2.72425591E8"/>
        <n v="2.73662412E8"/>
        <n v="2.73940503E8"/>
        <n v="2.74694526E8"/>
        <n v="2.74989354E8"/>
        <n v="2.76784074E8"/>
        <n v="2.76850593E8"/>
        <n v="2.78513133E8"/>
        <n v="2.79338395E8"/>
        <n v="2.79703605E8"/>
        <n v="2.79816472E8"/>
        <n v="2.8019241E8"/>
        <n v="2.80477797E8"/>
        <n v="2.81100928E8"/>
        <n v="2.82917964E8"/>
        <n v="2.84108436E8"/>
        <n v="2.84310567E8"/>
        <n v="2.84403264E8"/>
        <n v="2.84435451E8"/>
        <n v="2.84595954E8"/>
        <n v="2.85343968E8"/>
        <n v="2.87151563E8"/>
        <n v="2.87917602E8"/>
        <n v="2.88073384E8"/>
        <n v="2.88656175E8"/>
        <n v="2.90317428E8"/>
        <n v="2.91160714E8"/>
        <n v="2.91179597E8"/>
        <n v="2.91305768E8"/>
        <n v="2.91531503E8"/>
        <n v="2.91611325E8"/>
        <n v="2.91995418E8"/>
        <n v="2.92424571E8"/>
        <n v="2.93178594E8"/>
        <n v="2.95168149E8"/>
        <n v="2.95787847E8"/>
        <n v="2.96073234E8"/>
        <n v="2.98228013E8"/>
        <n v="2.98978602E8"/>
        <n v="2.99335229E8"/>
        <n v="2.99739491E8"/>
        <n v="3.02015721E8"/>
        <n v="3.02442729E8"/>
        <n v="3.02744853E8"/>
        <n v="3.03534495E8"/>
        <n v="3.05569112E8"/>
        <n v="3.05616748E8"/>
        <n v="3.06256616E8"/>
        <n v="3.06839406E8"/>
        <n v="3.07305467E8"/>
        <n v="3.07721745E8"/>
        <n v="3.08582627E8"/>
        <n v="3.09148681E8"/>
        <n v="3.09188163E8"/>
        <n v="3.09285581E8"/>
        <n v="3.09342658E8"/>
        <n v="3.09655511E8"/>
        <n v="3.1058892E8"/>
        <n v="3.11221492E8"/>
        <n v="3.1168884E8"/>
        <n v="3.11921012E8"/>
        <n v="3.11956632E8"/>
        <n v="3.13178002E8"/>
        <n v="3.13705861E8"/>
        <n v="3.13821303E8"/>
        <n v="3.14782178E8"/>
        <n v="3.15066277E8"/>
        <n v="3.16466176E8"/>
        <n v="3.17006051E8"/>
        <n v="3.18523538E8"/>
        <n v="3.20431125E8"/>
        <n v="3.21628463E8"/>
        <n v="3.22524106E8"/>
        <n v="3.23293578E8"/>
        <n v="3.25314033E8"/>
        <n v="3.27072703E8"/>
        <n v="3.27604424E8"/>
        <n v="3.28322827E8"/>
        <n v="3.28721082E8"/>
        <n v="3.29529607E8"/>
        <n v="3.30590474E8"/>
        <n v="3.32268464E8"/>
        <n v="3.32353007E8"/>
        <n v="3.3330444E8"/>
        <n v="3.34539973E8"/>
        <n v="3.36111962E8"/>
        <n v="3.36813628E8"/>
        <n v="3.37354791E8"/>
        <n v="3.39786803E8"/>
        <n v="3.39999663E8"/>
        <n v="3.40213811E8"/>
        <n v="3.41398274E8"/>
        <n v="3.43185698E8"/>
        <n v="3.43730294E8"/>
        <n v="3.4388951E8"/>
        <n v="3.44160735E8"/>
        <n v="3.46498763E8"/>
        <n v="3.47609412E8"/>
        <n v="3.48080623E8"/>
        <n v="3.4906038E8"/>
        <n v="3.49212729E8"/>
        <n v="3.50550401E8"/>
        <n v="3.50977408E8"/>
        <n v="3.51247346E8"/>
        <n v="3.52342545E8"/>
        <n v="3.5319184E8"/>
        <n v="3.53320157E8"/>
        <n v="3.53383243E8"/>
        <n v="3.53415429E8"/>
        <n v="3.5347594E8"/>
        <n v="3.53492677E8"/>
        <n v="3.54270303E8"/>
        <n v="3.54655683E8"/>
        <n v="3.54667699E8"/>
        <n v="3.54931628E8"/>
        <n v="3.55534589E8"/>
        <n v="3.56413495E8"/>
        <n v="3.5743488E8"/>
        <n v="3.57482516E8"/>
        <n v="3.57930982E8"/>
        <n v="3.57943856E8"/>
        <n v="3.58594453E8"/>
        <n v="3.58624064E8"/>
        <n v="3.59197413E8"/>
        <n v="3.59893071E8"/>
        <n v="3.61311852E8"/>
        <n v="3.61659038E8"/>
        <n v="3.61725556E8"/>
        <n v="3.62258565E8"/>
        <n v="3.64715468E8"/>
        <n v="3.64854514E8"/>
        <n v="3.67328155E8"/>
        <n v="3.68865811E8"/>
        <n v="3.69170081E8"/>
        <n v="3.70484149E8"/>
        <n v="3.71814954E8"/>
        <n v="3.74663245E8"/>
        <n v="3.74848639E8"/>
        <n v="3.78216636E8"/>
        <n v="3.78714883E8"/>
        <n v="3.7887324E8"/>
        <n v="3.79900634E8"/>
        <n v="3.80379998E8"/>
        <n v="3.80498874E8"/>
        <n v="3.80610454E8"/>
        <n v="3.80684268E8"/>
        <n v="3.80733191E8"/>
        <n v="3.81759297E8"/>
        <n v="3.81774747E8"/>
        <n v="3.82581126E8"/>
        <n v="3.83611094E8"/>
        <n v="3.84128224E8"/>
        <n v="3.84483993E8"/>
        <n v="3.84601581E8"/>
        <n v="3.84976232E8"/>
        <n v="3.85080945E8"/>
        <n v="3.85340154E8"/>
        <n v="3.86009633E8"/>
        <n v="3.86319911E8"/>
        <n v="3.86440074E8"/>
        <n v="3.86601865E8"/>
        <n v="3.87098824E8"/>
        <n v="3.8872832E8"/>
        <n v="3.91026866E8"/>
        <n v="3.91200673E8"/>
        <n v="3.91849982E8"/>
        <n v="3.92217338E8"/>
        <n v="3.92252957E8"/>
        <n v="3.92518174E8"/>
        <n v="3.92676532E8"/>
        <n v="3.92752492E8"/>
        <n v="3.93709933E8"/>
        <n v="3.93842971E8"/>
        <n v="3.9385842E8"/>
        <n v="3.94110763E8"/>
        <n v="3.94356667E8"/>
        <n v="3.9445666E8"/>
        <n v="3.95562589E8"/>
        <n v="3.96462953E8"/>
        <n v="3.96552217E8"/>
        <n v="3.96718728E8"/>
        <n v="3.96832883E8"/>
        <n v="3.97874438E8"/>
        <n v="3.98104035E8"/>
        <n v="3.98333632E8"/>
        <n v="3.98645198E8"/>
        <n v="3.99115979E8"/>
        <n v="3.99256312E8"/>
        <n v="4.00267398E8"/>
        <n v="4.00904691E8"/>
        <n v="4.01993882E8"/>
        <n v="4.03337991E8"/>
        <n v="4.03665006E8"/>
        <n v="4.04789817E8"/>
        <n v="4.05986297E8"/>
        <n v="4.06270396E8"/>
        <n v="4.06564366E8"/>
        <n v="4.07220542E8"/>
        <n v="4.08540618E8"/>
        <n v="4.09112679E8"/>
        <n v="4.09514796E8"/>
        <n v="4.10229337E8"/>
        <n v="4.10291135E8"/>
        <n v="4.10514724E8"/>
        <n v="4.10740888E8"/>
        <n v="4.12215459E8"/>
        <n v="4.12416303E8"/>
        <n v="4.13078916E8"/>
        <n v="4.13245427E8"/>
        <n v="4.13951814E8"/>
        <n v="4.14359509E8"/>
        <n v="4.14579665E8"/>
        <n v="4.15837943E8"/>
        <n v="4.16682088E8"/>
        <n v="4.16953313E8"/>
        <n v="4.18404281E8"/>
        <n v="4.20875346E8"/>
        <n v="4.21456849E8"/>
        <n v="4.21660268E8"/>
        <n v="4.22568786E8"/>
        <n v="4.24181544E8"/>
        <n v="4.24297845E8"/>
        <n v="4.24541604E8"/>
        <n v="4.25547969E8"/>
        <n v="4.27432811E8"/>
        <n v="4.28419864E8"/>
        <n v="4.29123675E8"/>
        <n v="4.3068751E8"/>
        <n v="4.31240689E8"/>
        <n v="4.31432092E8"/>
        <n v="4.31753098E8"/>
        <n v="4.32031619E8"/>
        <n v="4.33079183E8"/>
        <n v="4.337345E8"/>
        <n v="4.34013879E8"/>
        <n v="4.34275662E8"/>
        <n v="4.34485948E8"/>
        <n v="4.35463559E8"/>
        <n v="4.36606395E8"/>
        <n v="4.36969029E8"/>
        <n v="4.37083184E8"/>
        <n v="4.37604176E8"/>
        <n v="4.38683927E8"/>
        <n v="4.39114367E8"/>
        <n v="4.39204919E8"/>
        <n v="4.3964008E8"/>
        <n v="4.39725911E8"/>
        <n v="4.42318427E8"/>
        <n v="4.43125665E8"/>
        <n v="4.43347108E8"/>
        <n v="4.43544518E8"/>
        <n v="4.43551385E8"/>
        <n v="4.44234168E8"/>
        <n v="4.44798934E8"/>
        <n v="4.4480623E8"/>
        <n v="4.45273578E8"/>
        <n v="4.45708739E8"/>
        <n v="4.45952498E8"/>
        <n v="4.46019017E8"/>
        <n v="4.46045196E8"/>
        <n v="4.4718331E8"/>
        <n v="4.47536504E8"/>
        <n v="4.47684133E8"/>
        <n v="4.4920634E8"/>
        <n v="4.50041043E8"/>
        <n v="4.50550019E8"/>
        <n v="4.52471768E8"/>
        <n v="4.52559745E8"/>
        <n v="4.54550588E8"/>
        <n v="4.55040681E8"/>
        <n v="4.56192958E8"/>
        <n v="4.56527268E8"/>
        <n v="4.56934964E8"/>
        <n v="4.58816373E8"/>
        <n v="4.59277713E8"/>
        <n v="4.59372985E8"/>
        <n v="4.60693061E8"/>
        <n v="4.61445796E8"/>
        <n v="4.61917865E8"/>
        <n v="4.62561166E8"/>
        <n v="4.63591134E8"/>
        <n v="4.6491121E8"/>
        <n v="4.65753209E8"/>
        <n v="4.66517961E8"/>
        <n v="4.66988742E8"/>
        <n v="4.67045819E8"/>
        <n v="4.67138516E8"/>
        <n v="4.67312324E8"/>
        <n v="4.67924726E8"/>
        <n v="4.68320834E8"/>
        <n v="4.68803632E8"/>
        <n v="4.69129359E8"/>
        <n v="4.69144809E8"/>
        <n v="4.69197165E8"/>
        <n v="4.69840466E8"/>
        <n v="4.69974792E8"/>
        <n v="4.70503079E8"/>
        <n v="4.71348512E8"/>
        <n v="4.71484124E8"/>
        <n v="4.73845756E8"/>
        <n v="4.7517656E8"/>
        <n v="4.75992381E8"/>
        <n v="4.76453721E8"/>
        <n v="4.76633536E8"/>
        <n v="4.7679404E8"/>
        <n v="4.7699145E8"/>
        <n v="4.77282845E8"/>
        <n v="4.77633464E8"/>
        <n v="4.7805103E8"/>
        <n v="4.78840672E8"/>
        <n v="4.79171121E8"/>
        <n v="4.79234206E8"/>
        <n v="4.80652987E8"/>
        <n v="4.80904042E8"/>
        <n v="4.81114327E8"/>
        <n v="4.81308305E8"/>
        <n v="4.81976497E8"/>
        <n v="4.83438193E8"/>
        <n v="4.83655774E8"/>
        <n v="4.83981502E8"/>
        <n v="4.85165965E8"/>
        <n v="4.85929429E8"/>
        <n v="4.86345708E8"/>
        <n v="4.8646115E8"/>
        <n v="4.8831638E8"/>
        <n v="4.88815915E8"/>
        <n v="4.89600837E8"/>
        <n v="4.89848029E8"/>
        <n v="4.91547477E8"/>
        <n v="4.92353856E8"/>
        <n v="4.95450627E8"/>
        <n v="4.95593106E8"/>
        <n v="4.95631301E8"/>
        <n v="4.96826493E8"/>
        <n v="4.97466361E8"/>
        <n v="4.97506701E8"/>
        <n v="4.97554337E8"/>
        <n v="4.98089492E8"/>
        <n v="4.98201072E8"/>
        <n v="4.9894694E8"/>
        <n v="4.99101436E8"/>
        <n v="5.04024684E8"/>
        <n v="5.04973971E8"/>
        <n v="5.0586704E8"/>
        <n v="5.07040774E8"/>
        <n v="5.07531726E8"/>
        <n v="5.08014523E8"/>
        <n v="5.09356057E8"/>
        <n v="5.09380948E8"/>
        <n v="5.10762822E8"/>
        <n v="5.10956799E8"/>
        <n v="5.11155498E8"/>
        <n v="5.1171211E8"/>
        <n v="5.12662255E8"/>
        <n v="5.12714612E8"/>
        <n v="5.13026177E8"/>
        <n v="5.13611114E8"/>
        <n v="5.13802516E8"/>
        <n v="5.15771901E8"/>
        <n v="5.15773189E8"/>
        <n v="5.16122949E8"/>
        <n v="5.16460692E8"/>
        <n v="5.16485583E8"/>
        <n v="5.16599738E8"/>
        <n v="5.16635358E8"/>
        <n v="5.16994559E8"/>
        <n v="5.17097985E8"/>
        <n v="5.17514264E8"/>
        <n v="5.18421494E8"/>
        <n v="5.19380223E8"/>
        <n v="5.2039088E8"/>
        <n v="5.20777547E8"/>
        <n v="5.20915305E8"/>
        <n v="5.21681344E8"/>
        <n v="5.21874034E8"/>
        <n v="5.22323358E8"/>
        <n v="5.23580348E8"/>
        <n v="5.23707807E8"/>
        <n v="5.23836123E8"/>
        <n v="5.23899209E8"/>
        <n v="5.24844634E8"/>
        <n v="5.24972951E8"/>
        <n v="5.25321424E8"/>
        <n v="5.25472486E8"/>
        <n v="5.25749719E8"/>
        <n v="5.26018369E8"/>
        <n v="5.26350104E8"/>
        <n v="5.26533353E8"/>
        <n v="5.27079236E8"/>
        <n v="5.2725991E8"/>
        <n v="5.27509677E8"/>
        <n v="5.30262696E8"/>
        <n v="5.30702579E8"/>
        <n v="5.30882394E8"/>
        <n v="5.31281936E8"/>
        <n v="5.33314406E8"/>
        <n v="5.33597218E8"/>
        <n v="5.34641349E8"/>
        <n v="5.34709155E8"/>
        <n v="5.35740411E8"/>
        <n v="5.3609575E8"/>
        <n v="5.38430345E8"/>
        <n v="5.39002406E8"/>
        <n v="5.4098252E8"/>
        <n v="5.43322694E8"/>
        <n v="5.43396508E8"/>
        <n v="5.44284856E8"/>
        <n v="5.44741475E8"/>
        <n v="5.45059049E8"/>
        <n v="5.46081721E8"/>
        <n v="5.46140086E8"/>
        <n v="5.46544349E8"/>
        <n v="5.47225844E8"/>
        <n v="5.47587192E8"/>
        <n v="5.47625386E8"/>
        <n v="5.48015487E8"/>
        <n v="5.48343789E8"/>
        <n v="5.48403012E8"/>
        <n v="5.49048888E8"/>
        <n v="5.4905833E8"/>
        <n v="5.49187934E8"/>
        <n v="5.51118266E8"/>
        <n v="5.52037513E8"/>
        <n v="5.52276551E8"/>
        <n v="5.52931869E8"/>
        <n v="5.53107821E8"/>
        <n v="5.54554927E8"/>
        <n v="5.54721438E8"/>
        <n v="5.56263816E8"/>
        <n v="5.56647908E8"/>
        <n v="5.56947886E8"/>
        <n v="5.59183347E8"/>
        <n v="5.59417665E8"/>
        <n v="5.60389268E8"/>
        <n v="5.60762631E8"/>
        <n v="5.61534678E8"/>
        <n v="5.63939225E8"/>
        <n v="5.64173543E8"/>
        <n v="5.66428315E8"/>
        <n v="5.67412793E8"/>
        <n v="5.67751824E8"/>
        <n v="5.69170606E8"/>
        <n v="5.69864976E8"/>
        <n v="5.69941365E8"/>
        <n v="5.7047652E8"/>
        <n v="5.70703542E8"/>
        <n v="5.71161448E8"/>
        <n v="5.71323239E8"/>
        <n v="5.72634732E8"/>
        <n v="5.74247491E8"/>
        <n v="5.74925124E8"/>
        <n v="5.7547959E8"/>
        <n v="5.75552117E8"/>
        <n v="5.75583016E8"/>
        <n v="5.75758969E8"/>
        <n v="5.7694472E8"/>
        <n v="5.77530944E8"/>
        <n v="5.78356206E8"/>
        <n v="5.78666484E8"/>
        <n v="5.79094779E8"/>
        <n v="5.79463422E8"/>
        <n v="5.80314862E8"/>
        <n v="5.80342328E8"/>
        <n v="5.80463349E8"/>
        <n v="5.8056935E8"/>
        <n v="5.8078221E8"/>
        <n v="5.81193768E8"/>
        <n v="5.82560193E8"/>
        <n v="5.82563626E8"/>
        <n v="5.82836139E8"/>
        <n v="5.83089339E8"/>
        <n v="5.83451974E8"/>
        <n v="5.83654105E8"/>
        <n v="5.85362994E8"/>
        <n v="5.85677134E8"/>
        <n v="5.86812674E8"/>
        <n v="5.87598884E8"/>
        <n v="5.87799727E8"/>
        <n v="5.87846076E8"/>
        <n v="5.88528859E8"/>
        <n v="5.89842927E8"/>
        <n v="5.91287887E8"/>
        <n v="5.91774117E8"/>
        <n v="5.93018233E8"/>
        <n v="5.93158566E8"/>
        <n v="5.94699656E8"/>
        <n v="5.94813811E8"/>
        <n v="5.94991052E8"/>
        <n v="5.95385873E8"/>
        <n v="5.95395314E8"/>
        <n v="5.95496594E8"/>
        <n v="5.95922315E8"/>
        <n v="5.96166074E8"/>
        <n v="5.97105491E8"/>
        <n v="5.97839343E8"/>
        <n v="5.98404109E8"/>
        <n v="5.99624192E8"/>
        <n v="5.99997556E8"/>
        <n v="6.00515115E8"/>
        <n v="6.01422345E8"/>
        <n v="6.01588857E8"/>
        <n v="6.0188626E8"/>
        <n v="6.01894414E8"/>
        <n v="6.02264344E8"/>
        <n v="6.02301251E8"/>
        <n v="6.02357041E8"/>
        <n v="6.04124295E8"/>
        <n v="6.04494225E8"/>
        <n v="6.0502938E8"/>
        <n v="6.06118571E8"/>
        <n v="6.06224572E8"/>
        <n v="6.07620608E8"/>
        <n v="6.07756221E8"/>
        <n v="6.08374631E8"/>
        <n v="6.08451879E8"/>
        <n v="6.09939754E8"/>
        <n v="6.09952628E8"/>
        <n v="6.11766231E8"/>
        <n v="6.11791121E8"/>
        <n v="6.13166129E8"/>
        <n v="6.14054477E8"/>
        <n v="6.14321839E8"/>
        <n v="6.14597785E8"/>
        <n v="6.15080583E8"/>
        <n v="6.15290009E8"/>
        <n v="6.1677531E8"/>
        <n v="6.21577537E8"/>
        <n v="6.22441852E8"/>
        <n v="6.2382158E8"/>
        <n v="6.24348151E8"/>
        <n v="6.24398362E8"/>
        <n v="6.24940383E8"/>
        <n v="6.25751483E8"/>
        <n v="6.26011979E8"/>
        <n v="6.26109397E8"/>
        <n v="6.26322257E8"/>
        <n v="6.26453149E8"/>
        <n v="6.27003753E8"/>
        <n v="6.27432048E8"/>
        <n v="6.28055179E8"/>
        <n v="6.28515231E8"/>
        <n v="6.28595054E8"/>
        <n v="6.2930144E8"/>
        <n v="6.30219399E8"/>
        <n v="6.30931794E8"/>
        <n v="6.3117212E8"/>
        <n v="6.3146094E8"/>
        <n v="6.31463515E8"/>
        <n v="6.33312737E8"/>
        <n v="6.33806264E8"/>
        <n v="6.33992946E8"/>
        <n v="6.34033286E8"/>
        <n v="6.36278617E8"/>
        <n v="6.36360585E8"/>
        <n v="6.36907756E8"/>
        <n v="6.37040793E8"/>
        <n v="6.37188422E8"/>
        <n v="6.3804115E8"/>
        <n v="6.38314521E8"/>
        <n v="6.385939E8"/>
        <n v="6.38856971E8"/>
        <n v="6.38937652E8"/>
        <n v="6.38957822E8"/>
        <n v="6.39126908E8"/>
        <n v="6.40295922E8"/>
        <n v="6.40394628E8"/>
        <n v="6.40476596E8"/>
        <n v="6.41537463E8"/>
        <n v="6.42123687E8"/>
        <n v="6.4295367E8"/>
        <n v="6.43027484E8"/>
        <n v="6.43259227E8"/>
        <n v="6.43448483E8"/>
        <n v="6.43770778E8"/>
        <n v="6.44592607E8"/>
        <n v="6.45111024E8"/>
        <n v="6.45309722E8"/>
        <n v="6.45701968E8"/>
        <n v="6.45956456E8"/>
        <n v="6.46691596E8"/>
        <n v="6.46981704E8"/>
        <n v="6.47943866E8"/>
        <n v="6.50078475E8"/>
        <n v="6.50208079E8"/>
        <n v="6.51247489E8"/>
        <n v="6.51895511E8"/>
        <n v="6.52252137E8"/>
        <n v="6.52501904E8"/>
        <n v="6.5308727E8"/>
        <n v="6.53152501E8"/>
        <n v="6.5354861E8"/>
        <n v="6.53800523E8"/>
        <n v="6.53909957E8"/>
        <n v="6.53920686E8"/>
        <n v="6.5528711E8"/>
        <n v="6.55328738E8"/>
        <n v="6.56244552E8"/>
        <n v="6.56689155E8"/>
        <n v="6.59193694E8"/>
        <n v="6.59196269E8"/>
        <n v="6.59671771E8"/>
        <n v="6.60312926E8"/>
        <n v="6.60481584E8"/>
        <n v="6.62623488E8"/>
        <n v="6.63080108E8"/>
        <n v="6.65786778E8"/>
        <n v="6.65817677E8"/>
        <n v="6.66483724E8"/>
        <n v="6.6692146E8"/>
        <n v="6.67054498E8"/>
        <n v="6.67324435E8"/>
        <n v="6.67420995E8"/>
        <n v="6.68280589E8"/>
        <n v="6.69353473E8"/>
        <n v="6.69550883E8"/>
        <n v="6.70274865E8"/>
        <n v="6.71616399E8"/>
        <n v="6.72330081E8"/>
        <n v="6.72856652E8"/>
        <n v="6.74060428E8"/>
        <n v="6.77851569E8"/>
        <n v="6.79039466E8"/>
        <n v="6.7910856E8"/>
        <n v="6.8032521E8"/>
        <n v="6.81713092E8"/>
        <n v="6.82066285E8"/>
        <n v="6.82162415E8"/>
        <n v="6.82314765E8"/>
        <n v="6.84239947E8"/>
        <n v="6.84853637E8"/>
        <n v="6.85233008E8"/>
        <n v="6.8559693E8"/>
        <n v="6.87374913E8"/>
        <n v="6.88650786E8"/>
        <n v="6.88698422E8"/>
        <n v="6.88903129E8"/>
        <n v="6.89349019E8"/>
        <n v="6.89421546E8"/>
        <n v="6.9022063E8"/>
        <n v="6.91383635E8"/>
        <n v="6.91760861E8"/>
        <n v="6.92555224E8"/>
        <n v="6.92704999E8"/>
        <n v="6.92757356E8"/>
        <n v="6.92952191E8"/>
        <n v="6.93210542E8"/>
        <n v="6.93583905E8"/>
        <n v="6.93831098E8"/>
        <n v="6.94771802E8"/>
        <n v="6.9491471E8"/>
        <n v="6.95059764E8"/>
        <n v="6.96197879E8"/>
        <n v="6.96839892E8"/>
        <n v="6.96844613E8"/>
        <n v="6.97617518E8"/>
        <n v="6.97638976E8"/>
        <n v="7.00069701E8"/>
        <n v="7.00304019E8"/>
        <n v="7.01298367E8"/>
        <n v="7.02357947E8"/>
        <n v="7.02815854E8"/>
        <n v="7.03966844E8"/>
        <n v="7.04139363E8"/>
        <n v="7.04233348E8"/>
        <n v="7.04361665E8"/>
        <n v="7.06176555E8"/>
        <n v="7.06301438E8"/>
        <n v="7.07661855E8"/>
        <n v="7.07718932E8"/>
        <n v="7.08320605E8"/>
        <n v="7.09071195E8"/>
        <n v="7.09105527E8"/>
        <n v="7.09276759E8"/>
        <n v="7.12595832E8"/>
        <n v="7.13009965E8"/>
        <n v="7.1335715E8"/>
        <n v="7.14165675E8"/>
        <n v="7.15309798E8"/>
        <n v="7.15863835E8"/>
        <n v="7.16054379E8"/>
        <n v="7.16411006E8"/>
        <n v="7.1783322E8"/>
        <n v="7.1929363E8"/>
        <n v="7.19404351E8"/>
        <n v="7.19730079E8"/>
        <n v="7.20229613E8"/>
        <n v="7.20878922E8"/>
        <n v="7.20931279E8"/>
        <n v="7.21318805E8"/>
        <n v="7.22233331E8"/>
        <n v="7.2224878E8"/>
        <n v="7.23893725E8"/>
        <n v="7.24085128E8"/>
        <n v="7.2622317E8"/>
        <n v="7.27175891E8"/>
        <n v="7.27426946E8"/>
        <n v="7.27821767E8"/>
        <n v="7.2799772E8"/>
        <n v="7.2879337E8"/>
        <n v="7.29373586E8"/>
        <n v="7.30490243E8"/>
        <n v="7.32703387E8"/>
        <n v="7.33636796E8"/>
        <n v="7.33648812E8"/>
        <n v="7.34189975E8"/>
        <n v="7.34318292E8"/>
        <n v="7.35445678E8"/>
        <n v="7.36240041E8"/>
        <n v="7.37095344E8"/>
        <n v="7.3773607E8"/>
        <n v="7.40300261E8"/>
        <n v="7.41690289E8"/>
        <n v="7.41866242E8"/>
        <n v="7.41964948E8"/>
        <n v="7.4210056E8"/>
        <n v="7.42569196E8"/>
        <n v="7.42843854E8"/>
        <n v="7.43619334E8"/>
        <n v="7.43769109E8"/>
        <n v="7.44583642E8"/>
        <n v="7.44683635E8"/>
        <n v="7.45467269E8"/>
        <n v="7.46563756E8"/>
        <n v="7.4732722E8"/>
        <n v="7.47774398E8"/>
        <n v="7.47826755E8"/>
        <n v="7.47955071E8"/>
        <n v="7.48357188E8"/>
        <n v="7.50047194E8"/>
        <n v="7.50439441E8"/>
        <n v="7.50959146E8"/>
        <n v="7.52792918E8"/>
        <n v="7.53166282E8"/>
        <n v="7.54227149E8"/>
        <n v="7.54541289E8"/>
        <n v="7.55318915E8"/>
        <n v="7.5560559E8"/>
        <n v="7.56252324E8"/>
        <n v="7.56395232E8"/>
        <n v="7.57468974E8"/>
        <n v="7.59086453E8"/>
        <n v="7.59594142E8"/>
        <n v="7.60280358E8"/>
        <n v="7.60346877E8"/>
        <n v="7.6061939E8"/>
        <n v="7.6172403E8"/>
        <n v="7.61887109E8"/>
        <n v="7.62117564E8"/>
        <n v="7.62655293E8"/>
        <n v="7.64483058E8"/>
        <n v="7.64592492E8"/>
        <n v="7.6481136E8"/>
        <n v="7.64837539E8"/>
        <n v="7.65101468E8"/>
        <n v="7.65552079E8"/>
        <n v="7.6573404E8"/>
        <n v="7.65858924E8"/>
        <n v="7.66118133E8"/>
        <n v="7.67490565E8"/>
        <n v="7.68230426E8"/>
        <n v="7.68676316E8"/>
        <n v="7.70821654E8"/>
        <n v="7.71674382E8"/>
        <n v="7.72643411E8"/>
        <n v="7.72893178E8"/>
        <n v="7.73645913E8"/>
        <n v="7.74698626E8"/>
        <n v="7.74926936E8"/>
        <n v="7.75008904E8"/>
        <n v="7.75347936E8"/>
        <n v="7.75849616E8"/>
        <n v="7.7701863E8"/>
        <n v="7.80590045E8"/>
        <n v="7.80899035E8"/>
        <n v="7.81083571E8"/>
        <n v="7.81416594E8"/>
        <n v="7.831169E8"/>
        <n v="7.83594977E8"/>
        <n v="7.83913838E8"/>
        <n v="7.84397923E8"/>
        <n v="7.85364806E8"/>
        <n v="7.86318385E8"/>
        <n v="7.8948425E8"/>
        <n v="7.89760196E8"/>
        <n v="7.90149009E8"/>
        <n v="7.91692674E8"/>
        <n v="7.91890084E8"/>
        <n v="7.92178905E8"/>
        <n v="7.92792594E8"/>
        <n v="7.95141351E8"/>
        <n v="7.96418511E8"/>
        <n v="7.97202146E8"/>
        <n v="7.973163E8"/>
        <n v="7.97461354E8"/>
        <n v="7.97718417E8"/>
        <n v="7.97788369E8"/>
        <n v="7.99109733E8"/>
        <n v="7.99848306E8"/>
        <n v="8.00045716E8"/>
        <n v="8.00352561E8"/>
        <n v="8.01352488E8"/>
        <n v="8.01925837E8"/>
        <n v="8.05095136E8"/>
        <n v="8.05974042E8"/>
        <n v="8.06197631E8"/>
        <n v="8.06662404E8"/>
        <n v="8.10752236E8"/>
        <n v="8.1197704E8"/>
        <n v="8.12632358E8"/>
        <n v="8.12637078E8"/>
        <n v="8.13973891E8"/>
        <n v="8.15755307E8"/>
        <n v="8.15917098E8"/>
        <n v="8.17006289E8"/>
        <n v="8.17061221E8"/>
        <n v="8.18976962E8"/>
        <n v="8.19037473E8"/>
        <n v="8.19152915E8"/>
        <n v="8.19516837E8"/>
        <n v="8.20195758E8"/>
        <n v="8.20437371E8"/>
        <n v="8.21131742E8"/>
        <n v="8.21916663E8"/>
        <n v="8.23236739E8"/>
        <n v="8.23505389E8"/>
        <n v="8.25065791E8"/>
        <n v="8.26677262E8"/>
        <n v="8.26936471E8"/>
        <n v="8.26968657E8"/>
        <n v="8.28993833E8"/>
        <n v="8.29356467E8"/>
        <n v="8.30172288E8"/>
        <n v="8.31143891E8"/>
        <n v="8.3205713E8"/>
        <n v="8.33473765E8"/>
        <n v="8.33706796E8"/>
        <n v="8.34065997E8"/>
        <n v="8.3509339E8"/>
        <n v="8.3526591E8"/>
        <n v="8.3534187E8"/>
        <n v="8.37608659E8"/>
        <n v="8.3790692E8"/>
        <n v="8.38788402E8"/>
        <n v="8.38895261E8"/>
        <n v="8.39437711E8"/>
        <n v="8.40747058E8"/>
        <n v="8.4078139E8"/>
        <n v="8.4268769E8"/>
        <n v="8.42725884E8"/>
        <n v="8.44105184E8"/>
        <n v="8.44307315E8"/>
        <n v="8.44575107E8"/>
        <n v="8.45067346E8"/>
        <n v="8.45738112E8"/>
        <n v="8.464136E8"/>
        <n v="8.47317397E8"/>
        <n v="8.48737466E8"/>
        <n v="8.49431836E8"/>
        <n v="8.49454581E8"/>
        <n v="8.50279843E8"/>
        <n v="8.50562655E8"/>
        <n v="8.50872075E8"/>
        <n v="8.52392995E8"/>
        <n v="8.53036296E8"/>
        <n v="8.56648051E8"/>
        <n v="8.57457864E8"/>
        <n v="8.59914767E8"/>
        <n v="8.60104024E8"/>
        <n v="8.61180341E8"/>
        <n v="8.61252868E8"/>
        <n v="8.6197685E8"/>
        <n v="8.61982858E8"/>
        <n v="8.6232661E8"/>
        <n v="8.62485826E8"/>
        <n v="8.63138997E8"/>
        <n v="8.63202941E8"/>
        <n v="8.63890445E8"/>
        <n v="8.64071118E8"/>
        <n v="8.6582421E8"/>
        <n v="8.66396272E8"/>
        <n v="8.67138278E8"/>
        <n v="8.6929177E8"/>
        <n v="8.70173251E8"/>
        <n v="8.70218312E8"/>
        <n v="8.71147E8"/>
        <n v="8.71923768E8"/>
        <n v="8.73432672E8"/>
        <n v="8.74172532E8"/>
        <n v="8.74349772E8"/>
        <n v="8.75220096E8"/>
        <n v="8.76856458E8"/>
        <n v="8.77062451E8"/>
        <n v="8.77084767E8"/>
        <n v="8.77687728E8"/>
        <n v="8.7861427E8"/>
        <n v="8.794052E8"/>
        <n v="8.79845082E8"/>
        <n v="8.79923617E8"/>
        <n v="8.80176818E8"/>
        <n v="8.8119477E8"/>
        <n v="8.8171705E8"/>
        <n v="8.83504474E8"/>
        <n v="8.84147775E8"/>
        <n v="8.84192836E8"/>
        <n v="8.84462773E8"/>
        <n v="8.85046851E8"/>
        <n v="8.85397469E8"/>
        <n v="8.85998284E8"/>
        <n v="8.86620128E8"/>
        <n v="8.86763894E8"/>
        <n v="8.8750118E8"/>
        <n v="8.89093768E8"/>
        <n v="8.89125955E8"/>
        <n v="8.91681563E8"/>
        <n v="8.91808593E8"/>
        <n v="8.92042911E8"/>
        <n v="8.94589078E8"/>
        <n v="8.97317206E8"/>
        <n v="8.97638213E8"/>
        <n v="8.97785842E8"/>
        <n v="8.98211562E8"/>
        <n v="8.99868094E8"/>
        <n v="9.00808799E8"/>
        <n v="9.01670968E8"/>
        <n v="9.01789844E8"/>
        <n v="9.04589211E8"/>
        <n v="9.048128E8"/>
        <n v="9.05036389E8"/>
        <n v="9.05509746E8"/>
        <n v="9.05947482E8"/>
        <n v="9.06345736E8"/>
        <n v="9.06508815E8"/>
        <n v="9.06794202E8"/>
        <n v="9.07047402E8"/>
        <n v="9.07349526E8"/>
        <n v="9.07691991E8"/>
        <n v="9.10610234E8"/>
        <n v="9.1088618E8"/>
        <n v="9.11891257E8"/>
        <n v="9.13074433E8"/>
        <n v="9.13729751E8"/>
        <n v="9.16089236E8"/>
        <n v="9.17485272E8"/>
        <n v="9.17639768E8"/>
        <n v="9.17792117E8"/>
        <n v="9.17835032E8"/>
        <n v="9.17874085E8"/>
        <n v="9.17904984E8"/>
        <n v="9.18364179E8"/>
        <n v="9.19133651E8"/>
        <n v="9.19922006E8"/>
        <n v="9.2001127E8"/>
        <n v="9.20688903E8"/>
        <n v="9.21133935E8"/>
        <n v="9.21230065E8"/>
        <n v="9.2169398E8"/>
        <n v="9.2236346E8"/>
        <n v="9.22564303E8"/>
        <n v="9.23160398E8"/>
        <n v="9.23922574E8"/>
        <n v="9.26064479E8"/>
        <n v="9.26280772E8"/>
        <n v="9.2676357E8"/>
        <n v="9.26826655E8"/>
        <n v="9.27351081E8"/>
        <n v="9.28168189E8"/>
        <n v="9.29812705E8"/>
        <n v="9.30136287E8"/>
        <n v="9.3029679E8"/>
        <n v="9.30457293E8"/>
        <n v="9.30670154E8"/>
        <n v="9.3147782E8"/>
        <n v="9.31559789E8"/>
        <n v="9.32475602E8"/>
        <n v="9.33642041E8"/>
        <n v="9.33699119E8"/>
        <n v="9.33720576E8"/>
        <n v="9.33963048E8"/>
        <n v="9.34718358E8"/>
        <n v="9.35789954E8"/>
        <n v="9.35907542E8"/>
        <n v="9.36411798E8"/>
        <n v="9.3654741E8"/>
        <n v="9.36664998E8"/>
        <n v="9.3787564E8"/>
        <n v="9.3820995E8"/>
        <n v="9.40682303E8"/>
        <n v="9.41061675E8"/>
        <n v="9.41524302E8"/>
        <n v="9.41933286E8"/>
        <n v="9.4237231E8"/>
        <n v="9.42454278E8"/>
        <n v="9.43274819E8"/>
        <n v="9.4424771E8"/>
        <n v="9.44609057E8"/>
        <n v="9.46421372E8"/>
        <n v="9.46823489E8"/>
        <n v="9.47073256E8"/>
        <n v="9.47507131E8"/>
        <n v="9.48075759E8"/>
        <n v="9.48518216E8"/>
        <n v="9.49388539E8"/>
        <n v="9.49732291E8"/>
        <n v="9.49912965E8"/>
        <n v="9.51698243E8"/>
        <n v="9.54040992E8"/>
        <n v="9.54065883E8"/>
        <n v="9.54341828E8"/>
        <n v="9.55466639E8"/>
        <n v="9.56594026E8"/>
        <n v="9.56969964E8"/>
        <n v="9.57926118E8"/>
        <n v="9.58366E8"/>
        <n v="9.60213077E8"/>
        <n v="9.62560546E8"/>
        <n v="9.63219296E8"/>
        <n v="9.65796363E8"/>
        <n v="9.66800153E8"/>
        <n v="9.67258059E8"/>
        <n v="9.67679059E8"/>
        <n v="9.6818546E8"/>
        <n v="9.69195258E8"/>
        <n v="9.69199979E8"/>
        <n v="9.69289243E8"/>
        <n v="9.70427358E8"/>
        <n v="9.71578347E8"/>
        <n v="9.71899354E8"/>
        <n v="9.72419059E8"/>
        <n v="9.72452533E8"/>
        <n v="9.72981679E8"/>
        <n v="9.73268353E8"/>
        <n v="9.7414726E8"/>
        <n v="9.7442063E8"/>
        <n v="9.75080668E8"/>
        <n v="9.75823962E8"/>
        <n v="9.76323497E8"/>
        <n v="9.77324712E8"/>
        <n v="9.79073941E8"/>
        <n v="9.79200112E8"/>
        <n v="9.80381143E8"/>
        <n v="9.80598723E8"/>
        <n v="9.80961358E8"/>
        <n v="9.81154048E8"/>
        <n v="9.81808078E8"/>
        <n v="9.82566821E8"/>
        <n v="9.85039174E8"/>
        <n v="9.85417258E8"/>
        <n v="9.86449801E8"/>
        <n v="9.87050187E8"/>
        <n v="9.87410676E8"/>
        <n v="9.8745917E8"/>
        <n v="9.87767302E8"/>
        <n v="9.8859986E8"/>
        <n v="9.88614022E8"/>
        <n v="9.89102828E8"/>
        <n v="9.89403665E8"/>
        <n v="9.9045509E8"/>
        <n v="9.9077481E8"/>
        <n v="9.91761863E8"/>
        <n v="9.92992675E8"/>
        <n v="9.93368613E8"/>
        <n v="9.94406735E8"/>
        <n v="9.94504153E8"/>
        <n v="9.94978797E8"/>
        <n v="9.96754205E8"/>
        <n v="9.98043382E8"/>
        <n v="9.99879729E8"/>
      </sharedItems>
    </cacheField>
    <cacheField name="Country Code" numFmtId="0">
      <sharedItems>
        <s v="NOR"/>
        <s v="SRB"/>
        <s v="Desconhecido"/>
        <s v="MNE"/>
        <s v="SVK"/>
        <s v="FRA"/>
        <s v="ESP"/>
        <s v="HRV"/>
        <s v="DEU"/>
        <s v="ARM"/>
        <s v="GEO"/>
        <s v="GBR"/>
        <s v="SVN"/>
        <s v="ROU"/>
        <s v="POL"/>
        <s v="LUX"/>
        <s v="CYP"/>
        <s v="BEL"/>
        <s v="LTU"/>
        <s v="RUS"/>
        <s v="MLT"/>
        <s v="UKR"/>
        <s v="CZE"/>
        <s v="PRT"/>
        <s v="BLR"/>
        <s v="EST"/>
        <s v="AUT"/>
        <s v="MKD"/>
        <s v="SMR"/>
        <s v="NLD"/>
        <s v="CHE"/>
        <s v="HUN"/>
        <s v="LVA"/>
        <s v="BGR"/>
        <s v="ITA"/>
        <s v="IRL"/>
        <s v="AND"/>
        <s v="LIE"/>
        <s v="FIN"/>
        <s v="ALB"/>
        <s v="SWE"/>
        <s v="BIH"/>
        <s v="DNK"/>
        <s v="MCO"/>
        <s v="ISL"/>
        <s v="GRC"/>
      </sharedItems>
    </cacheField>
    <cacheField name="lead_time" numFmtId="0">
      <sharedItems containsSemiMixedTypes="0" containsString="0" containsNumber="1" containsInteger="1">
        <n v="10.0"/>
        <n v="0.0"/>
        <n v="24.0"/>
        <n v="31.0"/>
        <n v="38.0"/>
        <n v="34.0"/>
        <n v="47.0"/>
        <n v="32.0"/>
        <n v="30.0"/>
        <n v="16.0"/>
        <n v="18.0"/>
        <n v="25.0"/>
        <n v="4.0"/>
        <n v="11.0"/>
        <n v="14.0"/>
        <n v="36.0"/>
        <n v="35.0"/>
        <n v="48.0"/>
        <n v="23.0"/>
        <n v="37.0"/>
        <n v="27.0"/>
        <n v="41.0"/>
        <n v="8.0"/>
        <n v="15.0"/>
        <n v="29.0"/>
        <n v="13.0"/>
        <n v="44.0"/>
        <n v="40.0"/>
        <n v="3.0"/>
        <n v="49.0"/>
        <n v="9.0"/>
        <n v="19.0"/>
        <n v="46.0"/>
        <n v="20.0"/>
        <n v="39.0"/>
        <n v="43.0"/>
        <n v="7.0"/>
        <n v="6.0"/>
        <n v="17.0"/>
        <n v="21.0"/>
        <n v="12.0"/>
        <n v="45.0"/>
        <n v="33.0"/>
        <n v="28.0"/>
        <n v="42.0"/>
        <n v="50.0"/>
        <n v="5.0"/>
        <n v="2.0"/>
        <n v="22.0"/>
        <n v="26.0"/>
        <n v="1.0"/>
      </sharedItems>
    </cacheField>
    <cacheField name="mesOrder Date" numFmtId="3">
      <sharedItems containsSemiMixedTypes="0" containsString="0" containsNumber="1" containsInteger="1">
        <n v="10.0"/>
        <n v="8.0"/>
        <n v="7.0"/>
        <n v="5.0"/>
        <n v="3.0"/>
        <n v="4.0"/>
        <n v="11.0"/>
        <n v="9.0"/>
        <n v="1.0"/>
        <n v="2.0"/>
        <n v="6.0"/>
        <n v="12.0"/>
      </sharedItems>
    </cacheField>
    <cacheField name="anoOrder Date" numFmtId="1">
      <sharedItems containsSemiMixedTypes="0" containsString="0" containsNumber="1" containsInteger="1">
        <n v="2014.0"/>
        <n v="2016.0"/>
        <n v="2017.0"/>
        <n v="2012.0"/>
        <n v="2015.0"/>
        <n v="2013.0"/>
        <n v="2011.0"/>
        <n v="2010.0"/>
      </sharedItems>
    </cacheField>
    <cacheField name="receita_total" numFmtId="164">
      <sharedItems containsSemiMixedTypes="0" containsString="0" containsNumber="1">
        <n v="133705.0"/>
        <n v="409960.1"/>
        <n v="3136191.11"/>
        <n v="127966.88"/>
        <n v="362897.60000000003"/>
        <n v="1445686.2000000002"/>
        <n v="62492.340000000004"/>
        <n v="680791.14"/>
        <n v="1339454.16"/>
        <n v="1504695.5"/>
        <n v="2536752.92"/>
        <n v="490236.18"/>
        <n v="68015.7"/>
        <n v="1806361.28"/>
        <n v="1045372.48"/>
        <n v="3513763.6599999997"/>
        <n v="2303902.0"/>
        <n v="536346.24"/>
        <n v="1244745.28"/>
        <n v="3840464.67"/>
        <n v="28129.95"/>
        <n v="124066.08"/>
        <n v="14326.62"/>
        <n v="1453690.0"/>
        <n v="59236.17"/>
        <n v="4803324.96"/>
        <n v="63565.29"/>
        <n v="502445.94000000006"/>
        <n v="608872.0"/>
        <n v="307143.54000000004"/>
        <n v="42417.87"/>
        <n v="308203.83"/>
        <n v="82719.78"/>
        <n v="75712.95"/>
        <n v="248732.90000000002"/>
        <n v="191745.45"/>
        <n v="76062.35"/>
        <n v="361521.55000000005"/>
        <n v="714018.16"/>
        <n v="1707721.4"/>
        <n v="243798.1"/>
        <n v="1472854.7400000002"/>
        <n v="503347.89999999997"/>
        <n v="1470923.36"/>
        <n v="998462.86"/>
        <n v="84193.92"/>
        <n v="2021307.04"/>
        <n v="2544631.04"/>
        <n v="2568829.88"/>
        <n v="338629.2"/>
        <n v="134710.55000000002"/>
        <n v="153243.75"/>
        <n v="1336.54"/>
        <n v="672317.84"/>
        <n v="1277674.02"/>
        <n v="650080.42"/>
        <n v="98484.65000000001"/>
        <n v="4016993.6"/>
        <n v="679830.14"/>
        <n v="1270378.76"/>
        <n v="695020.8"/>
        <n v="427714.30000000005"/>
        <n v="538454.8200000001"/>
        <n v="6512.1"/>
        <n v="981334.4"/>
        <n v="710450.0"/>
        <n v="459098.8"/>
        <n v="2016803.5999999999"/>
        <n v="483432.95"/>
        <n v="11742.88"/>
        <n v="470122.56"/>
        <n v="2048247.55"/>
        <n v="8285.04"/>
        <n v="1411386.24"/>
        <n v="5662251.71"/>
        <n v="1107900.2"/>
        <n v="389302.0"/>
        <n v="811407.66"/>
        <n v="1078265.94"/>
        <n v="2201739.1999999997"/>
        <n v="1800826.8"/>
        <n v="55352.850000000006"/>
        <n v="1570434.5"/>
        <n v="2582047.6500000004"/>
        <n v="2440013.1999999997"/>
        <n v="1447182.32"/>
        <n v="291525.99"/>
        <n v="929207.84"/>
        <n v="1302.42"/>
        <n v="32319.12"/>
        <n v="1097809.2"/>
        <n v="69844.38"/>
        <n v="1051273.6"/>
        <n v="1670041.76"/>
        <n v="601775.52"/>
        <n v="86703.69"/>
        <n v="3779712.51"/>
        <n v="5000641.59"/>
        <n v="713666.36"/>
        <n v="216851.19999999998"/>
        <n v="881328.21"/>
        <n v="291340.48"/>
        <n v="123275.1"/>
        <n v="1227963.84"/>
        <n v="2949330.0900000003"/>
        <n v="2921166.36"/>
        <n v="195501.92"/>
        <n v="5409601.470000001"/>
        <n v="5184934.0200000005"/>
        <n v="2052195.92"/>
        <n v="1530195.03"/>
        <n v="784715.4"/>
        <n v="60113.19"/>
        <n v="1067993.44"/>
        <n v="795441.8999999999"/>
        <n v="276978.8"/>
        <n v="2657301.6"/>
        <n v="6261689.899999999"/>
        <n v="1262998.0"/>
        <n v="548148.48"/>
        <n v="259462.35"/>
        <n v="1180833.09"/>
        <n v="620824.0"/>
        <n v="37960.0"/>
        <n v="1038364.4"/>
        <n v="5126325.12"/>
        <n v="503.82"/>
        <n v="2849043.75"/>
        <n v="451331.64"/>
        <n v="850791.2"/>
        <n v="470013.28"/>
        <n v="135553.68"/>
        <n v="1256975.54"/>
        <n v="5117611.66"/>
        <n v="391977.08"/>
        <n v="81478.89"/>
        <n v="602528.66"/>
        <n v="4768159.62"/>
        <n v="539504.7999999999"/>
        <n v="64600.92"/>
        <n v="956200.0"/>
        <n v="162151.29"/>
        <n v="854142.8400000001"/>
        <n v="79146.6"/>
        <n v="536455.52"/>
        <n v="275020.2"/>
        <n v="2929.62"/>
        <n v="420549.35000000003"/>
        <n v="786522.7999999999"/>
        <n v="48115.44"/>
        <n v="57596.0"/>
        <n v="142373.66"/>
        <n v="201926.48"/>
        <n v="353237.06"/>
        <n v="1366053.7"/>
        <n v="237904.12"/>
        <n v="310805.46"/>
        <n v="255665.34"/>
        <n v="2120610.96"/>
        <n v="779871.09"/>
        <n v="2208253.1100000003"/>
        <n v="961559.16"/>
        <n v="3957971.6"/>
        <n v="486308.4"/>
        <n v="808606.7"/>
        <n v="2009634.06"/>
        <n v="128331.98"/>
        <n v="3414969.1999999997"/>
        <n v="535132.7999999999"/>
        <n v="5740416.15"/>
        <n v="473727.1"/>
        <n v="3644936.4"/>
        <n v="415482.56"/>
        <n v="2974727.2800000003"/>
        <n v="64388.76"/>
        <n v="3885770.0700000003"/>
        <n v="425009.65"/>
        <n v="758558.22"/>
        <n v="923414.16"/>
        <n v="420815.64"/>
        <n v="158147.55000000002"/>
        <n v="772764.96"/>
        <n v="208835.55"/>
        <n v="0.0"/>
        <n v="4970685.930000001"/>
        <n v="390133.9"/>
        <n v="1661617.52"/>
        <n v="3956062.53"/>
        <n v="309372.8"/>
        <n v="410346.4"/>
        <n v="1744328.24"/>
        <n v="412198.15"/>
        <n v="63453.33"/>
        <n v="4505070.78"/>
        <n v="708264.0"/>
        <n v="2649469.1999999997"/>
        <n v="29579.52"/>
        <n v="60333.6"/>
        <n v="376231.05000000005"/>
        <n v="689666.08"/>
        <n v="34204.64"/>
        <n v="752858.4"/>
        <n v="604784.35"/>
        <n v="5904521.07"/>
        <n v="936092.48"/>
        <n v="3843862.4"/>
        <n v="989311.84"/>
        <n v="5889543.24"/>
        <n v="424392.80000000005"/>
        <n v="707046.23"/>
        <n v="5598452.37"/>
        <n v="5374436.13"/>
        <n v="1539694.08"/>
        <n v="84698.25"/>
        <n v="5728.62"/>
        <n v="5768418.180000001"/>
        <n v="144195.69999999998"/>
        <n v="235257.1"/>
        <n v="414665.55000000005"/>
        <n v="314742.23000000004"/>
        <n v="963588.7999999999"/>
        <n v="117939.36"/>
        <n v="37438.05"/>
        <n v="108425.73"/>
        <n v="361164.87"/>
        <n v="1931112.4"/>
        <n v="5714367.75"/>
        <n v="788633.14"/>
        <n v="28064.64"/>
        <n v="13441.44"/>
        <n v="44476.96"/>
        <n v="2988668.76"/>
        <n v="977181.76"/>
        <n v="604369.38"/>
        <n v="391599.52"/>
        <n v="168352.6"/>
        <n v="6282874.08"/>
        <n v="467505.12000000005"/>
        <n v="1993353.81"/>
        <n v="2996868.4200000004"/>
        <n v="361886.94"/>
        <n v="2309290.4"/>
        <n v="1092362.8800000001"/>
        <n v="2742580.08"/>
        <n v="28950.99"/>
        <n v="450250.57"/>
        <n v="28381.86"/>
        <n v="881233.92"/>
        <n v="2205874.48"/>
        <n v="351319.80000000005"/>
        <n v="3644822.37"/>
        <n v="39858.0"/>
        <n v="666262.9600000001"/>
        <n v="53041.05"/>
        <n v="781024.16"/>
        <n v="959880.78"/>
        <n v="742912.02"/>
        <n v="3872280.4"/>
        <n v="4086471.05"/>
        <n v="2156507.29"/>
        <n v="4344873.12"/>
        <n v="191128.6"/>
        <n v="1005807.3600000001"/>
        <n v="52630.53"/>
        <n v="693587.16"/>
        <n v="809840.8999999999"/>
        <n v="577749.37"/>
        <n v="658535.28"/>
        <n v="591532.64"/>
        <n v="1301162.16"/>
        <n v="66056.4"/>
        <n v="265970.1"/>
        <n v="2391207.7600000002"/>
        <n v="422188.86000000004"/>
        <n v="826091.2"/>
        <n v="1741867.5999999999"/>
        <n v="437294.28"/>
        <n v="369236.07"/>
        <n v="1247768.8"/>
        <n v="1167324.0"/>
        <n v="15560.06"/>
        <n v="786651.25"/>
        <n v="3113738.4"/>
        <n v="1305812.56"/>
        <n v="276492.59"/>
        <n v="5802.83"/>
        <n v="1575332.8800000001"/>
        <n v="5621244.720000001"/>
        <n v="98300.37"/>
        <n v="4275816.0"/>
        <n v="3587273.36"/>
        <n v="25237.65"/>
        <n v="451012.25"/>
        <n v="476965.08"/>
        <n v="63332.04"/>
        <n v="1654364.8"/>
        <n v="565244.68"/>
        <n v="52891.77"/>
        <n v="2310794.56"/>
        <n v="894501.12"/>
        <n v="177323.06"/>
        <n v="357017.76"/>
        <n v="3847797.1999999997"/>
        <n v="78661.23"/>
        <n v="515155.04"/>
        <n v="2138991.12"/>
        <n v="636268.05"/>
        <n v="13593.81"/>
        <n v="546142.7"/>
        <n v="1571959.4"/>
        <n v="571537.89"/>
        <n v="2413417.12"/>
        <n v="68771.43000000001"/>
        <n v="85139.64000000001"/>
        <n v="252054.40000000002"/>
        <n v="1883853.13"/>
        <n v="42012.99"/>
        <n v="272242.63"/>
        <n v="18144.06"/>
        <n v="3942669.6"/>
        <n v="57939.3"/>
        <n v="368520.57"/>
        <n v="152504.30000000002"/>
        <n v="1641686.0"/>
        <n v="246028.25000000003"/>
        <n v="12968.7"/>
        <n v="3615517.9200000004"/>
        <n v="2526250.88"/>
        <n v="605437.4400000001"/>
        <n v="2100699.12"/>
        <n v="379125.5"/>
        <n v="1449773.5999999999"/>
        <n v="73310.25"/>
        <n v="3918735.28"/>
        <n v="186158.5"/>
        <n v="1770871.2999999998"/>
        <n v="710975.68"/>
        <n v="3032419.1999999997"/>
        <n v="203275.80000000002"/>
        <n v="3006187.1999999997"/>
        <n v="1206963.84"/>
        <n v="1743553.5999999999"/>
        <n v="5159536.83"/>
        <n v="920918.8999999999"/>
        <n v="4151214.0"/>
        <n v="441296.94"/>
        <n v="728569.76"/>
        <n v="151527.42"/>
        <n v="4149902.4"/>
        <n v="4211984.8"/>
        <n v="6069928.41"/>
        <n v="352612.38"/>
        <n v="3700175.22"/>
        <n v="944622.78"/>
        <n v="3340056.0900000003"/>
        <n v="4094157.27"/>
        <n v="161472.35"/>
        <n v="1545804.96"/>
        <n v="853338.34"/>
        <n v="1838426.0"/>
        <n v="556306.68"/>
        <n v="913391.84"/>
        <n v="3654411.1799999997"/>
        <n v="1970897.5999999999"/>
        <n v="379926.8"/>
        <n v="61297.5"/>
        <n v="739097.52"/>
        <n v="674148.3200000001"/>
        <n v="1810445.2"/>
        <n v="1829248.8900000001"/>
        <n v="190757.82"/>
        <n v="19615.2"/>
        <n v="48450.69"/>
        <n v="818058.6"/>
        <n v="443799.85000000003"/>
        <n v="1893718.6800000002"/>
        <n v="82629.03"/>
        <n v="1031603.2"/>
        <n v="778723.4400000001"/>
        <n v="777778.7999999999"/>
        <n v="278768.75"/>
        <n v="938278.08"/>
        <n v="611650.88"/>
        <n v="750998.76"/>
        <n v="402696.8"/>
        <n v="855698.56"/>
        <n v="1419200.72"/>
        <n v="2313092.08"/>
        <n v="370465.69999999995"/>
        <n v="228779.1"/>
        <n v="85966.62"/>
        <n v="2739932.4"/>
        <n v="1892390.64"/>
        <n v="6294435.13"/>
        <n v="2894628.45"/>
        <n v="1145186.08"/>
        <n v="158862.6"/>
        <n v="585350.26"/>
        <n v="22792.350000000002"/>
        <n v="535144.16"/>
        <n v="170695.36000000002"/>
        <n v="3936986.0"/>
        <n v="278341.7"/>
        <n v="1081325.6"/>
        <n v="1168804.23"/>
        <n v="756982.56"/>
        <n v="4196117.9399999995"/>
        <n v="782150.7999999999"/>
        <n v="1599839.76"/>
        <n v="1083401.92"/>
        <n v="41854.38"/>
        <n v="254343.76"/>
        <n v="863530.56"/>
        <n v="623495.91"/>
        <n v="957020.72"/>
        <n v="9413.97"/>
        <n v="1222321.1700000002"/>
        <n v="1252140.8"/>
        <n v="4183566.8"/>
        <n v="627931.5900000001"/>
        <n v="1463724.06"/>
        <n v="413553.80000000005"/>
        <n v="452628.28"/>
        <n v="817218.27"/>
        <n v="336133.74000000005"/>
        <n v="1046656.7999999999"/>
        <n v="2492180.67"/>
        <n v="1228440.4"/>
        <n v="714226.9800000001"/>
        <n v="1074165.4"/>
        <n v="570792.3"/>
        <n v="116631.9"/>
        <n v="248867.85"/>
        <n v="59460.090000000004"/>
        <n v="627485.76"/>
        <n v="768451.28"/>
        <n v="5183102.12"/>
        <n v="68538.18000000001"/>
        <n v="218981.75"/>
        <n v="86061.69"/>
        <n v="816103.04"/>
        <n v="551023.66"/>
        <n v="42744.79"/>
        <n v="414855.35000000003"/>
        <n v="1706802.08"/>
        <n v="952185.2999999999"/>
        <n v="1743051.84"/>
        <n v="946236.52"/>
        <n v="71561.1"/>
        <n v="1048682.34"/>
        <n v="1123533.4"/>
        <n v="1599934.5999999999"/>
        <n v="851797.74"/>
        <n v="350934.0"/>
        <n v="1316478.96"/>
        <n v="2354192.16"/>
        <n v="44061.16"/>
        <n v="918039.1"/>
        <n v="786014.12"/>
        <n v="676015.28"/>
        <n v="3146646.72"/>
        <n v="254915.87000000002"/>
        <n v="6045833.640000001"/>
        <n v="2620358.79"/>
        <n v="528443.2999999999"/>
        <n v="511581.12"/>
        <n v="1245729.16"/>
        <n v="68668.8"/>
        <n v="303442.75"/>
        <n v="1797681.76"/>
        <n v="334302.78"/>
        <n v="1159737.04"/>
        <n v="669236.64"/>
        <n v="218554.7"/>
        <n v="607115.8200000001"/>
        <n v="2283495.6"/>
        <n v="3080640.78"/>
        <n v="5010688.46"/>
        <n v="2678579.61"/>
        <n v="740520.0"/>
        <n v="380359.2"/>
        <n v="97681.5"/>
        <n v="377464.75"/>
        <n v="873062.7600000001"/>
        <n v="5087903.73"/>
        <n v="928601.8800000001"/>
        <n v="724127.8"/>
        <n v="526180.6"/>
        <n v="1005157.4400000001"/>
        <n v="198862.95"/>
        <n v="313739.4"/>
        <n v="4303846.890000001"/>
        <n v="346443.72000000003"/>
        <n v="1401663.2"/>
        <n v="438915.54000000004"/>
        <n v="237180.46000000002"/>
        <n v="104342.55"/>
        <n v="18458.050000000003"/>
        <n v="3248974.8899999997"/>
        <n v="625240.98"/>
        <n v="862839.9"/>
        <n v="423116.21"/>
        <n v="208738.42"/>
        <n v="443657.5"/>
        <n v="1671106.7999999998"/>
        <n v="32878.92"/>
        <n v="180482.96"/>
        <n v="1971840.2"/>
        <n v="1052361.2"/>
        <n v="167688.30000000002"/>
        <n v="1420888.48"/>
        <n v="1944467.76"/>
        <n v="3170272.88"/>
        <n v="1419947.0999999999"/>
        <n v="3386943.21"/>
        <n v="324876.75"/>
        <n v="1256621.3"/>
        <n v="892623.64"/>
        <n v="33028.2"/>
        <n v="146024.8"/>
        <n v="2047010.28"/>
        <n v="1302728.04"/>
        <n v="1849860.0999999999"/>
        <n v="2623200.0"/>
        <n v="1689443.04"/>
        <n v="49504.98"/>
        <n v="206440.4"/>
        <n v="97707.5"/>
        <n v="847946.24"/>
        <n v="530345.97"/>
        <n v="3528906.99"/>
        <n v="2558762.85"/>
        <n v="1833156.1500000001"/>
        <n v="3938765.04"/>
        <n v="1922003.12"/>
        <n v="76216.77"/>
        <n v="75191.6"/>
        <n v="157252.48"/>
        <n v="414717.87"/>
        <n v="3857922.71"/>
        <n v="978495.54"/>
        <n v="859500.74"/>
        <n v="17596.38"/>
        <n v="98157.73000000001"/>
        <n v="661359.16"/>
        <n v="603553.4400000001"/>
        <n v="1775727.68"/>
        <n v="5326246.59"/>
        <n v="831461.8200000001"/>
        <n v="77131.11"/>
        <n v="1964741.73"/>
        <n v="1898405.2999999998"/>
        <n v="224106.35"/>
        <n v="784165.4"/>
        <n v="1235555.2"/>
        <n v="128076.16"/>
        <n v="12632.82"/>
        <n v="379090.8"/>
        <n v="28115.120000000003"/>
        <n v="38803.47"/>
        <n v="609563.84"/>
        <n v="320265.42000000004"/>
        <n v="133192.15"/>
        <n v="186910.50000000003"/>
        <n v="1533493.5"/>
        <n v="529449.2"/>
        <n v="226716.1"/>
        <n v="690700.23"/>
        <n v="1592436.64"/>
        <n v="45772.98"/>
        <n v="1213856.4"/>
        <n v="1380543.84"/>
        <n v="262473.2"/>
        <n v="2215319.84"/>
        <n v="59814.63"/>
        <n v="688272.2"/>
        <n v="6340180.5600000005"/>
        <n v="37382.100000000006"/>
        <n v="504355.83"/>
        <n v="4090880.4"/>
        <n v="542137.14"/>
        <n v="23539.59"/>
        <n v="52945.26"/>
        <n v="403945.32"/>
        <n v="880691.7600000001"/>
        <n v="1336624.56"/>
        <n v="4879707.54"/>
        <n v="762118.5"/>
        <n v="278436.60000000003"/>
        <n v="1104764.26"/>
        <n v="7977.15"/>
        <n v="137663.62"/>
        <n v="547320.32"/>
        <n v="681907.2"/>
        <n v="1942381.5599999998"/>
        <n v="3332775.6"/>
        <n v="3519406.38"/>
        <n v="619627.38"/>
        <n v="197266.3"/>
        <n v="791043.75"/>
        <n v="672399.84"/>
        <n v="532199.04"/>
        <n v="1338279.1800000002"/>
        <n v="179437.76"/>
        <n v="943195.68"/>
        <n v="490134.81"/>
        <n v="233643.80000000002"/>
        <n v="354901.08"/>
        <n v="53428.700000000004"/>
        <n v="3802415.1900000004"/>
        <n v="4683904.43"/>
        <n v="1055568.78"/>
        <n v="3061338.21"/>
        <n v="852056.16"/>
        <n v="2889418.77"/>
        <n v="1112621.32"/>
        <n v="3207629.67"/>
        <n v="168600.90000000002"/>
        <n v="702351.77"/>
        <n v="3550626.2399999998"/>
        <n v="1430708.37"/>
        <n v="1829723.26"/>
        <n v="84287.22"/>
        <n v="1470871.2000000002"/>
        <n v="1192261.14"/>
        <n v="266587.2"/>
        <n v="763662.9"/>
        <n v="839256.0"/>
        <n v="929317.12"/>
        <n v="6036716.7"/>
        <n v="3879257.97"/>
        <n v="1302418.8"/>
        <n v="649560.32"/>
        <n v="864951.2"/>
        <n v="867819.98"/>
        <n v="393954.4"/>
        <n v="580251.4400000001"/>
        <n v="420656.5"/>
        <n v="7172.13"/>
        <n v="2097031.26"/>
        <n v="2001395.2"/>
        <n v="1507490.4000000001"/>
        <n v="4100498.8"/>
        <n v="824736.16"/>
        <n v="16560.75"/>
        <n v="510554.84"/>
        <n v="554047.67"/>
        <n v="449986.11000000004"/>
        <n v="586833.6"/>
        <n v="1414506.48"/>
        <n v="3692803.17"/>
        <n v="2947323.54"/>
        <n v="5639530.53"/>
        <n v="1387077.3"/>
        <n v="52716.950000000004"/>
        <n v="181174.56"/>
        <n v="518822.04000000004"/>
        <n v="228870.00000000003"/>
        <n v="257791.52"/>
        <n v="179765.6"/>
        <n v="3324468.8"/>
        <n v="5409.3"/>
        <n v="825638.73"/>
        <n v="3233758.53"/>
        <n v="814275.99"/>
        <n v="430563.2"/>
        <n v="2772239.19"/>
        <n v="314088.39"/>
        <n v="2320901.71"/>
        <n v="420337.39"/>
        <n v="426416.1"/>
        <n v="275920.48000000004"/>
        <n v="82243.95"/>
        <n v="910444.8600000001"/>
        <n v="2334267.11"/>
        <n v="3009892.62"/>
        <n v="4955890.32"/>
        <n v="2522206.8"/>
        <n v="1786194.16"/>
        <n v="1855825.4"/>
        <n v="4117224.51"/>
        <n v="1553398.98"/>
        <n v="470029.23000000004"/>
        <n v="818891.7"/>
        <n v="154497.2"/>
        <n v="459268.55000000005"/>
        <n v="514714.46"/>
        <n v="434232.69999999995"/>
        <n v="747308.1"/>
        <n v="458020.38"/>
        <n v="75797.52"/>
        <n v="637534.5900000001"/>
        <n v="771939.8500000001"/>
        <n v="109717.12"/>
        <n v="87561.04"/>
        <n v="359718.45"/>
        <n v="83130.3"/>
        <n v="4037979.1999999997"/>
        <n v="1386189.3"/>
        <n v="939020.5"/>
        <n v="1830357.6"/>
        <n v="3698206.1799999997"/>
        <n v="221896.95"/>
        <n v="5493179.399999999"/>
        <n v="939303.8200000001"/>
        <n v="863322.8999999999"/>
        <n v="967654.96"/>
        <n v="863470.0"/>
        <n v="923719.3200000001"/>
        <n v="4894494.36"/>
        <n v="4337058.600000001"/>
        <n v="713421.17"/>
        <n v="4205426.8"/>
        <n v="252954.35"/>
        <n v="3083594.01"/>
        <n v="85154.91"/>
        <n v="904178.14"/>
        <n v="46258.14"/>
        <n v="1766027.04"/>
        <n v="1037962.2"/>
        <n v="176696.3"/>
        <n v="105671.15000000001"/>
        <n v="3397362.5700000003"/>
        <n v="1068975.48"/>
        <n v="910183.74"/>
        <n v="1589146.06"/>
        <n v="1966654.2000000002"/>
        <n v="3474865.6"/>
        <n v="802570.8"/>
        <n v="774343.5000000001"/>
        <n v="516572.70999999996"/>
        <n v="569733.7200000001"/>
        <n v="6359716.86"/>
        <n v="498205.39999999997"/>
        <n v="473799.68"/>
        <n v="455399.56"/>
        <n v="623027.79"/>
        <n v="530019.05"/>
        <n v="38066.4"/>
        <n v="1638811.9"/>
        <n v="935010.2400000001"/>
        <n v="836647.68"/>
        <n v="302319.27"/>
        <n v="611340.4"/>
        <n v="1514966.82"/>
        <n v="552903.4500000001"/>
        <n v="453574.55000000005"/>
        <n v="778886.9"/>
        <n v="2324613.9"/>
        <n v="1951360.32"/>
        <n v="860398.6200000001"/>
        <n v="229007.46000000002"/>
        <n v="92637.57"/>
        <n v="46406.100000000006"/>
        <n v="69514.25"/>
        <n v="43123.26"/>
        <n v="146715.40000000002"/>
        <n v="258556.48"/>
        <n v="3489.42"/>
        <n v="1814922.27"/>
        <n v="1470432.1800000002"/>
        <n v="347510.4"/>
        <n v="791881.9700000001"/>
        <n v="1121805.51"/>
        <n v="174003.17"/>
        <n v="4599.69"/>
        <n v="432754.54"/>
        <n v="1826184.4"/>
        <n v="346195.2"/>
        <n v="4962573.02"/>
        <n v="65937.68000000001"/>
        <n v="839105.36"/>
        <n v="33420.06"/>
        <n v="3118610.88"/>
        <n v="1040776.56"/>
        <n v="220172.94000000003"/>
        <n v="3645373.6"/>
        <n v="187953.2"/>
        <n v="143020.71"/>
        <n v="873088.4"/>
        <n v="1001347.6"/>
        <n v="2886571.38"/>
        <n v="4151463.75"/>
        <n v="4985962.47"/>
        <n v="353083.68"/>
        <n v="14209.59"/>
        <n v="4784439.87"/>
        <n v="1436569.26"/>
        <n v="1137594.4"/>
        <n v="214459.52000000002"/>
        <n v="1061218.08"/>
        <n v="1756472.2999999998"/>
        <n v="124965.17000000001"/>
        <n v="114983.59999999999"/>
        <n v="1349626.1099999999"/>
        <n v="812477.93"/>
        <n v="2825600.19"/>
        <n v="73794.74"/>
        <n v="38253.0"/>
        <n v="800302.8"/>
        <n v="1220238.4"/>
        <n v="1427781.04"/>
        <n v="2831303.79"/>
        <n v="919720.2"/>
        <n v="321501.76"/>
        <n v="70455.63"/>
        <n v="678956.64"/>
        <n v="13584.48"/>
        <n v="277391.62"/>
        <n v="73119.21"/>
        <n v="430530.1"/>
        <n v="618242.78"/>
        <n v="516025.56000000006"/>
        <n v="3090566.8"/>
        <n v="2402184.8"/>
        <n v="129098.34"/>
        <n v="1303293.2"/>
        <n v="67754.17"/>
        <n v="43897.65"/>
        <n v="31933.850000000002"/>
        <n v="146047.0"/>
        <n v="1696846.16"/>
        <n v="3813485.7600000002"/>
        <n v="1044.96"/>
        <n v="2635446.87"/>
        <n v="356966.35000000003"/>
        <n v="148708.30000000002"/>
        <n v="2099746.53"/>
        <n v="1499818.95"/>
        <n v="89194.8"/>
        <n v="403255.82"/>
        <n v="5294988.510000001"/>
        <n v="650976.27"/>
        <n v="144286.38"/>
        <n v="1319771.2"/>
        <n v="440358.0"/>
        <n v="439814.05000000005"/>
        <n v="1306523.04"/>
        <n v="1075643.04"/>
        <n v="991141.6200000001"/>
        <n v="468568.75"/>
        <n v="1149133.54"/>
        <n v="2354447.44"/>
        <n v="732863.42"/>
        <n v="1783007.5999999999"/>
        <n v="288528.78"/>
        <n v="56655.3"/>
        <n v="399149.4"/>
        <n v="241757.34000000003"/>
        <n v="3478763.8200000003"/>
        <n v="1299523.86"/>
        <n v="1919939.71"/>
        <n v="1067788.7"/>
        <n v="57855.33"/>
        <n v="5191789.63"/>
        <n v="5807490.78"/>
        <n v="6468853.6"/>
        <n v="170945.19999999998"/>
        <n v="21489.93"/>
        <n v="1632714.3"/>
        <n v="3794478.6599999997"/>
        <n v="92908.14"/>
        <n v="84921.66"/>
        <n v="4142605.73"/>
        <n v="1179689.5"/>
        <n v="417149.92000000004"/>
        <n v="1272570.8"/>
        <n v="290877.07"/>
        <n v="3346431.48"/>
        <n v="50587.26"/>
        <n v="1678848.0"/>
        <n v="1245112.92"/>
        <n v="781392.3200000001"/>
        <n v="4080481.8600000003"/>
        <n v="1397352.57"/>
        <n v="1710395.5"/>
        <n v="132317.46"/>
        <n v="753295.6"/>
        <n v="1449477.63"/>
        <n v="339394.18"/>
        <n v="137984.6"/>
        <n v="1144049.56"/>
        <n v="2477759.9699999997"/>
        <n v="45362.200000000004"/>
        <n v="288989.2"/>
        <n v="247519.2"/>
        <n v="1156163.12"/>
        <n v="242820.16"/>
        <n v="1721091.9"/>
        <n v="3960168.02"/>
        <n v="3389.32"/>
        <n v="400962.0"/>
        <n v="1113985.5999999999"/>
        <n v="438322.08"/>
        <n v="318764.79"/>
        <n v="714376.22"/>
        <n v="684748.48"/>
        <n v="563645.04"/>
        <n v="3780403.3899999997"/>
        <n v="485595.38999999996"/>
        <n v="3850420.4"/>
        <n v="2218719.51"/>
        <n v="2423758.05"/>
        <n v="2270715.6"/>
        <n v="1855885.6"/>
        <n v="4179632.0"/>
        <n v="1086442.0"/>
        <n v="1908484.5999999999"/>
        <n v="6032809.44"/>
        <n v="278869.29"/>
        <n v="3957750.09"/>
        <n v="882917.86"/>
        <n v="776000.22"/>
        <n v="357650.48000000004"/>
        <n v="705002.98"/>
        <n v="178089.67"/>
        <n v="5134986.68"/>
        <n v="1264583.04"/>
        <n v="443183.0"/>
        <n v="66728.16"/>
        <n v="3424215.48"/>
        <n v="337391.4"/>
        <n v="6111997.42"/>
        <n v="16075.59"/>
        <n v="80368.62"/>
        <n v="62156.46"/>
        <n v="5866074.06"/>
        <n v="976744.64"/>
        <n v="1050180.8"/>
        <n v="85267.65000000001"/>
        <n v="2905637.96"/>
        <n v="774576.64"/>
        <n v="301212.60000000003"/>
        <n v="1012044.0"/>
        <n v="1366820.32"/>
        <n v="49057.14"/>
        <n v="64730.16"/>
        <n v="255277.42"/>
        <n v="2490227.04"/>
        <n v="4290822.69"/>
        <n v="325545.12"/>
        <n v="7491.99"/>
        <n v="752565.4400000001"/>
        <n v="1287927.78"/>
        <n v="29090.94"/>
        <n v="577262.8200000001"/>
        <n v="1269313.02"/>
        <n v="3404835.65"/>
        <n v="16187.55"/>
        <n v="1130635.12"/>
        <n v="2683220.4"/>
        <n v="100601.18000000001"/>
        <n v="3274190.8"/>
        <n v="1472505.48"/>
        <n v="2189934.8"/>
        <n v="4367665.470000001"/>
        <n v="3016935.39"/>
        <n v="98174.05"/>
        <n v="3495780.54"/>
        <n v="378899.39999999997"/>
        <n v="408108.8"/>
        <n v="6483446.760000001"/>
        <n v="169586.30000000002"/>
        <n v="5776525.88"/>
        <n v="266557.26"/>
        <n v="278106.39999999997"/>
        <n v="39057.840000000004"/>
        <n v="630303.66"/>
        <n v="2380377.7399999998"/>
        <n v="569994.7"/>
        <n v="442787.16000000003"/>
        <n v="243568.86000000002"/>
        <n v="135659.55000000002"/>
        <n v="1023485.2"/>
        <n v="1026347.72"/>
        <n v="841565.28"/>
        <n v="1123251.46"/>
        <n v="1003846.08"/>
        <n v="1600589.2"/>
        <n v="1462784.4600000002"/>
        <n v="808341.24"/>
        <n v="4825466.100000001"/>
        <n v="588144.96"/>
        <n v="1117360.56"/>
        <n v="41863.71"/>
        <n v="85749.96"/>
        <n v="1111489.12"/>
        <n v="65384.64"/>
        <n v="69928.35"/>
        <n v="930579.0900000001"/>
        <n v="358794.7"/>
        <n v="492524.96"/>
        <n v="1425097.2000000002"/>
        <n v="6745.59"/>
        <n v="1271154.57"/>
        <n v="35919.65"/>
        <n v="6285079.35"/>
        <n v="1485292.46"/>
        <n v="1763476.6800000002"/>
        <n v="1598501.8399999999"/>
        <n v="467572.10000000003"/>
        <n v="470846.35000000003"/>
        <n v="894019.68"/>
        <n v="521273.94"/>
        <n v="449841.92000000004"/>
        <n v="2691658.1999999997"/>
        <n v="5707204.44"/>
        <n v="726532.3999999999"/>
        <n v="326503.12"/>
        <n v="4101810.4"/>
        <n v="416085.66000000003"/>
        <n v="61335.42"/>
        <n v="2358993.1"/>
        <n v="157043.44999999998"/>
        <n v="695895.04"/>
        <n v="810199.8"/>
        <n v="1118321.54"/>
        <n v="1375355.52"/>
        <n v="686029.18"/>
        <n v="248897.0"/>
        <n v="243038.90000000002"/>
        <n v="3442075.6"/>
        <n v="87646.02"/>
        <n v="64899.48"/>
        <n v="309399.36"/>
        <n v="392875.92"/>
        <n v="6510146.37"/>
        <n v="914346.1"/>
        <n v="1179604.44"/>
        <n v="1850667.5999999999"/>
        <n v="966144.48"/>
        <n v="3117767.1"/>
        <n v="59885.44"/>
        <n v="853061.58"/>
        <n v="973460.4"/>
        <n v="1469497.9800000002"/>
        <n v="3845225.58"/>
        <n v="376705.55000000005"/>
        <n v="730705.6200000001"/>
        <n v="526913.31"/>
        <n v="657986.0"/>
        <n v="77532.3"/>
        <n v="1383949.5999999999"/>
        <n v="451922.89999999997"/>
        <n v="2540094.27"/>
        <n v="419932.5"/>
        <n v="2865054.9899999998"/>
        <n v="412103.25"/>
        <n v="117011.70000000001"/>
        <n v="255802.95"/>
        <n v="300733.39999999997"/>
        <n v="1407916.02"/>
        <n v="347838.24"/>
        <n v="1164794.6099999999"/>
        <n v="13158.53"/>
        <n v="148359.78"/>
        <n v="3000940.8"/>
        <n v="1006165.86"/>
        <n v="677247.76"/>
        <n v="1960404.8"/>
        <n v="165676.72"/>
        <n v="1683860.2"/>
        <n v="1303039.48"/>
        <n v="395666.0"/>
        <n v="993119.6"/>
        <n v="58079.25"/>
        <n v="794829.6"/>
        <n v="3787728.42"/>
        <n v="2997443.1999999997"/>
        <n v="85574.76"/>
        <n v="836083.62"/>
        <n v="360038.22000000003"/>
        <n v="37590.64"/>
        <n v="2869231.2600000002"/>
        <n v="917245.6"/>
        <n v="458655.48000000004"/>
        <n v="1900614.45"/>
        <n v="6672675.95"/>
        <n v="988072.0"/>
        <n v="1888509.0"/>
        <n v="262272.0"/>
        <n v="1753796.73"/>
        <n v="48731.15"/>
        <n v="1974080.24"/>
        <n v="3173197.6"/>
        <n v="1672594.56"/>
        <n v="2582195.28"/>
        <n v="2309727.6"/>
        <n v="26142.66"/>
        <n v="1333460.0"/>
        <n v="107426.8"/>
        <n v="251571.09999999998"/>
        <n v="5024053.859999999"/>
        <n v="126436.31000000001"/>
        <n v="1736833.73"/>
        <n v="2219664.4"/>
        <n v="3923413.17"/>
        <n v="196110.85"/>
        <n v="1272060.24"/>
        <n v="539826.65"/>
        <n v="778947.84"/>
        <n v="375385.89"/>
        <n v="3175619.04"/>
        <n v="1366358.1400000001"/>
        <n v="26091.180000000004"/>
        <n v="395590.65"/>
        <n v="2081042.56"/>
        <n v="3120720.33"/>
        <n v="2046242.74"/>
        <n v="680720.4"/>
        <n v="220935.84000000003"/>
        <n v="3755664.78"/>
        <n v="1406875.92"/>
        <n v="1945334.79"/>
        <n v="873923.8200000001"/>
        <n v="51837.48"/>
        <n v="2360318.88"/>
        <n v="206776.8"/>
        <n v="386484.8"/>
        <n v="102244.23000000001"/>
        <n v="10285.0"/>
        <n v="6310876.11"/>
        <n v="4391760.24"/>
        <n v="1201862.8"/>
        <n v="59549.75"/>
        <n v="1769337.57"/>
        <n v="568840.8"/>
        <n v="1333244.04"/>
        <n v="21874.45"/>
        <n v="4934218.17"/>
        <n v="364934.85"/>
        <n v="4129037.4299999997"/>
        <n v="2161853.4499999997"/>
        <n v="317915.0"/>
        <n v="3567979.5900000003"/>
        <n v="2010305.8499999999"/>
        <n v="2826902.6100000003"/>
        <n v="1073909.89"/>
        <n v="268500.96"/>
        <n v="54039.36"/>
        <n v="408312.97"/>
        <n v="121002.72"/>
        <n v="4672543.84"/>
        <n v="3964845.9099999997"/>
        <n v="397773.35000000003"/>
        <n v="55326.9"/>
        <n v="70033.73999999999"/>
        <n v="53333.8"/>
        <n v="3260365.92"/>
        <n v="503293.34"/>
        <n v="149522.4"/>
        <n v="208590.2"/>
        <n v="42610.11"/>
        <n v="1992970.96"/>
        <n v="298880.8"/>
        <n v="2584652.49"/>
        <n v="1300591.9200000002"/>
        <n v="4859329.0200000005"/>
        <n v="371486.05000000005"/>
        <n v="758008.4400000001"/>
        <n v="159293.52000000002"/>
        <n v="2530602.06"/>
        <n v="3224083.38"/>
        <n v="594046.08"/>
        <n v="6155888.13"/>
        <n v="307657.82"/>
        <n v="76947.2"/>
        <n v="299910.6"/>
        <n v="9171.39"/>
        <n v="4841616.149999999"/>
        <n v="1234278.8"/>
        <n v="1825310.0"/>
        <n v="1177480.58"/>
        <n v="235209.65000000002"/>
        <n v="2046715.0"/>
        <n v="2367799.56"/>
        <n v="89717.28"/>
        <n v="91629.93000000001"/>
        <n v="3583291.1999999997"/>
        <n v="513173.86"/>
        <n v="3589862.01"/>
        <n v="4496605.05"/>
        <n v="28633.77"/>
        <n v="1899433.7999999998"/>
        <n v="6222261.97"/>
        <n v="1819827.9"/>
        <n v="317867.55000000005"/>
        <n v="541810.24"/>
        <n v="1028324.8"/>
        <n v="1830158.8199999998"/>
        <n v="1636439.5999999999"/>
        <n v="1046190.2"/>
        <n v="3785714.8"/>
        <n v="15041.650000000001"/>
        <n v="72232.86"/>
        <n v="643215.1"/>
        <n v="756448.77"/>
        <n v="7432.4"/>
        <n v="800558.08"/>
        <n v="1364047.24"/>
        <n v="430344.64"/>
        <n v="1022496.22"/>
        <n v="3456966.6599999997"/>
        <n v="599734.74"/>
        <n v="491765.34"/>
        <n v="101302.56"/>
        <n v="39363.27"/>
        <n v="267478.26"/>
        <n v="296380.08"/>
        <n v="435768.48000000004"/>
        <n v="332629.84"/>
        <n v="1322759.16"/>
        <n v="732176.0"/>
        <n v="4099168.1799999997"/>
        <n v="276587.68"/>
        <n v="1244188.56"/>
        <n v="1245764.73"/>
        <n v="280856.55"/>
        <n v="960571.2"/>
        <n v="1903878.24"/>
        <n v="407796.82"/>
        <n v="914953.6"/>
        <n v="462813.32999999996"/>
        <n v="325127.4"/>
        <n v="1834377.72"/>
        <n v="379516.5"/>
        <n v="2039838.15"/>
        <n v="182255.45"/>
        <n v="884949.4400000001"/>
        <n v="432127.15"/>
        <n v="349967.86000000004"/>
        <n v="95869.29000000001"/>
        <n v="1158993.3800000001"/>
        <n v="1013572.0"/>
        <n v="429673.34"/>
        <n v="469660.10000000003"/>
        <n v="222777.75"/>
        <n v="319972.95"/>
        <n v="623326.76"/>
        <n v="1362352.58"/>
        <n v="775669.4400000001"/>
        <n v="492668.44"/>
        <n v="1574016.4"/>
        <n v="1527813.02"/>
        <n v="557316.87"/>
        <n v="1197142.6800000002"/>
        <n v="1195967.78"/>
        <n v="882706.7999999999"/>
        <n v="737876.88"/>
        <n v="698446.08"/>
        <n v="4077988.7399999998"/>
        <n v="283323.95"/>
        <n v="1021506.2"/>
        <n v="1354605.2400000002"/>
        <n v="345008.95"/>
        <n v="262873.0"/>
        <n v="2730893.9699999997"/>
        <n v="613524.18"/>
        <n v="272600.25"/>
        <n v="4026612.0"/>
        <n v="1146486.12"/>
        <n v="119775.3"/>
        <n v="5447068.77"/>
        <n v="1511174.54"/>
        <n v="217892.18000000002"/>
        <n v="1604434.8"/>
        <n v="1160533.98"/>
        <n v="73238.40000000001"/>
        <n v="133910.69999999998"/>
        <n v="343632.9"/>
        <n v="393092.69999999995"/>
        <n v="1409045.0"/>
        <n v="88271.13"/>
        <n v="2744394.4499999997"/>
        <n v="164195.57"/>
        <n v="1015563.52"/>
        <n v="983835.8400000001"/>
        <n v="811742.14"/>
        <n v="2812318.7399999998"/>
        <n v="2059608.14"/>
        <n v="4166163.75"/>
        <n v="319433.06"/>
        <n v="834765.18"/>
        <n v="1905604.7999999998"/>
        <n v="1412576.1400000001"/>
        <n v="878097.9"/>
        <n v="27948.050000000003"/>
        <n v="73982.56"/>
        <n v="14676.09"/>
        <n v="1061935.58"/>
        <n v="4460788.5"/>
        <n v="221781.30000000002"/>
        <n v="145713.90000000002"/>
        <n v="2193110.48"/>
        <n v="2500963.92"/>
        <n v="1383872.8800000001"/>
        <n v="801607.8400000001"/>
        <n v="3112864.0"/>
        <n v="196490.45"/>
        <n v="1172272.1400000001"/>
        <n v="1440476.52"/>
        <n v="182018.2"/>
        <n v="1176604.0"/>
        <n v="536644.08"/>
        <n v="1377296.4"/>
        <n v="1155211.2"/>
        <n v="814602.91"/>
        <n v="748891.5"/>
        <n v="5026726.9399999995"/>
        <n v="352364.1"/>
        <n v="59357.46"/>
        <n v="588582.08"/>
        <n v="4361130.02"/>
        <n v="760491.26"/>
        <n v="30126.57"/>
        <n v="1148363.24"/>
        <n v="711214.4600000001"/>
        <n v="280239.7"/>
        <n v="44168.22"/>
        <n v="246360.40000000002"/>
        <n v="146530.72"/>
        <n v="905004.0"/>
        <n v="3666129.2199999997"/>
      </sharedItems>
    </cacheField>
    <cacheField name="custo_total" numFmtId="164">
      <sharedItems containsSemiMixedTypes="0" containsString="0" containsNumber="1">
        <n v="76121.5"/>
        <n v="233400.23"/>
        <n v="2358420.22"/>
        <n v="41968.64000000001"/>
        <n v="243129.91999999998"/>
        <n v="1165411.2000000002"/>
        <n v="46350.159999999996"/>
        <n v="401819.67000000004"/>
        <n v="836476.74"/>
        <n v="856659.65"/>
        <n v="1907641.84"/>
        <n v="423769.77999999997"/>
        <n v="50446.8"/>
        <n v="1128055.92"/>
        <n v="342845.44000000006"/>
        <n v="2642355.3200000003"/>
        <n v="1438765.5"/>
        <n v="175902.72000000003"/>
        <n v="777331.9199999999"/>
        <n v="3319773.07"/>
        <n v="20863.8"/>
        <n v="77478.12"/>
        <n v="11549.12"/>
        <n v="875572.25"/>
        <n v="43935.08"/>
        <n v="3872104.9600000004"/>
        <n v="47145.96"/>
        <n v="320869.92"/>
        <n v="346645.6"/>
        <n v="196146.72"/>
        <n v="29411.73"/>
        <n v="213702.57"/>
        <n v="61352.72"/>
        <n v="56155.8"/>
        <n v="166643.18"/>
        <n v="128463.39"/>
        <n v="50959.369999999995"/>
        <n v="242208.00999999998"/>
        <n v="445897.74"/>
        <n v="972247.22"/>
        <n v="163337.02"/>
        <n v="940588.32"/>
        <n v="286568.17"/>
        <n v="918578.0399999999"/>
        <n v="589317.3300000001"/>
        <n v="62446.08"/>
        <n v="1262287.5599999998"/>
        <n v="1589098.5599999998"/>
        <n v="1931763.76"/>
        <n v="272979.2"/>
        <n v="90251.81"/>
        <n v="106256.25"/>
        <n v="1005.08"/>
        <n v="396818.52"/>
        <n v="1029971.52"/>
        <n v="450753.18"/>
        <n v="68287.35"/>
        <n v="2419476.04"/>
        <n v="471381.06"/>
        <n v="749808.78"/>
        <n v="227942.40000000002"/>
        <n v="286555.06"/>
        <n v="343865.76"/>
        <n v="5249.6"/>
        <n v="321843.2"/>
        <n v="427911.25"/>
        <n v="270971.4"/>
        <n v="1214741.29"/>
        <n v="335203.05"/>
        <n v="7333.32"/>
        <n v="154183.68000000002"/>
        <n v="1540285.1"/>
        <n v="6144.96"/>
        <n v="1061364.48"/>
        <n v="4258021.42"/>
        <n v="630754.46"/>
        <n v="243115.49999999997"/>
        <n v="654100.16"/>
        <n v="636419.0700000001"/>
        <n v="1326129.88"/>
        <n v="1084656.27"/>
        <n v="44621.600000000006"/>
        <n v="1180969.0"/>
        <n v="2081466.4000000001"/>
        <n v="1469644.73"/>
        <n v="903751.98"/>
        <n v="252000.79"/>
        <n v="304747.52"/>
        <n v="1049.92"/>
        <n v="23970.88"/>
        <n v="661221.63"/>
        <n v="51803.12"/>
        <n v="344780.80000000005"/>
        <n v="1042925.6399999999"/>
        <n v="384303.36"/>
        <n v="64307.56"/>
        <n v="3267257.71"/>
        <n v="4031167.8400000003"/>
        <n v="494842.44"/>
        <n v="130611.68"/>
        <n v="761837.41"/>
        <n v="95549.44"/>
        <n v="82590.42"/>
        <n v="784197.12"/>
        <n v="2377543.8400000003"/>
        <n v="2525113.56"/>
        <n v="64117.76000000001"/>
        <n v="4360842.720000001"/>
        <n v="4179731.5200000005"/>
        <n v="1281577.38"/>
        <n v="1322730.63"/>
        <n v="678323.4"/>
        <n v="44585.56"/>
        <n v="350264.32"/>
        <n v="452864.37"/>
        <n v="172970.69999999998"/>
        <n v="1600519.74"/>
        <n v="4708799.8"/>
        <n v="719055.4"/>
        <n v="179773.44000000003"/>
        <n v="224284.35"/>
        <n v="887988.18"/>
        <n v="373928.6"/>
        <n v="25432.0"/>
        <n v="612868.2000000001"/>
        <n v="4132485.12"/>
        <n v="373.68"/>
        <n v="2296700.0"/>
        <n v="288227.52"/>
        <n v="512440.18"/>
        <n v="154147.84000000003"/>
        <n v="84652.01999999999"/>
        <n v="741897.8700000001"/>
        <n v="3848451.3200000003"/>
        <n v="271789.32"/>
        <n v="60432.36"/>
        <n v="355627.23000000004"/>
        <n v="3843757.12"/>
        <n v="324949.22"/>
        <n v="47914.08"/>
        <n v="313600.00000000006"/>
        <n v="130715.04000000001"/>
        <n v="545469.12"/>
        <n v="53025.72"/>
        <n v="175938.56000000003"/>
        <n v="184254.84"/>
        <n v="2172.88"/>
        <n v="281754.77"/>
        <n v="473730.67"/>
        <n v="36182.880000000005"/>
        <n v="32790.8"/>
        <n v="98719.14"/>
        <n v="126101.21999999999"/>
        <n v="244927.74000000002"/>
        <n v="777727.51"/>
        <n v="178904.24000000002"/>
        <n v="198485.28"/>
        <n v="221002.13999999998"/>
        <n v="1324301.94"/>
        <n v="586464.18"/>
        <n v="1780139.36"/>
        <n v="614066.88"/>
        <n v="2383926.4899999998"/>
        <n v="303695.1"/>
        <n v="460359.41"/>
        <n v="1620026.56"/>
        <n v="75744.69"/>
        <n v="2056870.63"/>
        <n v="322315.92"/>
        <n v="4627522.4"/>
        <n v="269704.33"/>
        <n v="2195382.21"/>
        <n v="136263.68000000002"/>
        <n v="2398017.2800000003"/>
        <n v="41119.68"/>
        <n v="3132436.3200000003"/>
        <n v="284743.02999999997"/>
        <n v="655712.62"/>
        <n v="589706.88"/>
        <n v="268739.52"/>
        <n v="109656.45"/>
        <n v="456104.88000000006"/>
        <n v="180521.55"/>
        <n v="0.0"/>
        <n v="4007019.68"/>
        <n v="261377.38"/>
        <n v="1037664.7799999999"/>
        <n v="3419698.13"/>
        <n v="176133.44"/>
        <n v="134579.2"/>
        <n v="1089316.8599999999"/>
        <n v="276159.73"/>
        <n v="47062.92"/>
        <n v="3631673.2800000003"/>
        <n v="426594.6"/>
        <n v="2290253.2"/>
        <n v="17458.56"/>
        <n v="36339.54"/>
        <n v="252062.91"/>
        <n v="226186.24000000002"/>
        <n v="11217.920000000002"/>
        <n v="453454.25999999995"/>
        <n v="454798.7"/>
        <n v="4759812.32"/>
        <n v="307005.44"/>
        <n v="2315197.36"/>
        <n v="324459.52"/>
        <n v="4747738.24"/>
        <n v="284329.76"/>
        <n v="490252.17000000004"/>
        <n v="4513081.12"/>
        <n v="4332494.88"/>
        <n v="1157852.1600000001"/>
        <n v="56745.15"/>
        <n v="4248.88"/>
        <n v="4650095.680000001"/>
        <n v="82094.11"/>
        <n v="157614.82"/>
        <n v="277812.81"/>
        <n v="218236.17"/>
        <n v="580379.32"/>
        <n v="73652.04"/>
        <n v="25082.309999999998"/>
        <n v="93725.33"/>
        <n v="250424.73"/>
        <n v="1163128.6099999999"/>
        <n v="4606524.0"/>
        <n v="465470.67000000004"/>
        <n v="20815.36"/>
        <n v="4408.320000000001"/>
        <n v="14586.880000000001"/>
        <n v="2583463.96"/>
        <n v="320481.28"/>
        <n v="385959.83999999997"/>
        <n v="244550.27999999997"/>
        <n v="112790.92"/>
        <n v="5064814.08"/>
        <n v="298556.16"/>
        <n v="1606902.56"/>
        <n v="2415865.9200000004"/>
        <n v="213594.57"/>
        <n v="1390909.0599999998"/>
        <n v="358256.64"/>
        <n v="2062424.1600000001"/>
        <n v="21472.76"/>
        <n v="312195.03"/>
        <n v="21050.64"/>
        <n v="289013.76"/>
        <n v="1377548.22"/>
        <n v="235373.16"/>
        <n v="2938201.12"/>
        <n v="26703.6"/>
        <n v="461973.84"/>
        <n v="39340.2"/>
        <n v="256148.48"/>
        <n v="612995.04"/>
        <n v="474435.36"/>
        <n v="2332313.81"/>
        <n v="3073032.1"/>
        <n v="1621696.58"/>
        <n v="3502533.12"/>
        <n v="128050.12"/>
        <n v="642324.48"/>
        <n v="39035.72"/>
        <n v="599550.36"/>
        <n v="461062.07"/>
        <n v="400600.23000000004"/>
        <n v="420551.04"/>
        <n v="194001.92"/>
        <n v="812563.74"/>
        <n v="48993.6"/>
        <n v="151423.23"/>
        <n v="1493287.14"/>
        <n v="269616.48"/>
        <n v="470313.76"/>
        <n v="991687.48"/>
        <n v="279263.04"/>
        <n v="297652.32"/>
        <n v="751543.82"/>
        <n v="703091.1"/>
        <n v="9183.93"/>
        <n v="545448.75"/>
        <n v="1875436.2599999998"/>
        <n v="770722.68"/>
        <n v="191714.61000000002"/>
        <n v="4023.57"/>
        <n v="983780.82"/>
        <n v="4531454.720000001"/>
        <n v="84972.77"/>
        <n v="2575367.4"/>
        <n v="2697634.72"/>
        <n v="18718.6"/>
        <n v="302163.95"/>
        <n v="304597.44"/>
        <n v="46972.96"/>
        <n v="996440.72"/>
        <n v="391929.72000000003"/>
        <n v="39229.48"/>
        <n v="1443069.8399999999"/>
        <n v="558607.6799999999"/>
        <n v="104660.43000000001"/>
        <n v="117089.28000000001"/>
        <n v="2317567.33"/>
        <n v="58342.52"/>
        <n v="321709.56"/>
        <n v="1335780.18"/>
        <n v="441175.95"/>
        <n v="10082.44"/>
        <n v="322346.85000000003"/>
        <n v="894954.62"/>
        <n v="396293.31"/>
        <n v="1507156.68"/>
        <n v="51007.32"/>
        <n v="54371.52"/>
        <n v="168868.47999999998"/>
        <n v="1416660.26"/>
        <n v="31160.76"/>
        <n v="188767.77000000002"/>
        <n v="12580.74"/>
        <n v="2374709.94"/>
        <n v="42973.2"/>
        <n v="255525.03"/>
        <n v="102173.06"/>
        <n v="988804.1499999999"/>
        <n v="164831.15"/>
        <n v="9618.8"/>
        <n v="2914577.9200000004"/>
        <n v="1577620.3199999998"/>
        <n v="386641.92"/>
        <n v="1311867.18"/>
        <n v="254002.1"/>
        <n v="825391.28"/>
        <n v="49115.549999999996"/>
        <n v="2946894.56"/>
        <n v="105984.55"/>
        <n v="1008199.99"/>
        <n v="233175.04"/>
        <n v="1826456.88"/>
        <n v="136188.36"/>
        <n v="1810657.0799999998"/>
        <n v="753737.7599999999"/>
        <n v="1050160.04"/>
        <n v="4159258.08"/>
        <n v="524301.47"/>
        <n v="2500318.3499999996"/>
        <n v="381465.74"/>
        <n v="238945.28000000003"/>
        <n v="105066.18000000001"/>
        <n v="2499528.36"/>
        <n v="2536921.2199999997"/>
        <n v="4893152.16"/>
        <n v="225183.84"/>
        <n v="2982822.72"/>
        <n v="603251.04"/>
        <n v="2692519.8400000003"/>
        <n v="3300423.52"/>
        <n v="108181.37"/>
        <n v="1336224.16"/>
        <n v="503661.27"/>
        <n v="1107302.65"/>
        <n v="355266.24"/>
        <n v="570404.76"/>
        <n v="3158944.78"/>
        <n v="1187091.64"/>
        <n v="228833.77"/>
        <n v="42502.5"/>
        <n v="471999.36"/>
        <n v="221096.96000000002"/>
        <n v="1090449.53"/>
        <n v="1474612.6400000001"/>
        <n v="132267.78"/>
        <n v="13600.800000000001"/>
        <n v="35935.56"/>
        <n v="482838.30000000005"/>
        <n v="297331.87"/>
        <n v="1526583.6800000002"/>
        <n v="57293.37"/>
        <n v="338329.60000000003"/>
        <n v="539951.76"/>
        <n v="468464.06999999995"/>
        <n v="186766.25"/>
        <n v="307722.24000000005"/>
        <n v="381970.31999999995"/>
        <n v="479599.68"/>
        <n v="132070.40000000002"/>
        <n v="534375.84"/>
        <n v="837647.16"/>
        <n v="1444504.6199999999"/>
        <n v="210915.11"/>
        <n v="135031.05000000002"/>
        <n v="63760.88"/>
        <n v="1650289.1099999999"/>
        <n v="1181780.46"/>
        <n v="4733424.26"/>
        <n v="2333447.2"/>
        <n v="715158.12"/>
        <n v="106432.92"/>
        <n v="405870.54000000004"/>
        <n v="18373.600000000002"/>
        <n v="175508.48"/>
        <n v="55982.08"/>
        <n v="2371286.65"/>
        <n v="186480.13999999998"/>
        <n v="354636.80000000005"/>
        <n v="878942.4600000001"/>
        <n v="248263.68000000002"/>
        <n v="3627206.7399999998"/>
        <n v="471097.37"/>
        <n v="999085.1399999999"/>
        <n v="355317.76"/>
        <n v="31043.12"/>
        <n v="176357.04"/>
        <n v="283207.68000000005"/>
        <n v="468869.82"/>
        <n v="564857.16"/>
        <n v="6982.28"/>
        <n v="985349.92"/>
        <n v="754177.12"/>
        <n v="2519804.77"/>
        <n v="435395.61"/>
        <n v="863925.93"/>
        <n v="286750.2"/>
        <n v="267152.34"/>
        <n v="566643.3300000001"/>
        <n v="214660.32"/>
        <n v="630412.02"/>
        <n v="2009021.9200000002"/>
        <n v="699380.92"/>
        <n v="456116.64"/>
        <n v="611548.42"/>
        <n v="336895.65"/>
        <n v="66401.37"/>
        <n v="172560.15"/>
        <n v="44101.159999999996"/>
        <n v="205793.28000000003"/>
        <n v="453558.84"/>
        <n v="3897700.24"/>
        <n v="50834.32"/>
        <n v="146710.85"/>
        <n v="59673.51"/>
        <n v="267653.12000000005"/>
        <n v="382069.14"/>
        <n v="29638.41"/>
        <n v="277939.97"/>
        <n v="1065882.1199999999"/>
        <n v="542102.19"/>
        <n v="1088519.76"/>
        <n v="558492.06"/>
        <n v="53076.4"/>
        <n v="669705.12"/>
        <n v="639654.82"/>
        <n v="910881.58"/>
        <n v="502751.97000000003"/>
        <n v="224112.0"/>
        <n v="822128.94"/>
        <n v="1470171.24"/>
        <n v="26005.980000000003"/>
        <n v="522661.93"/>
        <n v="463924.86000000004"/>
        <n v="399000.84"/>
        <n v="2536606.72"/>
        <n v="176753.73"/>
        <n v="4873728.640000001"/>
        <n v="2265089.59"/>
        <n v="300855.59"/>
        <n v="319477.68"/>
        <n v="735259.9800000001"/>
        <n v="50931.2"/>
        <n v="203297.05"/>
        <n v="1122635.64"/>
        <n v="213491.04"/>
        <n v="724245.0599999999"/>
        <n v="394999.92000000004"/>
        <n v="146424.74"/>
        <n v="387713.76"/>
        <n v="1375372.5899999999"/>
        <n v="2662966.38"/>
        <n v="3768044.92"/>
        <n v="2315416.81"/>
        <n v="421596.0"/>
        <n v="254828.63999999998"/>
        <n v="78744.0"/>
        <n v="252889.44999999998"/>
        <n v="557551.6799999999"/>
        <n v="4101512.4800000004"/>
        <n v="593019.84"/>
        <n v="502096.2"/>
        <n v="299567.38"/>
        <n v="329656.32"/>
        <n v="133231.88999999998"/>
        <n v="210195.47999999998"/>
        <n v="3469460.64"/>
        <n v="279278.72000000003"/>
        <n v="844235.98"/>
        <n v="353823.04000000004"/>
        <n v="164456.34"/>
        <n v="69906.20999999999"/>
        <n v="12366.31"/>
        <n v="2808477.69"/>
        <n v="540470.58"/>
        <n v="551023.2"/>
        <n v="293380.59"/>
        <n v="144735.18"/>
        <n v="297236.5"/>
        <n v="951401.64"/>
        <n v="24386.079999999998"/>
        <n v="112709.93999999999"/>
        <n v="1122616.46"/>
        <n v="599134.76"/>
        <n v="112345.86"/>
        <n v="887331.72"/>
        <n v="1214302.14"/>
        <n v="2384049.7600000002"/>
        <n v="808410.33"/>
        <n v="2730316.96"/>
        <n v="225263.25"/>
        <n v="715424.99"/>
        <n v="526848.42"/>
        <n v="24496.8"/>
        <n v="87952.22"/>
        <n v="1769475.88"/>
        <n v="831942.72"/>
        <n v="1053170.23"/>
        <n v="1579980.0"/>
        <n v="1055041.5599999998"/>
        <n v="36717.52"/>
        <n v="121846.20000000001"/>
        <n v="55627.25"/>
        <n v="500478.72000000003"/>
        <n v="367731.63"/>
        <n v="2844758.24"/>
        <n v="2211844.85"/>
        <n v="1477762.4000000001"/>
        <n v="3404745.84"/>
        <n v="1200273.18"/>
        <n v="56529.479999999996"/>
        <n v="52136.4"/>
        <n v="98202.71999999999"/>
        <n v="358490.27"/>
        <n v="2901163.42"/>
        <n v="624882.72"/>
        <n v="507298.47000000003"/>
        <n v="13051.119999999999"/>
        <n v="68060.67"/>
        <n v="458573.64"/>
        <n v="197944.32"/>
        <n v="1108925.52"/>
        <n v="4293647.84"/>
        <n v="490749.21"/>
        <n v="57207.64"/>
        <n v="1698361.33"/>
        <n v="1080808.19"/>
        <n v="150144.16999999998"/>
        <n v="462833.7"/>
        <n v="771592.7999999999"/>
        <n v="42004.48"/>
        <n v="9369.68"/>
        <n v="236738.69999999998"/>
        <n v="19494.48"/>
        <n v="28780.28"/>
        <n v="199915.52000000002"/>
        <n v="204526.56"/>
        <n v="89234.53"/>
        <n v="119364.0"/>
        <n v="873055.05"/>
        <n v="318892.63"/>
        <n v="151892.62"/>
        <n v="478918.17000000004"/>
        <n v="994461.96"/>
        <n v="33949.52"/>
        <n v="758042.1"/>
        <n v="881637.12"/>
        <n v="149432.36"/>
        <n v="1383446.7599999998"/>
        <n v="44364.12"/>
        <n v="391850.06"/>
        <n v="5111010.5600000005"/>
        <n v="23872.8"/>
        <n v="349710.57"/>
        <n v="2463978.81"/>
        <n v="319982.67000000004"/>
        <n v="17459.16"/>
        <n v="33811.68"/>
        <n v="238418.46000000002"/>
        <n v="562423.6799999999"/>
        <n v="788908.68"/>
        <n v="3669547.08"/>
        <n v="433892.55"/>
        <n v="186543.72"/>
        <n v="652059.03"/>
        <n v="5916.6"/>
        <n v="103523.24"/>
        <n v="341796.48"/>
        <n v="223641.60000000003"/>
        <n v="1679032.76"/>
        <n v="2007364.5899999999"/>
        <n v="3042243.98"/>
        <n v="395703.83999999997"/>
        <n v="112308.49"/>
        <n v="683793.75"/>
        <n v="220523.52000000002"/>
        <n v="339870.72"/>
        <n v="854646.24"/>
        <n v="58849.280000000006"/>
        <n v="309335.04000000004"/>
        <n v="339849.99"/>
        <n v="156533.96"/>
        <n v="226645.44"/>
        <n v="35795.54"/>
        <n v="3065241.4400000004"/>
        <n v="3522302.8600000003"/>
        <n v="912454.38"/>
        <n v="2467836.96"/>
        <n v="279444.48000000004"/>
        <n v="2329247.52"/>
        <n v="656696.4600000001"/>
        <n v="2772738.07"/>
        <n v="107671.2"/>
        <n v="528169.54"/>
        <n v="3069231.04"/>
        <n v="1153337.12"/>
        <n v="1375954.52"/>
        <n v="62515.28"/>
        <n v="939321.6"/>
        <n v="1030613.94"/>
        <n v="151774.56"/>
        <n v="487687.2"/>
        <n v="477808.8"/>
        <n v="304783.36000000004"/>
        <n v="4866379.2"/>
        <n v="3127186.72"/>
        <n v="784460.07"/>
        <n v="213032.96000000002"/>
        <n v="283673.60000000003"/>
        <n v="512208.69000000006"/>
        <n v="129203.20000000001"/>
        <n v="362361.66"/>
        <n v="239489.95"/>
        <n v="6199.73"/>
        <n v="1576970.52"/>
        <n v="1249852.7999999998"/>
        <n v="962707.2"/>
        <n v="2469772.07"/>
        <n v="270484.48000000004"/>
        <n v="12283.0"/>
        <n v="301342.02"/>
        <n v="384165.93"/>
        <n v="362747.36000000004"/>
        <n v="192460.80000000002"/>
        <n v="883346.22"/>
        <n v="3192131.57"/>
        <n v="2547724.34"/>
        <n v="4240935.0600000005"/>
        <n v="1118164.8"/>
        <n v="35318.69"/>
        <n v="106933.68000000001"/>
        <n v="359741.16000000003"/>
        <n v="146160.0"/>
        <n v="84546.56000000001"/>
        <n v="58956.8"/>
        <n v="2002361.3199999998"/>
        <n v="3624.06"/>
        <n v="713698.33"/>
        <n v="2431791.06"/>
        <n v="564603.21"/>
        <n v="141209.6"/>
        <n v="2396377.9899999998"/>
        <n v="217782.81"/>
        <n v="1745321.4200000002"/>
        <n v="291453.81"/>
        <n v="242769.03"/>
        <n v="191317.92"/>
        <n v="60999.8"/>
        <n v="581424.48"/>
        <n v="1755372.22"/>
        <n v="2426365.12"/>
        <n v="3726836.64"/>
        <n v="1519150.77"/>
        <n v="1115461.74"/>
        <n v="1056566.42"/>
        <n v="3559009.71"/>
        <n v="1342788.58"/>
        <n v="325909.17"/>
        <n v="466214.91"/>
        <n v="103508.23999999999"/>
        <n v="307695.41"/>
        <n v="303797.13"/>
        <n v="247219.21"/>
        <n v="425460.63"/>
        <n v="270334.89"/>
        <n v="44737.560000000005"/>
        <n v="513935.84"/>
        <n v="535248.15"/>
        <n v="35983.36"/>
        <n v="54681.06"/>
        <n v="240999.99"/>
        <n v="61657.2"/>
        <n v="2432115.88"/>
        <n v="885242.4"/>
        <n v="534607.15"/>
        <n v="1143041.4"/>
        <n v="2781056.3600000003"/>
        <n v="153859.05000000002"/>
        <n v="4130878.8000000003"/>
        <n v="554400.2100000001"/>
        <n v="491510.67"/>
        <n v="727677.92"/>
        <n v="520076.74999999994"/>
        <n v="589901.76"/>
        <n v="3945599.3600000003"/>
        <n v="3496233.6"/>
        <n v="494672.43"/>
        <n v="2532971.27"/>
        <n v="175393.65"/>
        <n v="2665519.21"/>
        <n v="63158.84"/>
        <n v="533668.17"/>
        <n v="34309.36"/>
        <n v="1102867.5599999998"/>
        <n v="590937.0599999999"/>
        <n v="100597.49"/>
        <n v="70796.33"/>
        <n v="2738716.3200000003"/>
        <n v="682664.64"/>
        <n v="684459.48"/>
        <n v="1195040.12"/>
        <n v="1585379.2000000002"/>
        <n v="2092946.8399999999"/>
        <n v="512534.39999999997"/>
        <n v="494508.0"/>
        <n v="388463.42000000004"/>
        <n v="363840.95999999996"/>
        <n v="5126759.36"/>
        <n v="283640.42"/>
        <n v="295883.51999999996"/>
        <n v="315765.24"/>
        <n v="431995.41000000003"/>
        <n v="367504.95"/>
        <n v="28233.6"/>
        <n v="933015.37"/>
        <n v="597112.32"/>
        <n v="274391.04000000004"/>
        <n v="209622.33000000002"/>
        <n v="423891.60000000003"/>
        <n v="967481.76"/>
        <n v="383372.55"/>
        <n v="303880.61"/>
        <n v="540065.1"/>
        <n v="2009441.9"/>
        <n v="1218606.48"/>
        <n v="549464.16"/>
        <n v="158789.34"/>
        <n v="68708.68"/>
        <n v="31090.62"/>
        <n v="46572.35"/>
        <n v="31984.239999999998"/>
        <n v="98294.68"/>
        <n v="84797.44"/>
        <n v="2588.08"/>
        <n v="1463063.52"/>
        <n v="1185359.6800000002"/>
        <n v="113971.20000000001"/>
        <n v="549075.63"/>
        <n v="969710.71"/>
        <n v="120650.43000000001"/>
        <n v="3411.56"/>
        <n v="255422.37000000002"/>
        <n v="1099929.41"/>
        <n v="231939.84"/>
        <n v="3731862.04"/>
        <n v="38918.04"/>
        <n v="524013.54"/>
        <n v="24787.44"/>
        <n v="2695788.48"/>
        <n v="649955.34"/>
        <n v="140605.91999999998"/>
        <n v="2195645.54"/>
        <n v="110934.6"/>
        <n v="123629.91"/>
        <n v="525870.01"/>
        <n v="570091.48"/>
        <n v="2495208.98"/>
        <n v="3346620.0"/>
        <n v="3749450.94"/>
        <n v="115799.04000000001"/>
        <n v="10539.16"/>
        <n v="3856881.12"/>
        <n v="1158061.76"/>
        <n v="685184.6599999999"/>
        <n v="148702.08000000002"/>
        <n v="348042.24000000005"/>
        <n v="1000002.29"/>
        <n v="86648.43000000001"/>
        <n v="69255.79"/>
        <n v="1166643.31"/>
        <n v="563356.47"/>
        <n v="2277801.44"/>
        <n v="43555.47"/>
        <n v="28372.0"/>
        <n v="499781.69999999995"/>
        <n v="762027.6"/>
        <n v="891636.0599999999"/>
        <n v="2447434.59"/>
        <n v="795024.2"/>
        <n v="105441.28000000001"/>
        <n v="60903.23"/>
        <n v="222673.92"/>
        <n v="10075.52"/>
        <n v="192337.98"/>
        <n v="54232.04"/>
        <n v="245111.23"/>
        <n v="364902.09"/>
        <n v="329542.08"/>
        <n v="1861479.7699999998"/>
        <n v="1500142.2"/>
        <n v="111595.14"/>
        <n v="784986.73"/>
        <n v="46979.43"/>
        <n v="32558.6"/>
        <n v="21394.67"/>
        <n v="83148.1"/>
        <n v="1059664.74"/>
        <n v="3074165.7600000002"/>
        <n v="775.04"/>
        <n v="2124513.12"/>
        <n v="239156.16999999998"/>
        <n v="99629.86"/>
        <n v="1815062.13"/>
        <n v="1296472.95"/>
        <n v="66155.2"/>
        <n v="279609.78"/>
        <n v="4268449.760000001"/>
        <n v="562716.67"/>
        <n v="124723.98"/>
        <n v="751377.76"/>
        <n v="274999.5"/>
        <n v="294661.51"/>
        <n v="815911.5599999999"/>
        <n v="352773.12000000005"/>
        <n v="798989.1200000001"/>
        <n v="313926.25"/>
        <n v="678246.87"/>
        <n v="1470330.66"/>
        <n v="432554.01"/>
        <n v="1015109.48"/>
        <n v="184259.04"/>
        <n v="37957.26"/>
        <n v="267417.48"/>
        <n v="167629.86000000002"/>
        <n v="2804336.3200000003"/>
        <n v="829896.48"/>
        <n v="1443797.4200000002"/>
        <n v="607918.01"/>
        <n v="42910.92"/>
        <n v="3904233.2600000002"/>
        <n v="4681593.28"/>
        <n v="4864587.2"/>
        <n v="102962.03"/>
        <n v="17323.68"/>
        <n v="1411350.3"/>
        <n v="3280021.86"/>
        <n v="68909.36"/>
        <n v="62985.84"/>
        <n v="3115245.46"/>
        <n v="671625.85"/>
        <n v="289243.68"/>
        <n v="794708.7"/>
        <n v="201688.53"/>
        <n v="2892721.08"/>
        <n v="37520.24"/>
        <n v="1011187.2"/>
        <n v="734896.26"/>
        <n v="461196.96"/>
        <n v="3289399.3600000003"/>
        <n v="1050811.1400000001"/>
        <n v="973769.65"/>
        <n v="99502.92"/>
        <n v="453717.58999999997"/>
        <n v="1090009.26"/>
        <n v="200318.79"/>
        <n v="92445.31999999999"/>
        <n v="675246.18"/>
        <n v="2141824.37"/>
        <n v="30391.239999999998"/>
        <n v="174061.12999999998"/>
        <n v="81177.6"/>
        <n v="722013.1799999999"/>
        <n v="79636.48000000001"/>
        <n v="979859.37"/>
        <n v="2978052.04"/>
        <n v="2000.46"/>
        <n v="301524.0"/>
        <n v="670964.84"/>
        <n v="143754.24000000002"/>
        <n v="239711.58000000002"/>
        <n v="421642.41000000003"/>
        <n v="224573.44000000003"/>
        <n v="487225.84"/>
        <n v="2842868.7800000003"/>
        <n v="419758.19"/>
        <n v="2319147.31"/>
        <n v="1917904.71"/>
        <n v="2095144.05"/>
        <n v="1418040.9"/>
        <n v="1158983.4"/>
        <n v="2517434.8"/>
        <n v="654375.0499999999"/>
        <n v="1086546.58"/>
        <n v="4863229.44"/>
        <n v="241060.09"/>
        <n v="3421156.89"/>
        <n v="521119.83"/>
        <n v="458014.41000000003"/>
        <n v="247987.92"/>
        <n v="488835.42000000004"/>
        <n v="123483.93000000001"/>
        <n v="3861517.3600000003"/>
        <n v="807582.72"/>
        <n v="296918.6"/>
        <n v="49491.84"/>
        <n v="2575014.96"/>
        <n v="199136.7"/>
        <n v="4596230.84"/>
        <n v="11923.16"/>
        <n v="59608.88"/>
        <n v="46101.04"/>
        <n v="4411296.12"/>
        <n v="320337.92000000004"/>
        <n v="344422.4"/>
        <n v="57126.63"/>
        <n v="2185043.92"/>
        <n v="254033.92"/>
        <n v="201802.91999999998"/>
        <n v="576181.2"/>
        <n v="806730.9600000001"/>
        <n v="36385.36"/>
        <n v="44882.64"/>
        <n v="150671.01"/>
        <n v="2007447.04"/>
        <n v="3458961.4400000004"/>
        <n v="106767.36000000002"/>
        <n v="5556.76"/>
        <n v="469970.16"/>
        <n v="822491.04"/>
        <n v="21576.56"/>
        <n v="340714.71"/>
        <n v="810603.36"/>
        <n v="2560441.3000000003"/>
        <n v="12006.2"/>
        <n v="706071.1799999999"/>
        <n v="2319428.4"/>
        <n v="59377.29"/>
        <n v="1972078.3699999999"/>
        <n v="869108.9400000001"/>
        <n v="1319019.97"/>
        <n v="3520906.72"/>
        <n v="2607898.19"/>
        <n v="65773.51"/>
        <n v="3021821.34"/>
        <n v="215716.62"/>
        <n v="232346.24"/>
        <n v="5226501.760000001"/>
        <n v="113617.45999999999"/>
        <n v="4343955.76"/>
        <n v="170227.68"/>
        <n v="158332.72"/>
        <n v="24391.26"/>
        <n v="544846.86"/>
        <n v="1790047.48"/>
        <n v="324511.81"/>
        <n v="282770.88"/>
        <n v="143760.33000000002"/>
        <n v="90887.61"/>
        <n v="616455.5299999999"/>
        <n v="605775.66"/>
        <n v="276003.84"/>
        <n v="662970.63"/>
        <n v="329226.24000000005"/>
        <n v="964051.1299999999"/>
        <n v="934157.28"/>
        <n v="698746.04"/>
        <n v="3889953.6"/>
        <n v="192890.88"/>
        <n v="697781.34"/>
        <n v="31050.04"/>
        <n v="54761.28"/>
        <n v="694114.6799999999"/>
        <n v="48495.36"/>
        <n v="51865.4"/>
        <n v="750167.8400000001"/>
        <n v="248781.30000000002"/>
        <n v="161530.88"/>
        <n v="910089.6"/>
        <n v="5003.16"/>
        <n v="1098810.97"/>
        <n v="24065.03"/>
        <n v="4726388.7"/>
        <n v="876656.1300000001"/>
        <n v="1421591.6800000002"/>
        <n v="1202075.68"/>
        <n v="275972.55000000005"/>
        <n v="315452.17"/>
        <n v="293207.04000000004"/>
        <n v="361441.26"/>
        <n v="311911.68"/>
        <n v="2326722.2"/>
        <n v="4600749.44"/>
        <n v="413632.52"/>
        <n v="203898.18"/>
        <n v="2470562.06"/>
        <n v="265718.88"/>
        <n v="45492.08"/>
        <n v="1773966.2000000002"/>
        <n v="118096.90000000001"/>
        <n v="228229.12000000002"/>
        <n v="517406.39999999997"/>
        <n v="660060.87"/>
        <n v="1108715.52"/>
        <n v="404911.29000000004"/>
        <n v="141703.1"/>
        <n v="162828.38"/>
        <n v="2073197.0899999999"/>
        <n v="65006.479999999996"/>
        <n v="48135.52"/>
        <n v="193217.03999999998"/>
        <n v="245347.37999999998"/>
        <n v="5248025.12"/>
        <n v="539669.55"/>
        <n v="1019673.24"/>
        <n v="1114675.89"/>
        <n v="316861.44"/>
        <n v="2695059.1"/>
        <n v="19640.320000000003"/>
        <n v="737403.18"/>
        <n v="621667.2"/>
        <n v="938444.64"/>
        <n v="2891615.16"/>
        <n v="252380.81"/>
        <n v="466640.16"/>
        <n v="365351.49"/>
        <n v="396311.64999999997"/>
        <n v="57505.2"/>
        <n v="787916.08"/>
        <n v="257290.67"/>
        <n v="1910154.54"/>
        <n v="281341.5"/>
        <n v="2476609.79"/>
        <n v="276096.14999999997"/>
        <n v="78394.14"/>
        <n v="171379.88999999998"/>
        <n v="171214.82"/>
        <n v="1134963.52"/>
        <n v="114078.72000000002"/>
        <n v="875927.2200000001"/>
        <n v="9123.87"/>
        <n v="87565.59000000001"/>
        <n v="1807497.1199999999"/>
        <n v="593863.8300000001"/>
        <n v="399728.28"/>
        <n v="1180771.72"/>
        <n v="103463.57999999999"/>
        <n v="958662.46"/>
        <n v="769085.9400000001"/>
        <n v="238313.65"/>
        <n v="565407.08"/>
        <n v="43077.0"/>
        <n v="478733.93999999994"/>
        <n v="3274186.82"/>
        <n v="1805390.48"/>
        <n v="63470.24"/>
        <n v="493477.11000000004"/>
        <n v="212503.41"/>
        <n v="22186.920000000002"/>
        <n v="2312973.7600000002"/>
        <n v="552466.34"/>
        <n v="292904.64"/>
        <n v="1642928.45"/>
        <n v="5017861.9"/>
        <n v="595125.7999999999"/>
        <n v="1522384.0"/>
        <n v="86016.00000000001"/>
        <n v="1516016.33"/>
        <n v="32648.329999999998"/>
        <n v="1232794.8599999999"/>
        <n v="1911249.14"/>
        <n v="1044519.84"/>
        <n v="1941814.56"/>
        <n v="1391172.39"/>
        <n v="19389.84"/>
        <n v="803156.5"/>
        <n v="71972.56"/>
        <n v="143225.53"/>
        <n v="3778095.72"/>
        <n v="87668.49"/>
        <n v="1306101.46"/>
        <n v="1336926.41"/>
        <n v="2950412.3400000003"/>
        <n v="131388.07"/>
        <n v="794389.86"/>
        <n v="374305.35000000003"/>
        <n v="255467.52000000002"/>
        <n v="260285.31"/>
        <n v="2388070.08"/>
        <n v="806458.17"/>
        <n v="16662.239999999998"/>
        <n v="265033.23"/>
        <n v="1299591.8399999999"/>
        <n v="2697611.93"/>
        <n v="1538777.48"/>
        <n v="410004.81"/>
        <n v="141093.12"/>
        <n v="3246470.38"/>
        <n v="830372.76"/>
        <n v="1681585.59"/>
        <n v="704496.3200000001"/>
        <n v="38447.52"/>
        <n v="1473997.3199999998"/>
        <n v="129130.2"/>
        <n v="232783.71999999997"/>
        <n v="70894.17"/>
        <n v="5855.5"/>
        <n v="5087387.36"/>
        <n v="3540330.24"/>
        <n v="723894.1699999999"/>
        <n v="39896.45"/>
        <n v="1426316.32"/>
        <n v="394423.2"/>
        <n v="851430.72"/>
        <n v="14655.19"/>
        <n v="3977621.9200000004"/>
        <n v="315456.85"/>
        <n v="3569221.03"/>
        <n v="1625716.9000000001"/>
        <n v="212993.0"/>
        <n v="2876255.8400000003"/>
        <n v="1737747.85"/>
        <n v="2278851.3600000003"/>
        <n v="807581.78"/>
        <n v="88058.88"/>
        <n v="40080.64"/>
        <n v="307051.94"/>
        <n v="75565.07999999999"/>
        <n v="3513759.68"/>
        <n v="2981569.8200000003"/>
        <n v="266495.57"/>
        <n v="41035.6"/>
        <n v="60538.54"/>
        <n v="35731.96"/>
        <n v="2818324.32"/>
        <n v="348973.86"/>
        <n v="90058.86"/>
        <n v="139748.84"/>
        <n v="31603.64"/>
        <n v="1244591.94"/>
        <n v="98022.40000000001"/>
        <n v="2083566.2400000002"/>
        <n v="830578.5599999999"/>
        <n v="3917251.5200000005"/>
        <n v="248883.91"/>
        <n v="611053.4400000001"/>
        <n v="101727.36"/>
        <n v="2039994.56"/>
        <n v="2786960.98"/>
        <n v="194826.24000000002"/>
        <n v="4962446.88"/>
        <n v="181587.21000000002"/>
        <n v="46346.079999999994"/>
        <n v="170746.38"/>
        <n v="6802.36"/>
        <n v="3640902.3000000003"/>
        <n v="770795.7"/>
        <n v="1099402.75"/>
        <n v="694977.9900000001"/>
        <n v="157583.03"/>
        <n v="1165244.5"/>
        <n v="1908754.56"/>
        <n v="66542.72"/>
        <n v="67961.31999999999"/>
        <n v="2158252.6799999997"/>
        <n v="302887.83"/>
        <n v="3103147.21"/>
        <n v="3624848.8000000003"/>
        <n v="21237.48"/>
        <n v="1081393.74"/>
        <n v="4679149.94"/>
        <n v="1036072.17"/>
        <n v="212961.21"/>
        <n v="177694.72000000003"/>
        <n v="337254.4"/>
        <n v="1582025.22"/>
        <n v="985644.19"/>
        <n v="595621.46"/>
        <n v="2280174.4699999997"/>
        <n v="10077.43"/>
        <n v="53574.64"/>
        <n v="445992.9"/>
        <n v="653889.17"/>
        <n v="4476.61"/>
        <n v="499941.11999999994"/>
        <n v="805094.2200000001"/>
        <n v="141137.92"/>
        <n v="603502.41"/>
        <n v="2988269.86"/>
        <n v="415844.46"/>
        <n v="314049.12"/>
        <n v="33223.68"/>
        <n v="29195.48"/>
        <n v="231213.46"/>
        <n v="185086.62"/>
        <n v="278288.64"/>
        <n v="207724.25999999998"/>
        <n v="780724.9800000001"/>
        <n v="240128.00000000003"/>
        <n v="3082580.3600000003"/>
        <n v="90711.04000000001"/>
        <n v="734350.68"/>
        <n v="1004248.4800000001"/>
        <n v="188165.01"/>
        <n v="315033.60000000003"/>
        <n v="1188954.3599999999"/>
        <n v="240691.71000000002"/>
        <n v="520905.27999999997"/>
        <n v="400064.93"/>
        <n v="217825.08"/>
        <n v="1585672.1199999999"/>
        <n v="216067.95"/>
        <n v="1763276.15"/>
        <n v="122105.39"/>
        <n v="290232.32"/>
        <n v="289511.52999999997"/>
        <n v="242660.94"/>
        <n v="66473.91"/>
        <n v="684066.39"/>
        <n v="332416.00000000006"/>
        <n v="253603.77000000002"/>
        <n v="314657.42"/>
        <n v="149254.05"/>
        <n v="221863.05000000002"/>
        <n v="367902.78"/>
        <n v="804093.9900000001"/>
        <n v="254392.32000000004"/>
        <n v="341606.76"/>
        <n v="896125.72"/>
        <n v="901752.81"/>
        <n v="386432.73000000004"/>
        <n v="764514.24"/>
        <n v="705889.5900000001"/>
        <n v="531663.27"/>
        <n v="471219.83999999997"/>
        <n v="436173.11999999994"/>
        <n v="3525093.54"/>
        <n v="189818.09"/>
        <n v="581568.26"/>
        <n v="865072.32"/>
        <n v="231145.09"/>
        <n v="176116.6"/>
        <n v="2360638.37"/>
        <n v="391806.24"/>
        <n v="182633.55"/>
        <n v="2425269.3"/>
        <n v="732164.16"/>
        <n v="76490.4"/>
        <n v="4096203.54"/>
        <n v="891932.3700000001"/>
        <n v="151082.22"/>
        <n v="1001954.7"/>
        <n v="684975.6900000001"/>
        <n v="46771.2"/>
        <n v="76238.61"/>
        <n v="230223.18"/>
        <n v="223797.21"/>
        <n v="802203.5"/>
        <n v="65470.12"/>
        <n v="2372308.45"/>
        <n v="113850.03"/>
        <n v="599410.56"/>
        <n v="628293.12"/>
        <n v="479110.17000000004"/>
        <n v="2431023.54"/>
        <n v="1548828.28"/>
        <n v="3601313.75"/>
        <n v="240214.12"/>
        <n v="533094.24"/>
        <n v="1084907.04"/>
        <n v="833737.17"/>
        <n v="560767.2"/>
        <n v="18724.31"/>
        <n v="24263.680000000004"/>
        <n v="10885.16"/>
        <n v="626780.49"/>
        <n v="3595976.0000000005"/>
        <n v="148586.46"/>
        <n v="93055.2"/>
        <n v="1369577.22"/>
        <n v="2161882.32"/>
        <n v="864215.82"/>
        <n v="555819.36"/>
        <n v="1874909.5999999999"/>
        <n v="131642.38999999998"/>
        <n v="748631.52"/>
        <n v="1161211.52"/>
        <n v="121946.44"/>
        <n v="669869.2"/>
        <n v="463885.68"/>
        <n v="812914.2000000001"/>
        <n v="657689.76"/>
        <n v="564829.89"/>
        <n v="603704.0"/>
        <n v="3780105.8800000004"/>
        <n v="200609.43"/>
        <n v="44025.04"/>
        <n v="193034.24000000002"/>
        <n v="3279576.04"/>
        <n v="571890.52"/>
        <n v="22344.68"/>
        <n v="677792.2200000001"/>
        <n v="493142.34"/>
        <n v="187751.74"/>
        <n v="32759.28"/>
        <n v="165053.68"/>
        <n v="91507.07999999999"/>
        <n v="545093.1"/>
        <n v="2756934.44"/>
      </sharedItems>
    </cacheField>
    <cacheField name="lucro_total" numFmtId="164">
      <sharedItems containsSemiMixedTypes="0" containsString="0" containsNumber="1">
        <n v="57583.5"/>
        <n v="176559.86999999997"/>
        <n v="777770.8899999997"/>
        <n v="85998.23999999999"/>
        <n v="119767.68000000005"/>
        <n v="280275.0"/>
        <n v="16142.180000000008"/>
        <n v="278971.47"/>
        <n v="502977.4199999999"/>
        <n v="648035.85"/>
        <n v="629111.0799999998"/>
        <n v="66466.40000000002"/>
        <n v="17568.899999999994"/>
        <n v="678305.3600000001"/>
        <n v="702527.0399999999"/>
        <n v="871408.3399999994"/>
        <n v="865136.5"/>
        <n v="360443.51999999996"/>
        <n v="467413.3600000001"/>
        <n v="520691.6000000001"/>
        <n v="7266.1500000000015"/>
        <n v="46587.96000000001"/>
        <n v="2777.5"/>
        <n v="578117.75"/>
        <n v="15301.089999999997"/>
        <n v="931219.9999999995"/>
        <n v="16419.33"/>
        <n v="181576.02000000008"/>
        <n v="262226.4"/>
        <n v="110996.82000000004"/>
        <n v="13006.140000000003"/>
        <n v="94501.26000000001"/>
        <n v="21367.059999999998"/>
        <n v="19557.149999999994"/>
        <n v="82089.72000000003"/>
        <n v="63282.06000000001"/>
        <n v="25102.98000000001"/>
        <n v="119313.54000000007"/>
        <n v="268120.42000000004"/>
        <n v="735474.1799999999"/>
        <n v="80461.08000000002"/>
        <n v="532266.4200000003"/>
        <n v="216779.72999999998"/>
        <n v="552345.3200000002"/>
        <n v="409145.5299999999"/>
        <n v="21747.839999999997"/>
        <n v="759019.4800000002"/>
        <n v="955532.4800000002"/>
        <n v="637066.1199999999"/>
        <n v="65650.0"/>
        <n v="44458.74000000002"/>
        <n v="46987.5"/>
        <n v="331.4599999999999"/>
        <n v="275499.31999999995"/>
        <n v="247702.5"/>
        <n v="199327.24000000005"/>
        <n v="30197.300000000003"/>
        <n v="1597517.56"/>
        <n v="208449.08000000002"/>
        <n v="520569.98"/>
        <n v="467078.4"/>
        <n v="141159.24000000005"/>
        <n v="194589.06000000006"/>
        <n v="1262.5"/>
        <n v="659491.2"/>
        <n v="282538.75"/>
        <n v="188127.39999999997"/>
        <n v="802062.3099999998"/>
        <n v="148229.90000000002"/>
        <n v="4409.5599999999995"/>
        <n v="315938.88"/>
        <n v="507962.44999999995"/>
        <n v="2140.080000000001"/>
        <n v="350021.76"/>
        <n v="1404230.29"/>
        <n v="477145.74"/>
        <n v="146186.50000000003"/>
        <n v="157307.5"/>
        <n v="441846.8699999999"/>
        <n v="875609.3199999998"/>
        <n v="716170.53"/>
        <n v="10731.25"/>
        <n v="389465.5"/>
        <n v="500581.25000000023"/>
        <n v="970368.4699999997"/>
        <n v="543430.3400000001"/>
        <n v="39525.19999999998"/>
        <n v="624460.32"/>
        <n v="252.5"/>
        <n v="8348.239999999998"/>
        <n v="436587.56999999995"/>
        <n v="18041.260000000002"/>
        <n v="706492.8"/>
        <n v="627116.1200000001"/>
        <n v="217472.16000000003"/>
        <n v="22396.130000000005"/>
        <n v="512454.7999999998"/>
        <n v="969473.7499999995"/>
        <n v="218823.91999999998"/>
        <n v="86239.51999999999"/>
        <n v="119490.79999999993"/>
        <n v="195791.03999999998"/>
        <n v="40684.68000000001"/>
        <n v="443766.7200000001"/>
        <n v="571786.25"/>
        <n v="396052.7999999998"/>
        <n v="131384.16"/>
        <n v="1048758.75"/>
        <n v="1005202.5"/>
        <n v="770618.54"/>
        <n v="207464.40000000014"/>
        <n v="106392.0"/>
        <n v="15527.630000000005"/>
        <n v="717729.1199999999"/>
        <n v="342577.5299999999"/>
        <n v="104008.1"/>
        <n v="1056781.86"/>
        <n v="1552890.0999999996"/>
        <n v="543942.6"/>
        <n v="368375.0399999999"/>
        <n v="35178.0"/>
        <n v="292844.91000000003"/>
        <n v="246895.40000000002"/>
        <n v="12528.0"/>
        <n v="425496.19999999995"/>
        <n v="993840.0"/>
        <n v="130.14"/>
        <n v="552343.75"/>
        <n v="163104.12"/>
        <n v="338351.01999999996"/>
        <n v="315865.44"/>
        <n v="50901.66"/>
        <n v="515077.6699999999"/>
        <n v="1269160.3399999999"/>
        <n v="120187.76000000001"/>
        <n v="21046.53"/>
        <n v="246901.43"/>
        <n v="924402.5"/>
        <n v="214555.57999999996"/>
        <n v="16686.839999999997"/>
        <n v="642600.0"/>
        <n v="31436.25"/>
        <n v="308673.7200000001"/>
        <n v="26120.880000000005"/>
        <n v="360516.95999999996"/>
        <n v="90765.36000000002"/>
        <n v="756.7399999999998"/>
        <n v="138794.58000000002"/>
        <n v="312792.12999999995"/>
        <n v="11932.559999999998"/>
        <n v="24805.199999999997"/>
        <n v="43654.520000000004"/>
        <n v="75825.26000000002"/>
        <n v="108309.31999999998"/>
        <n v="588326.19"/>
        <n v="58999.879999999976"/>
        <n v="112320.18000000002"/>
        <n v="34663.20000000001"/>
        <n v="796309.02"/>
        <n v="193406.90999999992"/>
        <n v="428113.75000000023"/>
        <n v="347492.28"/>
        <n v="1574045.1100000003"/>
        <n v="182613.30000000005"/>
        <n v="348247.29"/>
        <n v="389607.5"/>
        <n v="52587.28999999999"/>
        <n v="1358098.5699999998"/>
        <n v="212816.87999999995"/>
        <n v="1112893.75"/>
        <n v="204022.76999999996"/>
        <n v="1449554.19"/>
        <n v="279218.88"/>
        <n v="576710.0"/>
        <n v="23269.08"/>
        <n v="753333.75"/>
        <n v="140266.62000000005"/>
        <n v="102845.59999999998"/>
        <n v="333707.28"/>
        <n v="152076.12"/>
        <n v="48491.10000000002"/>
        <n v="316660.0799999999"/>
        <n v="28314.0"/>
        <n v="0.0"/>
        <n v="963666.2500000005"/>
        <n v="128756.52000000002"/>
        <n v="623952.7400000001"/>
        <n v="536364.3999999999"/>
        <n v="133239.36"/>
        <n v="275767.2"/>
        <n v="655011.3800000001"/>
        <n v="136038.42000000004"/>
        <n v="16390.410000000003"/>
        <n v="873397.5"/>
        <n v="281669.4"/>
        <n v="359215.99999999953"/>
        <n v="12120.96"/>
        <n v="23994.059999999998"/>
        <n v="124168.14000000004"/>
        <n v="463479.83999999997"/>
        <n v="22986.719999999998"/>
        <n v="299404.1400000001"/>
        <n v="149985.64999999997"/>
        <n v="1144708.75"/>
        <n v="629087.04"/>
        <n v="1528665.04"/>
        <n v="664852.32"/>
        <n v="1141805.0"/>
        <n v="140063.04000000004"/>
        <n v="216794.05999999994"/>
        <n v="1085371.25"/>
        <n v="1041941.25"/>
        <n v="381841.9199999999"/>
        <n v="27953.1"/>
        <n v="1479.7399999999998"/>
        <n v="1118322.5"/>
        <n v="62101.58999999998"/>
        <n v="77642.28"/>
        <n v="136852.74000000005"/>
        <n v="96506.06000000003"/>
        <n v="383209.48"/>
        <n v="44287.32000000001"/>
        <n v="12355.740000000005"/>
        <n v="14700.399999999994"/>
        <n v="110740.13999999998"/>
        <n v="767983.79"/>
        <n v="1107843.75"/>
        <n v="323162.47"/>
        <n v="7249.279999999999"/>
        <n v="9033.119999999999"/>
        <n v="29890.079999999998"/>
        <n v="405204.7999999998"/>
        <n v="656700.48"/>
        <n v="218409.54000000004"/>
        <n v="147049.24000000005"/>
        <n v="55561.68000000001"/>
        <n v="1218060.0"/>
        <n v="168948.96000000008"/>
        <n v="386451.25"/>
        <n v="581002.5"/>
        <n v="148292.37"/>
        <n v="918381.3400000001"/>
        <n v="734106.2400000001"/>
        <n v="680155.9199999999"/>
        <n v="7478.230000000003"/>
        <n v="138055.53999999998"/>
        <n v="7331.220000000001"/>
        <n v="592220.16"/>
        <n v="828326.26"/>
        <n v="115946.64000000004"/>
        <n v="706621.25"/>
        <n v="13154.400000000001"/>
        <n v="204289.12000000005"/>
        <n v="13700.850000000006"/>
        <n v="524875.68"/>
        <n v="346885.74"/>
        <n v="268476.66000000003"/>
        <n v="1539966.5899999999"/>
        <n v="1013438.9499999997"/>
        <n v="534810.71"/>
        <n v="842340.0"/>
        <n v="63078.48000000001"/>
        <n v="363482.8800000001"/>
        <n v="13594.809999999998"/>
        <n v="94036.80000000005"/>
        <n v="348778.8299999999"/>
        <n v="177149.13999999996"/>
        <n v="237984.24000000005"/>
        <n v="397530.72"/>
        <n v="488598.4199999999"/>
        <n v="17062.799999999996"/>
        <n v="114546.86999999997"/>
        <n v="897920.6200000003"/>
        <n v="152572.38000000006"/>
        <n v="355777.43999999994"/>
        <n v="750180.1199999999"/>
        <n v="158031.24000000005"/>
        <n v="71583.75"/>
        <n v="496224.9800000001"/>
        <n v="464232.9"/>
        <n v="6376.129999999999"/>
        <n v="241202.5"/>
        <n v="1238302.1400000001"/>
        <n v="535089.88"/>
        <n v="84777.98000000001"/>
        <n v="1779.2599999999998"/>
        <n v="591552.0600000002"/>
        <n v="1089790.0"/>
        <n v="13327.599999999991"/>
        <n v="1700448.6"/>
        <n v="889638.6399999997"/>
        <n v="6519.050000000003"/>
        <n v="148848.3"/>
        <n v="172367.64"/>
        <n v="16359.080000000002"/>
        <n v="657924.0800000001"/>
        <n v="173314.96000000002"/>
        <n v="13662.289999999994"/>
        <n v="867724.7200000002"/>
        <n v="335893.44000000006"/>
        <n v="72662.62999999999"/>
        <n v="239928.47999999998"/>
        <n v="1530229.8699999996"/>
        <n v="20318.71"/>
        <n v="193445.47999999998"/>
        <n v="803210.9400000002"/>
        <n v="195092.10000000003"/>
        <n v="3511.369999999999"/>
        <n v="223795.84999999992"/>
        <n v="677004.7799999999"/>
        <n v="175244.58000000002"/>
        <n v="906260.4400000002"/>
        <n v="17764.110000000008"/>
        <n v="30768.120000000017"/>
        <n v="83185.92000000004"/>
        <n v="467192.8699999999"/>
        <n v="10852.23"/>
        <n v="83474.85999999999"/>
        <n v="5563.3200000000015"/>
        <n v="1567959.6600000001"/>
        <n v="14966.100000000006"/>
        <n v="112995.54000000001"/>
        <n v="50331.24000000002"/>
        <n v="652881.8500000001"/>
        <n v="81197.10000000003"/>
        <n v="3349.9000000000015"/>
        <n v="700940.0"/>
        <n v="948630.56"/>
        <n v="218795.52000000008"/>
        <n v="788831.9400000002"/>
        <n v="125123.4"/>
        <n v="624382.3199999998"/>
        <n v="24194.700000000004"/>
        <n v="971840.7199999997"/>
        <n v="80173.95"/>
        <n v="762671.3099999998"/>
        <n v="477800.64"/>
        <n v="1205962.3199999998"/>
        <n v="67087.44000000003"/>
        <n v="1195530.1199999999"/>
        <n v="453226.0800000002"/>
        <n v="693393.5599999998"/>
        <n v="1000278.75"/>
        <n v="396617.42999999993"/>
        <n v="1650895.6500000004"/>
        <n v="59831.20000000001"/>
        <n v="489624.48"/>
        <n v="46461.240000000005"/>
        <n v="1650374.04"/>
        <n v="1675063.58"/>
        <n v="1176776.25"/>
        <n v="127428.54000000001"/>
        <n v="717352.5"/>
        <n v="341371.74"/>
        <n v="647536.25"/>
        <n v="793733.75"/>
        <n v="53290.98000000001"/>
        <n v="209580.80000000005"/>
        <n v="349677.06999999995"/>
        <n v="731123.3500000001"/>
        <n v="201040.44000000006"/>
        <n v="342987.07999999996"/>
        <n v="495466.3999999999"/>
        <n v="783805.96"/>
        <n v="151093.03"/>
        <n v="18795.0"/>
        <n v="267098.16000000003"/>
        <n v="453051.36000000004"/>
        <n v="719995.6699999999"/>
        <n v="354636.25"/>
        <n v="58490.04000000001"/>
        <n v="6014.4"/>
        <n v="12515.130000000005"/>
        <n v="335220.29999999993"/>
        <n v="146467.98000000004"/>
        <n v="367135.0"/>
        <n v="25335.659999999996"/>
        <n v="693273.5999999999"/>
        <n v="238771.68000000005"/>
        <n v="309314.73"/>
        <n v="92002.5"/>
        <n v="630555.8399999999"/>
        <n v="229680.56000000006"/>
        <n v="271399.08"/>
        <n v="270626.39999999997"/>
        <n v="321322.7200000001"/>
        <n v="581553.5599999999"/>
        <n v="868587.4600000002"/>
        <n v="159550.58999999997"/>
        <n v="93748.04999999999"/>
        <n v="22205.739999999998"/>
        <n v="1089643.29"/>
        <n v="710610.1799999999"/>
        <n v="1561010.87"/>
        <n v="561181.25"/>
        <n v="430027.9600000001"/>
        <n v="52429.68000000001"/>
        <n v="179479.71999999997"/>
        <n v="4418.75"/>
        <n v="359635.68000000005"/>
        <n v="114713.28000000001"/>
        <n v="1565699.35"/>
        <n v="91861.56000000003"/>
        <n v="726688.8"/>
        <n v="289861.7699999999"/>
        <n v="508718.88"/>
        <n v="568911.1999999997"/>
        <n v="311053.42999999993"/>
        <n v="600754.6200000001"/>
        <n v="728084.1599999999"/>
        <n v="10811.259999999998"/>
        <n v="77986.72"/>
        <n v="580322.88"/>
        <n v="154626.09000000003"/>
        <n v="392163.55999999994"/>
        <n v="2431.6899999999996"/>
        <n v="236971.25000000012"/>
        <n v="497963.68000000005"/>
        <n v="1663762.0299999998"/>
        <n v="192535.9800000001"/>
        <n v="599798.13"/>
        <n v="126803.60000000003"/>
        <n v="185475.94"/>
        <n v="250574.93999999994"/>
        <n v="121473.42000000004"/>
        <n v="416244.7799999999"/>
        <n v="483158.74999999977"/>
        <n v="529059.4799999999"/>
        <n v="258110.34000000008"/>
        <n v="462616.97999999986"/>
        <n v="233896.65000000002"/>
        <n v="50230.53"/>
        <n v="76307.70000000001"/>
        <n v="15358.930000000008"/>
        <n v="421692.48"/>
        <n v="314892.44"/>
        <n v="1285401.88"/>
        <n v="17703.860000000008"/>
        <n v="72270.9"/>
        <n v="26388.18"/>
        <n v="548449.9199999999"/>
        <n v="168954.52000000002"/>
        <n v="13106.380000000001"/>
        <n v="136915.38000000006"/>
        <n v="640919.9600000002"/>
        <n v="410083.11"/>
        <n v="654532.0800000001"/>
        <n v="387744.45999999996"/>
        <n v="18484.700000000004"/>
        <n v="378977.2200000001"/>
        <n v="483878.57999999996"/>
        <n v="689053.0199999999"/>
        <n v="349045.76999999996"/>
        <n v="126822.0"/>
        <n v="494350.02"/>
        <n v="884020.9200000002"/>
        <n v="18055.18"/>
        <n v="395377.17"/>
        <n v="322089.25999999995"/>
        <n v="277014.44"/>
        <n v="610040.0"/>
        <n v="78162.14000000001"/>
        <n v="1172105.0"/>
        <n v="355269.2000000002"/>
        <n v="227587.7099999999"/>
        <n v="192103.44"/>
        <n v="510469.1799999998"/>
        <n v="17737.600000000006"/>
        <n v="100145.70000000001"/>
        <n v="675046.1200000001"/>
        <n v="120811.74000000002"/>
        <n v="435491.9800000001"/>
        <n v="274236.72"/>
        <n v="72129.96000000002"/>
        <n v="219402.06000000006"/>
        <n v="908123.0100000002"/>
        <n v="417674.3999999999"/>
        <n v="1242643.54"/>
        <n v="363162.7999999998"/>
        <n v="318924.0"/>
        <n v="125530.56000000003"/>
        <n v="18937.5"/>
        <n v="124575.30000000002"/>
        <n v="315511.0800000002"/>
        <n v="986391.25"/>
        <n v="335582.04000000015"/>
        <n v="222031.60000000003"/>
        <n v="226613.21999999997"/>
        <n v="675501.1200000001"/>
        <n v="65631.06000000003"/>
        <n v="103543.92000000004"/>
        <n v="834386.2500000005"/>
        <n v="67165.0"/>
        <n v="557427.22"/>
        <n v="85092.5"/>
        <n v="72724.12000000002"/>
        <n v="34436.34000000001"/>
        <n v="6091.740000000003"/>
        <n v="440497.1999999997"/>
        <n v="84770.40000000002"/>
        <n v="311816.70000000007"/>
        <n v="129735.62"/>
        <n v="64003.24000000002"/>
        <n v="146421.0"/>
        <n v="719705.1599999998"/>
        <n v="8492.84"/>
        <n v="67773.02"/>
        <n v="849223.74"/>
        <n v="453226.43999999994"/>
        <n v="55342.44000000002"/>
        <n v="533556.76"/>
        <n v="730165.6200000001"/>
        <n v="786223.1199999996"/>
        <n v="611536.7699999999"/>
        <n v="656626.25"/>
        <n v="99613.5"/>
        <n v="541196.31"/>
        <n v="365775.22"/>
        <n v="8531.399999999998"/>
        <n v="58072.57999999999"/>
        <n v="277534.40000000014"/>
        <n v="470785.32000000007"/>
        <n v="796689.8699999999"/>
        <n v="1043220.0"/>
        <n v="634401.4800000002"/>
        <n v="12787.460000000006"/>
        <n v="84594.19999999998"/>
        <n v="42080.25"/>
        <n v="347467.51999999996"/>
        <n v="162614.33999999997"/>
        <n v="684148.75"/>
        <n v="346918.0"/>
        <n v="355393.75"/>
        <n v="534019.2000000002"/>
        <n v="721729.9400000002"/>
        <n v="19687.290000000008"/>
        <n v="23055.200000000004"/>
        <n v="59049.760000000024"/>
        <n v="56227.59999999998"/>
        <n v="956759.29"/>
        <n v="353612.82000000007"/>
        <n v="352202.26999999996"/>
        <n v="4545.260000000002"/>
        <n v="30097.060000000012"/>
        <n v="202785.52000000002"/>
        <n v="405609.12000000005"/>
        <n v="666802.1599999999"/>
        <n v="1032598.75"/>
        <n v="340712.61000000004"/>
        <n v="19923.47"/>
        <n v="266380.3999999999"/>
        <n v="817597.1099999999"/>
        <n v="73962.18000000002"/>
        <n v="321331.7"/>
        <n v="463962.4"/>
        <n v="86071.68"/>
        <n v="3263.1399999999994"/>
        <n v="142352.1"/>
        <n v="8620.640000000003"/>
        <n v="10023.190000000002"/>
        <n v="409648.31999999995"/>
        <n v="115738.86000000004"/>
        <n v="43957.619999999995"/>
        <n v="67546.50000000003"/>
        <n v="660438.45"/>
        <n v="210556.56999999995"/>
        <n v="74823.48000000001"/>
        <n v="211782.05999999994"/>
        <n v="597974.6799999999"/>
        <n v="11823.460000000006"/>
        <n v="455814.29999999993"/>
        <n v="498906.7200000001"/>
        <n v="113040.84000000003"/>
        <n v="831873.0800000001"/>
        <n v="15450.509999999995"/>
        <n v="296422.13999999996"/>
        <n v="1229170.0"/>
        <n v="13509.300000000007"/>
        <n v="154645.26"/>
        <n v="1626901.5899999999"/>
        <n v="222154.46999999997"/>
        <n v="6080.43"/>
        <n v="19133.58"/>
        <n v="165526.86"/>
        <n v="318268.0800000002"/>
        <n v="547715.88"/>
        <n v="1210160.46"/>
        <n v="328225.95"/>
        <n v="91892.88000000003"/>
        <n v="452705.23"/>
        <n v="2060.5499999999993"/>
        <n v="34140.37999999999"/>
        <n v="205523.83999999997"/>
        <n v="458265.5999999999"/>
        <n v="263348.7999999998"/>
        <n v="1325411.0100000002"/>
        <n v="477162.3999999999"/>
        <n v="223923.54000000004"/>
        <n v="84957.80999999998"/>
        <n v="107250.0"/>
        <n v="451876.31999999995"/>
        <n v="192328.32000000007"/>
        <n v="483632.9400000002"/>
        <n v="120588.48000000001"/>
        <n v="633860.64"/>
        <n v="150284.82"/>
        <n v="77109.84000000003"/>
        <n v="128255.64000000001"/>
        <n v="17633.160000000003"/>
        <n v="737173.75"/>
        <n v="1161601.5699999994"/>
        <n v="143114.40000000002"/>
        <n v="593501.25"/>
        <n v="572611.6799999999"/>
        <n v="560171.25"/>
        <n v="455924.86"/>
        <n v="434891.6000000001"/>
        <n v="60929.700000000026"/>
        <n v="174182.22999999998"/>
        <n v="481395.1999999997"/>
        <n v="277371.25"/>
        <n v="453768.74"/>
        <n v="21771.940000000002"/>
        <n v="531549.6000000002"/>
        <n v="161647.19999999995"/>
        <n v="114812.64000000001"/>
        <n v="275975.7"/>
        <n v="361447.2"/>
        <n v="624533.76"/>
        <n v="1170337.5"/>
        <n v="752071.25"/>
        <n v="517958.7300000001"/>
        <n v="436527.3599999999"/>
        <n v="581277.5999999999"/>
        <n v="355611.2899999999"/>
        <n v="264751.2"/>
        <n v="217889.7800000001"/>
        <n v="181166.55"/>
        <n v="972.4000000000005"/>
        <n v="520060.74"/>
        <n v="751542.4000000001"/>
        <n v="544783.2000000002"/>
        <n v="1630726.73"/>
        <n v="554251.6799999999"/>
        <n v="4277.75"/>
        <n v="209212.82"/>
        <n v="169881.74000000005"/>
        <n v="87238.75"/>
        <n v="394372.79999999993"/>
        <n v="531160.26"/>
        <n v="500671.6000000001"/>
        <n v="399599.2000000002"/>
        <n v="1398595.4699999997"/>
        <n v="268912.5"/>
        <n v="17398.260000000002"/>
        <n v="74240.87999999999"/>
        <n v="159080.88"/>
        <n v="82710.00000000003"/>
        <n v="173244.95999999996"/>
        <n v="120808.8"/>
        <n v="1322107.48"/>
        <n v="1785.2400000000002"/>
        <n v="111940.40000000002"/>
        <n v="801967.4699999997"/>
        <n v="249672.78000000003"/>
        <n v="289353.6"/>
        <n v="375861.2000000002"/>
        <n v="96305.58000000002"/>
        <n v="575580.2899999998"/>
        <n v="128883.58000000002"/>
        <n v="183647.06999999998"/>
        <n v="84602.56000000003"/>
        <n v="21244.149999999994"/>
        <n v="329020.3800000001"/>
        <n v="578894.8899999999"/>
        <n v="583527.5"/>
        <n v="1229053.6800000002"/>
        <n v="1003056.0299999998"/>
        <n v="670732.4199999999"/>
        <n v="799258.98"/>
        <n v="558214.7999999998"/>
        <n v="210610.3999999999"/>
        <n v="144120.06000000006"/>
        <n v="352676.79"/>
        <n v="50988.96000000002"/>
        <n v="151573.14000000007"/>
        <n v="210917.33000000002"/>
        <n v="187013.48999999996"/>
        <n v="321847.47"/>
        <n v="187685.49"/>
        <n v="31059.96"/>
        <n v="123598.75000000006"/>
        <n v="236691.70000000007"/>
        <n v="73733.76"/>
        <n v="32879.979999999996"/>
        <n v="118718.46000000002"/>
        <n v="21473.100000000006"/>
        <n v="1605863.3199999998"/>
        <n v="500946.9"/>
        <n v="404413.35"/>
        <n v="687316.2000000002"/>
        <n v="917149.8199999994"/>
        <n v="68037.9"/>
        <n v="1362300.5999999992"/>
        <n v="384903.61"/>
        <n v="371812.2299999999"/>
        <n v="239977.03999999992"/>
        <n v="343393.25000000006"/>
        <n v="333817.56000000006"/>
        <n v="948895.0"/>
        <n v="840825.0000000005"/>
        <n v="218748.74000000005"/>
        <n v="1672455.5299999998"/>
        <n v="77560.70000000001"/>
        <n v="418074.7999999998"/>
        <n v="21996.070000000007"/>
        <n v="370509.97"/>
        <n v="11948.779999999999"/>
        <n v="663159.4800000002"/>
        <n v="447025.14"/>
        <n v="76098.80999999998"/>
        <n v="34874.82000000001"/>
        <n v="658646.25"/>
        <n v="386310.83999999997"/>
        <n v="225724.26"/>
        <n v="394105.93999999994"/>
        <n v="381275.0"/>
        <n v="1381918.7600000002"/>
        <n v="290036.4000000001"/>
        <n v="279835.5000000001"/>
        <n v="128109.28999999992"/>
        <n v="205892.76000000013"/>
        <n v="1232957.5"/>
        <n v="214564.97999999998"/>
        <n v="177916.16000000003"/>
        <n v="139634.32"/>
        <n v="191032.38"/>
        <n v="162514.10000000003"/>
        <n v="9832.800000000003"/>
        <n v="705796.5299999999"/>
        <n v="337897.92000000016"/>
        <n v="562256.64"/>
        <n v="92696.94"/>
        <n v="187448.8"/>
        <n v="547485.06"/>
        <n v="169530.90000000008"/>
        <n v="149693.94000000006"/>
        <n v="238821.80000000005"/>
        <n v="315172.0"/>
        <n v="732753.8400000001"/>
        <n v="310934.4600000001"/>
        <n v="70218.12000000002"/>
        <n v="23928.890000000014"/>
        <n v="15315.480000000007"/>
        <n v="22941.9"/>
        <n v="11139.020000000004"/>
        <n v="48420.72000000003"/>
        <n v="173759.04"/>
        <n v="901.3400000000001"/>
        <n v="351858.75"/>
        <n v="285072.5"/>
        <n v="233539.2"/>
        <n v="242806.34000000008"/>
        <n v="152094.80000000005"/>
        <n v="53352.740000000005"/>
        <n v="1188.1299999999997"/>
        <n v="177332.16999999995"/>
        <n v="726254.99"/>
        <n v="114255.36000000002"/>
        <n v="1230710.9799999995"/>
        <n v="27019.640000000007"/>
        <n v="315091.82"/>
        <n v="8632.619999999999"/>
        <n v="422822.3999999999"/>
        <n v="390821.2200000001"/>
        <n v="79567.02000000005"/>
        <n v="1449728.06"/>
        <n v="77018.6"/>
        <n v="19390.79999999999"/>
        <n v="347218.39"/>
        <n v="431256.12"/>
        <n v="391362.3999999999"/>
        <n v="804843.75"/>
        <n v="1236511.5299999998"/>
        <n v="237284.63999999998"/>
        <n v="3670.4300000000003"/>
        <n v="927558.75"/>
        <n v="278507.5"/>
        <n v="452409.74"/>
        <n v="65757.44"/>
        <n v="713175.8400000001"/>
        <n v="756470.0099999998"/>
        <n v="38316.740000000005"/>
        <n v="45727.81"/>
        <n v="182982.7999999998"/>
        <n v="249121.46000000008"/>
        <n v="547798.75"/>
        <n v="30239.270000000004"/>
        <n v="9881.0"/>
        <n v="300521.1000000001"/>
        <n v="458210.79999999993"/>
        <n v="536144.9800000001"/>
        <n v="383869.2000000002"/>
        <n v="124696.0"/>
        <n v="216060.47999999998"/>
        <n v="9552.400000000001"/>
        <n v="456282.72"/>
        <n v="3508.959999999999"/>
        <n v="85053.63999999998"/>
        <n v="18887.170000000006"/>
        <n v="185418.86999999997"/>
        <n v="253340.69"/>
        <n v="186483.48000000004"/>
        <n v="1229087.03"/>
        <n v="902042.5999999999"/>
        <n v="17503.199999999997"/>
        <n v="518306.47"/>
        <n v="20774.739999999998"/>
        <n v="11339.050000000003"/>
        <n v="10539.180000000004"/>
        <n v="62898.899999999994"/>
        <n v="637181.4199999999"/>
        <n v="739320.0"/>
        <n v="269.9200000000001"/>
        <n v="510933.75"/>
        <n v="117810.18000000005"/>
        <n v="49078.44000000002"/>
        <n v="284684.3999999999"/>
        <n v="203346.0"/>
        <n v="23039.600000000006"/>
        <n v="123646.03999999998"/>
        <n v="1026538.75"/>
        <n v="88259.59999999998"/>
        <n v="19562.40000000001"/>
        <n v="568393.44"/>
        <n v="165358.5"/>
        <n v="145152.54000000004"/>
        <n v="490611.4800000001"/>
        <n v="722869.9199999999"/>
        <n v="192152.5"/>
        <n v="154642.5"/>
        <n v="470886.67000000004"/>
        <n v="884116.78"/>
        <n v="300309.41000000003"/>
        <n v="767898.1199999999"/>
        <n v="104269.74000000002"/>
        <n v="18698.04"/>
        <n v="131731.92000000004"/>
        <n v="74127.48000000001"/>
        <n v="674427.5"/>
        <n v="469627.3800000001"/>
        <n v="476142.2899999998"/>
        <n v="459870.68999999994"/>
        <n v="14944.410000000003"/>
        <n v="1287556.3699999996"/>
        <n v="1125897.5"/>
        <n v="1604266.3999999994"/>
        <n v="67983.16999999998"/>
        <n v="4166.25"/>
        <n v="221364.0"/>
        <n v="514456.7999999998"/>
        <n v="23998.78"/>
        <n v="21935.820000000007"/>
        <n v="1027360.27"/>
        <n v="508063.65"/>
        <n v="127906.24000000005"/>
        <n v="477862.1000000001"/>
        <n v="89188.54000000001"/>
        <n v="453710.3999999999"/>
        <n v="13067.020000000004"/>
        <n v="667660.8"/>
        <n v="510216.6599999999"/>
        <n v="320195.36000000004"/>
        <n v="791082.5"/>
        <n v="346541.42999999993"/>
        <n v="736625.85"/>
        <n v="32814.53999999999"/>
        <n v="299578.01"/>
        <n v="359468.3699999999"/>
        <n v="139075.38999999998"/>
        <n v="45539.28000000001"/>
        <n v="468803.38"/>
        <n v="335935.5999999996"/>
        <n v="14970.960000000006"/>
        <n v="114928.07000000004"/>
        <n v="166341.6"/>
        <n v="434149.9400000002"/>
        <n v="163183.68"/>
        <n v="741232.5299999999"/>
        <n v="982115.98"/>
        <n v="1388.8600000000001"/>
        <n v="99438.0"/>
        <n v="443020.7599999999"/>
        <n v="294567.83999999997"/>
        <n v="79053.20999999996"/>
        <n v="292733.80999999994"/>
        <n v="460175.0399999999"/>
        <n v="76419.20000000001"/>
        <n v="937534.6099999994"/>
        <n v="65837.19999999995"/>
        <n v="1531273.0899999999"/>
        <n v="300814.7999999998"/>
        <n v="328613.99999999977"/>
        <n v="852674.7000000002"/>
        <n v="696902.2000000002"/>
        <n v="1662197.2000000002"/>
        <n v="432066.95000000007"/>
        <n v="821938.0199999998"/>
        <n v="1169580.0"/>
        <n v="37809.19999999998"/>
        <n v="536593.1999999997"/>
        <n v="361798.02999999997"/>
        <n v="317985.80999999994"/>
        <n v="109662.56000000003"/>
        <n v="216167.55999999994"/>
        <n v="54605.740000000005"/>
        <n v="1273469.3199999994"/>
        <n v="457000.32000000007"/>
        <n v="146264.40000000002"/>
        <n v="17236.320000000007"/>
        <n v="849200.52"/>
        <n v="138254.7"/>
        <n v="1515766.58"/>
        <n v="4152.43"/>
        <n v="20759.739999999998"/>
        <n v="16055.419999999998"/>
        <n v="1454777.9399999995"/>
        <n v="656406.72"/>
        <n v="705758.4"/>
        <n v="28141.02000000001"/>
        <n v="720594.04"/>
        <n v="520542.72"/>
        <n v="99409.68000000005"/>
        <n v="435862.80000000005"/>
        <n v="560089.36"/>
        <n v="12671.779999999999"/>
        <n v="19847.520000000004"/>
        <n v="104606.41"/>
        <n v="482780.0"/>
        <n v="831861.25"/>
        <n v="218777.75999999998"/>
        <n v="1935.2299999999996"/>
        <n v="282595.2800000001"/>
        <n v="465436.74"/>
        <n v="7514.379999999997"/>
        <n v="236548.11000000004"/>
        <n v="458709.66000000003"/>
        <n v="844394.3499999996"/>
        <n v="4181.3499999999985"/>
        <n v="424563.9400000002"/>
        <n v="363792.0"/>
        <n v="41223.89000000001"/>
        <n v="1302112.43"/>
        <n v="603396.5399999999"/>
        <n v="870914.8299999998"/>
        <n v="846758.7500000005"/>
        <n v="409037.2000000002"/>
        <n v="32400.540000000008"/>
        <n v="473959.2000000002"/>
        <n v="163182.77999999997"/>
        <n v="175762.56"/>
        <n v="1256945.0"/>
        <n v="55968.840000000026"/>
        <n v="1432570.12"/>
        <n v="96329.58000000002"/>
        <n v="119773.67999999996"/>
        <n v="14666.580000000005"/>
        <n v="85456.80000000005"/>
        <n v="590330.2599999998"/>
        <n v="245482.88999999996"/>
        <n v="160016.28000000003"/>
        <n v="99808.53"/>
        <n v="44771.94000000002"/>
        <n v="407029.67000000004"/>
        <n v="420572.05999999994"/>
        <n v="565561.44"/>
        <n v="460280.82999999996"/>
        <n v="674619.8399999999"/>
        <n v="636538.0700000001"/>
        <n v="528627.1800000002"/>
        <n v="109595.19999999995"/>
        <n v="935512.5000000005"/>
        <n v="395254.07999999996"/>
        <n v="419579.2200000001"/>
        <n v="10813.669999999998"/>
        <n v="30988.680000000008"/>
        <n v="417374.4400000002"/>
        <n v="16889.28"/>
        <n v="18062.950000000004"/>
        <n v="180411.25"/>
        <n v="110013.4"/>
        <n v="330994.08"/>
        <n v="515007.6000000002"/>
        <n v="1742.4300000000003"/>
        <n v="172343.6000000001"/>
        <n v="11854.620000000003"/>
        <n v="1558690.6499999994"/>
        <n v="608636.3299999998"/>
        <n v="341885.0"/>
        <n v="396426.1599999999"/>
        <n v="191599.55"/>
        <n v="155394.18000000005"/>
        <n v="600812.64"/>
        <n v="159832.68"/>
        <n v="137930.24000000005"/>
        <n v="364935.99999999953"/>
        <n v="1106455.0"/>
        <n v="312899.8799999999"/>
        <n v="122604.94"/>
        <n v="1631248.3399999999"/>
        <n v="150366.78000000003"/>
        <n v="15843.339999999997"/>
        <n v="585026.8999999999"/>
        <n v="38946.549999999974"/>
        <n v="467665.92000000004"/>
        <n v="292793.4000000001"/>
        <n v="458260.67000000004"/>
        <n v="266640.0"/>
        <n v="281117.89"/>
        <n v="107193.9"/>
        <n v="80210.52000000002"/>
        <n v="1368878.5100000002"/>
        <n v="22639.540000000008"/>
        <n v="16763.960000000006"/>
        <n v="116182.32"/>
        <n v="147528.54"/>
        <n v="1262121.25"/>
        <n v="374676.54999999993"/>
        <n v="159931.19999999995"/>
        <n v="735991.71"/>
        <n v="649283.04"/>
        <n v="422708.0"/>
        <n v="40245.119999999995"/>
        <n v="115658.3999999999"/>
        <n v="351793.20000000007"/>
        <n v="531053.3400000002"/>
        <n v="953610.4199999999"/>
        <n v="124324.74000000005"/>
        <n v="264065.46000000014"/>
        <n v="161561.82000000007"/>
        <n v="261674.35000000003"/>
        <n v="20027.100000000006"/>
        <n v="596033.5199999999"/>
        <n v="194632.22999999995"/>
        <n v="629939.73"/>
        <n v="138591.0"/>
        <n v="388445.1999999997"/>
        <n v="136007.10000000003"/>
        <n v="38617.56000000001"/>
        <n v="84423.06000000003"/>
        <n v="129518.57999999996"/>
        <n v="272952.5"/>
        <n v="233759.51999999996"/>
        <n v="288867.3899999998"/>
        <n v="4034.66"/>
        <n v="60794.18999999999"/>
        <n v="1193443.68"/>
        <n v="412302.0299999999"/>
        <n v="277519.48"/>
        <n v="779633.0800000001"/>
        <n v="62213.140000000014"/>
        <n v="725197.74"/>
        <n v="533953.5399999999"/>
        <n v="157352.35"/>
        <n v="427712.52"/>
        <n v="15002.25"/>
        <n v="316095.66000000003"/>
        <n v="513541.6000000001"/>
        <n v="1192052.7199999997"/>
        <n v="22104.519999999997"/>
        <n v="342606.50999999995"/>
        <n v="147534.81000000003"/>
        <n v="15403.719999999998"/>
        <n v="556257.5"/>
        <n v="364779.26"/>
        <n v="165750.84000000003"/>
        <n v="257686.0"/>
        <n v="1654814.0499999998"/>
        <n v="392946.20000000007"/>
        <n v="366125.0"/>
        <n v="176256.0"/>
        <n v="237780.3999999999"/>
        <n v="16082.820000000003"/>
        <n v="741285.3800000001"/>
        <n v="1261948.4600000002"/>
        <n v="628074.7200000001"/>
        <n v="640380.7199999997"/>
        <n v="918555.2100000002"/>
        <n v="6752.82"/>
        <n v="530303.5"/>
        <n v="35454.240000000005"/>
        <n v="108345.56999999998"/>
        <n v="1245958.1399999992"/>
        <n v="38767.82000000001"/>
        <n v="430732.27"/>
        <n v="882737.99"/>
        <n v="973000.8299999996"/>
        <n v="64722.78"/>
        <n v="477670.38"/>
        <n v="165521.3"/>
        <n v="523480.31999999995"/>
        <n v="115100.58000000002"/>
        <n v="787548.96"/>
        <n v="559899.9700000001"/>
        <n v="9428.940000000006"/>
        <n v="130557.42000000004"/>
        <n v="781450.7200000002"/>
        <n v="423108.3999999999"/>
        <n v="507465.26"/>
        <n v="270715.59"/>
        <n v="79842.72000000003"/>
        <n v="509194.3999999999"/>
        <n v="576503.1599999999"/>
        <n v="263749.19999999995"/>
        <n v="169427.5"/>
        <n v="13389.960000000006"/>
        <n v="886321.56"/>
        <n v="77646.59999999999"/>
        <n v="153701.08000000002"/>
        <n v="31350.060000000012"/>
        <n v="4429.5"/>
        <n v="1223488.75"/>
        <n v="851430.0"/>
        <n v="477968.6300000001"/>
        <n v="19653.300000000003"/>
        <n v="343021.25"/>
        <n v="174417.60000000003"/>
        <n v="481813.32000000007"/>
        <n v="7219.26"/>
        <n v="956596.2499999995"/>
        <n v="49478.0"/>
        <n v="559816.3999999999"/>
        <n v="536136.5499999996"/>
        <n v="104922.0"/>
        <n v="691723.75"/>
        <n v="272557.99999999977"/>
        <n v="548051.25"/>
        <n v="266328.10999999987"/>
        <n v="180442.08000000002"/>
        <n v="13958.720000000001"/>
        <n v="101261.02999999997"/>
        <n v="45437.640000000014"/>
        <n v="1158784.1599999997"/>
        <n v="983276.0899999994"/>
        <n v="131277.78000000003"/>
        <n v="14291.300000000003"/>
        <n v="9495.19999999999"/>
        <n v="17601.840000000004"/>
        <n v="442041.6000000001"/>
        <n v="154319.48000000004"/>
        <n v="59463.53999999999"/>
        <n v="68841.36000000002"/>
        <n v="11006.470000000001"/>
        <n v="748379.02"/>
        <n v="200858.39999999997"/>
        <n v="501086.25"/>
        <n v="470013.3600000002"/>
        <n v="942077.5"/>
        <n v="122602.14000000004"/>
        <n v="146955.0"/>
        <n v="57566.16000000002"/>
        <n v="490607.5"/>
        <n v="437122.3999999999"/>
        <n v="399219.83999999997"/>
        <n v="1193441.25"/>
        <n v="126070.60999999999"/>
        <n v="30601.120000000003"/>
        <n v="129164.21999999997"/>
        <n v="2369.0299999999997"/>
        <n v="1200713.8499999992"/>
        <n v="463483.1000000001"/>
        <n v="725907.25"/>
        <n v="482502.58999999997"/>
        <n v="77626.62000000002"/>
        <n v="881470.5"/>
        <n v="459045.0"/>
        <n v="23174.559999999998"/>
        <n v="23668.610000000015"/>
        <n v="1425038.52"/>
        <n v="210286.02999999997"/>
        <n v="486714.7999999998"/>
        <n v="871756.2499999995"/>
        <n v="7396.290000000001"/>
        <n v="818040.0599999998"/>
        <n v="1543112.0299999993"/>
        <n v="783755.7299999999"/>
        <n v="104906.34000000005"/>
        <n v="364115.51999999996"/>
        <n v="691070.4"/>
        <n v="248133.59999999986"/>
        <n v="650795.4099999999"/>
        <n v="450568.74"/>
        <n v="1505540.33"/>
        <n v="4964.220000000001"/>
        <n v="18658.22"/>
        <n v="197222.19999999995"/>
        <n v="102559.59999999998"/>
        <n v="2955.79"/>
        <n v="300616.96"/>
        <n v="558953.0199999999"/>
        <n v="289206.72"/>
        <n v="418993.80999999994"/>
        <n v="468696.7999999998"/>
        <n v="183890.27999999997"/>
        <n v="177716.22000000003"/>
        <n v="68078.88"/>
        <n v="10167.789999999997"/>
        <n v="36264.80000000002"/>
        <n v="111293.46000000002"/>
        <n v="157479.84000000003"/>
        <n v="124905.58000000005"/>
        <n v="542034.1799999998"/>
        <n v="492048.0"/>
        <n v="1016587.8199999994"/>
        <n v="185876.63999999998"/>
        <n v="509837.88"/>
        <n v="241516.24999999988"/>
        <n v="92691.53999999998"/>
        <n v="645537.5999999999"/>
        <n v="714923.8800000001"/>
        <n v="167105.11"/>
        <n v="394048.32"/>
        <n v="62748.399999999965"/>
        <n v="107302.32000000004"/>
        <n v="248705.6000000001"/>
        <n v="163448.55"/>
        <n v="276562.0"/>
        <n v="60150.06000000001"/>
        <n v="594717.1200000001"/>
        <n v="142615.62000000005"/>
        <n v="107306.92000000004"/>
        <n v="29395.380000000005"/>
        <n v="474926.9900000001"/>
        <n v="681156.0"/>
        <n v="176069.57"/>
        <n v="155002.68000000005"/>
        <n v="73523.70000000001"/>
        <n v="98109.9"/>
        <n v="255423.97999999998"/>
        <n v="558258.59"/>
        <n v="521277.12"/>
        <n v="151061.68"/>
        <n v="677890.6799999999"/>
        <n v="626060.21"/>
        <n v="170884.13999999996"/>
        <n v="432628.4400000002"/>
        <n v="490078.18999999994"/>
        <n v="351043.5299999999"/>
        <n v="266657.04000000004"/>
        <n v="262272.96"/>
        <n v="552895.1999999997"/>
        <n v="93505.86000000002"/>
        <n v="439937.93999999994"/>
        <n v="489532.9200000003"/>
        <n v="113863.86000000002"/>
        <n v="86756.4"/>
        <n v="370255.5999999996"/>
        <n v="221717.94000000006"/>
        <n v="89966.70000000001"/>
        <n v="1601342.7000000002"/>
        <n v="414321.9600000001"/>
        <n v="43284.90000000001"/>
        <n v="1350865.2299999995"/>
        <n v="619242.1699999999"/>
        <n v="66809.96000000002"/>
        <n v="602480.1000000001"/>
        <n v="475558.2899999999"/>
        <n v="26467.20000000001"/>
        <n v="57672.08999999998"/>
        <n v="113409.72000000003"/>
        <n v="169295.48999999996"/>
        <n v="606841.5"/>
        <n v="22801.010000000002"/>
        <n v="372085.99999999953"/>
        <n v="50345.54000000001"/>
        <n v="416152.95999999996"/>
        <n v="355542.7200000001"/>
        <n v="332631.97"/>
        <n v="381295.1999999997"/>
        <n v="510779.85999999987"/>
        <n v="564850.0"/>
        <n v="79218.94"/>
        <n v="301670.94000000006"/>
        <n v="820697.7599999998"/>
        <n v="578838.9700000001"/>
        <n v="317330.70000000007"/>
        <n v="9223.740000000002"/>
        <n v="49718.87999999999"/>
        <n v="3790.9300000000003"/>
        <n v="435155.0900000001"/>
        <n v="864812.4999999995"/>
        <n v="73194.84000000003"/>
        <n v="52658.700000000026"/>
        <n v="823533.26"/>
        <n v="339081.6000000001"/>
        <n v="519657.0600000002"/>
        <n v="245788.4800000001"/>
        <n v="1237954.4000000001"/>
        <n v="64848.06000000003"/>
        <n v="423640.6200000001"/>
        <n v="279265.0"/>
        <n v="60071.76000000001"/>
        <n v="506734.80000000005"/>
        <n v="72758.39999999997"/>
        <n v="564382.1999999998"/>
        <n v="497521.43999999994"/>
        <n v="249773.02000000002"/>
        <n v="145187.5"/>
        <n v="1246621.0599999991"/>
        <n v="151754.66999999998"/>
        <n v="15332.419999999998"/>
        <n v="395547.83999999997"/>
        <n v="1081553.9799999995"/>
        <n v="188600.74"/>
        <n v="7781.889999999999"/>
        <n v="470571.0199999999"/>
        <n v="218072.12000000005"/>
        <n v="92487.96000000002"/>
        <n v="11408.940000000002"/>
        <n v="81306.72000000003"/>
        <n v="55023.640000000014"/>
        <n v="359910.9"/>
        <n v="909194.7799999998"/>
      </sharedItems>
    </cacheField>
    <cacheField name="% margem" numFmtId="10">
      <sharedItems containsSemiMixedTypes="0" containsString="0" containsNumber="1">
        <n v="0.4306757413709285"/>
        <n v="0.43067574137092846"/>
        <n v="0.24799856345489088"/>
        <n v="0.67203513909224"/>
        <n v="0.33003161222339317"/>
        <n v="0.19386987300563563"/>
        <n v="0.2583065380493034"/>
        <n v="0.4097754121770738"/>
        <n v="0.3755092447508618"/>
        <n v="0.24799856345489094"/>
        <n v="0.13558036455000125"/>
        <n v="0.25830653804930326"/>
        <n v="0.37550924475086184"/>
        <n v="0.6720351390922401"/>
        <n v="0.24799856345489082"/>
        <n v="0.3755092447508619"/>
        <n v="0.13558036455000122"/>
        <n v="0.25830653804930337"/>
        <n v="0.19386987300563566"/>
        <n v="0.39768984446477584"/>
        <n v="0.19386987300563557"/>
        <n v="0.36138419189933163"/>
        <n v="0.43067574137092857"/>
        <n v="0.3613841918993316"/>
        <n v="0.30661935641747223"/>
        <n v="0.3066193564174722"/>
        <n v="0.2583065380493033"/>
        <n v="0.3300316122233931"/>
        <n v="0.24799856345489096"/>
        <n v="0.40977541217707386"/>
        <n v="0.3976898444647758"/>
        <n v="0.247998563454891"/>
        <n v="0.40977541217707375"/>
        <n v="0.1938698730056357"/>
        <n v="0.13558036455000114"/>
        <n v="0.3613841918993315"/>
        <n v="0.3066193564174721"/>
        <n v="0.1355803645500011"/>
        <n v="0.13558036455000128"/>
        <n v="0.1355803645500012"/>
        <n v="0.3976898444647759"/>
        <n v="0.33003161222339306"/>
        <n v="0.36138419189933146"/>
        <n v="0.19386987300563574"/>
        <n v="0.13558036455000116"/>
        <n v="0.0"/>
        <n v="0.13558036455000103"/>
        <n v="0.39768984446477595"/>
        <n v="0.6720351390922402"/>
        <n v="0.30661935641747207"/>
        <n v="0.330031612223393"/>
        <n v="0.2479985634548909"/>
        <n v="0.2583065380493032"/>
        <n v="0.37550924475086195"/>
        <n v="0.24799856345489102"/>
        <n v="0.3066193564174723"/>
        <n v="0.4306757413709284"/>
        <n v="0.3613841918993317"/>
        <n v="0.4306757413709286"/>
        <n v="0.24799856345489085"/>
        <n v="0.2583065380493035"/>
        <n v="0.3300316122233932"/>
        <n v="0.4097754121770739"/>
        <n v="0.13558036455000105"/>
        <n v="0.13558036455000108"/>
        <n v="0.19386987300563555"/>
      </sharedItems>
    </cacheField>
    <cacheField name="item_type" numFmtId="0">
      <sharedItems>
        <s v="Cereal"/>
        <s v="Household"/>
        <s v="Clothes"/>
        <s v="Beverages"/>
        <s v="Office Supplies"/>
        <s v="Fruits"/>
        <s v="Vegetables"/>
        <s v="Baby Food"/>
        <s v="Meat"/>
        <s v="Cosmetics"/>
        <s v="Snacks"/>
        <s v="Personal Care"/>
      </sharedItems>
    </cacheField>
    <cacheField name="region" numFmtId="0">
      <sharedItems>
        <s v="Europe"/>
        <s v="Desconhecido"/>
        <s v="Asia"/>
      </sharedItems>
    </cacheField>
    <cacheField name="sub-region" numFmtId="0">
      <sharedItems>
        <s v="Northern Europe"/>
        <s v="Southern Europe"/>
        <s v="Desconhecido"/>
        <s v="Eastern Europe"/>
        <s v="Western Europe"/>
        <s v="Western Asi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dinamica_pareto" cacheId="0" dataCaption="" compact="0" compactData="0">
  <location ref="A1:D14" firstHeaderRow="0" firstDataRow="2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mesOrder Dat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Order Da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anoOrder Date" compact="0" numFmtId="1" outline="0" multipleItemSelectionAllowed="1" showAll="0">
      <items>
        <item x="0"/>
        <item t="default"/>
      </items>
    </pivotField>
    <pivotField name="order date formatad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mes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iaShip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anoShip Date" compact="0" outline="0" multipleItemSelectionAllowed="1" showAll="0">
      <items>
        <item x="0"/>
        <item t="default"/>
      </items>
    </pivotField>
    <pivotField name="ship date formatad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Product ID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Unit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ceita_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custo_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lucro_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item_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% margem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lead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dia da semana compr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13"/>
  </rowFields>
  <colFields>
    <field x="-2"/>
  </colFields>
  <dataFields>
    <dataField name="SUM of Units Sold" fld="15" baseField="0"/>
    <dataField name="SUM of receita_total" fld="18" baseField="0"/>
    <dataField name="SUM of lucro_total" fld="20" baseField="0"/>
  </dataFields>
</pivotTableDefinition>
</file>

<file path=xl/pivotTables/pivotTable2.xml><?xml version="1.0" encoding="utf-8"?>
<pivotTableDefinition xmlns="http://schemas.openxmlformats.org/spreadsheetml/2006/main" name="tendencia_compra_dia_semana" cacheId="1" dataCaption="" rowGrandTotals="0" compact="0" compactData="0">
  <location ref="A1:B8" firstHeaderRow="0" firstDataRow="1" firstDataCol="0"/>
  <pivotFields>
    <pivotField name="order date formatada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dia da semana compra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1"/>
  </rowFields>
  <dataFields>
    <dataField name="COUNTA of order date formatada" fld="0" subtotal="count" baseField="0"/>
  </dataFields>
</pivotTableDefinition>
</file>

<file path=xl/pivotTables/pivotTable3.xml><?xml version="1.0" encoding="utf-8"?>
<pivotTableDefinition xmlns="http://schemas.openxmlformats.org/spreadsheetml/2006/main" name="Tabela dinâmica 1" cacheId="2" dataCaption="" rowGrandTotals="0" compact="0" compactData="0">
  <location ref="A1:E13" firstHeaderRow="0" firstDataRow="2" firstDataCol="0"/>
  <pivotFields>
    <pivotField name="item_typ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3"/>
            </reference>
          </references>
        </pivotArea>
      </autoSortScope>
    </pivotField>
    <pivotField name="receita_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custo_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lucro_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Units Sol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</pivotFields>
  <rowFields>
    <field x="0"/>
  </rowFields>
  <colFields>
    <field x="-2"/>
  </colFields>
  <dataFields>
    <dataField name="SUM of receita_total" fld="1" baseField="0"/>
    <dataField name="SUM of custo_total" fld="2" baseField="0"/>
    <dataField name="SUM of lucro_total" fld="3" baseField="0"/>
    <dataField name="SUM of Units Sold" fld="4" baseField="0"/>
  </dataFields>
</pivotTableDefinition>
</file>

<file path=xl/pivotTables/pivotTable4.xml><?xml version="1.0" encoding="utf-8"?>
<pivotTableDefinition xmlns="http://schemas.openxmlformats.org/spreadsheetml/2006/main" name="Tabela dinâmica 1 2" cacheId="2" dataCaption="" rowGrandTotals="0" compact="0" compactData="0">
  <location ref="G1:K13" firstHeaderRow="0" firstDataRow="2" firstDataCol="0"/>
  <pivotFields>
    <pivotField name="item_typ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ceita_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custo_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lucro_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Units Sol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</pivotFields>
  <rowFields>
    <field x="0"/>
  </rowFields>
  <colFields>
    <field x="-2"/>
  </colFields>
  <dataFields>
    <dataField name="SUM of receita_total" fld="1" baseField="0"/>
    <dataField name="SUM of custo_total" fld="2" baseField="0"/>
    <dataField name="SUM of lucro_total" fld="3" baseField="0"/>
    <dataField name="SUM of Units Sold" fld="4" baseField="0"/>
  </dataFields>
</pivotTableDefinition>
</file>

<file path=xl/pivotTables/pivotTable5.xml><?xml version="1.0" encoding="utf-8"?>
<pivotTableDefinition xmlns="http://schemas.openxmlformats.org/spreadsheetml/2006/main" name="Tabela dinâmica 1 3" cacheId="2" dataCaption="" rowGrandTotals="0" compact="0" compactData="0">
  <location ref="M1:Q13" firstHeaderRow="0" firstDataRow="2" firstDataCol="0"/>
  <pivotFields>
    <pivotField name="item_typ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2"/>
            </reference>
          </references>
        </pivotArea>
      </autoSortScope>
    </pivotField>
    <pivotField name="receita_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custo_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lucro_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Units Sol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</pivotFields>
  <rowFields>
    <field x="0"/>
  </rowFields>
  <colFields>
    <field x="-2"/>
  </colFields>
  <dataFields>
    <dataField name="SUM of receita_total" fld="1" baseField="0"/>
    <dataField name="SUM of custo_total" fld="2" baseField="0"/>
    <dataField name="SUM of lucro_total" fld="3" baseField="0"/>
    <dataField name="SUM of Units Sold" fld="4" baseField="0"/>
  </dataFields>
</pivotTableDefinition>
</file>

<file path=xl/pivotTables/pivotTable6.xml><?xml version="1.0" encoding="utf-8"?>
<pivotTableDefinition xmlns="http://schemas.openxmlformats.org/spreadsheetml/2006/main" name="Tabela dinâmica 4" cacheId="3" dataCaption="" rowGrandTotals="0" compact="0" compactData="0">
  <location ref="A3:B5" firstHeaderRow="0" firstDataRow="1" firstDataCol="0" rowPageCount="1" colPageCount="1"/>
  <pivotFields>
    <pivotField name="Country Code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ceita_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lucro_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mes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noOrder Dat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ales Channel" axis="axisRow" compact="0" outline="0" multipleItemSelectionAllowed="1" showAll="0" sortType="ascending">
      <items>
        <item x="1"/>
        <item x="0"/>
        <item t="default"/>
      </items>
    </pivotField>
  </pivotFields>
  <rowFields>
    <field x="5"/>
  </rowFields>
  <pageFields>
    <pageField fld="0"/>
  </pageFields>
  <dataFields>
    <dataField name="SUM of receita_total" fld="1" baseField="0"/>
  </dataFields>
</pivotTableDefinition>
</file>

<file path=xl/pivotTables/pivotTable7.xml><?xml version="1.0" encoding="utf-8"?>
<pivotTableDefinition xmlns="http://schemas.openxmlformats.org/spreadsheetml/2006/main" name="Tabela dinâmica 7" cacheId="4" dataCaption="" rowGrandTotals="0" compact="0" compactData="0">
  <location ref="A1:E4" firstHeaderRow="0" firstDataRow="2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lead_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mesOrder Da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noOrder Dat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ceita_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custo_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lucro_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% margem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item_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axis="axisRow" compact="0" outline="0" multipleItemSelectionAllowed="1" showAll="0" sortType="de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ub-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0"/>
  </rowFields>
  <colFields>
    <field x="-2"/>
  </colFields>
  <dataFields>
    <dataField name="SUM of lucro_total" fld="7" baseField="0"/>
    <dataField name="SUM of lead_time" fld="2" subtotal="average" baseField="0"/>
    <dataField name="COUNT of Order ID" fld="0" subtotal="countNums" baseField="0"/>
    <dataField name="SUM of receita_total" fld="5" baseField="0"/>
  </dataFields>
</pivotTableDefinition>
</file>

<file path=xl/pivotTables/pivotTable8.xml><?xml version="1.0" encoding="utf-8"?>
<pivotTableDefinition xmlns="http://schemas.openxmlformats.org/spreadsheetml/2006/main" name="Tabela dinâmica 6" cacheId="4" dataCaption="" compact="0" compactData="0">
  <location ref="A1:E14" firstHeaderRow="0" firstDataRow="2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lead_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mesOrder Da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noOrder Dat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ceita_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custo_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lucro_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% margem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item_typ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3"/>
            </reference>
          </references>
        </pivotArea>
      </autoSortScope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9"/>
  </rowFields>
  <colFields>
    <field x="-2"/>
  </colFields>
  <dataFields>
    <dataField name="AVERAGE of lead_time" fld="2" subtotal="average" baseField="0"/>
    <dataField name="COUNTA of Order ID" fld="0" subtotal="count" baseField="0"/>
    <dataField name="SUM of receita_total" fld="5" baseField="0"/>
    <dataField name="SUM of lucro_total" fld="7" baseField="0"/>
  </dataFields>
</pivotTableDefinition>
</file>

<file path=xl/pivotTables/pivotTable9.xml><?xml version="1.0" encoding="utf-8"?>
<pivotTableDefinition xmlns="http://schemas.openxmlformats.org/spreadsheetml/2006/main" name="Tabela dinâmica 6 2" cacheId="4" dataCaption="" compact="0" compactData="0">
  <location ref="G1:K48" firstHeaderRow="0" firstDataRow="2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Country Cod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  <autoSortScope>
        <pivotArea>
          <references>
            <reference field="4294967294">
              <x v="3"/>
            </reference>
          </references>
        </pivotArea>
      </autoSortScope>
    </pivotField>
    <pivotField name="lead_ti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mesOrder Da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noOrder Dat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ceita_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custo_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lucro_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% margem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item_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"/>
  </rowFields>
  <colFields>
    <field x="-2"/>
  </colFields>
  <dataFields>
    <dataField name="AVERAGE of lead_time" fld="2" subtotal="average" baseField="0"/>
    <dataField name="COUNTA of Order ID" fld="0" subtotal="count" baseField="0"/>
    <dataField name="SUM of receita_total" fld="5" baseField="0"/>
    <dataField name="SUM of lucro_total" fld="7" baseField="0"/>
  </dataFields>
</pivotTableDefinition>
</file>

<file path=xl/pivotTables/pivotTable10.xml><?xml version="1.0" encoding="utf-8"?>
<pivotTableDefinition xmlns="http://schemas.openxmlformats.org/spreadsheetml/2006/main" name="Tabela dinâmica 5" cacheId="4" dataCaption="" rowGrandTotals="0" compact="0" compactData="0">
  <location ref="I1:J4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lead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mesOrder Da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noOrder Dat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ceita_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custo_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lucro_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% margem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item_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axis="axisRow" compact="0" outline="0" multipleItemSelectionAllowed="1" showAll="0" sortType="de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ub-reg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0"/>
  </rowFields>
  <dataFields>
    <dataField name="SUM of lucro_total" fld="7" baseField="0"/>
  </dataFields>
</pivotTableDefinition>
</file>

<file path=xl/pivotTables/pivotTable11.xml><?xml version="1.0" encoding="utf-8"?>
<pivotTableDefinition xmlns="http://schemas.openxmlformats.org/spreadsheetml/2006/main" name="Tabela dinâmica 5 2" cacheId="4" dataCaption="" rowGrandTotals="0" compact="0" compactData="0">
  <location ref="L1:M7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lead_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mesOrder Da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noOrder Dat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ceita_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custo_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lucro_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% margem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item_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  <pivotField name="sub-region" axis="axisRow" compact="0" outline="0" multipleItemSelectionAllowed="1" showAll="0" sortType="descending">
      <items>
        <item x="0"/>
        <item x="1"/>
        <item x="2"/>
        <item x="3"/>
        <item x="4"/>
        <item x="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11"/>
  </rowFields>
  <dataFields>
    <dataField name="SUM of lucro_total" fld="7" baseField="0"/>
  </dataFields>
</pivotTableDefinition>
</file>

<file path=xl/pivotTables/pivotTable12.xml><?xml version="1.0" encoding="utf-8"?>
<pivotTableDefinition xmlns="http://schemas.openxmlformats.org/spreadsheetml/2006/main" name="Tabela dinâmica 2" cacheId="3" dataCaption="" rowGrandTotals="0" compact="0" compactData="0">
  <location ref="A4:B16" firstHeaderRow="0" firstDataRow="1" firstDataCol="0" rowPageCount="2" colPageCount="1"/>
  <pivotFields>
    <pivotField name="Country Code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receita_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lucro_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mesOrder Date" axis="axisRow" compact="0" outline="0" multipleItemSelectionAllowed="1" showAll="0" sortType="ascending">
      <items>
        <item x="8"/>
        <item x="9"/>
        <item x="4"/>
        <item x="5"/>
        <item x="3"/>
        <item x="10"/>
        <item x="2"/>
        <item x="1"/>
        <item x="7"/>
        <item x="0"/>
        <item x="6"/>
        <item x="11"/>
        <item t="default"/>
      </items>
    </pivotField>
    <pivotField name="anoOrder Date" axis="axisPag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</pivotFields>
  <rowFields>
    <field x="3"/>
  </rowFields>
  <pageFields>
    <pageField fld="0"/>
    <pageField fld="4"/>
  </pageFields>
  <dataFields>
    <dataField name="SUM of receita_total" fld="1" baseField="0"/>
  </dataFields>
</pivotTableDefinition>
</file>

<file path=xl/pivotTables/pivotTable13.xml><?xml version="1.0" encoding="utf-8"?>
<pivotTableDefinition xmlns="http://schemas.openxmlformats.org/spreadsheetml/2006/main" name="Tabela dinâmica 3" cacheId="3" dataCaption="" rowGrandTotals="0" compact="0" compactData="0">
  <location ref="A1:B47" firstHeaderRow="0" firstDataRow="1" firstDataCol="0"/>
  <pivotFields>
    <pivotField name="Country Cod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ceita_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lucro_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mes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noOrder Dat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</pivotFields>
  <rowFields>
    <field x="0"/>
  </rowFields>
  <dataFields>
    <dataField name="receita" fld="1" baseField="0"/>
  </dataFields>
</pivotTableDefinition>
</file>

<file path=xl/pivotTables/pivotTable14.xml><?xml version="1.0" encoding="utf-8"?>
<pivotTableDefinition xmlns="http://schemas.openxmlformats.org/spreadsheetml/2006/main" name="Tabela dinâmica 3 2" cacheId="3" dataCaption="" rowGrandTotals="0" compact="0" compactData="0">
  <location ref="D1:E47" firstHeaderRow="0" firstDataRow="1" firstDataCol="0"/>
  <pivotFields>
    <pivotField name="Country Cod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ceita_tot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lucro_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mes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noOrder Date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</pivotFields>
  <rowFields>
    <field x="0"/>
  </rowFields>
  <dataFields>
    <dataField name="SUM of lucro_total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pivotTable" Target="../pivotTables/pivotTable4.xml"/><Relationship Id="rId3" Type="http://schemas.openxmlformats.org/officeDocument/2006/relationships/pivotTable" Target="../pivotTables/pivotTable5.xml"/><Relationship Id="rId4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pivotTable" Target="../pivotTables/pivotTable9.xml"/><Relationship Id="rId3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.xml"/><Relationship Id="rId2" Type="http://schemas.openxmlformats.org/officeDocument/2006/relationships/pivotTable" Target="../pivotTables/pivotTable11.xml"/><Relationship Id="rId3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2.xm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3.xml"/><Relationship Id="rId2" Type="http://schemas.openxmlformats.org/officeDocument/2006/relationships/pivotTable" Target="../pivotTables/pivotTable14.xml"/><Relationship Id="rId3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" t="s">
        <v>1</v>
      </c>
      <c r="B1" s="3" t="s">
        <v>2</v>
      </c>
    </row>
    <row r="2" ht="15.75" customHeight="1">
      <c r="A2" s="3">
        <v>2103.0</v>
      </c>
      <c r="B2" s="3" t="s">
        <v>3</v>
      </c>
    </row>
    <row r="3" ht="15.75" customHeight="1">
      <c r="A3" s="3">
        <v>7940.0</v>
      </c>
      <c r="B3" s="3" t="s">
        <v>4</v>
      </c>
    </row>
    <row r="4" ht="15.75" customHeight="1">
      <c r="A4" s="3">
        <v>2455.0</v>
      </c>
      <c r="B4" s="3" t="s">
        <v>5</v>
      </c>
    </row>
    <row r="5" ht="15.75" customHeight="1">
      <c r="A5" s="3">
        <v>1270.0</v>
      </c>
      <c r="B5" s="3" t="s">
        <v>6</v>
      </c>
    </row>
    <row r="6" ht="15.75" customHeight="1">
      <c r="A6" s="3">
        <v>8681.0</v>
      </c>
      <c r="B6" s="3" t="s">
        <v>7</v>
      </c>
    </row>
    <row r="7" ht="15.75" customHeight="1">
      <c r="A7" s="3">
        <v>4594.0</v>
      </c>
      <c r="B7" s="3" t="s">
        <v>8</v>
      </c>
    </row>
    <row r="8" ht="15.75" customHeight="1">
      <c r="A8" s="3">
        <v>5988.0</v>
      </c>
      <c r="B8" s="3" t="s">
        <v>9</v>
      </c>
    </row>
    <row r="9" ht="15.75" customHeight="1">
      <c r="A9" s="3">
        <v>7331.0</v>
      </c>
      <c r="B9" s="3" t="s">
        <v>10</v>
      </c>
    </row>
    <row r="10" ht="15.75" customHeight="1">
      <c r="A10" s="3">
        <v>8875.0</v>
      </c>
      <c r="B10" s="3" t="s">
        <v>11</v>
      </c>
    </row>
    <row r="11" ht="15.75" customHeight="1">
      <c r="A11" s="3">
        <v>8293.0</v>
      </c>
      <c r="B11" s="3" t="s">
        <v>12</v>
      </c>
    </row>
    <row r="12" ht="15.75" customHeight="1">
      <c r="A12" s="3">
        <v>8969.0</v>
      </c>
      <c r="B12" s="3" t="s">
        <v>13</v>
      </c>
    </row>
    <row r="13" ht="15.75" customHeight="1">
      <c r="A13" s="3">
        <v>3127.0</v>
      </c>
      <c r="B13" s="3" t="s">
        <v>14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</row>
    <row r="2" ht="15.75" customHeight="1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</row>
    <row r="3" ht="15.75" customHeight="1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</row>
    <row r="4" ht="15.75" customHeight="1">
      <c r="A4" s="3" t="s">
        <v>30</v>
      </c>
      <c r="B4" s="3" t="s">
        <v>31</v>
      </c>
      <c r="C4" s="3" t="s">
        <v>32</v>
      </c>
      <c r="D4" s="3" t="s">
        <v>28</v>
      </c>
      <c r="E4" s="3" t="s">
        <v>33</v>
      </c>
    </row>
    <row r="5" ht="15.75" customHeight="1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</row>
    <row r="6" ht="15.75" customHeight="1">
      <c r="A6" s="3" t="s">
        <v>39</v>
      </c>
      <c r="B6" s="3" t="s">
        <v>40</v>
      </c>
      <c r="C6" s="3" t="s">
        <v>41</v>
      </c>
      <c r="D6" s="3" t="s">
        <v>42</v>
      </c>
      <c r="E6" s="3" t="s">
        <v>43</v>
      </c>
    </row>
    <row r="7" ht="15.75" customHeight="1">
      <c r="A7" s="3" t="s">
        <v>44</v>
      </c>
      <c r="B7" s="3" t="s">
        <v>45</v>
      </c>
      <c r="C7" s="3" t="s">
        <v>46</v>
      </c>
      <c r="D7" s="3" t="s">
        <v>28</v>
      </c>
      <c r="E7" s="3" t="s">
        <v>33</v>
      </c>
    </row>
    <row r="8" ht="15.75" customHeight="1">
      <c r="A8" s="3" t="s">
        <v>47</v>
      </c>
      <c r="B8" s="3" t="s">
        <v>48</v>
      </c>
      <c r="C8" s="3" t="s">
        <v>49</v>
      </c>
      <c r="D8" s="3" t="s">
        <v>37</v>
      </c>
      <c r="E8" s="3" t="s">
        <v>50</v>
      </c>
    </row>
    <row r="9" ht="15.75" customHeight="1">
      <c r="A9" s="3" t="s">
        <v>51</v>
      </c>
      <c r="B9" s="3" t="s">
        <v>52</v>
      </c>
      <c r="C9" s="3" t="s">
        <v>53</v>
      </c>
      <c r="D9" s="3" t="s">
        <v>54</v>
      </c>
      <c r="E9" s="3" t="s">
        <v>55</v>
      </c>
    </row>
    <row r="10" ht="15.75" customHeight="1">
      <c r="A10" s="3" t="s">
        <v>56</v>
      </c>
      <c r="B10" s="3" t="s">
        <v>57</v>
      </c>
      <c r="C10" s="3" t="s">
        <v>58</v>
      </c>
      <c r="D10" s="3" t="s">
        <v>56</v>
      </c>
      <c r="E10" s="3" t="s">
        <v>56</v>
      </c>
    </row>
    <row r="11" ht="15.75" customHeight="1">
      <c r="A11" s="3" t="s">
        <v>59</v>
      </c>
      <c r="B11" s="3" t="s">
        <v>60</v>
      </c>
      <c r="C11" s="3" t="s">
        <v>61</v>
      </c>
      <c r="D11" s="3" t="s">
        <v>54</v>
      </c>
      <c r="E11" s="3" t="s">
        <v>55</v>
      </c>
    </row>
    <row r="12" ht="15.75" customHeight="1">
      <c r="A12" s="3" t="s">
        <v>62</v>
      </c>
      <c r="B12" s="3" t="s">
        <v>63</v>
      </c>
      <c r="C12" s="3" t="s">
        <v>64</v>
      </c>
      <c r="D12" s="3" t="s">
        <v>54</v>
      </c>
      <c r="E12" s="3" t="s">
        <v>55</v>
      </c>
    </row>
    <row r="13" ht="15.75" customHeight="1">
      <c r="A13" s="3" t="s">
        <v>65</v>
      </c>
      <c r="B13" s="3" t="s">
        <v>66</v>
      </c>
      <c r="C13" s="3" t="s">
        <v>67</v>
      </c>
      <c r="D13" s="3" t="s">
        <v>23</v>
      </c>
      <c r="E13" s="3" t="s">
        <v>68</v>
      </c>
    </row>
    <row r="14" ht="15.75" customHeight="1">
      <c r="A14" s="3" t="s">
        <v>69</v>
      </c>
      <c r="B14" s="3" t="s">
        <v>70</v>
      </c>
      <c r="C14" s="3" t="s">
        <v>71</v>
      </c>
      <c r="D14" s="3" t="s">
        <v>54</v>
      </c>
      <c r="E14" s="3" t="s">
        <v>55</v>
      </c>
    </row>
    <row r="15" ht="15.75" customHeight="1">
      <c r="A15" s="3" t="s">
        <v>72</v>
      </c>
      <c r="B15" s="3" t="s">
        <v>73</v>
      </c>
      <c r="C15" s="3" t="s">
        <v>74</v>
      </c>
      <c r="D15" s="3" t="s">
        <v>42</v>
      </c>
      <c r="E15" s="3" t="s">
        <v>75</v>
      </c>
    </row>
    <row r="16" ht="15.75" customHeight="1">
      <c r="A16" s="3" t="s">
        <v>76</v>
      </c>
      <c r="B16" s="3" t="s">
        <v>77</v>
      </c>
      <c r="C16" s="3" t="s">
        <v>78</v>
      </c>
      <c r="D16" s="3" t="s">
        <v>28</v>
      </c>
      <c r="E16" s="3" t="s">
        <v>79</v>
      </c>
    </row>
    <row r="17" ht="15.75" customHeight="1">
      <c r="A17" s="3" t="s">
        <v>80</v>
      </c>
      <c r="B17" s="3" t="s">
        <v>81</v>
      </c>
      <c r="C17" s="3" t="s">
        <v>82</v>
      </c>
      <c r="D17" s="3" t="s">
        <v>23</v>
      </c>
      <c r="E17" s="3" t="s">
        <v>68</v>
      </c>
    </row>
    <row r="18" ht="15.75" customHeight="1">
      <c r="A18" s="3" t="s">
        <v>83</v>
      </c>
      <c r="B18" s="3" t="s">
        <v>84</v>
      </c>
      <c r="C18" s="3" t="s">
        <v>85</v>
      </c>
      <c r="D18" s="3" t="s">
        <v>54</v>
      </c>
      <c r="E18" s="3" t="s">
        <v>55</v>
      </c>
    </row>
    <row r="19" ht="15.75" customHeight="1">
      <c r="A19" s="3" t="s">
        <v>86</v>
      </c>
      <c r="B19" s="3" t="s">
        <v>87</v>
      </c>
      <c r="C19" s="3" t="s">
        <v>88</v>
      </c>
      <c r="D19" s="3" t="s">
        <v>23</v>
      </c>
      <c r="E19" s="3" t="s">
        <v>68</v>
      </c>
    </row>
    <row r="20" ht="15.75" customHeight="1">
      <c r="A20" s="3" t="s">
        <v>89</v>
      </c>
      <c r="B20" s="3" t="s">
        <v>90</v>
      </c>
      <c r="C20" s="3" t="s">
        <v>91</v>
      </c>
      <c r="D20" s="3" t="s">
        <v>23</v>
      </c>
      <c r="E20" s="3" t="s">
        <v>24</v>
      </c>
    </row>
    <row r="21" ht="15.75" customHeight="1">
      <c r="A21" s="3" t="s">
        <v>92</v>
      </c>
      <c r="B21" s="3" t="s">
        <v>93</v>
      </c>
      <c r="C21" s="3" t="s">
        <v>94</v>
      </c>
      <c r="D21" s="3" t="s">
        <v>54</v>
      </c>
      <c r="E21" s="3" t="s">
        <v>55</v>
      </c>
    </row>
    <row r="22" ht="15.75" customHeight="1">
      <c r="A22" s="3" t="s">
        <v>95</v>
      </c>
      <c r="B22" s="3" t="s">
        <v>96</v>
      </c>
      <c r="C22" s="3" t="s">
        <v>97</v>
      </c>
      <c r="D22" s="3" t="s">
        <v>28</v>
      </c>
      <c r="E22" s="3" t="s">
        <v>98</v>
      </c>
    </row>
    <row r="23" ht="15.75" customHeight="1">
      <c r="A23" s="3" t="s">
        <v>99</v>
      </c>
      <c r="B23" s="3" t="s">
        <v>100</v>
      </c>
      <c r="C23" s="3" t="s">
        <v>101</v>
      </c>
      <c r="D23" s="3" t="s">
        <v>28</v>
      </c>
      <c r="E23" s="3" t="s">
        <v>79</v>
      </c>
    </row>
    <row r="24" ht="15.75" customHeight="1">
      <c r="A24" s="3" t="s">
        <v>102</v>
      </c>
      <c r="B24" s="3" t="s">
        <v>103</v>
      </c>
      <c r="C24" s="3" t="s">
        <v>104</v>
      </c>
      <c r="D24" s="3" t="s">
        <v>54</v>
      </c>
      <c r="E24" s="3" t="s">
        <v>55</v>
      </c>
    </row>
    <row r="25" ht="15.75" customHeight="1">
      <c r="A25" s="3" t="s">
        <v>105</v>
      </c>
      <c r="B25" s="3" t="s">
        <v>106</v>
      </c>
      <c r="C25" s="3" t="s">
        <v>107</v>
      </c>
      <c r="D25" s="3" t="s">
        <v>37</v>
      </c>
      <c r="E25" s="3" t="s">
        <v>50</v>
      </c>
    </row>
    <row r="26" ht="15.75" customHeight="1">
      <c r="A26" s="3" t="s">
        <v>108</v>
      </c>
      <c r="B26" s="3" t="s">
        <v>109</v>
      </c>
      <c r="C26" s="3" t="s">
        <v>110</v>
      </c>
      <c r="D26" s="3" t="s">
        <v>54</v>
      </c>
      <c r="E26" s="3" t="s">
        <v>111</v>
      </c>
    </row>
    <row r="27" ht="15.75" customHeight="1">
      <c r="A27" s="3" t="s">
        <v>112</v>
      </c>
      <c r="B27" s="3" t="s">
        <v>113</v>
      </c>
      <c r="C27" s="3" t="s">
        <v>114</v>
      </c>
      <c r="D27" s="3" t="s">
        <v>23</v>
      </c>
      <c r="E27" s="3" t="s">
        <v>24</v>
      </c>
    </row>
    <row r="28" ht="15.75" customHeight="1">
      <c r="A28" s="3" t="s">
        <v>115</v>
      </c>
      <c r="B28" s="3" t="s">
        <v>116</v>
      </c>
      <c r="C28" s="3" t="s">
        <v>117</v>
      </c>
      <c r="D28" s="3" t="s">
        <v>54</v>
      </c>
      <c r="E28" s="3" t="s">
        <v>55</v>
      </c>
    </row>
    <row r="29" ht="15.75" customHeight="1">
      <c r="A29" s="3" t="s">
        <v>118</v>
      </c>
      <c r="B29" s="3" t="s">
        <v>119</v>
      </c>
      <c r="C29" s="3" t="s">
        <v>120</v>
      </c>
      <c r="D29" s="3" t="s">
        <v>54</v>
      </c>
      <c r="E29" s="3" t="s">
        <v>55</v>
      </c>
    </row>
    <row r="30" ht="15.75" customHeight="1">
      <c r="A30" s="3" t="s">
        <v>121</v>
      </c>
      <c r="B30" s="3" t="s">
        <v>122</v>
      </c>
      <c r="C30" s="3" t="s">
        <v>123</v>
      </c>
      <c r="D30" s="3" t="s">
        <v>28</v>
      </c>
      <c r="E30" s="3" t="s">
        <v>33</v>
      </c>
    </row>
    <row r="31" ht="15.75" customHeight="1">
      <c r="A31" s="3" t="s">
        <v>124</v>
      </c>
      <c r="B31" s="3" t="s">
        <v>125</v>
      </c>
      <c r="C31" s="3" t="s">
        <v>126</v>
      </c>
      <c r="D31" s="3" t="s">
        <v>37</v>
      </c>
      <c r="E31" s="3" t="s">
        <v>50</v>
      </c>
    </row>
    <row r="32" ht="15.75" customHeight="1">
      <c r="A32" s="3" t="s">
        <v>127</v>
      </c>
      <c r="B32" s="3" t="s">
        <v>128</v>
      </c>
      <c r="C32" s="3" t="s">
        <v>129</v>
      </c>
      <c r="D32" s="3" t="s">
        <v>54</v>
      </c>
      <c r="E32" s="3" t="s">
        <v>55</v>
      </c>
    </row>
    <row r="33" ht="15.75" customHeight="1">
      <c r="A33" s="3" t="s">
        <v>130</v>
      </c>
      <c r="B33" s="3" t="s">
        <v>131</v>
      </c>
      <c r="C33" s="3" t="s">
        <v>132</v>
      </c>
      <c r="D33" s="3" t="s">
        <v>54</v>
      </c>
      <c r="E33" s="3" t="s">
        <v>55</v>
      </c>
    </row>
    <row r="34" ht="15.75" customHeight="1">
      <c r="A34" s="3" t="s">
        <v>133</v>
      </c>
      <c r="B34" s="3" t="s">
        <v>134</v>
      </c>
      <c r="C34" s="3" t="s">
        <v>135</v>
      </c>
      <c r="D34" s="3" t="s">
        <v>37</v>
      </c>
      <c r="E34" s="3" t="s">
        <v>50</v>
      </c>
    </row>
    <row r="35" ht="15.75" customHeight="1">
      <c r="A35" s="3" t="s">
        <v>136</v>
      </c>
      <c r="B35" s="3" t="s">
        <v>137</v>
      </c>
      <c r="C35" s="3" t="s">
        <v>138</v>
      </c>
      <c r="D35" s="3" t="s">
        <v>23</v>
      </c>
      <c r="E35" s="3" t="s">
        <v>139</v>
      </c>
    </row>
    <row r="36" ht="15.75" customHeight="1">
      <c r="A36" s="3" t="s">
        <v>140</v>
      </c>
      <c r="B36" s="3" t="s">
        <v>141</v>
      </c>
      <c r="C36" s="3" t="s">
        <v>142</v>
      </c>
      <c r="D36" s="3" t="s">
        <v>28</v>
      </c>
      <c r="E36" s="3" t="s">
        <v>98</v>
      </c>
    </row>
    <row r="37" ht="15.75" customHeight="1">
      <c r="A37" s="3" t="s">
        <v>143</v>
      </c>
      <c r="B37" s="3" t="s">
        <v>144</v>
      </c>
      <c r="C37" s="3" t="s">
        <v>145</v>
      </c>
      <c r="D37" s="3" t="s">
        <v>37</v>
      </c>
      <c r="E37" s="3" t="s">
        <v>50</v>
      </c>
    </row>
    <row r="38" ht="15.75" customHeight="1">
      <c r="A38" s="3" t="s">
        <v>146</v>
      </c>
      <c r="B38" s="3" t="s">
        <v>147</v>
      </c>
      <c r="C38" s="3" t="s">
        <v>148</v>
      </c>
      <c r="D38" s="3" t="s">
        <v>37</v>
      </c>
      <c r="E38" s="3" t="s">
        <v>50</v>
      </c>
    </row>
    <row r="39" ht="15.75" customHeight="1">
      <c r="A39" s="3" t="s">
        <v>149</v>
      </c>
      <c r="B39" s="3" t="s">
        <v>150</v>
      </c>
      <c r="C39" s="3" t="s">
        <v>151</v>
      </c>
      <c r="D39" s="3" t="s">
        <v>37</v>
      </c>
      <c r="E39" s="3" t="s">
        <v>50</v>
      </c>
    </row>
    <row r="40" ht="15.75" customHeight="1">
      <c r="A40" s="3" t="s">
        <v>152</v>
      </c>
      <c r="B40" s="3" t="s">
        <v>153</v>
      </c>
      <c r="C40" s="3" t="s">
        <v>154</v>
      </c>
      <c r="D40" s="3" t="s">
        <v>23</v>
      </c>
      <c r="E40" s="3" t="s">
        <v>139</v>
      </c>
    </row>
    <row r="41" ht="15.75" customHeight="1">
      <c r="A41" s="3" t="s">
        <v>155</v>
      </c>
      <c r="B41" s="3" t="s">
        <v>156</v>
      </c>
      <c r="C41" s="3" t="s">
        <v>157</v>
      </c>
      <c r="D41" s="3" t="s">
        <v>37</v>
      </c>
      <c r="E41" s="3" t="s">
        <v>50</v>
      </c>
    </row>
    <row r="42" ht="15.75" customHeight="1">
      <c r="A42" s="3" t="s">
        <v>158</v>
      </c>
      <c r="B42" s="3" t="s">
        <v>159</v>
      </c>
      <c r="C42" s="3" t="s">
        <v>160</v>
      </c>
      <c r="D42" s="3" t="s">
        <v>54</v>
      </c>
      <c r="E42" s="3" t="s">
        <v>111</v>
      </c>
    </row>
    <row r="43" ht="15.75" customHeight="1">
      <c r="A43" s="3" t="s">
        <v>161</v>
      </c>
      <c r="B43" s="3" t="s">
        <v>162</v>
      </c>
      <c r="C43" s="3" t="s">
        <v>163</v>
      </c>
      <c r="D43" s="3" t="s">
        <v>54</v>
      </c>
      <c r="E43" s="3" t="s">
        <v>55</v>
      </c>
    </row>
    <row r="44" ht="15.75" customHeight="1">
      <c r="A44" s="3" t="s">
        <v>164</v>
      </c>
      <c r="B44" s="3" t="s">
        <v>165</v>
      </c>
      <c r="C44" s="3" t="s">
        <v>166</v>
      </c>
      <c r="D44" s="3" t="s">
        <v>37</v>
      </c>
      <c r="E44" s="3" t="s">
        <v>50</v>
      </c>
    </row>
    <row r="45" ht="15.75" customHeight="1">
      <c r="A45" s="3" t="s">
        <v>167</v>
      </c>
      <c r="B45" s="3" t="s">
        <v>168</v>
      </c>
      <c r="C45" s="3" t="s">
        <v>169</v>
      </c>
      <c r="D45" s="3" t="s">
        <v>37</v>
      </c>
      <c r="E45" s="3" t="s">
        <v>50</v>
      </c>
    </row>
    <row r="46" ht="15.75" customHeight="1">
      <c r="A46" s="3" t="s">
        <v>170</v>
      </c>
      <c r="B46" s="3" t="s">
        <v>171</v>
      </c>
      <c r="C46" s="3" t="s">
        <v>172</v>
      </c>
      <c r="D46" s="3" t="s">
        <v>54</v>
      </c>
      <c r="E46" s="3" t="s">
        <v>55</v>
      </c>
    </row>
    <row r="47" ht="15.75" customHeight="1">
      <c r="A47" s="3" t="s">
        <v>173</v>
      </c>
      <c r="B47" s="3" t="s">
        <v>174</v>
      </c>
      <c r="C47" s="3" t="s">
        <v>175</v>
      </c>
      <c r="D47" s="3" t="s">
        <v>23</v>
      </c>
      <c r="E47" s="3" t="s">
        <v>176</v>
      </c>
    </row>
    <row r="48" ht="15.75" customHeight="1">
      <c r="A48" s="3" t="s">
        <v>177</v>
      </c>
      <c r="B48" s="3" t="s">
        <v>178</v>
      </c>
      <c r="C48" s="3" t="s">
        <v>179</v>
      </c>
      <c r="D48" s="3" t="s">
        <v>42</v>
      </c>
      <c r="E48" s="3" t="s">
        <v>75</v>
      </c>
    </row>
    <row r="49" ht="15.75" customHeight="1">
      <c r="A49" s="3" t="s">
        <v>180</v>
      </c>
      <c r="B49" s="3" t="s">
        <v>181</v>
      </c>
      <c r="C49" s="3" t="s">
        <v>182</v>
      </c>
      <c r="D49" s="3" t="s">
        <v>42</v>
      </c>
      <c r="E49" s="3" t="s">
        <v>75</v>
      </c>
    </row>
    <row r="50" ht="15.75" customHeight="1">
      <c r="A50" s="3" t="s">
        <v>183</v>
      </c>
      <c r="B50" s="3" t="s">
        <v>184</v>
      </c>
      <c r="C50" s="3" t="s">
        <v>185</v>
      </c>
      <c r="D50" s="3" t="s">
        <v>54</v>
      </c>
      <c r="E50" s="3" t="s">
        <v>55</v>
      </c>
    </row>
    <row r="51" ht="15.75" customHeight="1">
      <c r="A51" s="3" t="s">
        <v>186</v>
      </c>
      <c r="B51" s="3" t="s">
        <v>187</v>
      </c>
      <c r="C51" s="3" t="s">
        <v>188</v>
      </c>
      <c r="D51" s="3" t="s">
        <v>37</v>
      </c>
      <c r="E51" s="3" t="s">
        <v>50</v>
      </c>
    </row>
    <row r="52" ht="15.75" customHeight="1">
      <c r="A52" s="3" t="s">
        <v>189</v>
      </c>
      <c r="B52" s="3" t="s">
        <v>190</v>
      </c>
      <c r="C52" s="3" t="s">
        <v>191</v>
      </c>
      <c r="D52" s="3" t="s">
        <v>37</v>
      </c>
      <c r="E52" s="3" t="s">
        <v>50</v>
      </c>
    </row>
    <row r="53" ht="15.75" customHeight="1">
      <c r="A53" s="3" t="s">
        <v>192</v>
      </c>
      <c r="B53" s="3" t="s">
        <v>193</v>
      </c>
      <c r="C53" s="3" t="s">
        <v>194</v>
      </c>
      <c r="D53" s="3" t="s">
        <v>37</v>
      </c>
      <c r="E53" s="3" t="s">
        <v>50</v>
      </c>
    </row>
    <row r="54" ht="15.75" customHeight="1">
      <c r="A54" s="3" t="s">
        <v>195</v>
      </c>
      <c r="B54" s="3" t="s">
        <v>196</v>
      </c>
      <c r="C54" s="3" t="s">
        <v>197</v>
      </c>
      <c r="D54" s="3" t="s">
        <v>42</v>
      </c>
      <c r="E54" s="3" t="s">
        <v>43</v>
      </c>
    </row>
    <row r="55" ht="15.75" customHeight="1">
      <c r="A55" s="3" t="s">
        <v>198</v>
      </c>
      <c r="B55" s="3" t="s">
        <v>199</v>
      </c>
      <c r="C55" s="3" t="s">
        <v>200</v>
      </c>
      <c r="D55" s="3" t="s">
        <v>54</v>
      </c>
      <c r="E55" s="3" t="s">
        <v>55</v>
      </c>
    </row>
    <row r="56" ht="15.75" customHeight="1">
      <c r="A56" s="3" t="s">
        <v>201</v>
      </c>
      <c r="B56" s="3" t="s">
        <v>202</v>
      </c>
      <c r="C56" s="3" t="s">
        <v>203</v>
      </c>
      <c r="D56" s="3" t="s">
        <v>37</v>
      </c>
      <c r="E56" s="3" t="s">
        <v>50</v>
      </c>
    </row>
    <row r="57" ht="15.75" customHeight="1">
      <c r="A57" s="3" t="s">
        <v>204</v>
      </c>
      <c r="B57" s="3" t="s">
        <v>205</v>
      </c>
      <c r="C57" s="3" t="s">
        <v>206</v>
      </c>
      <c r="D57" s="3" t="s">
        <v>28</v>
      </c>
      <c r="E57" s="3" t="s">
        <v>33</v>
      </c>
    </row>
    <row r="58" ht="15.75" customHeight="1">
      <c r="A58" s="3" t="s">
        <v>207</v>
      </c>
      <c r="B58" s="3" t="s">
        <v>208</v>
      </c>
      <c r="C58" s="3" t="s">
        <v>209</v>
      </c>
      <c r="D58" s="3" t="s">
        <v>54</v>
      </c>
      <c r="E58" s="3" t="s">
        <v>55</v>
      </c>
    </row>
    <row r="59" ht="15.75" customHeight="1">
      <c r="A59" s="3" t="s">
        <v>210</v>
      </c>
      <c r="B59" s="3" t="s">
        <v>211</v>
      </c>
      <c r="C59" s="3" t="s">
        <v>212</v>
      </c>
      <c r="D59" s="3" t="s">
        <v>54</v>
      </c>
      <c r="E59" s="3" t="s">
        <v>55</v>
      </c>
    </row>
    <row r="60" ht="15.75" customHeight="1">
      <c r="A60" s="3" t="s">
        <v>213</v>
      </c>
      <c r="B60" s="3" t="s">
        <v>214</v>
      </c>
      <c r="C60" s="3" t="s">
        <v>215</v>
      </c>
      <c r="D60" s="3" t="s">
        <v>23</v>
      </c>
      <c r="E60" s="3" t="s">
        <v>68</v>
      </c>
    </row>
    <row r="61" ht="15.75" customHeight="1">
      <c r="A61" s="3" t="s">
        <v>216</v>
      </c>
      <c r="B61" s="3" t="s">
        <v>217</v>
      </c>
      <c r="C61" s="3" t="s">
        <v>218</v>
      </c>
      <c r="D61" s="3" t="s">
        <v>28</v>
      </c>
      <c r="E61" s="3" t="s">
        <v>98</v>
      </c>
    </row>
    <row r="62" ht="15.75" customHeight="1">
      <c r="A62" s="3" t="s">
        <v>219</v>
      </c>
      <c r="B62" s="3" t="s">
        <v>220</v>
      </c>
      <c r="C62" s="3" t="s">
        <v>221</v>
      </c>
      <c r="D62" s="3" t="s">
        <v>28</v>
      </c>
      <c r="E62" s="3" t="s">
        <v>29</v>
      </c>
    </row>
    <row r="63" ht="15.75" customHeight="1">
      <c r="A63" s="3" t="s">
        <v>222</v>
      </c>
      <c r="B63" s="3" t="s">
        <v>223</v>
      </c>
      <c r="C63" s="3" t="s">
        <v>224</v>
      </c>
      <c r="D63" s="3" t="s">
        <v>37</v>
      </c>
      <c r="E63" s="3" t="s">
        <v>50</v>
      </c>
    </row>
    <row r="64" ht="15.75" customHeight="1">
      <c r="A64" s="3" t="s">
        <v>225</v>
      </c>
      <c r="B64" s="3" t="s">
        <v>226</v>
      </c>
      <c r="C64" s="3" t="s">
        <v>227</v>
      </c>
      <c r="D64" s="3" t="s">
        <v>54</v>
      </c>
      <c r="E64" s="3" t="s">
        <v>55</v>
      </c>
    </row>
    <row r="65" ht="15.75" customHeight="1">
      <c r="A65" s="3" t="s">
        <v>228</v>
      </c>
      <c r="B65" s="3" t="s">
        <v>229</v>
      </c>
      <c r="C65" s="3" t="s">
        <v>230</v>
      </c>
      <c r="D65" s="3" t="s">
        <v>54</v>
      </c>
      <c r="E65" s="3" t="s">
        <v>55</v>
      </c>
    </row>
    <row r="66" ht="15.75" customHeight="1">
      <c r="A66" s="3" t="s">
        <v>231</v>
      </c>
      <c r="B66" s="3" t="s">
        <v>232</v>
      </c>
      <c r="C66" s="3" t="s">
        <v>233</v>
      </c>
      <c r="D66" s="3" t="s">
        <v>54</v>
      </c>
      <c r="E66" s="3" t="s">
        <v>55</v>
      </c>
    </row>
    <row r="67" ht="15.75" customHeight="1">
      <c r="A67" s="3" t="s">
        <v>234</v>
      </c>
      <c r="B67" s="3" t="s">
        <v>235</v>
      </c>
      <c r="C67" s="3" t="s">
        <v>236</v>
      </c>
      <c r="D67" s="3" t="s">
        <v>37</v>
      </c>
      <c r="E67" s="3" t="s">
        <v>38</v>
      </c>
    </row>
    <row r="68" ht="15.75" customHeight="1">
      <c r="A68" s="3" t="s">
        <v>237</v>
      </c>
      <c r="B68" s="3" t="s">
        <v>238</v>
      </c>
      <c r="C68" s="3" t="s">
        <v>239</v>
      </c>
      <c r="D68" s="3" t="s">
        <v>54</v>
      </c>
      <c r="E68" s="3" t="s">
        <v>55</v>
      </c>
    </row>
    <row r="69" ht="15.75" customHeight="1">
      <c r="A69" s="3" t="s">
        <v>240</v>
      </c>
      <c r="B69" s="3" t="s">
        <v>241</v>
      </c>
      <c r="C69" s="3" t="s">
        <v>242</v>
      </c>
      <c r="D69" s="3" t="s">
        <v>37</v>
      </c>
      <c r="E69" s="3" t="s">
        <v>50</v>
      </c>
    </row>
    <row r="70" ht="15.75" customHeight="1">
      <c r="A70" s="3" t="s">
        <v>243</v>
      </c>
      <c r="B70" s="3" t="s">
        <v>244</v>
      </c>
      <c r="C70" s="3" t="s">
        <v>245</v>
      </c>
      <c r="D70" s="3" t="s">
        <v>37</v>
      </c>
      <c r="E70" s="3" t="s">
        <v>50</v>
      </c>
    </row>
    <row r="71" ht="15.75" customHeight="1">
      <c r="A71" s="3" t="s">
        <v>246</v>
      </c>
      <c r="B71" s="3" t="s">
        <v>247</v>
      </c>
      <c r="C71" s="3" t="s">
        <v>248</v>
      </c>
      <c r="D71" s="3" t="s">
        <v>28</v>
      </c>
      <c r="E71" s="3" t="s">
        <v>29</v>
      </c>
    </row>
    <row r="72" ht="15.75" customHeight="1">
      <c r="A72" s="3" t="s">
        <v>249</v>
      </c>
      <c r="B72" s="3" t="s">
        <v>250</v>
      </c>
      <c r="C72" s="3" t="s">
        <v>251</v>
      </c>
      <c r="D72" s="3" t="s">
        <v>37</v>
      </c>
      <c r="E72" s="3" t="s">
        <v>50</v>
      </c>
    </row>
    <row r="73" ht="15.75" customHeight="1">
      <c r="A73" s="3" t="s">
        <v>252</v>
      </c>
      <c r="B73" s="3" t="s">
        <v>253</v>
      </c>
      <c r="C73" s="3" t="s">
        <v>254</v>
      </c>
      <c r="D73" s="3" t="s">
        <v>37</v>
      </c>
      <c r="E73" s="3" t="s">
        <v>50</v>
      </c>
    </row>
    <row r="74" ht="15.75" customHeight="1">
      <c r="A74" s="3" t="s">
        <v>255</v>
      </c>
      <c r="B74" s="3" t="s">
        <v>256</v>
      </c>
      <c r="C74" s="3" t="s">
        <v>257</v>
      </c>
      <c r="D74" s="3" t="s">
        <v>54</v>
      </c>
      <c r="E74" s="3" t="s">
        <v>55</v>
      </c>
    </row>
    <row r="75" ht="15.75" customHeight="1">
      <c r="A75" s="3" t="s">
        <v>258</v>
      </c>
      <c r="B75" s="3" t="s">
        <v>259</v>
      </c>
      <c r="C75" s="3" t="s">
        <v>260</v>
      </c>
      <c r="D75" s="3" t="s">
        <v>28</v>
      </c>
      <c r="E75" s="3" t="s">
        <v>29</v>
      </c>
    </row>
    <row r="76" ht="15.75" customHeight="1">
      <c r="A76" s="3" t="s">
        <v>261</v>
      </c>
      <c r="B76" s="3" t="s">
        <v>262</v>
      </c>
      <c r="C76" s="3" t="s">
        <v>263</v>
      </c>
      <c r="D76" s="3" t="s">
        <v>42</v>
      </c>
      <c r="E76" s="3" t="s">
        <v>264</v>
      </c>
    </row>
    <row r="77" ht="15.75" customHeight="1">
      <c r="A77" s="3" t="s">
        <v>265</v>
      </c>
      <c r="B77" s="3" t="s">
        <v>266</v>
      </c>
      <c r="C77" s="3" t="s">
        <v>267</v>
      </c>
      <c r="D77" s="3" t="s">
        <v>28</v>
      </c>
      <c r="E77" s="3" t="s">
        <v>29</v>
      </c>
    </row>
    <row r="78" ht="15.75" customHeight="1">
      <c r="A78" s="3" t="s">
        <v>268</v>
      </c>
      <c r="B78" s="3" t="s">
        <v>269</v>
      </c>
      <c r="C78" s="3" t="s">
        <v>270</v>
      </c>
      <c r="D78" s="3" t="s">
        <v>28</v>
      </c>
      <c r="E78" s="3" t="s">
        <v>79</v>
      </c>
    </row>
    <row r="79" ht="15.75" customHeight="1">
      <c r="A79" s="3" t="s">
        <v>271</v>
      </c>
      <c r="B79" s="3" t="s">
        <v>272</v>
      </c>
      <c r="C79" s="3" t="s">
        <v>273</v>
      </c>
      <c r="D79" s="3" t="s">
        <v>54</v>
      </c>
      <c r="E79" s="3" t="s">
        <v>55</v>
      </c>
    </row>
    <row r="80" ht="15.75" customHeight="1">
      <c r="A80" s="3" t="s">
        <v>274</v>
      </c>
      <c r="B80" s="3" t="s">
        <v>275</v>
      </c>
      <c r="C80" s="3" t="s">
        <v>276</v>
      </c>
      <c r="D80" s="3" t="s">
        <v>42</v>
      </c>
      <c r="E80" s="3" t="s">
        <v>43</v>
      </c>
    </row>
    <row r="81" ht="15.75" customHeight="1">
      <c r="A81" s="3" t="s">
        <v>277</v>
      </c>
      <c r="B81" s="3" t="s">
        <v>278</v>
      </c>
      <c r="C81" s="3" t="s">
        <v>279</v>
      </c>
      <c r="D81" s="3" t="s">
        <v>37</v>
      </c>
      <c r="E81" s="3" t="s">
        <v>50</v>
      </c>
    </row>
    <row r="82" ht="15.75" customHeight="1">
      <c r="A82" s="3" t="s">
        <v>280</v>
      </c>
      <c r="B82" s="3" t="s">
        <v>281</v>
      </c>
      <c r="C82" s="3" t="s">
        <v>282</v>
      </c>
      <c r="D82" s="3" t="s">
        <v>37</v>
      </c>
      <c r="E82" s="3" t="s">
        <v>50</v>
      </c>
    </row>
    <row r="83" ht="15.75" customHeight="1">
      <c r="A83" s="3" t="s">
        <v>283</v>
      </c>
      <c r="B83" s="3" t="s">
        <v>284</v>
      </c>
      <c r="C83" s="3" t="s">
        <v>285</v>
      </c>
      <c r="D83" s="3" t="s">
        <v>37</v>
      </c>
      <c r="E83" s="3" t="s">
        <v>50</v>
      </c>
    </row>
    <row r="84" ht="15.75" customHeight="1">
      <c r="A84" s="3" t="s">
        <v>286</v>
      </c>
      <c r="B84" s="3" t="s">
        <v>287</v>
      </c>
      <c r="C84" s="3" t="s">
        <v>288</v>
      </c>
      <c r="D84" s="3" t="s">
        <v>23</v>
      </c>
      <c r="E84" s="3" t="s">
        <v>68</v>
      </c>
    </row>
    <row r="85" ht="15.75" customHeight="1">
      <c r="A85" s="3" t="s">
        <v>289</v>
      </c>
      <c r="B85" s="3" t="s">
        <v>290</v>
      </c>
      <c r="C85" s="3" t="s">
        <v>291</v>
      </c>
      <c r="D85" s="3" t="s">
        <v>28</v>
      </c>
      <c r="E85" s="3" t="s">
        <v>79</v>
      </c>
    </row>
    <row r="86" ht="15.75" customHeight="1">
      <c r="A86" s="3" t="s">
        <v>292</v>
      </c>
      <c r="B86" s="3" t="s">
        <v>293</v>
      </c>
      <c r="C86" s="3" t="s">
        <v>294</v>
      </c>
      <c r="D86" s="3" t="s">
        <v>37</v>
      </c>
      <c r="E86" s="3" t="s">
        <v>50</v>
      </c>
    </row>
    <row r="87" ht="15.75" customHeight="1">
      <c r="A87" s="3" t="s">
        <v>295</v>
      </c>
      <c r="B87" s="3" t="s">
        <v>296</v>
      </c>
      <c r="C87" s="3" t="s">
        <v>297</v>
      </c>
      <c r="D87" s="3" t="s">
        <v>28</v>
      </c>
      <c r="E87" s="3" t="s">
        <v>33</v>
      </c>
    </row>
    <row r="88" ht="15.75" customHeight="1">
      <c r="A88" s="3" t="s">
        <v>298</v>
      </c>
      <c r="B88" s="3" t="s">
        <v>299</v>
      </c>
      <c r="C88" s="3" t="s">
        <v>300</v>
      </c>
      <c r="D88" s="3" t="s">
        <v>28</v>
      </c>
      <c r="E88" s="3" t="s">
        <v>33</v>
      </c>
    </row>
    <row r="89" ht="15.75" customHeight="1">
      <c r="A89" s="3" t="s">
        <v>301</v>
      </c>
      <c r="B89" s="3" t="s">
        <v>302</v>
      </c>
      <c r="C89" s="3" t="s">
        <v>303</v>
      </c>
      <c r="D89" s="3" t="s">
        <v>54</v>
      </c>
      <c r="E89" s="3" t="s">
        <v>111</v>
      </c>
    </row>
    <row r="90" ht="15.75" customHeight="1">
      <c r="A90" s="3" t="s">
        <v>304</v>
      </c>
      <c r="B90" s="3" t="s">
        <v>305</v>
      </c>
      <c r="C90" s="3" t="s">
        <v>306</v>
      </c>
      <c r="D90" s="3" t="s">
        <v>54</v>
      </c>
      <c r="E90" s="3" t="s">
        <v>55</v>
      </c>
    </row>
    <row r="91" ht="15.75" customHeight="1">
      <c r="A91" s="3" t="s">
        <v>307</v>
      </c>
      <c r="B91" s="3" t="s">
        <v>308</v>
      </c>
      <c r="C91" s="3" t="s">
        <v>309</v>
      </c>
      <c r="D91" s="3" t="s">
        <v>54</v>
      </c>
      <c r="E91" s="3" t="s">
        <v>55</v>
      </c>
    </row>
    <row r="92" ht="15.75" customHeight="1">
      <c r="A92" s="3" t="s">
        <v>310</v>
      </c>
      <c r="B92" s="3" t="s">
        <v>311</v>
      </c>
      <c r="C92" s="3" t="s">
        <v>312</v>
      </c>
      <c r="D92" s="3" t="s">
        <v>42</v>
      </c>
      <c r="E92" s="3" t="s">
        <v>313</v>
      </c>
    </row>
    <row r="93" ht="15.75" customHeight="1">
      <c r="A93" s="3" t="s">
        <v>314</v>
      </c>
      <c r="B93" s="3" t="s">
        <v>315</v>
      </c>
      <c r="C93" s="3" t="s">
        <v>316</v>
      </c>
      <c r="D93" s="3" t="s">
        <v>54</v>
      </c>
      <c r="E93" s="3" t="s">
        <v>55</v>
      </c>
    </row>
    <row r="94" ht="15.75" customHeight="1">
      <c r="A94" s="3" t="s">
        <v>317</v>
      </c>
      <c r="B94" s="3" t="s">
        <v>318</v>
      </c>
      <c r="C94" s="3" t="s">
        <v>319</v>
      </c>
      <c r="D94" s="3" t="s">
        <v>28</v>
      </c>
      <c r="E94" s="3" t="s">
        <v>29</v>
      </c>
    </row>
    <row r="95" ht="15.75" customHeight="1">
      <c r="A95" s="3" t="s">
        <v>320</v>
      </c>
      <c r="B95" s="3" t="s">
        <v>321</v>
      </c>
      <c r="C95" s="3" t="s">
        <v>322</v>
      </c>
      <c r="D95" s="3" t="s">
        <v>37</v>
      </c>
      <c r="E95" s="3" t="s">
        <v>50</v>
      </c>
    </row>
    <row r="96" ht="15.75" customHeight="1">
      <c r="A96" s="3" t="s">
        <v>323</v>
      </c>
      <c r="B96" s="3" t="s">
        <v>324</v>
      </c>
      <c r="C96" s="3" t="s">
        <v>325</v>
      </c>
      <c r="D96" s="3" t="s">
        <v>37</v>
      </c>
      <c r="E96" s="3" t="s">
        <v>50</v>
      </c>
    </row>
    <row r="97" ht="15.75" customHeight="1">
      <c r="A97" s="3" t="s">
        <v>326</v>
      </c>
      <c r="B97" s="3" t="s">
        <v>327</v>
      </c>
      <c r="C97" s="3" t="s">
        <v>328</v>
      </c>
      <c r="D97" s="3" t="s">
        <v>54</v>
      </c>
      <c r="E97" s="3" t="s">
        <v>55</v>
      </c>
    </row>
    <row r="98" ht="15.75" customHeight="1">
      <c r="A98" s="3" t="s">
        <v>329</v>
      </c>
      <c r="B98" s="3" t="s">
        <v>330</v>
      </c>
      <c r="C98" s="3" t="s">
        <v>331</v>
      </c>
      <c r="D98" s="3" t="s">
        <v>54</v>
      </c>
      <c r="E98" s="3" t="s">
        <v>55</v>
      </c>
    </row>
    <row r="99" ht="15.75" customHeight="1">
      <c r="A99" s="3" t="s">
        <v>332</v>
      </c>
      <c r="B99" s="3" t="s">
        <v>333</v>
      </c>
      <c r="C99" s="3" t="s">
        <v>334</v>
      </c>
      <c r="D99" s="3" t="s">
        <v>42</v>
      </c>
      <c r="E99" s="3" t="s">
        <v>75</v>
      </c>
    </row>
    <row r="100" ht="15.75" customHeight="1">
      <c r="A100" s="3" t="s">
        <v>335</v>
      </c>
      <c r="B100" s="3" t="s">
        <v>336</v>
      </c>
      <c r="C100" s="3" t="s">
        <v>337</v>
      </c>
      <c r="D100" s="3" t="s">
        <v>28</v>
      </c>
      <c r="E100" s="3" t="s">
        <v>33</v>
      </c>
    </row>
    <row r="101" ht="15.75" customHeight="1">
      <c r="A101" s="3" t="s">
        <v>338</v>
      </c>
      <c r="B101" s="3" t="s">
        <v>339</v>
      </c>
      <c r="C101" s="3" t="s">
        <v>340</v>
      </c>
      <c r="D101" s="3" t="s">
        <v>54</v>
      </c>
      <c r="E101" s="3" t="s">
        <v>55</v>
      </c>
    </row>
    <row r="102" ht="15.75" customHeight="1">
      <c r="A102" s="3" t="s">
        <v>341</v>
      </c>
      <c r="B102" s="3" t="s">
        <v>342</v>
      </c>
      <c r="C102" s="3" t="s">
        <v>343</v>
      </c>
      <c r="D102" s="3" t="s">
        <v>23</v>
      </c>
      <c r="E102" s="3" t="s">
        <v>176</v>
      </c>
    </row>
    <row r="103" ht="15.75" customHeight="1">
      <c r="A103" s="3" t="s">
        <v>344</v>
      </c>
      <c r="B103" s="3" t="s">
        <v>345</v>
      </c>
      <c r="C103" s="3" t="s">
        <v>346</v>
      </c>
      <c r="D103" s="3" t="s">
        <v>28</v>
      </c>
      <c r="E103" s="3" t="s">
        <v>98</v>
      </c>
    </row>
    <row r="104" ht="15.75" customHeight="1">
      <c r="A104" s="3" t="s">
        <v>347</v>
      </c>
      <c r="B104" s="3" t="s">
        <v>348</v>
      </c>
      <c r="C104" s="3" t="s">
        <v>349</v>
      </c>
      <c r="D104" s="3" t="s">
        <v>28</v>
      </c>
      <c r="E104" s="3" t="s">
        <v>29</v>
      </c>
    </row>
    <row r="105" ht="15.75" customHeight="1">
      <c r="A105" s="3" t="s">
        <v>350</v>
      </c>
      <c r="B105" s="3" t="s">
        <v>351</v>
      </c>
      <c r="C105" s="3" t="s">
        <v>352</v>
      </c>
      <c r="D105" s="3" t="s">
        <v>23</v>
      </c>
      <c r="E105" s="3" t="s">
        <v>24</v>
      </c>
    </row>
    <row r="106" ht="15.75" customHeight="1">
      <c r="A106" s="3" t="s">
        <v>353</v>
      </c>
      <c r="B106" s="3" t="s">
        <v>354</v>
      </c>
      <c r="C106" s="3" t="s">
        <v>355</v>
      </c>
      <c r="D106" s="3" t="s">
        <v>23</v>
      </c>
      <c r="E106" s="3" t="s">
        <v>139</v>
      </c>
    </row>
    <row r="107" ht="15.75" customHeight="1">
      <c r="A107" s="3" t="s">
        <v>356</v>
      </c>
      <c r="B107" s="3" t="s">
        <v>357</v>
      </c>
      <c r="C107" s="3" t="s">
        <v>358</v>
      </c>
      <c r="D107" s="3" t="s">
        <v>23</v>
      </c>
      <c r="E107" s="3" t="s">
        <v>24</v>
      </c>
    </row>
    <row r="108" ht="15.75" customHeight="1">
      <c r="A108" s="3" t="s">
        <v>359</v>
      </c>
      <c r="B108" s="3" t="s">
        <v>360</v>
      </c>
      <c r="C108" s="3" t="s">
        <v>361</v>
      </c>
      <c r="D108" s="3" t="s">
        <v>23</v>
      </c>
      <c r="E108" s="3" t="s">
        <v>68</v>
      </c>
    </row>
    <row r="109" ht="15.75" customHeight="1">
      <c r="A109" s="3" t="s">
        <v>362</v>
      </c>
      <c r="B109" s="3" t="s">
        <v>363</v>
      </c>
      <c r="C109" s="3" t="s">
        <v>364</v>
      </c>
      <c r="D109" s="3" t="s">
        <v>28</v>
      </c>
      <c r="E109" s="3" t="s">
        <v>29</v>
      </c>
    </row>
    <row r="110" ht="15.75" customHeight="1">
      <c r="A110" s="3" t="s">
        <v>365</v>
      </c>
      <c r="B110" s="3" t="s">
        <v>366</v>
      </c>
      <c r="C110" s="3" t="s">
        <v>367</v>
      </c>
      <c r="D110" s="3" t="s">
        <v>28</v>
      </c>
      <c r="E110" s="3" t="s">
        <v>29</v>
      </c>
    </row>
    <row r="111" ht="15.75" customHeight="1">
      <c r="A111" s="3" t="s">
        <v>368</v>
      </c>
      <c r="B111" s="3" t="s">
        <v>369</v>
      </c>
      <c r="C111" s="3" t="s">
        <v>370</v>
      </c>
      <c r="D111" s="3" t="s">
        <v>23</v>
      </c>
      <c r="E111" s="3" t="s">
        <v>68</v>
      </c>
    </row>
    <row r="112" ht="15.75" customHeight="1">
      <c r="A112" s="3" t="s">
        <v>371</v>
      </c>
      <c r="B112" s="3" t="s">
        <v>372</v>
      </c>
      <c r="C112" s="3" t="s">
        <v>373</v>
      </c>
      <c r="D112" s="3" t="s">
        <v>28</v>
      </c>
      <c r="E112" s="3" t="s">
        <v>33</v>
      </c>
    </row>
    <row r="113" ht="15.75" customHeight="1">
      <c r="A113" s="3" t="s">
        <v>374</v>
      </c>
      <c r="B113" s="3" t="s">
        <v>375</v>
      </c>
      <c r="C113" s="3" t="s">
        <v>376</v>
      </c>
      <c r="D113" s="3" t="s">
        <v>54</v>
      </c>
      <c r="E113" s="3" t="s">
        <v>55</v>
      </c>
    </row>
    <row r="114" ht="15.75" customHeight="1">
      <c r="A114" s="3" t="s">
        <v>377</v>
      </c>
      <c r="B114" s="3" t="s">
        <v>378</v>
      </c>
      <c r="C114" s="3" t="s">
        <v>379</v>
      </c>
      <c r="D114" s="3" t="s">
        <v>23</v>
      </c>
      <c r="E114" s="3" t="s">
        <v>176</v>
      </c>
    </row>
    <row r="115" ht="15.75" customHeight="1">
      <c r="A115" s="3" t="s">
        <v>380</v>
      </c>
      <c r="B115" s="3" t="s">
        <v>381</v>
      </c>
      <c r="C115" s="3" t="s">
        <v>382</v>
      </c>
      <c r="D115" s="3" t="s">
        <v>28</v>
      </c>
      <c r="E115" s="3" t="s">
        <v>29</v>
      </c>
    </row>
    <row r="116" ht="15.75" customHeight="1">
      <c r="A116" s="3" t="s">
        <v>383</v>
      </c>
      <c r="B116" s="3" t="s">
        <v>384</v>
      </c>
      <c r="C116" s="3" t="s">
        <v>385</v>
      </c>
      <c r="D116" s="3" t="s">
        <v>23</v>
      </c>
      <c r="E116" s="3" t="s">
        <v>68</v>
      </c>
    </row>
    <row r="117" ht="15.75" customHeight="1">
      <c r="A117" s="3" t="s">
        <v>386</v>
      </c>
      <c r="B117" s="3" t="s">
        <v>387</v>
      </c>
      <c r="C117" s="3" t="s">
        <v>388</v>
      </c>
      <c r="D117" s="3" t="s">
        <v>23</v>
      </c>
      <c r="E117" s="3" t="s">
        <v>389</v>
      </c>
    </row>
    <row r="118" ht="15.75" customHeight="1">
      <c r="A118" s="3" t="s">
        <v>390</v>
      </c>
      <c r="B118" s="3" t="s">
        <v>391</v>
      </c>
      <c r="C118" s="3" t="s">
        <v>392</v>
      </c>
      <c r="D118" s="3" t="s">
        <v>37</v>
      </c>
      <c r="E118" s="3" t="s">
        <v>50</v>
      </c>
    </row>
    <row r="119" ht="15.75" customHeight="1">
      <c r="A119" s="3" t="s">
        <v>393</v>
      </c>
      <c r="B119" s="3" t="s">
        <v>394</v>
      </c>
      <c r="C119" s="3" t="s">
        <v>395</v>
      </c>
      <c r="D119" s="3" t="s">
        <v>42</v>
      </c>
      <c r="E119" s="3" t="s">
        <v>313</v>
      </c>
    </row>
    <row r="120" ht="15.75" customHeight="1">
      <c r="A120" s="3" t="s">
        <v>396</v>
      </c>
      <c r="B120" s="3" t="s">
        <v>397</v>
      </c>
      <c r="C120" s="3" t="s">
        <v>398</v>
      </c>
      <c r="D120" s="3" t="s">
        <v>23</v>
      </c>
      <c r="E120" s="3" t="s">
        <v>176</v>
      </c>
    </row>
    <row r="121" ht="15.75" customHeight="1">
      <c r="A121" s="3" t="s">
        <v>399</v>
      </c>
      <c r="B121" s="3" t="s">
        <v>400</v>
      </c>
      <c r="C121" s="3" t="s">
        <v>401</v>
      </c>
      <c r="D121" s="3" t="s">
        <v>23</v>
      </c>
      <c r="E121" s="3" t="s">
        <v>176</v>
      </c>
    </row>
    <row r="122" ht="15.75" customHeight="1">
      <c r="A122" s="3" t="s">
        <v>402</v>
      </c>
      <c r="B122" s="3" t="s">
        <v>403</v>
      </c>
      <c r="C122" s="3" t="s">
        <v>404</v>
      </c>
      <c r="D122" s="3" t="s">
        <v>23</v>
      </c>
      <c r="E122" s="3" t="s">
        <v>68</v>
      </c>
    </row>
    <row r="123" ht="15.75" customHeight="1">
      <c r="A123" s="3" t="s">
        <v>405</v>
      </c>
      <c r="B123" s="3" t="s">
        <v>406</v>
      </c>
      <c r="C123" s="3" t="s">
        <v>407</v>
      </c>
      <c r="D123" s="3" t="s">
        <v>23</v>
      </c>
      <c r="E123" s="3" t="s">
        <v>389</v>
      </c>
    </row>
    <row r="124" ht="15.75" customHeight="1">
      <c r="A124" s="3" t="s">
        <v>408</v>
      </c>
      <c r="B124" s="3" t="s">
        <v>409</v>
      </c>
      <c r="C124" s="3" t="s">
        <v>410</v>
      </c>
      <c r="D124" s="3" t="s">
        <v>23</v>
      </c>
      <c r="E124" s="3" t="s">
        <v>139</v>
      </c>
    </row>
    <row r="125" ht="15.75" customHeight="1">
      <c r="A125" s="3" t="s">
        <v>411</v>
      </c>
      <c r="B125" s="3" t="s">
        <v>412</v>
      </c>
      <c r="C125" s="3" t="s">
        <v>413</v>
      </c>
      <c r="D125" s="3" t="s">
        <v>28</v>
      </c>
      <c r="E125" s="3" t="s">
        <v>29</v>
      </c>
    </row>
    <row r="126" ht="15.75" customHeight="1">
      <c r="A126" s="3" t="s">
        <v>414</v>
      </c>
      <c r="B126" s="3" t="s">
        <v>415</v>
      </c>
      <c r="C126" s="3" t="s">
        <v>416</v>
      </c>
      <c r="D126" s="3" t="s">
        <v>23</v>
      </c>
      <c r="E126" s="3" t="s">
        <v>68</v>
      </c>
    </row>
    <row r="127" ht="15.75" customHeight="1">
      <c r="A127" s="3" t="s">
        <v>417</v>
      </c>
      <c r="B127" s="3" t="s">
        <v>418</v>
      </c>
      <c r="C127" s="3" t="s">
        <v>419</v>
      </c>
      <c r="D127" s="3" t="s">
        <v>37</v>
      </c>
      <c r="E127" s="3" t="s">
        <v>50</v>
      </c>
    </row>
    <row r="128" ht="15.75" customHeight="1">
      <c r="A128" s="3" t="s">
        <v>420</v>
      </c>
      <c r="B128" s="3" t="s">
        <v>421</v>
      </c>
      <c r="C128" s="3" t="s">
        <v>422</v>
      </c>
      <c r="D128" s="3" t="s">
        <v>37</v>
      </c>
      <c r="E128" s="3" t="s">
        <v>50</v>
      </c>
    </row>
    <row r="129" ht="15.75" customHeight="1">
      <c r="A129" s="3" t="s">
        <v>423</v>
      </c>
      <c r="B129" s="3" t="s">
        <v>424</v>
      </c>
      <c r="C129" s="3" t="s">
        <v>425</v>
      </c>
      <c r="D129" s="3" t="s">
        <v>37</v>
      </c>
      <c r="E129" s="3" t="s">
        <v>38</v>
      </c>
    </row>
    <row r="130" ht="15.75" customHeight="1">
      <c r="A130" s="3" t="s">
        <v>426</v>
      </c>
      <c r="B130" s="3" t="s">
        <v>427</v>
      </c>
      <c r="C130" s="3" t="s">
        <v>428</v>
      </c>
      <c r="D130" s="3" t="s">
        <v>28</v>
      </c>
      <c r="E130" s="3" t="s">
        <v>79</v>
      </c>
    </row>
    <row r="131" ht="15.75" customHeight="1">
      <c r="A131" s="3" t="s">
        <v>429</v>
      </c>
      <c r="B131" s="3" t="s">
        <v>430</v>
      </c>
      <c r="C131" s="3" t="s">
        <v>431</v>
      </c>
      <c r="D131" s="3" t="s">
        <v>28</v>
      </c>
      <c r="E131" s="3" t="s">
        <v>29</v>
      </c>
    </row>
    <row r="132" ht="15.75" customHeight="1">
      <c r="A132" s="3" t="s">
        <v>432</v>
      </c>
      <c r="B132" s="3" t="s">
        <v>433</v>
      </c>
      <c r="C132" s="3" t="s">
        <v>434</v>
      </c>
      <c r="D132" s="3" t="s">
        <v>28</v>
      </c>
      <c r="E132" s="3" t="s">
        <v>79</v>
      </c>
    </row>
    <row r="133" ht="15.75" customHeight="1">
      <c r="A133" s="3" t="s">
        <v>435</v>
      </c>
      <c r="B133" s="3" t="s">
        <v>436</v>
      </c>
      <c r="C133" s="3" t="s">
        <v>437</v>
      </c>
      <c r="D133" s="3" t="s">
        <v>23</v>
      </c>
      <c r="E133" s="3" t="s">
        <v>176</v>
      </c>
    </row>
    <row r="134" ht="15.75" customHeight="1">
      <c r="A134" s="3" t="s">
        <v>438</v>
      </c>
      <c r="B134" s="3" t="s">
        <v>439</v>
      </c>
      <c r="C134" s="3" t="s">
        <v>440</v>
      </c>
      <c r="D134" s="3" t="s">
        <v>37</v>
      </c>
      <c r="E134" s="3" t="s">
        <v>50</v>
      </c>
    </row>
    <row r="135" ht="15.75" customHeight="1">
      <c r="A135" s="3" t="s">
        <v>441</v>
      </c>
      <c r="B135" s="3" t="s">
        <v>442</v>
      </c>
      <c r="C135" s="3" t="s">
        <v>443</v>
      </c>
      <c r="D135" s="3" t="s">
        <v>37</v>
      </c>
      <c r="E135" s="3" t="s">
        <v>50</v>
      </c>
    </row>
    <row r="136" ht="15.75" customHeight="1">
      <c r="A136" s="3" t="s">
        <v>444</v>
      </c>
      <c r="B136" s="3" t="s">
        <v>445</v>
      </c>
      <c r="C136" s="3" t="s">
        <v>446</v>
      </c>
      <c r="D136" s="3" t="s">
        <v>23</v>
      </c>
      <c r="E136" s="3" t="s">
        <v>139</v>
      </c>
    </row>
    <row r="137" ht="15.75" customHeight="1">
      <c r="A137" s="3" t="s">
        <v>447</v>
      </c>
      <c r="B137" s="3" t="s">
        <v>448</v>
      </c>
      <c r="C137" s="3" t="s">
        <v>449</v>
      </c>
      <c r="D137" s="3" t="s">
        <v>23</v>
      </c>
      <c r="E137" s="3" t="s">
        <v>24</v>
      </c>
    </row>
    <row r="138" ht="15.75" customHeight="1">
      <c r="A138" s="3" t="s">
        <v>450</v>
      </c>
      <c r="B138" s="3" t="s">
        <v>451</v>
      </c>
      <c r="C138" s="3" t="s">
        <v>452</v>
      </c>
      <c r="D138" s="3" t="s">
        <v>37</v>
      </c>
      <c r="E138" s="3" t="s">
        <v>50</v>
      </c>
    </row>
    <row r="139" ht="15.75" customHeight="1">
      <c r="A139" s="3" t="s">
        <v>453</v>
      </c>
      <c r="B139" s="3" t="s">
        <v>454</v>
      </c>
      <c r="C139" s="3" t="s">
        <v>455</v>
      </c>
      <c r="D139" s="3" t="s">
        <v>28</v>
      </c>
      <c r="E139" s="3" t="s">
        <v>33</v>
      </c>
    </row>
    <row r="140" ht="15.75" customHeight="1">
      <c r="A140" s="3" t="s">
        <v>456</v>
      </c>
      <c r="B140" s="3" t="s">
        <v>457</v>
      </c>
      <c r="C140" s="3" t="s">
        <v>458</v>
      </c>
      <c r="D140" s="3" t="s">
        <v>42</v>
      </c>
      <c r="E140" s="3" t="s">
        <v>313</v>
      </c>
    </row>
    <row r="141" ht="15.75" customHeight="1">
      <c r="A141" s="3" t="s">
        <v>459</v>
      </c>
      <c r="B141" s="3" t="s">
        <v>460</v>
      </c>
      <c r="C141" s="3" t="s">
        <v>461</v>
      </c>
      <c r="D141" s="3" t="s">
        <v>54</v>
      </c>
      <c r="E141" s="3" t="s">
        <v>55</v>
      </c>
    </row>
    <row r="142" ht="15.75" customHeight="1">
      <c r="A142" s="3" t="s">
        <v>462</v>
      </c>
      <c r="B142" s="3" t="s">
        <v>463</v>
      </c>
      <c r="C142" s="3" t="s">
        <v>464</v>
      </c>
      <c r="D142" s="3" t="s">
        <v>37</v>
      </c>
      <c r="E142" s="3" t="s">
        <v>50</v>
      </c>
    </row>
    <row r="143" ht="15.75" customHeight="1">
      <c r="A143" s="3" t="s">
        <v>465</v>
      </c>
      <c r="B143" s="3" t="s">
        <v>466</v>
      </c>
      <c r="C143" s="3" t="s">
        <v>467</v>
      </c>
      <c r="D143" s="3" t="s">
        <v>37</v>
      </c>
      <c r="E143" s="3" t="s">
        <v>50</v>
      </c>
    </row>
    <row r="144" ht="15.75" customHeight="1">
      <c r="A144" s="3" t="s">
        <v>468</v>
      </c>
      <c r="B144" s="3" t="s">
        <v>469</v>
      </c>
      <c r="C144" s="3" t="s">
        <v>470</v>
      </c>
      <c r="D144" s="3" t="s">
        <v>37</v>
      </c>
      <c r="E144" s="3" t="s">
        <v>50</v>
      </c>
    </row>
    <row r="145" ht="15.75" customHeight="1">
      <c r="A145" s="3" t="s">
        <v>471</v>
      </c>
      <c r="B145" s="3" t="s">
        <v>472</v>
      </c>
      <c r="C145" s="3" t="s">
        <v>473</v>
      </c>
      <c r="D145" s="3" t="s">
        <v>54</v>
      </c>
      <c r="E145" s="3" t="s">
        <v>55</v>
      </c>
    </row>
    <row r="146" ht="15.75" customHeight="1">
      <c r="A146" s="3" t="s">
        <v>474</v>
      </c>
      <c r="B146" s="3" t="s">
        <v>475</v>
      </c>
      <c r="C146" s="3" t="s">
        <v>476</v>
      </c>
      <c r="D146" s="3" t="s">
        <v>42</v>
      </c>
      <c r="E146" s="3" t="s">
        <v>313</v>
      </c>
    </row>
    <row r="147" ht="15.75" customHeight="1">
      <c r="A147" s="3" t="s">
        <v>477</v>
      </c>
      <c r="B147" s="3" t="s">
        <v>478</v>
      </c>
      <c r="C147" s="3" t="s">
        <v>479</v>
      </c>
      <c r="D147" s="3" t="s">
        <v>28</v>
      </c>
      <c r="E147" s="3" t="s">
        <v>98</v>
      </c>
    </row>
    <row r="148" ht="15.75" customHeight="1">
      <c r="A148" s="3" t="s">
        <v>480</v>
      </c>
      <c r="B148" s="3" t="s">
        <v>481</v>
      </c>
      <c r="C148" s="3" t="s">
        <v>482</v>
      </c>
      <c r="D148" s="3" t="s">
        <v>28</v>
      </c>
      <c r="E148" s="3" t="s">
        <v>79</v>
      </c>
    </row>
    <row r="149" ht="15.75" customHeight="1">
      <c r="A149" s="3" t="s">
        <v>483</v>
      </c>
      <c r="B149" s="3" t="s">
        <v>484</v>
      </c>
      <c r="C149" s="3" t="s">
        <v>485</v>
      </c>
      <c r="D149" s="3" t="s">
        <v>23</v>
      </c>
      <c r="E149" s="3" t="s">
        <v>176</v>
      </c>
    </row>
    <row r="150" ht="15.75" customHeight="1">
      <c r="A150" s="3" t="s">
        <v>486</v>
      </c>
      <c r="B150" s="3" t="s">
        <v>487</v>
      </c>
      <c r="C150" s="3" t="s">
        <v>488</v>
      </c>
      <c r="D150" s="3" t="s">
        <v>28</v>
      </c>
      <c r="E150" s="3" t="s">
        <v>33</v>
      </c>
    </row>
    <row r="151" ht="15.75" customHeight="1">
      <c r="A151" s="3" t="s">
        <v>489</v>
      </c>
      <c r="B151" s="3" t="s">
        <v>490</v>
      </c>
      <c r="C151" s="3" t="s">
        <v>491</v>
      </c>
      <c r="D151" s="3" t="s">
        <v>54</v>
      </c>
      <c r="E151" s="3" t="s">
        <v>55</v>
      </c>
    </row>
    <row r="152" ht="15.75" customHeight="1">
      <c r="A152" s="3" t="s">
        <v>492</v>
      </c>
      <c r="B152" s="3" t="s">
        <v>493</v>
      </c>
      <c r="C152" s="3" t="s">
        <v>494</v>
      </c>
      <c r="D152" s="3" t="s">
        <v>37</v>
      </c>
      <c r="E152" s="3" t="s">
        <v>38</v>
      </c>
    </row>
    <row r="153" ht="15.75" customHeight="1">
      <c r="A153" s="3" t="s">
        <v>495</v>
      </c>
      <c r="B153" s="3" t="s">
        <v>496</v>
      </c>
      <c r="C153" s="3" t="s">
        <v>497</v>
      </c>
      <c r="D153" s="3" t="s">
        <v>37</v>
      </c>
      <c r="E153" s="3" t="s">
        <v>50</v>
      </c>
    </row>
    <row r="154" ht="15.75" customHeight="1">
      <c r="A154" s="3" t="s">
        <v>498</v>
      </c>
      <c r="B154" s="3" t="s">
        <v>499</v>
      </c>
      <c r="C154" s="3" t="s">
        <v>500</v>
      </c>
      <c r="D154" s="3" t="s">
        <v>23</v>
      </c>
      <c r="E154" s="3" t="s">
        <v>139</v>
      </c>
    </row>
    <row r="155" ht="15.75" customHeight="1">
      <c r="A155" s="3" t="s">
        <v>501</v>
      </c>
      <c r="B155" s="3" t="s">
        <v>502</v>
      </c>
      <c r="C155" s="3" t="s">
        <v>503</v>
      </c>
      <c r="D155" s="3" t="s">
        <v>37</v>
      </c>
      <c r="E155" s="3" t="s">
        <v>50</v>
      </c>
    </row>
    <row r="156" ht="15.75" customHeight="1">
      <c r="A156" s="3" t="s">
        <v>504</v>
      </c>
      <c r="B156" s="3" t="s">
        <v>505</v>
      </c>
      <c r="C156" s="3" t="s">
        <v>506</v>
      </c>
      <c r="D156" s="3" t="s">
        <v>42</v>
      </c>
      <c r="E156" s="3" t="s">
        <v>313</v>
      </c>
    </row>
    <row r="157" ht="15.75" customHeight="1">
      <c r="A157" s="3" t="s">
        <v>507</v>
      </c>
      <c r="B157" s="3" t="s">
        <v>508</v>
      </c>
      <c r="C157" s="3" t="s">
        <v>509</v>
      </c>
      <c r="D157" s="3" t="s">
        <v>23</v>
      </c>
      <c r="E157" s="3" t="s">
        <v>24</v>
      </c>
    </row>
    <row r="158" ht="15.75" customHeight="1">
      <c r="A158" s="3" t="s">
        <v>510</v>
      </c>
      <c r="B158" s="3" t="s">
        <v>511</v>
      </c>
      <c r="C158" s="3" t="s">
        <v>512</v>
      </c>
      <c r="D158" s="3" t="s">
        <v>28</v>
      </c>
      <c r="E158" s="3" t="s">
        <v>79</v>
      </c>
    </row>
    <row r="159" ht="15.75" customHeight="1">
      <c r="A159" s="3" t="s">
        <v>513</v>
      </c>
      <c r="B159" s="3" t="s">
        <v>514</v>
      </c>
      <c r="C159" s="3" t="s">
        <v>515</v>
      </c>
      <c r="D159" s="3" t="s">
        <v>42</v>
      </c>
      <c r="E159" s="3" t="s">
        <v>264</v>
      </c>
    </row>
    <row r="160" ht="15.75" customHeight="1">
      <c r="A160" s="3" t="s">
        <v>516</v>
      </c>
      <c r="B160" s="3" t="s">
        <v>517</v>
      </c>
      <c r="C160" s="3" t="s">
        <v>518</v>
      </c>
      <c r="D160" s="3" t="s">
        <v>42</v>
      </c>
      <c r="E160" s="3" t="s">
        <v>75</v>
      </c>
    </row>
    <row r="161" ht="15.75" customHeight="1">
      <c r="A161" s="3" t="s">
        <v>519</v>
      </c>
      <c r="B161" s="3" t="s">
        <v>520</v>
      </c>
      <c r="C161" s="3" t="s">
        <v>521</v>
      </c>
      <c r="D161" s="3" t="s">
        <v>54</v>
      </c>
      <c r="E161" s="3" t="s">
        <v>55</v>
      </c>
    </row>
    <row r="162" ht="15.75" customHeight="1">
      <c r="A162" s="3" t="s">
        <v>522</v>
      </c>
      <c r="B162" s="3" t="s">
        <v>523</v>
      </c>
      <c r="C162" s="3" t="s">
        <v>524</v>
      </c>
      <c r="D162" s="3" t="s">
        <v>37</v>
      </c>
      <c r="E162" s="3" t="s">
        <v>50</v>
      </c>
    </row>
    <row r="163" ht="15.75" customHeight="1">
      <c r="A163" s="3" t="s">
        <v>525</v>
      </c>
      <c r="B163" s="3" t="s">
        <v>526</v>
      </c>
      <c r="C163" s="3" t="s">
        <v>527</v>
      </c>
      <c r="D163" s="3" t="s">
        <v>37</v>
      </c>
      <c r="E163" s="3" t="s">
        <v>50</v>
      </c>
    </row>
    <row r="164" ht="15.75" customHeight="1">
      <c r="A164" s="3" t="s">
        <v>528</v>
      </c>
      <c r="B164" s="3" t="s">
        <v>529</v>
      </c>
      <c r="C164" s="3" t="s">
        <v>530</v>
      </c>
      <c r="D164" s="3" t="s">
        <v>42</v>
      </c>
      <c r="E164" s="3" t="s">
        <v>43</v>
      </c>
    </row>
    <row r="165" ht="15.75" customHeight="1">
      <c r="A165" s="3" t="s">
        <v>531</v>
      </c>
      <c r="B165" s="3" t="s">
        <v>532</v>
      </c>
      <c r="C165" s="3" t="s">
        <v>533</v>
      </c>
      <c r="D165" s="3" t="s">
        <v>42</v>
      </c>
      <c r="E165" s="3" t="s">
        <v>75</v>
      </c>
    </row>
    <row r="166" ht="15.75" customHeight="1">
      <c r="A166" s="3" t="s">
        <v>534</v>
      </c>
      <c r="B166" s="3" t="s">
        <v>535</v>
      </c>
      <c r="C166" s="3" t="s">
        <v>536</v>
      </c>
      <c r="D166" s="3" t="s">
        <v>28</v>
      </c>
      <c r="E166" s="3" t="s">
        <v>33</v>
      </c>
    </row>
    <row r="167" ht="15.75" customHeight="1">
      <c r="A167" s="3" t="s">
        <v>537</v>
      </c>
      <c r="B167" s="3" t="s">
        <v>538</v>
      </c>
      <c r="C167" s="3" t="s">
        <v>539</v>
      </c>
      <c r="D167" s="3" t="s">
        <v>42</v>
      </c>
      <c r="E167" s="3" t="s">
        <v>313</v>
      </c>
    </row>
    <row r="168" ht="15.75" customHeight="1">
      <c r="A168" s="3" t="s">
        <v>540</v>
      </c>
      <c r="B168" s="3" t="s">
        <v>541</v>
      </c>
      <c r="C168" s="3" t="s">
        <v>542</v>
      </c>
      <c r="D168" s="3" t="s">
        <v>28</v>
      </c>
      <c r="E168" s="3" t="s">
        <v>29</v>
      </c>
    </row>
    <row r="169" ht="15.75" customHeight="1">
      <c r="A169" s="3" t="s">
        <v>543</v>
      </c>
      <c r="B169" s="3" t="s">
        <v>544</v>
      </c>
      <c r="C169" s="3" t="s">
        <v>545</v>
      </c>
      <c r="D169" s="3" t="s">
        <v>23</v>
      </c>
      <c r="E169" s="3" t="s">
        <v>68</v>
      </c>
    </row>
    <row r="170" ht="15.75" customHeight="1">
      <c r="A170" s="3" t="s">
        <v>546</v>
      </c>
      <c r="B170" s="3" t="s">
        <v>547</v>
      </c>
      <c r="C170" s="3" t="s">
        <v>548</v>
      </c>
      <c r="D170" s="3" t="s">
        <v>23</v>
      </c>
      <c r="E170" s="3" t="s">
        <v>24</v>
      </c>
    </row>
    <row r="171" ht="15.75" customHeight="1">
      <c r="A171" s="3" t="s">
        <v>549</v>
      </c>
      <c r="B171" s="3" t="s">
        <v>550</v>
      </c>
      <c r="C171" s="3" t="s">
        <v>551</v>
      </c>
      <c r="D171" s="3" t="s">
        <v>42</v>
      </c>
      <c r="E171" s="3" t="s">
        <v>313</v>
      </c>
    </row>
    <row r="172" ht="15.75" customHeight="1">
      <c r="A172" s="3" t="s">
        <v>552</v>
      </c>
      <c r="B172" s="3" t="s">
        <v>553</v>
      </c>
      <c r="C172" s="3" t="s">
        <v>554</v>
      </c>
      <c r="D172" s="3" t="s">
        <v>23</v>
      </c>
      <c r="E172" s="3" t="s">
        <v>68</v>
      </c>
    </row>
    <row r="173" ht="15.75" customHeight="1">
      <c r="A173" s="3" t="s">
        <v>555</v>
      </c>
      <c r="B173" s="3" t="s">
        <v>556</v>
      </c>
      <c r="C173" s="3" t="s">
        <v>557</v>
      </c>
      <c r="D173" s="3" t="s">
        <v>54</v>
      </c>
      <c r="E173" s="3" t="s">
        <v>55</v>
      </c>
    </row>
    <row r="174" ht="15.75" customHeight="1">
      <c r="A174" s="3" t="s">
        <v>558</v>
      </c>
      <c r="B174" s="3" t="s">
        <v>559</v>
      </c>
      <c r="C174" s="3" t="s">
        <v>560</v>
      </c>
      <c r="D174" s="3" t="s">
        <v>42</v>
      </c>
      <c r="E174" s="3" t="s">
        <v>264</v>
      </c>
    </row>
    <row r="175" ht="15.75" customHeight="1">
      <c r="A175" s="3" t="s">
        <v>561</v>
      </c>
      <c r="B175" s="3" t="s">
        <v>562</v>
      </c>
      <c r="C175" s="3" t="s">
        <v>563</v>
      </c>
      <c r="D175" s="3" t="s">
        <v>54</v>
      </c>
      <c r="E175" s="3" t="s">
        <v>55</v>
      </c>
    </row>
    <row r="176" ht="15.75" customHeight="1">
      <c r="A176" s="3" t="s">
        <v>564</v>
      </c>
      <c r="B176" s="3" t="s">
        <v>565</v>
      </c>
      <c r="C176" s="3" t="s">
        <v>566</v>
      </c>
      <c r="D176" s="3" t="s">
        <v>54</v>
      </c>
      <c r="E176" s="3" t="s">
        <v>55</v>
      </c>
    </row>
    <row r="177" ht="15.75" customHeight="1">
      <c r="A177" s="3" t="s">
        <v>567</v>
      </c>
      <c r="B177" s="3" t="s">
        <v>568</v>
      </c>
      <c r="C177" s="3" t="s">
        <v>569</v>
      </c>
      <c r="D177" s="3" t="s">
        <v>23</v>
      </c>
      <c r="E177" s="3" t="s">
        <v>139</v>
      </c>
    </row>
    <row r="178" ht="15.75" customHeight="1">
      <c r="A178" s="3" t="s">
        <v>570</v>
      </c>
      <c r="B178" s="3" t="s">
        <v>571</v>
      </c>
      <c r="C178" s="3" t="s">
        <v>572</v>
      </c>
      <c r="D178" s="3" t="s">
        <v>42</v>
      </c>
      <c r="E178" s="3" t="s">
        <v>43</v>
      </c>
    </row>
    <row r="179" ht="15.75" customHeight="1">
      <c r="A179" s="3" t="s">
        <v>573</v>
      </c>
      <c r="B179" s="3" t="s">
        <v>574</v>
      </c>
      <c r="C179" s="3" t="s">
        <v>575</v>
      </c>
      <c r="D179" s="3" t="s">
        <v>28</v>
      </c>
      <c r="E179" s="3" t="s">
        <v>98</v>
      </c>
    </row>
    <row r="180" ht="15.75" customHeight="1">
      <c r="A180" s="3" t="s">
        <v>576</v>
      </c>
      <c r="B180" s="3" t="s">
        <v>577</v>
      </c>
      <c r="C180" s="3" t="s">
        <v>578</v>
      </c>
      <c r="D180" s="3" t="s">
        <v>28</v>
      </c>
      <c r="E180" s="3" t="s">
        <v>33</v>
      </c>
    </row>
    <row r="181" ht="15.75" customHeight="1">
      <c r="A181" s="3" t="s">
        <v>579</v>
      </c>
      <c r="B181" s="3" t="s">
        <v>580</v>
      </c>
      <c r="C181" s="3" t="s">
        <v>581</v>
      </c>
      <c r="D181" s="3" t="s">
        <v>54</v>
      </c>
      <c r="E181" s="3" t="s">
        <v>55</v>
      </c>
    </row>
    <row r="182" ht="15.75" customHeight="1">
      <c r="A182" s="3" t="s">
        <v>582</v>
      </c>
      <c r="B182" s="3" t="s">
        <v>583</v>
      </c>
      <c r="C182" s="3" t="s">
        <v>584</v>
      </c>
      <c r="D182" s="3" t="s">
        <v>23</v>
      </c>
      <c r="E182" s="3" t="s">
        <v>68</v>
      </c>
    </row>
    <row r="183" ht="15.75" customHeight="1">
      <c r="A183" s="3" t="s">
        <v>585</v>
      </c>
      <c r="B183" s="3" t="s">
        <v>586</v>
      </c>
      <c r="C183" s="3" t="s">
        <v>587</v>
      </c>
      <c r="D183" s="3" t="s">
        <v>37</v>
      </c>
      <c r="E183" s="3" t="s">
        <v>50</v>
      </c>
    </row>
    <row r="184" ht="15.75" customHeight="1">
      <c r="A184" s="3" t="s">
        <v>588</v>
      </c>
      <c r="B184" s="3" t="s">
        <v>589</v>
      </c>
      <c r="C184" s="3" t="s">
        <v>590</v>
      </c>
      <c r="D184" s="3" t="s">
        <v>28</v>
      </c>
      <c r="E184" s="3" t="s">
        <v>98</v>
      </c>
    </row>
    <row r="185" ht="15.75" customHeight="1">
      <c r="A185" s="3" t="s">
        <v>591</v>
      </c>
      <c r="B185" s="3" t="s">
        <v>592</v>
      </c>
      <c r="C185" s="3" t="s">
        <v>593</v>
      </c>
      <c r="D185" s="3" t="s">
        <v>28</v>
      </c>
      <c r="E185" s="3" t="s">
        <v>98</v>
      </c>
    </row>
    <row r="186" ht="15.75" customHeight="1">
      <c r="A186" s="3" t="s">
        <v>594</v>
      </c>
      <c r="B186" s="3" t="s">
        <v>595</v>
      </c>
      <c r="C186" s="3" t="s">
        <v>596</v>
      </c>
      <c r="D186" s="3" t="s">
        <v>37</v>
      </c>
      <c r="E186" s="3" t="s">
        <v>50</v>
      </c>
    </row>
    <row r="187" ht="15.75" customHeight="1">
      <c r="A187" s="3" t="s">
        <v>597</v>
      </c>
      <c r="B187" s="3" t="s">
        <v>598</v>
      </c>
      <c r="C187" s="3" t="s">
        <v>599</v>
      </c>
      <c r="D187" s="3" t="s">
        <v>54</v>
      </c>
      <c r="E187" s="3" t="s">
        <v>55</v>
      </c>
    </row>
    <row r="188" ht="15.75" customHeight="1">
      <c r="A188" s="3" t="s">
        <v>600</v>
      </c>
      <c r="B188" s="3" t="s">
        <v>601</v>
      </c>
      <c r="C188" s="3" t="s">
        <v>602</v>
      </c>
      <c r="D188" s="3" t="s">
        <v>37</v>
      </c>
      <c r="E188" s="3" t="s">
        <v>50</v>
      </c>
    </row>
    <row r="189" ht="15.75" customHeight="1">
      <c r="A189" s="3" t="s">
        <v>603</v>
      </c>
      <c r="B189" s="3" t="s">
        <v>604</v>
      </c>
      <c r="C189" s="3" t="s">
        <v>605</v>
      </c>
      <c r="D189" s="3" t="s">
        <v>54</v>
      </c>
      <c r="E189" s="3" t="s">
        <v>55</v>
      </c>
    </row>
    <row r="190" ht="15.75" customHeight="1">
      <c r="A190" s="3" t="s">
        <v>606</v>
      </c>
      <c r="B190" s="3" t="s">
        <v>607</v>
      </c>
      <c r="C190" s="3" t="s">
        <v>608</v>
      </c>
      <c r="D190" s="3" t="s">
        <v>54</v>
      </c>
      <c r="E190" s="3" t="s">
        <v>55</v>
      </c>
    </row>
    <row r="191" ht="15.75" customHeight="1">
      <c r="A191" s="3" t="s">
        <v>609</v>
      </c>
      <c r="B191" s="3" t="s">
        <v>610</v>
      </c>
      <c r="C191" s="3" t="s">
        <v>611</v>
      </c>
      <c r="D191" s="3" t="s">
        <v>54</v>
      </c>
      <c r="E191" s="3" t="s">
        <v>55</v>
      </c>
    </row>
    <row r="192" ht="15.75" customHeight="1">
      <c r="A192" s="3" t="s">
        <v>612</v>
      </c>
      <c r="B192" s="3" t="s">
        <v>613</v>
      </c>
      <c r="C192" s="3" t="s">
        <v>614</v>
      </c>
      <c r="D192" s="3" t="s">
        <v>54</v>
      </c>
      <c r="E192" s="3" t="s">
        <v>111</v>
      </c>
    </row>
    <row r="193" ht="15.75" customHeight="1">
      <c r="A193" s="3" t="s">
        <v>615</v>
      </c>
      <c r="B193" s="3" t="s">
        <v>616</v>
      </c>
      <c r="C193" s="3" t="s">
        <v>617</v>
      </c>
      <c r="D193" s="3" t="s">
        <v>54</v>
      </c>
      <c r="E193" s="3" t="s">
        <v>55</v>
      </c>
    </row>
    <row r="194" ht="15.75" customHeight="1">
      <c r="A194" s="3" t="s">
        <v>618</v>
      </c>
      <c r="B194" s="3" t="s">
        <v>619</v>
      </c>
      <c r="C194" s="3" t="s">
        <v>620</v>
      </c>
      <c r="D194" s="3" t="s">
        <v>42</v>
      </c>
      <c r="E194" s="3" t="s">
        <v>43</v>
      </c>
    </row>
    <row r="195" ht="15.75" customHeight="1">
      <c r="A195" s="3" t="s">
        <v>621</v>
      </c>
      <c r="B195" s="3" t="s">
        <v>622</v>
      </c>
      <c r="C195" s="3" t="s">
        <v>623</v>
      </c>
      <c r="D195" s="3" t="s">
        <v>28</v>
      </c>
      <c r="E195" s="3" t="s">
        <v>33</v>
      </c>
    </row>
    <row r="196" ht="15.75" customHeight="1">
      <c r="A196" s="3" t="s">
        <v>624</v>
      </c>
      <c r="B196" s="3" t="s">
        <v>625</v>
      </c>
      <c r="C196" s="3" t="s">
        <v>626</v>
      </c>
      <c r="D196" s="3" t="s">
        <v>37</v>
      </c>
      <c r="E196" s="3" t="s">
        <v>50</v>
      </c>
    </row>
    <row r="197" ht="15.75" customHeight="1">
      <c r="A197" s="3" t="s">
        <v>627</v>
      </c>
      <c r="B197" s="3" t="s">
        <v>628</v>
      </c>
      <c r="C197" s="3" t="s">
        <v>629</v>
      </c>
      <c r="D197" s="3" t="s">
        <v>23</v>
      </c>
      <c r="E197" s="3" t="s">
        <v>68</v>
      </c>
    </row>
    <row r="198" ht="15.75" customHeight="1">
      <c r="A198" s="3" t="s">
        <v>630</v>
      </c>
      <c r="B198" s="3" t="s">
        <v>631</v>
      </c>
      <c r="C198" s="3" t="s">
        <v>632</v>
      </c>
      <c r="D198" s="3" t="s">
        <v>37</v>
      </c>
      <c r="E198" s="3" t="s">
        <v>50</v>
      </c>
    </row>
    <row r="199" ht="15.75" customHeight="1">
      <c r="A199" s="3" t="s">
        <v>633</v>
      </c>
      <c r="B199" s="3" t="s">
        <v>634</v>
      </c>
      <c r="C199" s="3" t="s">
        <v>635</v>
      </c>
      <c r="D199" s="3" t="s">
        <v>28</v>
      </c>
      <c r="E199" s="3" t="s">
        <v>33</v>
      </c>
    </row>
    <row r="200" ht="15.75" customHeight="1">
      <c r="A200" s="3" t="s">
        <v>636</v>
      </c>
      <c r="B200" s="3" t="s">
        <v>637</v>
      </c>
      <c r="C200" s="3" t="s">
        <v>638</v>
      </c>
      <c r="D200" s="3" t="s">
        <v>37</v>
      </c>
      <c r="E200" s="3" t="s">
        <v>50</v>
      </c>
    </row>
    <row r="201" ht="15.75" customHeight="1">
      <c r="A201" s="3" t="s">
        <v>639</v>
      </c>
      <c r="B201" s="3" t="s">
        <v>640</v>
      </c>
      <c r="C201" s="3" t="s">
        <v>641</v>
      </c>
      <c r="D201" s="3" t="s">
        <v>37</v>
      </c>
      <c r="E201" s="3" t="s">
        <v>50</v>
      </c>
    </row>
    <row r="202" ht="15.75" customHeight="1">
      <c r="A202" s="3" t="s">
        <v>642</v>
      </c>
      <c r="B202" s="3" t="s">
        <v>643</v>
      </c>
      <c r="C202" s="3" t="s">
        <v>644</v>
      </c>
      <c r="D202" s="3" t="s">
        <v>23</v>
      </c>
      <c r="E202" s="3" t="s">
        <v>139</v>
      </c>
    </row>
    <row r="203" ht="15.75" customHeight="1">
      <c r="A203" s="3" t="s">
        <v>645</v>
      </c>
      <c r="B203" s="3" t="s">
        <v>646</v>
      </c>
      <c r="C203" s="3" t="s">
        <v>647</v>
      </c>
      <c r="D203" s="3" t="s">
        <v>54</v>
      </c>
      <c r="E203" s="3" t="s">
        <v>55</v>
      </c>
    </row>
    <row r="204" ht="15.75" customHeight="1">
      <c r="A204" s="3" t="s">
        <v>648</v>
      </c>
      <c r="B204" s="3" t="s">
        <v>649</v>
      </c>
      <c r="C204" s="3" t="s">
        <v>650</v>
      </c>
      <c r="D204" s="3" t="s">
        <v>28</v>
      </c>
      <c r="E204" s="3" t="s">
        <v>98</v>
      </c>
    </row>
    <row r="205" ht="15.75" customHeight="1">
      <c r="A205" s="3" t="s">
        <v>651</v>
      </c>
      <c r="B205" s="3" t="s">
        <v>652</v>
      </c>
      <c r="C205" s="3" t="s">
        <v>653</v>
      </c>
      <c r="D205" s="3" t="s">
        <v>28</v>
      </c>
      <c r="E205" s="3" t="s">
        <v>33</v>
      </c>
    </row>
    <row r="206" ht="15.75" customHeight="1">
      <c r="A206" s="3" t="s">
        <v>654</v>
      </c>
      <c r="B206" s="3" t="s">
        <v>655</v>
      </c>
      <c r="C206" s="3" t="s">
        <v>656</v>
      </c>
      <c r="D206" s="3" t="s">
        <v>42</v>
      </c>
      <c r="E206" s="3" t="s">
        <v>264</v>
      </c>
    </row>
    <row r="207" ht="15.75" customHeight="1">
      <c r="A207" s="3" t="s">
        <v>657</v>
      </c>
      <c r="B207" s="3" t="s">
        <v>658</v>
      </c>
      <c r="C207" s="3" t="s">
        <v>659</v>
      </c>
      <c r="D207" s="3" t="s">
        <v>37</v>
      </c>
      <c r="E207" s="3" t="s">
        <v>50</v>
      </c>
    </row>
    <row r="208" ht="15.75" customHeight="1">
      <c r="A208" s="3" t="s">
        <v>660</v>
      </c>
      <c r="B208" s="3" t="s">
        <v>661</v>
      </c>
      <c r="C208" s="3" t="s">
        <v>662</v>
      </c>
      <c r="D208" s="3" t="s">
        <v>37</v>
      </c>
      <c r="E208" s="3" t="s">
        <v>50</v>
      </c>
    </row>
    <row r="209" ht="15.75" customHeight="1">
      <c r="A209" s="3" t="s">
        <v>663</v>
      </c>
      <c r="B209" s="3" t="s">
        <v>664</v>
      </c>
      <c r="C209" s="3" t="s">
        <v>665</v>
      </c>
      <c r="D209" s="3" t="s">
        <v>54</v>
      </c>
      <c r="E209" s="3" t="s">
        <v>55</v>
      </c>
    </row>
    <row r="210" ht="15.75" customHeight="1">
      <c r="A210" s="3" t="s">
        <v>666</v>
      </c>
      <c r="B210" s="3" t="s">
        <v>667</v>
      </c>
      <c r="C210" s="3" t="s">
        <v>668</v>
      </c>
      <c r="D210" s="3" t="s">
        <v>37</v>
      </c>
      <c r="E210" s="3" t="s">
        <v>50</v>
      </c>
    </row>
    <row r="211" ht="15.75" customHeight="1">
      <c r="A211" s="3" t="s">
        <v>669</v>
      </c>
      <c r="B211" s="3" t="s">
        <v>670</v>
      </c>
      <c r="C211" s="3" t="s">
        <v>671</v>
      </c>
      <c r="D211" s="3" t="s">
        <v>28</v>
      </c>
      <c r="E211" s="3" t="s">
        <v>33</v>
      </c>
    </row>
    <row r="212" ht="15.75" customHeight="1">
      <c r="A212" s="3" t="s">
        <v>672</v>
      </c>
      <c r="B212" s="3" t="s">
        <v>673</v>
      </c>
      <c r="C212" s="3" t="s">
        <v>674</v>
      </c>
      <c r="D212" s="3" t="s">
        <v>23</v>
      </c>
      <c r="E212" s="3" t="s">
        <v>24</v>
      </c>
    </row>
    <row r="213" ht="15.75" customHeight="1">
      <c r="A213" s="3" t="s">
        <v>675</v>
      </c>
      <c r="B213" s="3" t="s">
        <v>676</v>
      </c>
      <c r="C213" s="3" t="s">
        <v>677</v>
      </c>
      <c r="D213" s="3" t="s">
        <v>37</v>
      </c>
      <c r="E213" s="3" t="s">
        <v>38</v>
      </c>
    </row>
    <row r="214" ht="15.75" customHeight="1">
      <c r="A214" s="3" t="s">
        <v>678</v>
      </c>
      <c r="B214" s="3" t="s">
        <v>679</v>
      </c>
      <c r="C214" s="3" t="s">
        <v>680</v>
      </c>
      <c r="D214" s="3" t="s">
        <v>54</v>
      </c>
      <c r="E214" s="3" t="s">
        <v>55</v>
      </c>
    </row>
    <row r="215" ht="15.75" customHeight="1">
      <c r="A215" s="3" t="s">
        <v>681</v>
      </c>
      <c r="B215" s="3" t="s">
        <v>682</v>
      </c>
      <c r="C215" s="3" t="s">
        <v>683</v>
      </c>
      <c r="D215" s="3" t="s">
        <v>28</v>
      </c>
      <c r="E215" s="3" t="s">
        <v>29</v>
      </c>
    </row>
    <row r="216" ht="15.75" customHeight="1">
      <c r="A216" s="3" t="s">
        <v>684</v>
      </c>
      <c r="B216" s="3" t="s">
        <v>685</v>
      </c>
      <c r="C216" s="3" t="s">
        <v>686</v>
      </c>
      <c r="D216" s="3" t="s">
        <v>28</v>
      </c>
      <c r="E216" s="3" t="s">
        <v>29</v>
      </c>
    </row>
    <row r="217" ht="15.75" customHeight="1">
      <c r="A217" s="3" t="s">
        <v>687</v>
      </c>
      <c r="B217" s="3" t="s">
        <v>688</v>
      </c>
      <c r="C217" s="3" t="s">
        <v>689</v>
      </c>
      <c r="D217" s="3" t="s">
        <v>28</v>
      </c>
      <c r="E217" s="3" t="s">
        <v>79</v>
      </c>
    </row>
    <row r="218" ht="15.75" customHeight="1">
      <c r="A218" s="3" t="s">
        <v>690</v>
      </c>
      <c r="B218" s="3" t="s">
        <v>691</v>
      </c>
      <c r="C218" s="3" t="s">
        <v>692</v>
      </c>
      <c r="D218" s="3" t="s">
        <v>23</v>
      </c>
      <c r="E218" s="3" t="s">
        <v>68</v>
      </c>
    </row>
    <row r="219" ht="15.75" customHeight="1">
      <c r="A219" s="3" t="s">
        <v>693</v>
      </c>
      <c r="B219" s="3" t="s">
        <v>694</v>
      </c>
      <c r="C219" s="3" t="s">
        <v>695</v>
      </c>
      <c r="D219" s="3" t="s">
        <v>23</v>
      </c>
      <c r="E219" s="3" t="s">
        <v>176</v>
      </c>
    </row>
    <row r="220" ht="15.75" customHeight="1">
      <c r="A220" s="3" t="s">
        <v>696</v>
      </c>
      <c r="B220" s="3" t="s">
        <v>697</v>
      </c>
      <c r="C220" s="3" t="s">
        <v>698</v>
      </c>
      <c r="D220" s="3" t="s">
        <v>23</v>
      </c>
      <c r="E220" s="3" t="s">
        <v>389</v>
      </c>
    </row>
    <row r="221" ht="15.75" customHeight="1">
      <c r="A221" s="3" t="s">
        <v>699</v>
      </c>
      <c r="B221" s="3" t="s">
        <v>700</v>
      </c>
      <c r="C221" s="3" t="s">
        <v>701</v>
      </c>
      <c r="D221" s="3" t="s">
        <v>37</v>
      </c>
      <c r="E221" s="3" t="s">
        <v>50</v>
      </c>
    </row>
    <row r="222" ht="15.75" customHeight="1">
      <c r="A222" s="3" t="s">
        <v>702</v>
      </c>
      <c r="B222" s="3" t="s">
        <v>703</v>
      </c>
      <c r="C222" s="3" t="s">
        <v>704</v>
      </c>
      <c r="D222" s="3" t="s">
        <v>23</v>
      </c>
      <c r="E222" s="3" t="s">
        <v>139</v>
      </c>
    </row>
    <row r="223" ht="15.75" customHeight="1">
      <c r="A223" s="3" t="s">
        <v>705</v>
      </c>
      <c r="B223" s="3" t="s">
        <v>706</v>
      </c>
      <c r="C223" s="3" t="s">
        <v>707</v>
      </c>
      <c r="D223" s="3" t="s">
        <v>23</v>
      </c>
      <c r="E223" s="3" t="s">
        <v>139</v>
      </c>
    </row>
    <row r="224" ht="15.75" customHeight="1">
      <c r="A224" s="3" t="s">
        <v>708</v>
      </c>
      <c r="B224" s="3" t="s">
        <v>709</v>
      </c>
      <c r="C224" s="3" t="s">
        <v>710</v>
      </c>
      <c r="D224" s="3" t="s">
        <v>37</v>
      </c>
      <c r="E224" s="3" t="s">
        <v>50</v>
      </c>
    </row>
    <row r="225" ht="15.75" customHeight="1">
      <c r="A225" s="3" t="s">
        <v>711</v>
      </c>
      <c r="B225" s="3" t="s">
        <v>712</v>
      </c>
      <c r="C225" s="3" t="s">
        <v>713</v>
      </c>
      <c r="D225" s="3" t="s">
        <v>42</v>
      </c>
      <c r="E225" s="3" t="s">
        <v>43</v>
      </c>
    </row>
    <row r="226" ht="15.75" customHeight="1">
      <c r="A226" s="3" t="s">
        <v>714</v>
      </c>
      <c r="B226" s="3" t="s">
        <v>715</v>
      </c>
      <c r="C226" s="3" t="s">
        <v>716</v>
      </c>
      <c r="D226" s="3" t="s">
        <v>42</v>
      </c>
      <c r="E226" s="3" t="s">
        <v>43</v>
      </c>
    </row>
    <row r="227" ht="15.75" customHeight="1">
      <c r="A227" s="3" t="s">
        <v>717</v>
      </c>
      <c r="B227" s="3" t="s">
        <v>718</v>
      </c>
      <c r="C227" s="3" t="s">
        <v>719</v>
      </c>
      <c r="D227" s="3" t="s">
        <v>54</v>
      </c>
      <c r="E227" s="3" t="s">
        <v>55</v>
      </c>
    </row>
    <row r="228" ht="15.75" customHeight="1">
      <c r="A228" s="3" t="s">
        <v>720</v>
      </c>
      <c r="B228" s="3" t="s">
        <v>721</v>
      </c>
      <c r="C228" s="3" t="s">
        <v>722</v>
      </c>
      <c r="D228" s="3" t="s">
        <v>37</v>
      </c>
      <c r="E228" s="3" t="s">
        <v>38</v>
      </c>
    </row>
    <row r="229" ht="15.75" customHeight="1">
      <c r="A229" s="3" t="s">
        <v>723</v>
      </c>
      <c r="B229" s="3" t="s">
        <v>724</v>
      </c>
      <c r="C229" s="3" t="s">
        <v>725</v>
      </c>
      <c r="D229" s="3" t="s">
        <v>23</v>
      </c>
      <c r="E229" s="3" t="s">
        <v>68</v>
      </c>
    </row>
    <row r="230" ht="15.75" customHeight="1">
      <c r="A230" s="3" t="s">
        <v>726</v>
      </c>
      <c r="B230" s="3" t="s">
        <v>727</v>
      </c>
      <c r="C230" s="3" t="s">
        <v>728</v>
      </c>
      <c r="D230" s="3" t="s">
        <v>23</v>
      </c>
      <c r="E230" s="3" t="s">
        <v>389</v>
      </c>
    </row>
    <row r="231" ht="15.75" customHeight="1">
      <c r="A231" s="3" t="s">
        <v>729</v>
      </c>
      <c r="B231" s="3" t="s">
        <v>730</v>
      </c>
      <c r="C231" s="3" t="s">
        <v>731</v>
      </c>
      <c r="D231" s="3" t="s">
        <v>54</v>
      </c>
      <c r="E231" s="3" t="s">
        <v>55</v>
      </c>
    </row>
    <row r="232" ht="15.75" customHeight="1">
      <c r="A232" s="3" t="s">
        <v>732</v>
      </c>
      <c r="B232" s="3" t="s">
        <v>733</v>
      </c>
      <c r="C232" s="3" t="s">
        <v>734</v>
      </c>
      <c r="D232" s="3" t="s">
        <v>42</v>
      </c>
      <c r="E232" s="3" t="s">
        <v>43</v>
      </c>
    </row>
    <row r="233" ht="15.75" customHeight="1">
      <c r="A233" s="3" t="s">
        <v>735</v>
      </c>
      <c r="B233" s="3" t="s">
        <v>736</v>
      </c>
      <c r="C233" s="3" t="s">
        <v>737</v>
      </c>
      <c r="D233" s="3" t="s">
        <v>37</v>
      </c>
      <c r="E233" s="3" t="s">
        <v>50</v>
      </c>
    </row>
    <row r="234" ht="15.75" customHeight="1">
      <c r="A234" s="3" t="s">
        <v>738</v>
      </c>
      <c r="B234" s="3" t="s">
        <v>739</v>
      </c>
      <c r="C234" s="3" t="s">
        <v>740</v>
      </c>
      <c r="D234" s="3" t="s">
        <v>28</v>
      </c>
      <c r="E234" s="3" t="s">
        <v>98</v>
      </c>
    </row>
    <row r="235" ht="15.75" customHeight="1">
      <c r="A235" s="3" t="s">
        <v>741</v>
      </c>
      <c r="B235" s="3" t="s">
        <v>742</v>
      </c>
      <c r="C235" s="3" t="s">
        <v>743</v>
      </c>
      <c r="D235" s="3" t="s">
        <v>23</v>
      </c>
      <c r="E235" s="3" t="s">
        <v>68</v>
      </c>
    </row>
    <row r="236" ht="15.75" customHeight="1">
      <c r="A236" s="3" t="s">
        <v>744</v>
      </c>
      <c r="B236" s="3" t="s">
        <v>745</v>
      </c>
      <c r="C236" s="3" t="s">
        <v>746</v>
      </c>
      <c r="D236" s="3" t="s">
        <v>28</v>
      </c>
      <c r="E236" s="3" t="s">
        <v>29</v>
      </c>
    </row>
    <row r="237" ht="15.75" customHeight="1">
      <c r="A237" s="3" t="s">
        <v>747</v>
      </c>
      <c r="B237" s="3" t="s">
        <v>748</v>
      </c>
      <c r="C237" s="3" t="s">
        <v>749</v>
      </c>
      <c r="D237" s="3" t="s">
        <v>54</v>
      </c>
      <c r="E237" s="3" t="s">
        <v>111</v>
      </c>
    </row>
    <row r="238" ht="15.75" customHeight="1">
      <c r="A238" s="3" t="s">
        <v>750</v>
      </c>
      <c r="B238" s="3" t="s">
        <v>751</v>
      </c>
      <c r="C238" s="3" t="s">
        <v>752</v>
      </c>
      <c r="D238" s="3" t="s">
        <v>42</v>
      </c>
      <c r="E238" s="3" t="s">
        <v>313</v>
      </c>
    </row>
    <row r="239" ht="15.75" customHeight="1">
      <c r="A239" s="3" t="s">
        <v>753</v>
      </c>
      <c r="B239" s="3" t="s">
        <v>754</v>
      </c>
      <c r="C239" s="3" t="s">
        <v>755</v>
      </c>
      <c r="D239" s="3" t="s">
        <v>54</v>
      </c>
      <c r="E239" s="3" t="s">
        <v>55</v>
      </c>
    </row>
    <row r="240" ht="15.75" customHeight="1">
      <c r="A240" s="3" t="s">
        <v>756</v>
      </c>
      <c r="B240" s="3" t="s">
        <v>757</v>
      </c>
      <c r="C240" s="3" t="s">
        <v>758</v>
      </c>
      <c r="D240" s="3" t="s">
        <v>23</v>
      </c>
      <c r="E240" s="3" t="s">
        <v>389</v>
      </c>
    </row>
    <row r="241" ht="15.75" customHeight="1">
      <c r="A241" s="3" t="s">
        <v>759</v>
      </c>
      <c r="B241" s="3" t="s">
        <v>760</v>
      </c>
      <c r="C241" s="3" t="s">
        <v>761</v>
      </c>
      <c r="D241" s="3" t="s">
        <v>42</v>
      </c>
      <c r="E241" s="3" t="s">
        <v>264</v>
      </c>
    </row>
    <row r="242" ht="15.75" customHeight="1">
      <c r="A242" s="3" t="s">
        <v>762</v>
      </c>
      <c r="B242" s="3" t="s">
        <v>763</v>
      </c>
      <c r="C242" s="3" t="s">
        <v>764</v>
      </c>
      <c r="D242" s="3" t="s">
        <v>54</v>
      </c>
      <c r="E242" s="3" t="s">
        <v>55</v>
      </c>
    </row>
    <row r="243" ht="15.75" customHeight="1">
      <c r="A243" s="3" t="s">
        <v>765</v>
      </c>
      <c r="B243" s="3" t="s">
        <v>766</v>
      </c>
      <c r="C243" s="3" t="s">
        <v>767</v>
      </c>
      <c r="D243" s="3" t="s">
        <v>23</v>
      </c>
      <c r="E243" s="3" t="s">
        <v>139</v>
      </c>
    </row>
    <row r="244" ht="15.75" customHeight="1">
      <c r="A244" s="3" t="s">
        <v>768</v>
      </c>
      <c r="B244" s="3" t="s">
        <v>769</v>
      </c>
      <c r="C244" s="3" t="s">
        <v>770</v>
      </c>
      <c r="D244" s="3" t="s">
        <v>54</v>
      </c>
      <c r="E244" s="3" t="s">
        <v>55</v>
      </c>
    </row>
    <row r="245" ht="15.75" customHeight="1">
      <c r="A245" s="3" t="s">
        <v>771</v>
      </c>
      <c r="B245" s="3" t="s">
        <v>772</v>
      </c>
      <c r="C245" s="3" t="s">
        <v>773</v>
      </c>
      <c r="D245" s="3" t="s">
        <v>54</v>
      </c>
      <c r="E245" s="3" t="s">
        <v>55</v>
      </c>
    </row>
    <row r="246" ht="15.75" customHeight="1">
      <c r="A246" s="3" t="s">
        <v>774</v>
      </c>
      <c r="B246" s="3" t="s">
        <v>775</v>
      </c>
      <c r="C246" s="3" t="s">
        <v>776</v>
      </c>
      <c r="D246" s="3" t="s">
        <v>42</v>
      </c>
      <c r="E246" s="3" t="s">
        <v>43</v>
      </c>
    </row>
    <row r="247" ht="15.75" customHeight="1">
      <c r="A247" s="3" t="s">
        <v>777</v>
      </c>
      <c r="B247" s="3" t="s">
        <v>778</v>
      </c>
      <c r="C247" s="3" t="s">
        <v>779</v>
      </c>
      <c r="D247" s="3" t="s">
        <v>37</v>
      </c>
      <c r="E247" s="3" t="s">
        <v>38</v>
      </c>
    </row>
    <row r="248" ht="15.75" customHeight="1">
      <c r="A248" s="3" t="s">
        <v>780</v>
      </c>
      <c r="B248" s="3" t="s">
        <v>781</v>
      </c>
      <c r="C248" s="3" t="s">
        <v>782</v>
      </c>
      <c r="D248" s="3" t="s">
        <v>23</v>
      </c>
      <c r="E248" s="3" t="s">
        <v>68</v>
      </c>
    </row>
    <row r="249" ht="15.75" customHeight="1">
      <c r="A249" s="3" t="s">
        <v>783</v>
      </c>
      <c r="B249" s="3" t="s">
        <v>784</v>
      </c>
      <c r="C249" s="3" t="s">
        <v>785</v>
      </c>
      <c r="D249" s="3" t="s">
        <v>37</v>
      </c>
      <c r="E249" s="3" t="s">
        <v>50</v>
      </c>
    </row>
    <row r="250" ht="15.75" customHeight="1">
      <c r="A250" s="3" t="s">
        <v>786</v>
      </c>
      <c r="B250" s="3" t="s">
        <v>787</v>
      </c>
      <c r="C250" s="3" t="s">
        <v>788</v>
      </c>
      <c r="D250" s="3" t="s">
        <v>37</v>
      </c>
      <c r="E250" s="3" t="s">
        <v>50</v>
      </c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38"/>
    <col customWidth="1" min="2" max="2" width="9.63"/>
    <col customWidth="1" min="3" max="3" width="13.0"/>
    <col customWidth="1" min="4" max="4" width="12.0"/>
    <col customWidth="1" min="5" max="5" width="12.63"/>
    <col customWidth="1" min="6" max="6" width="17.63"/>
    <col customWidth="1" min="7" max="7" width="9.38"/>
    <col customWidth="1" min="8" max="8" width="12.0"/>
    <col customWidth="1" min="9" max="9" width="11.13"/>
    <col customWidth="1" min="10" max="10" width="11.63"/>
    <col customWidth="1" min="11" max="11" width="16.88"/>
    <col customWidth="1" min="12" max="12" width="11.88"/>
    <col customWidth="1" min="13" max="13" width="12.0"/>
    <col customWidth="1" min="14" max="14" width="9.38"/>
    <col customWidth="1" min="15" max="15" width="12.38"/>
    <col customWidth="1" min="16" max="16" width="9.25"/>
    <col customWidth="1" min="17" max="18" width="10.25"/>
    <col customWidth="1" min="19" max="20" width="14.88"/>
    <col customWidth="1" min="21" max="21" width="13.5"/>
    <col customWidth="1" min="25" max="25" width="15.0"/>
    <col customWidth="1" min="26" max="26" width="15.63"/>
    <col customWidth="1" min="27" max="27" width="19.0"/>
  </cols>
  <sheetData>
    <row r="1" ht="15.75" customHeight="1">
      <c r="A1" s="4" t="s">
        <v>789</v>
      </c>
      <c r="B1" s="4" t="s">
        <v>790</v>
      </c>
      <c r="C1" s="4" t="s">
        <v>791</v>
      </c>
      <c r="D1" s="5" t="s">
        <v>792</v>
      </c>
      <c r="E1" s="6" t="s">
        <v>793</v>
      </c>
      <c r="F1" s="4" t="s">
        <v>794</v>
      </c>
      <c r="G1" s="4" t="s">
        <v>795</v>
      </c>
      <c r="H1" s="4" t="s">
        <v>796</v>
      </c>
      <c r="I1" s="4" t="s">
        <v>797</v>
      </c>
      <c r="J1" s="4" t="s">
        <v>798</v>
      </c>
      <c r="K1" s="4" t="s">
        <v>799</v>
      </c>
      <c r="L1" s="4" t="s">
        <v>800</v>
      </c>
      <c r="M1" s="4" t="s">
        <v>801</v>
      </c>
      <c r="N1" s="4" t="s">
        <v>802</v>
      </c>
      <c r="O1" s="4" t="s">
        <v>803</v>
      </c>
      <c r="P1" s="5" t="s">
        <v>804</v>
      </c>
      <c r="Q1" s="7" t="s">
        <v>805</v>
      </c>
      <c r="R1" s="7" t="s">
        <v>806</v>
      </c>
      <c r="S1" s="7" t="s">
        <v>807</v>
      </c>
      <c r="T1" s="4" t="s">
        <v>808</v>
      </c>
      <c r="U1" s="4" t="s">
        <v>809</v>
      </c>
      <c r="V1" s="4" t="s">
        <v>2</v>
      </c>
      <c r="W1" s="4" t="s">
        <v>18</v>
      </c>
      <c r="X1" s="4" t="s">
        <v>19</v>
      </c>
      <c r="Y1" s="4" t="s">
        <v>810</v>
      </c>
      <c r="Z1" s="4" t="s">
        <v>811</v>
      </c>
      <c r="AA1" s="8" t="s">
        <v>812</v>
      </c>
      <c r="AB1" s="4"/>
      <c r="AC1" s="4"/>
      <c r="AD1" s="4"/>
      <c r="AE1" s="4"/>
      <c r="AF1" s="4"/>
      <c r="AG1" s="4"/>
    </row>
    <row r="2" ht="15.75" customHeight="1">
      <c r="A2" s="3">
        <v>1.00640618E8</v>
      </c>
      <c r="B2" s="9">
        <v>41861.0</v>
      </c>
      <c r="C2" s="3">
        <f>IFERROR(__xludf.DUMMYFUNCTION("split(B2,""/"")"),10.0)</f>
        <v>10</v>
      </c>
      <c r="D2" s="10">
        <f>IFERROR(__xludf.DUMMYFUNCTION("""COMPUTED_VALUE"""),8.0)</f>
        <v>8</v>
      </c>
      <c r="E2" s="11">
        <f>IFERROR(__xludf.DUMMYFUNCTION("""COMPUTED_VALUE"""),2014.0)</f>
        <v>2014</v>
      </c>
      <c r="F2" s="12">
        <f t="shared" ref="F2:F1331" si="1">DATE(E2,C2,D2)</f>
        <v>41920</v>
      </c>
      <c r="G2" s="3" t="s">
        <v>813</v>
      </c>
      <c r="H2" s="3">
        <f>IFERROR(__xludf.DUMMYFUNCTION("split(G2,""/"")"),10.0)</f>
        <v>10</v>
      </c>
      <c r="I2" s="3">
        <f>IFERROR(__xludf.DUMMYFUNCTION("""COMPUTED_VALUE"""),18.0)</f>
        <v>18</v>
      </c>
      <c r="J2" s="3">
        <f>IFERROR(__xludf.DUMMYFUNCTION("""COMPUTED_VALUE"""),2014.0)</f>
        <v>2014</v>
      </c>
      <c r="K2" s="12">
        <f t="shared" ref="K2:K1331" si="2">DATE(J2,H2,I2)</f>
        <v>41930</v>
      </c>
      <c r="L2" s="3" t="s">
        <v>814</v>
      </c>
      <c r="M2" s="3" t="s">
        <v>542</v>
      </c>
      <c r="N2" s="3">
        <v>2103.0</v>
      </c>
      <c r="O2" s="3" t="s">
        <v>815</v>
      </c>
      <c r="P2" s="10">
        <v>650.0</v>
      </c>
      <c r="Q2" s="13">
        <v>205.7</v>
      </c>
      <c r="R2" s="13">
        <v>117.11</v>
      </c>
      <c r="S2" s="13">
        <f t="shared" ref="S2:S1331" si="3">Q2*P2</f>
        <v>133705</v>
      </c>
      <c r="T2" s="13">
        <f t="shared" ref="T2:T1331" si="4">R2*P2</f>
        <v>76121.5</v>
      </c>
      <c r="U2" s="13">
        <f t="shared" ref="U2:U1331" si="5">S2-T2</f>
        <v>57583.5</v>
      </c>
      <c r="V2" s="3" t="str">
        <f>VLOOKUP(N2,products!A:B,2,0)</f>
        <v>Cereal</v>
      </c>
      <c r="W2" s="3" t="s">
        <v>28</v>
      </c>
      <c r="X2" s="3" t="s">
        <v>29</v>
      </c>
      <c r="Y2" s="14">
        <f t="shared" ref="Y2:Y184" si="6">U2/S2</f>
        <v>0.4306757414</v>
      </c>
      <c r="Z2" s="3">
        <f t="shared" ref="Z2:Z1332" si="7">K2-F2</f>
        <v>10</v>
      </c>
      <c r="AA2" s="15">
        <f t="shared" ref="AA2:AA1332" si="8">WEEKDAY(F2,1)</f>
        <v>4</v>
      </c>
      <c r="AB2" s="16" t="s">
        <v>816</v>
      </c>
      <c r="AC2" s="17">
        <f>U1332/S1332</f>
        <v>0.294592442</v>
      </c>
    </row>
    <row r="3" ht="15.75" customHeight="1">
      <c r="A3" s="3">
        <v>1.00983083E8</v>
      </c>
      <c r="B3" s="9">
        <v>42682.0</v>
      </c>
      <c r="C3" s="3">
        <f>IFERROR(__xludf.DUMMYFUNCTION("split(B3,""/"")"),8.0)</f>
        <v>8</v>
      </c>
      <c r="D3" s="10">
        <f>IFERROR(__xludf.DUMMYFUNCTION("""COMPUTED_VALUE"""),11.0)</f>
        <v>11</v>
      </c>
      <c r="E3" s="11">
        <f>IFERROR(__xludf.DUMMYFUNCTION("""COMPUTED_VALUE"""),2016.0)</f>
        <v>2016</v>
      </c>
      <c r="F3" s="12">
        <f t="shared" si="1"/>
        <v>42593</v>
      </c>
      <c r="G3" s="9">
        <v>42682.0</v>
      </c>
      <c r="H3" s="3">
        <f>IFERROR(__xludf.DUMMYFUNCTION("split(G3,""/"")"),8.0)</f>
        <v>8</v>
      </c>
      <c r="I3" s="3">
        <f>IFERROR(__xludf.DUMMYFUNCTION("""COMPUTED_VALUE"""),11.0)</f>
        <v>11</v>
      </c>
      <c r="J3" s="3">
        <f>IFERROR(__xludf.DUMMYFUNCTION("""COMPUTED_VALUE"""),2016.0)</f>
        <v>2016</v>
      </c>
      <c r="K3" s="12">
        <f t="shared" si="2"/>
        <v>42593</v>
      </c>
      <c r="L3" s="3" t="s">
        <v>817</v>
      </c>
      <c r="M3" s="3" t="s">
        <v>635</v>
      </c>
      <c r="N3" s="3">
        <v>2103.0</v>
      </c>
      <c r="O3" s="3" t="s">
        <v>818</v>
      </c>
      <c r="P3" s="10">
        <v>1993.0</v>
      </c>
      <c r="Q3" s="13">
        <v>205.7</v>
      </c>
      <c r="R3" s="13">
        <v>117.11</v>
      </c>
      <c r="S3" s="13">
        <f t="shared" si="3"/>
        <v>409960.1</v>
      </c>
      <c r="T3" s="13">
        <f t="shared" si="4"/>
        <v>233400.23</v>
      </c>
      <c r="U3" s="13">
        <f t="shared" si="5"/>
        <v>176559.87</v>
      </c>
      <c r="V3" s="3" t="str">
        <f>VLOOKUP(N3,products!A:B,2,0)</f>
        <v>Cereal</v>
      </c>
      <c r="W3" s="3" t="s">
        <v>28</v>
      </c>
      <c r="X3" s="3" t="s">
        <v>33</v>
      </c>
      <c r="Y3" s="14">
        <f t="shared" si="6"/>
        <v>0.4306757414</v>
      </c>
      <c r="Z3" s="3">
        <f t="shared" si="7"/>
        <v>0</v>
      </c>
      <c r="AA3" s="15">
        <f t="shared" si="8"/>
        <v>5</v>
      </c>
      <c r="AB3" s="16" t="s">
        <v>819</v>
      </c>
      <c r="AC3" s="17">
        <f>AVERAGE(Y2:Y1331)</f>
        <v>0.3405175914</v>
      </c>
    </row>
    <row r="4" ht="15.75" customHeight="1">
      <c r="A4" s="3">
        <v>1.01025998E8</v>
      </c>
      <c r="B4" s="3" t="s">
        <v>820</v>
      </c>
      <c r="C4" s="3">
        <f>IFERROR(__xludf.DUMMYFUNCTION("split(B4,""/"")"),7.0)</f>
        <v>7</v>
      </c>
      <c r="D4" s="10">
        <f>IFERROR(__xludf.DUMMYFUNCTION("""COMPUTED_VALUE"""),18.0)</f>
        <v>18</v>
      </c>
      <c r="E4" s="11">
        <f>IFERROR(__xludf.DUMMYFUNCTION("""COMPUTED_VALUE"""),2014.0)</f>
        <v>2014</v>
      </c>
      <c r="F4" s="12">
        <f t="shared" si="1"/>
        <v>41838</v>
      </c>
      <c r="G4" s="9">
        <v>41951.0</v>
      </c>
      <c r="H4" s="3">
        <f>IFERROR(__xludf.DUMMYFUNCTION("split(G4,""/"")"),8.0)</f>
        <v>8</v>
      </c>
      <c r="I4" s="3">
        <f>IFERROR(__xludf.DUMMYFUNCTION("""COMPUTED_VALUE"""),11.0)</f>
        <v>11</v>
      </c>
      <c r="J4" s="3">
        <f>IFERROR(__xludf.DUMMYFUNCTION("""COMPUTED_VALUE"""),2014.0)</f>
        <v>2014</v>
      </c>
      <c r="K4" s="12">
        <f t="shared" si="2"/>
        <v>41862</v>
      </c>
      <c r="L4" s="3" t="s">
        <v>814</v>
      </c>
      <c r="M4" s="3" t="s">
        <v>821</v>
      </c>
      <c r="N4" s="3">
        <v>7940.0</v>
      </c>
      <c r="O4" s="3" t="s">
        <v>815</v>
      </c>
      <c r="P4" s="10">
        <v>4693.0</v>
      </c>
      <c r="Q4" s="13">
        <v>668.27</v>
      </c>
      <c r="R4" s="13">
        <v>502.54</v>
      </c>
      <c r="S4" s="13">
        <f t="shared" si="3"/>
        <v>3136191.11</v>
      </c>
      <c r="T4" s="13">
        <f t="shared" si="4"/>
        <v>2358420.22</v>
      </c>
      <c r="U4" s="13">
        <f t="shared" si="5"/>
        <v>777770.89</v>
      </c>
      <c r="V4" s="3" t="str">
        <f>VLOOKUP(N4,products!A:B,2,0)</f>
        <v>Household</v>
      </c>
      <c r="W4" s="3" t="s">
        <v>821</v>
      </c>
      <c r="X4" s="3" t="s">
        <v>821</v>
      </c>
      <c r="Y4" s="14">
        <f t="shared" si="6"/>
        <v>0.2479985635</v>
      </c>
      <c r="Z4" s="3">
        <f t="shared" si="7"/>
        <v>24</v>
      </c>
      <c r="AA4" s="15">
        <f t="shared" si="8"/>
        <v>6</v>
      </c>
      <c r="AB4" s="16" t="s">
        <v>822</v>
      </c>
      <c r="AC4" s="17">
        <f>MEDIAN(Y2:Y1331)</f>
        <v>0.3300316122</v>
      </c>
    </row>
    <row r="5" ht="15.75" customHeight="1">
      <c r="A5" s="3">
        <v>1.02230632E8</v>
      </c>
      <c r="B5" s="3" t="s">
        <v>823</v>
      </c>
      <c r="C5" s="3">
        <f>IFERROR(__xludf.DUMMYFUNCTION("split(B5,""/"")"),5.0)</f>
        <v>5</v>
      </c>
      <c r="D5" s="10">
        <f>IFERROR(__xludf.DUMMYFUNCTION("""COMPUTED_VALUE"""),13.0)</f>
        <v>13</v>
      </c>
      <c r="E5" s="11">
        <f>IFERROR(__xludf.DUMMYFUNCTION("""COMPUTED_VALUE"""),2017.0)</f>
        <v>2017</v>
      </c>
      <c r="F5" s="12">
        <f t="shared" si="1"/>
        <v>42868</v>
      </c>
      <c r="G5" s="3" t="s">
        <v>824</v>
      </c>
      <c r="H5" s="3">
        <f>IFERROR(__xludf.DUMMYFUNCTION("split(G5,""/"")"),6.0)</f>
        <v>6</v>
      </c>
      <c r="I5" s="3">
        <f>IFERROR(__xludf.DUMMYFUNCTION("""COMPUTED_VALUE"""),13.0)</f>
        <v>13</v>
      </c>
      <c r="J5" s="3">
        <f>IFERROR(__xludf.DUMMYFUNCTION("""COMPUTED_VALUE"""),2017.0)</f>
        <v>2017</v>
      </c>
      <c r="K5" s="12">
        <f t="shared" si="2"/>
        <v>42899</v>
      </c>
      <c r="L5" s="3" t="s">
        <v>825</v>
      </c>
      <c r="M5" s="3" t="s">
        <v>488</v>
      </c>
      <c r="N5" s="3">
        <v>2455.0</v>
      </c>
      <c r="O5" s="3" t="s">
        <v>815</v>
      </c>
      <c r="P5" s="10">
        <v>1171.0</v>
      </c>
      <c r="Q5" s="13">
        <v>109.28</v>
      </c>
      <c r="R5" s="13">
        <v>35.84</v>
      </c>
      <c r="S5" s="13">
        <f t="shared" si="3"/>
        <v>127966.88</v>
      </c>
      <c r="T5" s="13">
        <f t="shared" si="4"/>
        <v>41968.64</v>
      </c>
      <c r="U5" s="13">
        <f t="shared" si="5"/>
        <v>85998.24</v>
      </c>
      <c r="V5" s="3" t="str">
        <f>VLOOKUP(N5,products!A:B,2,0)</f>
        <v>Clothes</v>
      </c>
      <c r="W5" s="3" t="s">
        <v>28</v>
      </c>
      <c r="X5" s="3" t="s">
        <v>33</v>
      </c>
      <c r="Y5" s="14">
        <f t="shared" si="6"/>
        <v>0.6720351391</v>
      </c>
      <c r="Z5" s="3">
        <f t="shared" si="7"/>
        <v>31</v>
      </c>
      <c r="AA5" s="15">
        <f t="shared" si="8"/>
        <v>7</v>
      </c>
    </row>
    <row r="6" ht="15.75" customHeight="1">
      <c r="A6" s="3">
        <v>1.03435266E8</v>
      </c>
      <c r="B6" s="9">
        <v>41221.0</v>
      </c>
      <c r="C6" s="3">
        <f>IFERROR(__xludf.DUMMYFUNCTION("split(B6,""/"")"),8.0)</f>
        <v>8</v>
      </c>
      <c r="D6" s="10">
        <f>IFERROR(__xludf.DUMMYFUNCTION("""COMPUTED_VALUE"""),11.0)</f>
        <v>11</v>
      </c>
      <c r="E6" s="11">
        <f>IFERROR(__xludf.DUMMYFUNCTION("""COMPUTED_VALUE"""),2012.0)</f>
        <v>2012</v>
      </c>
      <c r="F6" s="12">
        <f t="shared" si="1"/>
        <v>41132</v>
      </c>
      <c r="G6" s="3" t="s">
        <v>826</v>
      </c>
      <c r="H6" s="3">
        <f>IFERROR(__xludf.DUMMYFUNCTION("split(G6,""/"")"),9.0)</f>
        <v>9</v>
      </c>
      <c r="I6" s="3">
        <f>IFERROR(__xludf.DUMMYFUNCTION("""COMPUTED_VALUE"""),18.0)</f>
        <v>18</v>
      </c>
      <c r="J6" s="3">
        <f>IFERROR(__xludf.DUMMYFUNCTION("""COMPUTED_VALUE"""),2012.0)</f>
        <v>2012</v>
      </c>
      <c r="K6" s="12">
        <f t="shared" si="2"/>
        <v>41170</v>
      </c>
      <c r="L6" s="3" t="s">
        <v>827</v>
      </c>
      <c r="M6" s="3" t="s">
        <v>635</v>
      </c>
      <c r="N6" s="3">
        <v>1270.0</v>
      </c>
      <c r="O6" s="3" t="s">
        <v>818</v>
      </c>
      <c r="P6" s="10">
        <v>7648.0</v>
      </c>
      <c r="Q6" s="13">
        <v>47.45</v>
      </c>
      <c r="R6" s="13">
        <v>31.79</v>
      </c>
      <c r="S6" s="13">
        <f t="shared" si="3"/>
        <v>362897.6</v>
      </c>
      <c r="T6" s="13">
        <f t="shared" si="4"/>
        <v>243129.92</v>
      </c>
      <c r="U6" s="13">
        <f t="shared" si="5"/>
        <v>119767.68</v>
      </c>
      <c r="V6" s="3" t="str">
        <f>VLOOKUP(N6,products!A:B,2,0)</f>
        <v>Beverages</v>
      </c>
      <c r="W6" s="3" t="s">
        <v>28</v>
      </c>
      <c r="X6" s="3" t="s">
        <v>33</v>
      </c>
      <c r="Y6" s="14">
        <f t="shared" si="6"/>
        <v>0.3300316122</v>
      </c>
      <c r="Z6" s="3">
        <f t="shared" si="7"/>
        <v>38</v>
      </c>
      <c r="AA6" s="15">
        <f t="shared" si="8"/>
        <v>7</v>
      </c>
    </row>
    <row r="7" ht="15.75" customHeight="1">
      <c r="A7" s="3">
        <v>1.03450715E8</v>
      </c>
      <c r="B7" s="3" t="s">
        <v>828</v>
      </c>
      <c r="C7" s="3">
        <f>IFERROR(__xludf.DUMMYFUNCTION("split(B7,""/"")"),3.0)</f>
        <v>3</v>
      </c>
      <c r="D7" s="10">
        <f>IFERROR(__xludf.DUMMYFUNCTION("""COMPUTED_VALUE"""),15.0)</f>
        <v>15</v>
      </c>
      <c r="E7" s="11">
        <f>IFERROR(__xludf.DUMMYFUNCTION("""COMPUTED_VALUE"""),2015.0)</f>
        <v>2015</v>
      </c>
      <c r="F7" s="12">
        <f t="shared" si="1"/>
        <v>42078</v>
      </c>
      <c r="G7" s="3" t="s">
        <v>829</v>
      </c>
      <c r="H7" s="3">
        <f>IFERROR(__xludf.DUMMYFUNCTION("split(G7,""/"")"),4.0)</f>
        <v>4</v>
      </c>
      <c r="I7" s="3">
        <f>IFERROR(__xludf.DUMMYFUNCTION("""COMPUTED_VALUE"""),18.0)</f>
        <v>18</v>
      </c>
      <c r="J7" s="3">
        <f>IFERROR(__xludf.DUMMYFUNCTION("""COMPUTED_VALUE"""),2015.0)</f>
        <v>2015</v>
      </c>
      <c r="K7" s="12">
        <f t="shared" si="2"/>
        <v>42112</v>
      </c>
      <c r="L7" s="3" t="s">
        <v>827</v>
      </c>
      <c r="M7" s="3" t="s">
        <v>650</v>
      </c>
      <c r="N7" s="3">
        <v>8681.0</v>
      </c>
      <c r="O7" s="3" t="s">
        <v>815</v>
      </c>
      <c r="P7" s="10">
        <v>2220.0</v>
      </c>
      <c r="Q7" s="13">
        <v>651.21</v>
      </c>
      <c r="R7" s="13">
        <v>524.96</v>
      </c>
      <c r="S7" s="13">
        <f t="shared" si="3"/>
        <v>1445686.2</v>
      </c>
      <c r="T7" s="13">
        <f t="shared" si="4"/>
        <v>1165411.2</v>
      </c>
      <c r="U7" s="13">
        <f t="shared" si="5"/>
        <v>280275</v>
      </c>
      <c r="V7" s="3" t="str">
        <f>VLOOKUP(N7,products!A:B,2,0)</f>
        <v>Office Supplies</v>
      </c>
      <c r="W7" s="3" t="s">
        <v>28</v>
      </c>
      <c r="X7" s="3" t="s">
        <v>98</v>
      </c>
      <c r="Y7" s="14">
        <f t="shared" si="6"/>
        <v>0.193869873</v>
      </c>
      <c r="Z7" s="3">
        <f t="shared" si="7"/>
        <v>34</v>
      </c>
      <c r="AA7" s="15">
        <f t="shared" si="8"/>
        <v>1</v>
      </c>
    </row>
    <row r="8" ht="15.75" customHeight="1">
      <c r="A8" s="3">
        <v>1.03499639E8</v>
      </c>
      <c r="B8" s="3" t="s">
        <v>830</v>
      </c>
      <c r="C8" s="3">
        <f>IFERROR(__xludf.DUMMYFUNCTION("split(B8,""/"")"),4.0)</f>
        <v>4</v>
      </c>
      <c r="D8" s="10">
        <f>IFERROR(__xludf.DUMMYFUNCTION("""COMPUTED_VALUE"""),20.0)</f>
        <v>20</v>
      </c>
      <c r="E8" s="11">
        <f>IFERROR(__xludf.DUMMYFUNCTION("""COMPUTED_VALUE"""),2013.0)</f>
        <v>2013</v>
      </c>
      <c r="F8" s="12">
        <f t="shared" si="1"/>
        <v>41384</v>
      </c>
      <c r="G8" s="9">
        <v>41431.0</v>
      </c>
      <c r="H8" s="3">
        <f>IFERROR(__xludf.DUMMYFUNCTION("split(G8,""/"")"),6.0)</f>
        <v>6</v>
      </c>
      <c r="I8" s="3">
        <f>IFERROR(__xludf.DUMMYFUNCTION("""COMPUTED_VALUE"""),6.0)</f>
        <v>6</v>
      </c>
      <c r="J8" s="3">
        <f>IFERROR(__xludf.DUMMYFUNCTION("""COMPUTED_VALUE"""),2013.0)</f>
        <v>2013</v>
      </c>
      <c r="K8" s="12">
        <f t="shared" si="2"/>
        <v>41431</v>
      </c>
      <c r="L8" s="3" t="s">
        <v>825</v>
      </c>
      <c r="M8" s="3" t="s">
        <v>270</v>
      </c>
      <c r="N8" s="3">
        <v>4594.0</v>
      </c>
      <c r="O8" s="3" t="s">
        <v>815</v>
      </c>
      <c r="P8" s="10">
        <v>6698.0</v>
      </c>
      <c r="Q8" s="13">
        <v>9.33</v>
      </c>
      <c r="R8" s="13">
        <v>6.92</v>
      </c>
      <c r="S8" s="13">
        <f t="shared" si="3"/>
        <v>62492.34</v>
      </c>
      <c r="T8" s="13">
        <f t="shared" si="4"/>
        <v>46350.16</v>
      </c>
      <c r="U8" s="13">
        <f t="shared" si="5"/>
        <v>16142.18</v>
      </c>
      <c r="V8" s="3" t="str">
        <f>VLOOKUP(N8,products!A:B,2,0)</f>
        <v>Fruits</v>
      </c>
      <c r="W8" s="3" t="s">
        <v>28</v>
      </c>
      <c r="X8" s="3" t="s">
        <v>79</v>
      </c>
      <c r="Y8" s="14">
        <f t="shared" si="6"/>
        <v>0.258306538</v>
      </c>
      <c r="Z8" s="3">
        <f t="shared" si="7"/>
        <v>47</v>
      </c>
      <c r="AA8" s="15">
        <f t="shared" si="8"/>
        <v>7</v>
      </c>
    </row>
    <row r="9" ht="15.75" customHeight="1">
      <c r="A9" s="3">
        <v>1.0376228E8</v>
      </c>
      <c r="B9" s="9">
        <v>40888.0</v>
      </c>
      <c r="C9" s="3">
        <f>IFERROR(__xludf.DUMMYFUNCTION("split(B9,""/"")"),11.0)</f>
        <v>11</v>
      </c>
      <c r="D9" s="10">
        <f>IFERROR(__xludf.DUMMYFUNCTION("""COMPUTED_VALUE"""),12.0)</f>
        <v>12</v>
      </c>
      <c r="E9" s="11">
        <f>IFERROR(__xludf.DUMMYFUNCTION("""COMPUTED_VALUE"""),2011.0)</f>
        <v>2011</v>
      </c>
      <c r="F9" s="12">
        <f t="shared" si="1"/>
        <v>40859</v>
      </c>
      <c r="G9" s="3" t="s">
        <v>831</v>
      </c>
      <c r="H9" s="3">
        <f>IFERROR(__xludf.DUMMYFUNCTION("split(G9,""/"")"),12.0)</f>
        <v>12</v>
      </c>
      <c r="I9" s="3">
        <f>IFERROR(__xludf.DUMMYFUNCTION("""COMPUTED_VALUE"""),14.0)</f>
        <v>14</v>
      </c>
      <c r="J9" s="3">
        <f>IFERROR(__xludf.DUMMYFUNCTION("""COMPUTED_VALUE"""),2011.0)</f>
        <v>2011</v>
      </c>
      <c r="K9" s="12">
        <f t="shared" si="2"/>
        <v>40891</v>
      </c>
      <c r="L9" s="3" t="s">
        <v>814</v>
      </c>
      <c r="M9" s="3" t="s">
        <v>671</v>
      </c>
      <c r="N9" s="3">
        <v>5988.0</v>
      </c>
      <c r="O9" s="3" t="s">
        <v>815</v>
      </c>
      <c r="P9" s="10">
        <v>4419.0</v>
      </c>
      <c r="Q9" s="13">
        <v>154.06</v>
      </c>
      <c r="R9" s="13">
        <v>90.93</v>
      </c>
      <c r="S9" s="13">
        <f t="shared" si="3"/>
        <v>680791.14</v>
      </c>
      <c r="T9" s="13">
        <f t="shared" si="4"/>
        <v>401819.67</v>
      </c>
      <c r="U9" s="13">
        <f t="shared" si="5"/>
        <v>278971.47</v>
      </c>
      <c r="V9" s="3" t="str">
        <f>VLOOKUP(N9,products!A:B,2,0)</f>
        <v>Vegetables</v>
      </c>
      <c r="W9" s="3" t="s">
        <v>28</v>
      </c>
      <c r="X9" s="3" t="s">
        <v>33</v>
      </c>
      <c r="Y9" s="14">
        <f t="shared" si="6"/>
        <v>0.4097754122</v>
      </c>
      <c r="Z9" s="3">
        <f t="shared" si="7"/>
        <v>32</v>
      </c>
      <c r="AA9" s="15">
        <f t="shared" si="8"/>
        <v>7</v>
      </c>
    </row>
    <row r="10" ht="15.75" customHeight="1">
      <c r="A10" s="3">
        <v>1.03832662E8</v>
      </c>
      <c r="B10" s="3" t="s">
        <v>832</v>
      </c>
      <c r="C10" s="3">
        <f>IFERROR(__xludf.DUMMYFUNCTION("split(B10,""/"")"),9.0)</f>
        <v>9</v>
      </c>
      <c r="D10" s="10">
        <f>IFERROR(__xludf.DUMMYFUNCTION("""COMPUTED_VALUE"""),19.0)</f>
        <v>19</v>
      </c>
      <c r="E10" s="11">
        <f>IFERROR(__xludf.DUMMYFUNCTION("""COMPUTED_VALUE"""),2012.0)</f>
        <v>2012</v>
      </c>
      <c r="F10" s="12">
        <f t="shared" si="1"/>
        <v>41171</v>
      </c>
      <c r="G10" s="3" t="s">
        <v>833</v>
      </c>
      <c r="H10" s="3">
        <f>IFERROR(__xludf.DUMMYFUNCTION("split(G10,""/"")"),10.0)</f>
        <v>10</v>
      </c>
      <c r="I10" s="3">
        <f>IFERROR(__xludf.DUMMYFUNCTION("""COMPUTED_VALUE"""),20.0)</f>
        <v>20</v>
      </c>
      <c r="J10" s="3">
        <f>IFERROR(__xludf.DUMMYFUNCTION("""COMPUTED_VALUE"""),2012.0)</f>
        <v>2012</v>
      </c>
      <c r="K10" s="12">
        <f t="shared" si="2"/>
        <v>41202</v>
      </c>
      <c r="L10" s="3" t="s">
        <v>827</v>
      </c>
      <c r="M10" s="3" t="s">
        <v>206</v>
      </c>
      <c r="N10" s="3">
        <v>7331.0</v>
      </c>
      <c r="O10" s="3" t="s">
        <v>818</v>
      </c>
      <c r="P10" s="10">
        <v>5247.0</v>
      </c>
      <c r="Q10" s="13">
        <v>255.28</v>
      </c>
      <c r="R10" s="13">
        <v>159.42</v>
      </c>
      <c r="S10" s="13">
        <f t="shared" si="3"/>
        <v>1339454.16</v>
      </c>
      <c r="T10" s="13">
        <f t="shared" si="4"/>
        <v>836476.74</v>
      </c>
      <c r="U10" s="13">
        <f t="shared" si="5"/>
        <v>502977.42</v>
      </c>
      <c r="V10" s="3" t="str">
        <f>VLOOKUP(N10,products!A:B,2,0)</f>
        <v>Baby Food</v>
      </c>
      <c r="W10" s="3" t="s">
        <v>28</v>
      </c>
      <c r="X10" s="3" t="s">
        <v>33</v>
      </c>
      <c r="Y10" s="14">
        <f t="shared" si="6"/>
        <v>0.3755092448</v>
      </c>
      <c r="Z10" s="3">
        <f t="shared" si="7"/>
        <v>31</v>
      </c>
      <c r="AA10" s="15">
        <f t="shared" si="8"/>
        <v>4</v>
      </c>
    </row>
    <row r="11" ht="15.75" customHeight="1">
      <c r="A11" s="3">
        <v>1.04008615E8</v>
      </c>
      <c r="B11" s="3" t="s">
        <v>834</v>
      </c>
      <c r="C11" s="3">
        <f>IFERROR(__xludf.DUMMYFUNCTION("split(B11,""/"")"),1.0)</f>
        <v>1</v>
      </c>
      <c r="D11" s="10">
        <f>IFERROR(__xludf.DUMMYFUNCTION("""COMPUTED_VALUE"""),23.0)</f>
        <v>23</v>
      </c>
      <c r="E11" s="11">
        <f>IFERROR(__xludf.DUMMYFUNCTION("""COMPUTED_VALUE"""),2011.0)</f>
        <v>2011</v>
      </c>
      <c r="F11" s="12">
        <f t="shared" si="1"/>
        <v>40566</v>
      </c>
      <c r="G11" s="3" t="s">
        <v>835</v>
      </c>
      <c r="H11" s="3">
        <f>IFERROR(__xludf.DUMMYFUNCTION("split(G11,""/"")"),2.0)</f>
        <v>2</v>
      </c>
      <c r="I11" s="3">
        <f>IFERROR(__xludf.DUMMYFUNCTION("""COMPUTED_VALUE"""),22.0)</f>
        <v>22</v>
      </c>
      <c r="J11" s="3">
        <f>IFERROR(__xludf.DUMMYFUNCTION("""COMPUTED_VALUE"""),2011.0)</f>
        <v>2011</v>
      </c>
      <c r="K11" s="12">
        <f t="shared" si="2"/>
        <v>40596</v>
      </c>
      <c r="L11" s="3" t="s">
        <v>814</v>
      </c>
      <c r="M11" s="3" t="s">
        <v>291</v>
      </c>
      <c r="N11" s="3">
        <v>2103.0</v>
      </c>
      <c r="O11" s="3" t="s">
        <v>815</v>
      </c>
      <c r="P11" s="10">
        <v>7315.0</v>
      </c>
      <c r="Q11" s="13">
        <v>205.7</v>
      </c>
      <c r="R11" s="13">
        <v>117.11</v>
      </c>
      <c r="S11" s="13">
        <f t="shared" si="3"/>
        <v>1504695.5</v>
      </c>
      <c r="T11" s="13">
        <f t="shared" si="4"/>
        <v>856659.65</v>
      </c>
      <c r="U11" s="13">
        <f t="shared" si="5"/>
        <v>648035.85</v>
      </c>
      <c r="V11" s="3" t="str">
        <f>VLOOKUP(N11,products!A:B,2,0)</f>
        <v>Cereal</v>
      </c>
      <c r="W11" s="3" t="s">
        <v>28</v>
      </c>
      <c r="X11" s="3" t="s">
        <v>79</v>
      </c>
      <c r="Y11" s="14">
        <f t="shared" si="6"/>
        <v>0.4306757414</v>
      </c>
      <c r="Z11" s="3">
        <f t="shared" si="7"/>
        <v>30</v>
      </c>
      <c r="AA11" s="15">
        <f t="shared" si="8"/>
        <v>1</v>
      </c>
    </row>
    <row r="12" ht="15.75" customHeight="1">
      <c r="A12" s="3">
        <v>1.04165685E8</v>
      </c>
      <c r="B12" s="3" t="s">
        <v>836</v>
      </c>
      <c r="C12" s="3">
        <f>IFERROR(__xludf.DUMMYFUNCTION("split(B12,""/"")"),2.0)</f>
        <v>2</v>
      </c>
      <c r="D12" s="10">
        <f>IFERROR(__xludf.DUMMYFUNCTION("""COMPUTED_VALUE"""),19.0)</f>
        <v>19</v>
      </c>
      <c r="E12" s="11">
        <f>IFERROR(__xludf.DUMMYFUNCTION("""COMPUTED_VALUE"""),2012.0)</f>
        <v>2012</v>
      </c>
      <c r="F12" s="12">
        <f t="shared" si="1"/>
        <v>40958</v>
      </c>
      <c r="G12" s="9">
        <v>41063.0</v>
      </c>
      <c r="H12" s="3">
        <f>IFERROR(__xludf.DUMMYFUNCTION("split(G12,""/"")"),3.0)</f>
        <v>3</v>
      </c>
      <c r="I12" s="3">
        <f>IFERROR(__xludf.DUMMYFUNCTION("""COMPUTED_VALUE"""),6.0)</f>
        <v>6</v>
      </c>
      <c r="J12" s="3">
        <f>IFERROR(__xludf.DUMMYFUNCTION("""COMPUTED_VALUE"""),2012.0)</f>
        <v>2012</v>
      </c>
      <c r="K12" s="12">
        <f t="shared" si="2"/>
        <v>40974</v>
      </c>
      <c r="L12" s="3" t="s">
        <v>825</v>
      </c>
      <c r="M12" s="3" t="s">
        <v>67</v>
      </c>
      <c r="N12" s="3">
        <v>7940.0</v>
      </c>
      <c r="O12" s="3" t="s">
        <v>815</v>
      </c>
      <c r="P12" s="10">
        <v>3796.0</v>
      </c>
      <c r="Q12" s="13">
        <v>668.27</v>
      </c>
      <c r="R12" s="13">
        <v>502.54</v>
      </c>
      <c r="S12" s="13">
        <f t="shared" si="3"/>
        <v>2536752.92</v>
      </c>
      <c r="T12" s="13">
        <f t="shared" si="4"/>
        <v>1907641.84</v>
      </c>
      <c r="U12" s="13">
        <f t="shared" si="5"/>
        <v>629111.08</v>
      </c>
      <c r="V12" s="3" t="str">
        <f>VLOOKUP(N12,products!A:B,2,0)</f>
        <v>Household</v>
      </c>
      <c r="W12" s="3" t="s">
        <v>23</v>
      </c>
      <c r="X12" s="3" t="s">
        <v>68</v>
      </c>
      <c r="Y12" s="14">
        <f t="shared" si="6"/>
        <v>0.2479985635</v>
      </c>
      <c r="Z12" s="3">
        <f t="shared" si="7"/>
        <v>16</v>
      </c>
      <c r="AA12" s="15">
        <f t="shared" si="8"/>
        <v>1</v>
      </c>
    </row>
    <row r="13" ht="15.75" customHeight="1">
      <c r="A13" s="3">
        <v>1.04190576E8</v>
      </c>
      <c r="B13" s="3" t="s">
        <v>837</v>
      </c>
      <c r="C13" s="3">
        <f>IFERROR(__xludf.DUMMYFUNCTION("split(B13,""/"")"),2.0)</f>
        <v>2</v>
      </c>
      <c r="D13" s="10">
        <f>IFERROR(__xludf.DUMMYFUNCTION("""COMPUTED_VALUE"""),22.0)</f>
        <v>22</v>
      </c>
      <c r="E13" s="11">
        <f>IFERROR(__xludf.DUMMYFUNCTION("""COMPUTED_VALUE"""),2017.0)</f>
        <v>2017</v>
      </c>
      <c r="F13" s="12">
        <f t="shared" si="1"/>
        <v>42788</v>
      </c>
      <c r="G13" s="9">
        <v>43072.0</v>
      </c>
      <c r="H13" s="3">
        <f>IFERROR(__xludf.DUMMYFUNCTION("split(G13,""/"")"),3.0)</f>
        <v>3</v>
      </c>
      <c r="I13" s="3">
        <f>IFERROR(__xludf.DUMMYFUNCTION("""COMPUTED_VALUE"""),12.0)</f>
        <v>12</v>
      </c>
      <c r="J13" s="3">
        <f>IFERROR(__xludf.DUMMYFUNCTION("""COMPUTED_VALUE"""),2017.0)</f>
        <v>2017</v>
      </c>
      <c r="K13" s="12">
        <f t="shared" si="2"/>
        <v>42806</v>
      </c>
      <c r="L13" s="3" t="s">
        <v>817</v>
      </c>
      <c r="M13" s="3" t="s">
        <v>288</v>
      </c>
      <c r="N13" s="3">
        <v>8875.0</v>
      </c>
      <c r="O13" s="3" t="s">
        <v>818</v>
      </c>
      <c r="P13" s="10">
        <v>1162.0</v>
      </c>
      <c r="Q13" s="13">
        <v>421.89</v>
      </c>
      <c r="R13" s="13">
        <v>364.69</v>
      </c>
      <c r="S13" s="13">
        <f t="shared" si="3"/>
        <v>490236.18</v>
      </c>
      <c r="T13" s="13">
        <f t="shared" si="4"/>
        <v>423769.78</v>
      </c>
      <c r="U13" s="13">
        <f t="shared" si="5"/>
        <v>66466.4</v>
      </c>
      <c r="V13" s="3" t="str">
        <f>VLOOKUP(N13,products!A:B,2,0)</f>
        <v>Meat</v>
      </c>
      <c r="W13" s="3" t="s">
        <v>23</v>
      </c>
      <c r="X13" s="3" t="s">
        <v>68</v>
      </c>
      <c r="Y13" s="14">
        <f t="shared" si="6"/>
        <v>0.1355803646</v>
      </c>
      <c r="Z13" s="3">
        <f t="shared" si="7"/>
        <v>18</v>
      </c>
      <c r="AA13" s="15">
        <f t="shared" si="8"/>
        <v>4</v>
      </c>
    </row>
    <row r="14" ht="15.75" customHeight="1">
      <c r="A14" s="3">
        <v>1.04245078E8</v>
      </c>
      <c r="B14" s="3" t="s">
        <v>838</v>
      </c>
      <c r="C14" s="3">
        <f>IFERROR(__xludf.DUMMYFUNCTION("split(B14,""/"")"),3.0)</f>
        <v>3</v>
      </c>
      <c r="D14" s="10">
        <f>IFERROR(__xludf.DUMMYFUNCTION("""COMPUTED_VALUE"""),27.0)</f>
        <v>27</v>
      </c>
      <c r="E14" s="11">
        <f>IFERROR(__xludf.DUMMYFUNCTION("""COMPUTED_VALUE"""),2013.0)</f>
        <v>2013</v>
      </c>
      <c r="F14" s="12">
        <f t="shared" si="1"/>
        <v>41360</v>
      </c>
      <c r="G14" s="3" t="s">
        <v>839</v>
      </c>
      <c r="H14" s="3">
        <f>IFERROR(__xludf.DUMMYFUNCTION("split(G14,""/"")"),4.0)</f>
        <v>4</v>
      </c>
      <c r="I14" s="3">
        <f>IFERROR(__xludf.DUMMYFUNCTION("""COMPUTED_VALUE"""),21.0)</f>
        <v>21</v>
      </c>
      <c r="J14" s="3">
        <f>IFERROR(__xludf.DUMMYFUNCTION("""COMPUTED_VALUE"""),2013.0)</f>
        <v>2013</v>
      </c>
      <c r="K14" s="12">
        <f t="shared" si="2"/>
        <v>41385</v>
      </c>
      <c r="L14" s="3" t="s">
        <v>814</v>
      </c>
      <c r="M14" s="3" t="s">
        <v>746</v>
      </c>
      <c r="N14" s="3">
        <v>4594.0</v>
      </c>
      <c r="O14" s="3" t="s">
        <v>818</v>
      </c>
      <c r="P14" s="10">
        <v>7290.0</v>
      </c>
      <c r="Q14" s="13">
        <v>9.33</v>
      </c>
      <c r="R14" s="13">
        <v>6.92</v>
      </c>
      <c r="S14" s="13">
        <f t="shared" si="3"/>
        <v>68015.7</v>
      </c>
      <c r="T14" s="13">
        <f t="shared" si="4"/>
        <v>50446.8</v>
      </c>
      <c r="U14" s="13">
        <f t="shared" si="5"/>
        <v>17568.9</v>
      </c>
      <c r="V14" s="3" t="str">
        <f>VLOOKUP(N14,products!A:B,2,0)</f>
        <v>Fruits</v>
      </c>
      <c r="W14" s="3" t="s">
        <v>28</v>
      </c>
      <c r="X14" s="3" t="s">
        <v>29</v>
      </c>
      <c r="Y14" s="14">
        <f t="shared" si="6"/>
        <v>0.258306538</v>
      </c>
      <c r="Z14" s="3">
        <f t="shared" si="7"/>
        <v>25</v>
      </c>
      <c r="AA14" s="15">
        <f t="shared" si="8"/>
        <v>4</v>
      </c>
    </row>
    <row r="15" ht="15.75" customHeight="1">
      <c r="A15" s="3">
        <v>1.0454849E8</v>
      </c>
      <c r="B15" s="9">
        <v>41640.0</v>
      </c>
      <c r="C15" s="3">
        <f>IFERROR(__xludf.DUMMYFUNCTION("split(B15,""/"")"),1.0)</f>
        <v>1</v>
      </c>
      <c r="D15" s="10">
        <f>IFERROR(__xludf.DUMMYFUNCTION("""COMPUTED_VALUE"""),1.0)</f>
        <v>1</v>
      </c>
      <c r="E15" s="11">
        <f>IFERROR(__xludf.DUMMYFUNCTION("""COMPUTED_VALUE"""),2014.0)</f>
        <v>2014</v>
      </c>
      <c r="F15" s="12">
        <f t="shared" si="1"/>
        <v>41640</v>
      </c>
      <c r="G15" s="9">
        <v>41760.0</v>
      </c>
      <c r="H15" s="3">
        <f>IFERROR(__xludf.DUMMYFUNCTION("split(G15,""/"")"),1.0)</f>
        <v>1</v>
      </c>
      <c r="I15" s="3">
        <f>IFERROR(__xludf.DUMMYFUNCTION("""COMPUTED_VALUE"""),5.0)</f>
        <v>5</v>
      </c>
      <c r="J15" s="3">
        <f>IFERROR(__xludf.DUMMYFUNCTION("""COMPUTED_VALUE"""),2014.0)</f>
        <v>2014</v>
      </c>
      <c r="K15" s="12">
        <f t="shared" si="2"/>
        <v>41644</v>
      </c>
      <c r="L15" s="3" t="s">
        <v>814</v>
      </c>
      <c r="M15" s="3" t="s">
        <v>821</v>
      </c>
      <c r="N15" s="3">
        <v>7331.0</v>
      </c>
      <c r="O15" s="3" t="s">
        <v>815</v>
      </c>
      <c r="P15" s="10">
        <v>7076.0</v>
      </c>
      <c r="Q15" s="13">
        <v>255.28</v>
      </c>
      <c r="R15" s="13">
        <v>159.42</v>
      </c>
      <c r="S15" s="13">
        <f t="shared" si="3"/>
        <v>1806361.28</v>
      </c>
      <c r="T15" s="13">
        <f t="shared" si="4"/>
        <v>1128055.92</v>
      </c>
      <c r="U15" s="13">
        <f t="shared" si="5"/>
        <v>678305.36</v>
      </c>
      <c r="V15" s="3" t="str">
        <f>VLOOKUP(N15,products!A:B,2,0)</f>
        <v>Baby Food</v>
      </c>
      <c r="W15" s="3" t="s">
        <v>821</v>
      </c>
      <c r="X15" s="3" t="s">
        <v>821</v>
      </c>
      <c r="Y15" s="14">
        <f t="shared" si="6"/>
        <v>0.3755092448</v>
      </c>
      <c r="Z15" s="3">
        <f t="shared" si="7"/>
        <v>4</v>
      </c>
      <c r="AA15" s="15">
        <f t="shared" si="8"/>
        <v>4</v>
      </c>
    </row>
    <row r="16" ht="15.75" customHeight="1">
      <c r="A16" s="3">
        <v>1.0503E8</v>
      </c>
      <c r="B16" s="9">
        <v>42406.0</v>
      </c>
      <c r="C16" s="3">
        <f>IFERROR(__xludf.DUMMYFUNCTION("split(B16,""/"")"),6.0)</f>
        <v>6</v>
      </c>
      <c r="D16" s="10">
        <f>IFERROR(__xludf.DUMMYFUNCTION("""COMPUTED_VALUE"""),2.0)</f>
        <v>2</v>
      </c>
      <c r="E16" s="11">
        <f>IFERROR(__xludf.DUMMYFUNCTION("""COMPUTED_VALUE"""),2016.0)</f>
        <v>2016</v>
      </c>
      <c r="F16" s="12">
        <f t="shared" si="1"/>
        <v>42523</v>
      </c>
      <c r="G16" s="3" t="s">
        <v>840</v>
      </c>
      <c r="H16" s="3">
        <f>IFERROR(__xludf.DUMMYFUNCTION("split(G16,""/"")"),6.0)</f>
        <v>6</v>
      </c>
      <c r="I16" s="3">
        <f>IFERROR(__xludf.DUMMYFUNCTION("""COMPUTED_VALUE"""),13.0)</f>
        <v>13</v>
      </c>
      <c r="J16" s="3">
        <f>IFERROR(__xludf.DUMMYFUNCTION("""COMPUTED_VALUE"""),2016.0)</f>
        <v>2016</v>
      </c>
      <c r="K16" s="12">
        <f t="shared" si="2"/>
        <v>42534</v>
      </c>
      <c r="L16" s="3" t="s">
        <v>817</v>
      </c>
      <c r="M16" s="3" t="s">
        <v>653</v>
      </c>
      <c r="N16" s="3">
        <v>2455.0</v>
      </c>
      <c r="O16" s="3" t="s">
        <v>818</v>
      </c>
      <c r="P16" s="10">
        <v>9566.0</v>
      </c>
      <c r="Q16" s="13">
        <v>109.28</v>
      </c>
      <c r="R16" s="13">
        <v>35.84</v>
      </c>
      <c r="S16" s="13">
        <f t="shared" si="3"/>
        <v>1045372.48</v>
      </c>
      <c r="T16" s="13">
        <f t="shared" si="4"/>
        <v>342845.44</v>
      </c>
      <c r="U16" s="13">
        <f t="shared" si="5"/>
        <v>702527.04</v>
      </c>
      <c r="V16" s="3" t="str">
        <f>VLOOKUP(N16,products!A:B,2,0)</f>
        <v>Clothes</v>
      </c>
      <c r="W16" s="3" t="s">
        <v>28</v>
      </c>
      <c r="X16" s="3" t="s">
        <v>33</v>
      </c>
      <c r="Y16" s="14">
        <f t="shared" si="6"/>
        <v>0.6720351391</v>
      </c>
      <c r="Z16" s="3">
        <f t="shared" si="7"/>
        <v>11</v>
      </c>
      <c r="AA16" s="15">
        <f t="shared" si="8"/>
        <v>5</v>
      </c>
    </row>
    <row r="17" ht="15.75" customHeight="1">
      <c r="A17" s="3">
        <v>1.07651269E8</v>
      </c>
      <c r="B17" s="3" t="s">
        <v>841</v>
      </c>
      <c r="C17" s="3">
        <f>IFERROR(__xludf.DUMMYFUNCTION("split(B17,""/"")"),10.0)</f>
        <v>10</v>
      </c>
      <c r="D17" s="10">
        <f>IFERROR(__xludf.DUMMYFUNCTION("""COMPUTED_VALUE"""),28.0)</f>
        <v>28</v>
      </c>
      <c r="E17" s="11">
        <f>IFERROR(__xludf.DUMMYFUNCTION("""COMPUTED_VALUE"""),2013.0)</f>
        <v>2013</v>
      </c>
      <c r="F17" s="12">
        <f t="shared" si="1"/>
        <v>41575</v>
      </c>
      <c r="G17" s="9">
        <v>41589.0</v>
      </c>
      <c r="H17" s="3">
        <f>IFERROR(__xludf.DUMMYFUNCTION("split(G17,""/"")"),11.0)</f>
        <v>11</v>
      </c>
      <c r="I17" s="3">
        <f>IFERROR(__xludf.DUMMYFUNCTION("""COMPUTED_VALUE"""),11.0)</f>
        <v>11</v>
      </c>
      <c r="J17" s="3">
        <f>IFERROR(__xludf.DUMMYFUNCTION("""COMPUTED_VALUE"""),2013.0)</f>
        <v>2013</v>
      </c>
      <c r="K17" s="12">
        <f t="shared" si="2"/>
        <v>41589</v>
      </c>
      <c r="L17" s="3" t="s">
        <v>814</v>
      </c>
      <c r="M17" s="3" t="s">
        <v>206</v>
      </c>
      <c r="N17" s="3">
        <v>7940.0</v>
      </c>
      <c r="O17" s="3" t="s">
        <v>815</v>
      </c>
      <c r="P17" s="10">
        <v>5258.0</v>
      </c>
      <c r="Q17" s="13">
        <v>668.27</v>
      </c>
      <c r="R17" s="13">
        <v>502.54</v>
      </c>
      <c r="S17" s="13">
        <f t="shared" si="3"/>
        <v>3513763.66</v>
      </c>
      <c r="T17" s="13">
        <f t="shared" si="4"/>
        <v>2642355.32</v>
      </c>
      <c r="U17" s="13">
        <f t="shared" si="5"/>
        <v>871408.34</v>
      </c>
      <c r="V17" s="3" t="str">
        <f>VLOOKUP(N17,products!A:B,2,0)</f>
        <v>Household</v>
      </c>
      <c r="W17" s="3" t="s">
        <v>28</v>
      </c>
      <c r="X17" s="3" t="s">
        <v>33</v>
      </c>
      <c r="Y17" s="14">
        <f t="shared" si="6"/>
        <v>0.2479985635</v>
      </c>
      <c r="Z17" s="3">
        <f t="shared" si="7"/>
        <v>14</v>
      </c>
      <c r="AA17" s="15">
        <f t="shared" si="8"/>
        <v>2</v>
      </c>
    </row>
    <row r="18" ht="15.75" customHeight="1">
      <c r="A18" s="3">
        <v>1.08407437E8</v>
      </c>
      <c r="B18" s="3" t="s">
        <v>842</v>
      </c>
      <c r="C18" s="3">
        <f>IFERROR(__xludf.DUMMYFUNCTION("split(B18,""/"")"),2.0)</f>
        <v>2</v>
      </c>
      <c r="D18" s="10">
        <f>IFERROR(__xludf.DUMMYFUNCTION("""COMPUTED_VALUE"""),19.0)</f>
        <v>19</v>
      </c>
      <c r="E18" s="11">
        <f>IFERROR(__xludf.DUMMYFUNCTION("""COMPUTED_VALUE"""),2015.0)</f>
        <v>2015</v>
      </c>
      <c r="F18" s="12">
        <f t="shared" si="1"/>
        <v>42054</v>
      </c>
      <c r="G18" s="3" t="s">
        <v>843</v>
      </c>
      <c r="H18" s="3">
        <f>IFERROR(__xludf.DUMMYFUNCTION("split(G18,""/"")"),3.0)</f>
        <v>3</v>
      </c>
      <c r="I18" s="3">
        <f>IFERROR(__xludf.DUMMYFUNCTION("""COMPUTED_VALUE"""),27.0)</f>
        <v>27</v>
      </c>
      <c r="J18" s="3">
        <f>IFERROR(__xludf.DUMMYFUNCTION("""COMPUTED_VALUE"""),2015.0)</f>
        <v>2015</v>
      </c>
      <c r="K18" s="12">
        <f t="shared" si="2"/>
        <v>42090</v>
      </c>
      <c r="L18" s="3" t="s">
        <v>817</v>
      </c>
      <c r="M18" s="3" t="s">
        <v>590</v>
      </c>
      <c r="N18" s="3">
        <v>7331.0</v>
      </c>
      <c r="O18" s="3" t="s">
        <v>818</v>
      </c>
      <c r="P18" s="10">
        <v>9025.0</v>
      </c>
      <c r="Q18" s="13">
        <v>255.28</v>
      </c>
      <c r="R18" s="13">
        <v>159.42</v>
      </c>
      <c r="S18" s="13">
        <f t="shared" si="3"/>
        <v>2303902</v>
      </c>
      <c r="T18" s="13">
        <f t="shared" si="4"/>
        <v>1438765.5</v>
      </c>
      <c r="U18" s="13">
        <f t="shared" si="5"/>
        <v>865136.5</v>
      </c>
      <c r="V18" s="3" t="str">
        <f>VLOOKUP(N18,products!A:B,2,0)</f>
        <v>Baby Food</v>
      </c>
      <c r="W18" s="3" t="s">
        <v>28</v>
      </c>
      <c r="X18" s="3" t="s">
        <v>98</v>
      </c>
      <c r="Y18" s="14">
        <f t="shared" si="6"/>
        <v>0.3755092448</v>
      </c>
      <c r="Z18" s="3">
        <f t="shared" si="7"/>
        <v>36</v>
      </c>
      <c r="AA18" s="15">
        <f t="shared" si="8"/>
        <v>5</v>
      </c>
    </row>
    <row r="19" ht="15.75" customHeight="1">
      <c r="A19" s="3">
        <v>1.09914195E8</v>
      </c>
      <c r="B19" s="9">
        <v>41246.0</v>
      </c>
      <c r="C19" s="3">
        <f>IFERROR(__xludf.DUMMYFUNCTION("split(B19,""/"")"),3.0)</f>
        <v>3</v>
      </c>
      <c r="D19" s="10">
        <f>IFERROR(__xludf.DUMMYFUNCTION("""COMPUTED_VALUE"""),12.0)</f>
        <v>12</v>
      </c>
      <c r="E19" s="11">
        <f>IFERROR(__xludf.DUMMYFUNCTION("""COMPUTED_VALUE"""),2012.0)</f>
        <v>2012</v>
      </c>
      <c r="F19" s="12">
        <f t="shared" si="1"/>
        <v>40980</v>
      </c>
      <c r="G19" s="3" t="s">
        <v>844</v>
      </c>
      <c r="H19" s="3">
        <f>IFERROR(__xludf.DUMMYFUNCTION("split(G19,""/"")"),4.0)</f>
        <v>4</v>
      </c>
      <c r="I19" s="3">
        <f>IFERROR(__xludf.DUMMYFUNCTION("""COMPUTED_VALUE"""),16.0)</f>
        <v>16</v>
      </c>
      <c r="J19" s="3">
        <f>IFERROR(__xludf.DUMMYFUNCTION("""COMPUTED_VALUE"""),2012.0)</f>
        <v>2012</v>
      </c>
      <c r="K19" s="12">
        <f t="shared" si="2"/>
        <v>41015</v>
      </c>
      <c r="L19" s="3" t="s">
        <v>814</v>
      </c>
      <c r="M19" s="3" t="s">
        <v>575</v>
      </c>
      <c r="N19" s="3">
        <v>2455.0</v>
      </c>
      <c r="O19" s="3" t="s">
        <v>818</v>
      </c>
      <c r="P19" s="10">
        <v>4908.0</v>
      </c>
      <c r="Q19" s="13">
        <v>109.28</v>
      </c>
      <c r="R19" s="13">
        <v>35.84</v>
      </c>
      <c r="S19" s="13">
        <f t="shared" si="3"/>
        <v>536346.24</v>
      </c>
      <c r="T19" s="13">
        <f t="shared" si="4"/>
        <v>175902.72</v>
      </c>
      <c r="U19" s="13">
        <f t="shared" si="5"/>
        <v>360443.52</v>
      </c>
      <c r="V19" s="3" t="str">
        <f>VLOOKUP(N19,products!A:B,2,0)</f>
        <v>Clothes</v>
      </c>
      <c r="W19" s="3" t="s">
        <v>28</v>
      </c>
      <c r="X19" s="3" t="s">
        <v>98</v>
      </c>
      <c r="Y19" s="14">
        <f t="shared" si="6"/>
        <v>0.6720351391</v>
      </c>
      <c r="Z19" s="3">
        <f t="shared" si="7"/>
        <v>35</v>
      </c>
      <c r="AA19" s="15">
        <f t="shared" si="8"/>
        <v>2</v>
      </c>
    </row>
    <row r="20" ht="15.75" customHeight="1">
      <c r="A20" s="3">
        <v>1.11063039E8</v>
      </c>
      <c r="B20" s="3" t="s">
        <v>845</v>
      </c>
      <c r="C20" s="3">
        <f>IFERROR(__xludf.DUMMYFUNCTION("split(B20,""/"")"),5.0)</f>
        <v>5</v>
      </c>
      <c r="D20" s="10">
        <f>IFERROR(__xludf.DUMMYFUNCTION("""COMPUTED_VALUE"""),26.0)</f>
        <v>26</v>
      </c>
      <c r="E20" s="11">
        <f>IFERROR(__xludf.DUMMYFUNCTION("""COMPUTED_VALUE"""),2012.0)</f>
        <v>2012</v>
      </c>
      <c r="F20" s="12">
        <f t="shared" si="1"/>
        <v>41055</v>
      </c>
      <c r="G20" s="3" t="s">
        <v>846</v>
      </c>
      <c r="H20" s="3">
        <f>IFERROR(__xludf.DUMMYFUNCTION("split(G20,""/"")"),7.0)</f>
        <v>7</v>
      </c>
      <c r="I20" s="3">
        <f>IFERROR(__xludf.DUMMYFUNCTION("""COMPUTED_VALUE"""),13.0)</f>
        <v>13</v>
      </c>
      <c r="J20" s="3">
        <f>IFERROR(__xludf.DUMMYFUNCTION("""COMPUTED_VALUE"""),2012.0)</f>
        <v>2012</v>
      </c>
      <c r="K20" s="12">
        <f t="shared" si="2"/>
        <v>41103</v>
      </c>
      <c r="L20" s="3" t="s">
        <v>825</v>
      </c>
      <c r="M20" s="3" t="s">
        <v>434</v>
      </c>
      <c r="N20" s="3">
        <v>7331.0</v>
      </c>
      <c r="O20" s="3" t="s">
        <v>815</v>
      </c>
      <c r="P20" s="10">
        <v>4876.0</v>
      </c>
      <c r="Q20" s="13">
        <v>255.28</v>
      </c>
      <c r="R20" s="13">
        <v>159.42</v>
      </c>
      <c r="S20" s="13">
        <f t="shared" si="3"/>
        <v>1244745.28</v>
      </c>
      <c r="T20" s="13">
        <f t="shared" si="4"/>
        <v>777331.92</v>
      </c>
      <c r="U20" s="13">
        <f t="shared" si="5"/>
        <v>467413.36</v>
      </c>
      <c r="V20" s="3" t="str">
        <f>VLOOKUP(N20,products!A:B,2,0)</f>
        <v>Baby Food</v>
      </c>
      <c r="W20" s="3" t="s">
        <v>28</v>
      </c>
      <c r="X20" s="3" t="s">
        <v>79</v>
      </c>
      <c r="Y20" s="14">
        <f t="shared" si="6"/>
        <v>0.3755092448</v>
      </c>
      <c r="Z20" s="3">
        <f t="shared" si="7"/>
        <v>48</v>
      </c>
      <c r="AA20" s="15">
        <f t="shared" si="8"/>
        <v>7</v>
      </c>
    </row>
    <row r="21" ht="15.75" customHeight="1">
      <c r="A21" s="3">
        <v>1.11246287E8</v>
      </c>
      <c r="B21" s="9">
        <v>42984.0</v>
      </c>
      <c r="C21" s="3">
        <f>IFERROR(__xludf.DUMMYFUNCTION("split(B21,""/"")"),6.0)</f>
        <v>6</v>
      </c>
      <c r="D21" s="10">
        <f>IFERROR(__xludf.DUMMYFUNCTION("""COMPUTED_VALUE"""),9.0)</f>
        <v>9</v>
      </c>
      <c r="E21" s="11">
        <f>IFERROR(__xludf.DUMMYFUNCTION("""COMPUTED_VALUE"""),2017.0)</f>
        <v>2017</v>
      </c>
      <c r="F21" s="12">
        <f t="shared" si="1"/>
        <v>42895</v>
      </c>
      <c r="G21" s="9">
        <v>42773.0</v>
      </c>
      <c r="H21" s="3">
        <f>IFERROR(__xludf.DUMMYFUNCTION("split(G21,""/"")"),7.0)</f>
        <v>7</v>
      </c>
      <c r="I21" s="3">
        <f>IFERROR(__xludf.DUMMYFUNCTION("""COMPUTED_VALUE"""),2.0)</f>
        <v>2</v>
      </c>
      <c r="J21" s="3">
        <f>IFERROR(__xludf.DUMMYFUNCTION("""COMPUTED_VALUE"""),2017.0)</f>
        <v>2017</v>
      </c>
      <c r="K21" s="12">
        <f t="shared" si="2"/>
        <v>42918</v>
      </c>
      <c r="L21" s="3" t="s">
        <v>814</v>
      </c>
      <c r="M21" s="3" t="s">
        <v>215</v>
      </c>
      <c r="N21" s="3">
        <v>8875.0</v>
      </c>
      <c r="O21" s="3" t="s">
        <v>818</v>
      </c>
      <c r="P21" s="10">
        <v>9103.0</v>
      </c>
      <c r="Q21" s="13">
        <v>421.89</v>
      </c>
      <c r="R21" s="13">
        <v>364.69</v>
      </c>
      <c r="S21" s="13">
        <f t="shared" si="3"/>
        <v>3840464.67</v>
      </c>
      <c r="T21" s="13">
        <f t="shared" si="4"/>
        <v>3319773.07</v>
      </c>
      <c r="U21" s="13">
        <f t="shared" si="5"/>
        <v>520691.6</v>
      </c>
      <c r="V21" s="3" t="str">
        <f>VLOOKUP(N21,products!A:B,2,0)</f>
        <v>Meat</v>
      </c>
      <c r="W21" s="3" t="s">
        <v>23</v>
      </c>
      <c r="X21" s="3" t="s">
        <v>68</v>
      </c>
      <c r="Y21" s="14">
        <f t="shared" si="6"/>
        <v>0.1355803646</v>
      </c>
      <c r="Z21" s="3">
        <f t="shared" si="7"/>
        <v>23</v>
      </c>
      <c r="AA21" s="15">
        <f t="shared" si="8"/>
        <v>6</v>
      </c>
    </row>
    <row r="22" ht="15.75" customHeight="1">
      <c r="A22" s="3">
        <v>1.11496055E8</v>
      </c>
      <c r="B22" s="3" t="s">
        <v>847</v>
      </c>
      <c r="C22" s="3">
        <f>IFERROR(__xludf.DUMMYFUNCTION("split(B22,""/"")"),4.0)</f>
        <v>4</v>
      </c>
      <c r="D22" s="10">
        <f>IFERROR(__xludf.DUMMYFUNCTION("""COMPUTED_VALUE"""),28.0)</f>
        <v>28</v>
      </c>
      <c r="E22" s="11">
        <f>IFERROR(__xludf.DUMMYFUNCTION("""COMPUTED_VALUE"""),2011.0)</f>
        <v>2011</v>
      </c>
      <c r="F22" s="12">
        <f t="shared" si="1"/>
        <v>40661</v>
      </c>
      <c r="G22" s="9">
        <v>40639.0</v>
      </c>
      <c r="H22" s="3">
        <f>IFERROR(__xludf.DUMMYFUNCTION("split(G22,""/"")"),6.0)</f>
        <v>6</v>
      </c>
      <c r="I22" s="3">
        <f>IFERROR(__xludf.DUMMYFUNCTION("""COMPUTED_VALUE"""),4.0)</f>
        <v>4</v>
      </c>
      <c r="J22" s="3">
        <f>IFERROR(__xludf.DUMMYFUNCTION("""COMPUTED_VALUE"""),2011.0)</f>
        <v>2011</v>
      </c>
      <c r="K22" s="12">
        <f t="shared" si="2"/>
        <v>40698</v>
      </c>
      <c r="L22" s="3" t="s">
        <v>814</v>
      </c>
      <c r="M22" s="3" t="s">
        <v>101</v>
      </c>
      <c r="N22" s="3">
        <v>4594.0</v>
      </c>
      <c r="O22" s="3" t="s">
        <v>815</v>
      </c>
      <c r="P22" s="10">
        <v>3015.0</v>
      </c>
      <c r="Q22" s="13">
        <v>9.33</v>
      </c>
      <c r="R22" s="13">
        <v>6.92</v>
      </c>
      <c r="S22" s="13">
        <f t="shared" si="3"/>
        <v>28129.95</v>
      </c>
      <c r="T22" s="13">
        <f t="shared" si="4"/>
        <v>20863.8</v>
      </c>
      <c r="U22" s="13">
        <f t="shared" si="5"/>
        <v>7266.15</v>
      </c>
      <c r="V22" s="3" t="str">
        <f>VLOOKUP(N22,products!A:B,2,0)</f>
        <v>Fruits</v>
      </c>
      <c r="W22" s="3" t="s">
        <v>28</v>
      </c>
      <c r="X22" s="3" t="s">
        <v>79</v>
      </c>
      <c r="Y22" s="14">
        <f t="shared" si="6"/>
        <v>0.258306538</v>
      </c>
      <c r="Z22" s="3">
        <f t="shared" si="7"/>
        <v>37</v>
      </c>
      <c r="AA22" s="15">
        <f t="shared" si="8"/>
        <v>5</v>
      </c>
    </row>
    <row r="23" ht="15.75" customHeight="1">
      <c r="A23" s="3">
        <v>1.11893022E8</v>
      </c>
      <c r="B23" s="3" t="s">
        <v>848</v>
      </c>
      <c r="C23" s="3">
        <f>IFERROR(__xludf.DUMMYFUNCTION("split(B23,""/"")"),10.0)</f>
        <v>10</v>
      </c>
      <c r="D23" s="10">
        <f>IFERROR(__xludf.DUMMYFUNCTION("""COMPUTED_VALUE"""),28.0)</f>
        <v>28</v>
      </c>
      <c r="E23" s="11">
        <f>IFERROR(__xludf.DUMMYFUNCTION("""COMPUTED_VALUE"""),2016.0)</f>
        <v>2016</v>
      </c>
      <c r="F23" s="12">
        <f t="shared" si="1"/>
        <v>42671</v>
      </c>
      <c r="G23" s="9">
        <v>42412.0</v>
      </c>
      <c r="H23" s="3">
        <f>IFERROR(__xludf.DUMMYFUNCTION("split(G23,""/"")"),12.0)</f>
        <v>12</v>
      </c>
      <c r="I23" s="3">
        <f>IFERROR(__xludf.DUMMYFUNCTION("""COMPUTED_VALUE"""),2.0)</f>
        <v>2</v>
      </c>
      <c r="J23" s="3">
        <f>IFERROR(__xludf.DUMMYFUNCTION("""COMPUTED_VALUE"""),2016.0)</f>
        <v>2016</v>
      </c>
      <c r="K23" s="12">
        <f t="shared" si="2"/>
        <v>42706</v>
      </c>
      <c r="L23" s="3" t="s">
        <v>825</v>
      </c>
      <c r="M23" s="3" t="s">
        <v>653</v>
      </c>
      <c r="N23" s="3">
        <v>7331.0</v>
      </c>
      <c r="O23" s="3" t="s">
        <v>815</v>
      </c>
      <c r="P23" s="10">
        <v>486.0</v>
      </c>
      <c r="Q23" s="13">
        <v>255.28</v>
      </c>
      <c r="R23" s="13">
        <v>159.42</v>
      </c>
      <c r="S23" s="13">
        <f t="shared" si="3"/>
        <v>124066.08</v>
      </c>
      <c r="T23" s="13">
        <f t="shared" si="4"/>
        <v>77478.12</v>
      </c>
      <c r="U23" s="13">
        <f t="shared" si="5"/>
        <v>46587.96</v>
      </c>
      <c r="V23" s="3" t="str">
        <f>VLOOKUP(N23,products!A:B,2,0)</f>
        <v>Baby Food</v>
      </c>
      <c r="W23" s="3" t="s">
        <v>28</v>
      </c>
      <c r="X23" s="3" t="s">
        <v>33</v>
      </c>
      <c r="Y23" s="14">
        <f t="shared" si="6"/>
        <v>0.3755092448</v>
      </c>
      <c r="Z23" s="3">
        <f t="shared" si="7"/>
        <v>35</v>
      </c>
      <c r="AA23" s="15">
        <f t="shared" si="8"/>
        <v>6</v>
      </c>
    </row>
    <row r="24" ht="15.75" customHeight="1">
      <c r="A24" s="3">
        <v>1.12330758E8</v>
      </c>
      <c r="B24" s="3" t="s">
        <v>849</v>
      </c>
      <c r="C24" s="3">
        <f>IFERROR(__xludf.DUMMYFUNCTION("split(B24,""/"")"),12.0)</f>
        <v>12</v>
      </c>
      <c r="D24" s="10">
        <f>IFERROR(__xludf.DUMMYFUNCTION("""COMPUTED_VALUE"""),15.0)</f>
        <v>15</v>
      </c>
      <c r="E24" s="11">
        <f>IFERROR(__xludf.DUMMYFUNCTION("""COMPUTED_VALUE"""),2016.0)</f>
        <v>2016</v>
      </c>
      <c r="F24" s="12">
        <f t="shared" si="1"/>
        <v>42719</v>
      </c>
      <c r="G24" s="9">
        <v>43040.0</v>
      </c>
      <c r="H24" s="3">
        <f>IFERROR(__xludf.DUMMYFUNCTION("split(G24,""/"")"),1.0)</f>
        <v>1</v>
      </c>
      <c r="I24" s="3">
        <f>IFERROR(__xludf.DUMMYFUNCTION("""COMPUTED_VALUE"""),11.0)</f>
        <v>11</v>
      </c>
      <c r="J24" s="3">
        <f>IFERROR(__xludf.DUMMYFUNCTION("""COMPUTED_VALUE"""),2017.0)</f>
        <v>2017</v>
      </c>
      <c r="K24" s="12">
        <f t="shared" si="2"/>
        <v>42746</v>
      </c>
      <c r="L24" s="3" t="s">
        <v>817</v>
      </c>
      <c r="M24" s="3" t="s">
        <v>431</v>
      </c>
      <c r="N24" s="3">
        <v>8681.0</v>
      </c>
      <c r="O24" s="3" t="s">
        <v>818</v>
      </c>
      <c r="P24" s="10">
        <v>22.0</v>
      </c>
      <c r="Q24" s="13">
        <v>651.21</v>
      </c>
      <c r="R24" s="13">
        <v>524.96</v>
      </c>
      <c r="S24" s="13">
        <f t="shared" si="3"/>
        <v>14326.62</v>
      </c>
      <c r="T24" s="13">
        <f t="shared" si="4"/>
        <v>11549.12</v>
      </c>
      <c r="U24" s="13">
        <f t="shared" si="5"/>
        <v>2777.5</v>
      </c>
      <c r="V24" s="3" t="str">
        <f>VLOOKUP(N24,products!A:B,2,0)</f>
        <v>Office Supplies</v>
      </c>
      <c r="W24" s="3" t="s">
        <v>28</v>
      </c>
      <c r="X24" s="3" t="s">
        <v>29</v>
      </c>
      <c r="Y24" s="14">
        <f t="shared" si="6"/>
        <v>0.193869873</v>
      </c>
      <c r="Z24" s="3">
        <f t="shared" si="7"/>
        <v>27</v>
      </c>
      <c r="AA24" s="15">
        <f t="shared" si="8"/>
        <v>5</v>
      </c>
    </row>
    <row r="25" ht="15.75" customHeight="1">
      <c r="A25" s="3">
        <v>1.13524663E8</v>
      </c>
      <c r="B25" s="3" t="s">
        <v>850</v>
      </c>
      <c r="C25" s="3">
        <f>IFERROR(__xludf.DUMMYFUNCTION("split(B25,""/"")"),10.0)</f>
        <v>10</v>
      </c>
      <c r="D25" s="10">
        <f>IFERROR(__xludf.DUMMYFUNCTION("""COMPUTED_VALUE"""),29.0)</f>
        <v>29</v>
      </c>
      <c r="E25" s="11">
        <f>IFERROR(__xludf.DUMMYFUNCTION("""COMPUTED_VALUE"""),2010.0)</f>
        <v>2010</v>
      </c>
      <c r="F25" s="12">
        <f t="shared" si="1"/>
        <v>40480</v>
      </c>
      <c r="G25" s="9">
        <v>40433.0</v>
      </c>
      <c r="H25" s="3">
        <f>IFERROR(__xludf.DUMMYFUNCTION("split(G25,""/"")"),12.0)</f>
        <v>12</v>
      </c>
      <c r="I25" s="3">
        <f>IFERROR(__xludf.DUMMYFUNCTION("""COMPUTED_VALUE"""),9.0)</f>
        <v>9</v>
      </c>
      <c r="J25" s="3">
        <f>IFERROR(__xludf.DUMMYFUNCTION("""COMPUTED_VALUE"""),2010.0)</f>
        <v>2010</v>
      </c>
      <c r="K25" s="12">
        <f t="shared" si="2"/>
        <v>40521</v>
      </c>
      <c r="L25" s="3" t="s">
        <v>825</v>
      </c>
      <c r="M25" s="3" t="s">
        <v>593</v>
      </c>
      <c r="N25" s="3">
        <v>8293.0</v>
      </c>
      <c r="O25" s="3" t="s">
        <v>815</v>
      </c>
      <c r="P25" s="10">
        <v>3325.0</v>
      </c>
      <c r="Q25" s="13">
        <v>437.2</v>
      </c>
      <c r="R25" s="13">
        <v>263.33</v>
      </c>
      <c r="S25" s="13">
        <f t="shared" si="3"/>
        <v>1453690</v>
      </c>
      <c r="T25" s="13">
        <f t="shared" si="4"/>
        <v>875572.25</v>
      </c>
      <c r="U25" s="13">
        <f t="shared" si="5"/>
        <v>578117.75</v>
      </c>
      <c r="V25" s="3" t="str">
        <f>VLOOKUP(N25,products!A:B,2,0)</f>
        <v>Cosmetics</v>
      </c>
      <c r="W25" s="3" t="s">
        <v>28</v>
      </c>
      <c r="X25" s="3" t="s">
        <v>98</v>
      </c>
      <c r="Y25" s="14">
        <f t="shared" si="6"/>
        <v>0.3976898445</v>
      </c>
      <c r="Z25" s="3">
        <f t="shared" si="7"/>
        <v>41</v>
      </c>
      <c r="AA25" s="15">
        <f t="shared" si="8"/>
        <v>6</v>
      </c>
    </row>
    <row r="26" ht="15.75" customHeight="1">
      <c r="A26" s="3">
        <v>1.14954173E8</v>
      </c>
      <c r="B26" s="9">
        <v>40239.0</v>
      </c>
      <c r="C26" s="3">
        <f>IFERROR(__xludf.DUMMYFUNCTION("split(B26,""/"")"),2.0)</f>
        <v>2</v>
      </c>
      <c r="D26" s="10">
        <f>IFERROR(__xludf.DUMMYFUNCTION("""COMPUTED_VALUE"""),3.0)</f>
        <v>3</v>
      </c>
      <c r="E26" s="11">
        <f>IFERROR(__xludf.DUMMYFUNCTION("""COMPUTED_VALUE"""),2010.0)</f>
        <v>2010</v>
      </c>
      <c r="F26" s="12">
        <f t="shared" si="1"/>
        <v>40212</v>
      </c>
      <c r="G26" s="9">
        <v>40484.0</v>
      </c>
      <c r="H26" s="3">
        <f>IFERROR(__xludf.DUMMYFUNCTION("split(G26,""/"")"),2.0)</f>
        <v>2</v>
      </c>
      <c r="I26" s="3">
        <f>IFERROR(__xludf.DUMMYFUNCTION("""COMPUTED_VALUE"""),11.0)</f>
        <v>11</v>
      </c>
      <c r="J26" s="3">
        <f>IFERROR(__xludf.DUMMYFUNCTION("""COMPUTED_VALUE"""),2010.0)</f>
        <v>2010</v>
      </c>
      <c r="K26" s="12">
        <f t="shared" si="2"/>
        <v>40220</v>
      </c>
      <c r="L26" s="3" t="s">
        <v>817</v>
      </c>
      <c r="M26" s="3" t="s">
        <v>455</v>
      </c>
      <c r="N26" s="3">
        <v>4594.0</v>
      </c>
      <c r="O26" s="3" t="s">
        <v>818</v>
      </c>
      <c r="P26" s="10">
        <v>6349.0</v>
      </c>
      <c r="Q26" s="13">
        <v>9.33</v>
      </c>
      <c r="R26" s="13">
        <v>6.92</v>
      </c>
      <c r="S26" s="13">
        <f t="shared" si="3"/>
        <v>59236.17</v>
      </c>
      <c r="T26" s="13">
        <f t="shared" si="4"/>
        <v>43935.08</v>
      </c>
      <c r="U26" s="13">
        <f t="shared" si="5"/>
        <v>15301.09</v>
      </c>
      <c r="V26" s="3" t="str">
        <f>VLOOKUP(N26,products!A:B,2,0)</f>
        <v>Fruits</v>
      </c>
      <c r="W26" s="3" t="s">
        <v>28</v>
      </c>
      <c r="X26" s="3" t="s">
        <v>33</v>
      </c>
      <c r="Y26" s="14">
        <f t="shared" si="6"/>
        <v>0.258306538</v>
      </c>
      <c r="Z26" s="3">
        <f t="shared" si="7"/>
        <v>8</v>
      </c>
      <c r="AA26" s="15">
        <f t="shared" si="8"/>
        <v>4</v>
      </c>
    </row>
    <row r="27" ht="15.75" customHeight="1">
      <c r="A27" s="3">
        <v>1.15363156E8</v>
      </c>
      <c r="B27" s="9">
        <v>42106.0</v>
      </c>
      <c r="C27" s="3">
        <f>IFERROR(__xludf.DUMMYFUNCTION("split(B27,""/"")"),12.0)</f>
        <v>12</v>
      </c>
      <c r="D27" s="10">
        <f>IFERROR(__xludf.DUMMYFUNCTION("""COMPUTED_VALUE"""),4.0)</f>
        <v>4</v>
      </c>
      <c r="E27" s="11">
        <f>IFERROR(__xludf.DUMMYFUNCTION("""COMPUTED_VALUE"""),2015.0)</f>
        <v>2015</v>
      </c>
      <c r="F27" s="12">
        <f t="shared" si="1"/>
        <v>42342</v>
      </c>
      <c r="G27" s="9">
        <v>42644.0</v>
      </c>
      <c r="H27" s="3">
        <f>IFERROR(__xludf.DUMMYFUNCTION("split(G27,""/"")"),1.0)</f>
        <v>1</v>
      </c>
      <c r="I27" s="3">
        <f>IFERROR(__xludf.DUMMYFUNCTION("""COMPUTED_VALUE"""),10.0)</f>
        <v>10</v>
      </c>
      <c r="J27" s="3">
        <f>IFERROR(__xludf.DUMMYFUNCTION("""COMPUTED_VALUE"""),2016.0)</f>
        <v>2016</v>
      </c>
      <c r="K27" s="12">
        <f t="shared" si="2"/>
        <v>42379</v>
      </c>
      <c r="L27" s="3" t="s">
        <v>827</v>
      </c>
      <c r="M27" s="3" t="s">
        <v>740</v>
      </c>
      <c r="N27" s="3">
        <v>8681.0</v>
      </c>
      <c r="O27" s="3" t="s">
        <v>818</v>
      </c>
      <c r="P27" s="10">
        <v>7376.0</v>
      </c>
      <c r="Q27" s="13">
        <v>651.21</v>
      </c>
      <c r="R27" s="13">
        <v>524.96</v>
      </c>
      <c r="S27" s="13">
        <f t="shared" si="3"/>
        <v>4803324.96</v>
      </c>
      <c r="T27" s="13">
        <f t="shared" si="4"/>
        <v>3872104.96</v>
      </c>
      <c r="U27" s="13">
        <f t="shared" si="5"/>
        <v>931220</v>
      </c>
      <c r="V27" s="3" t="str">
        <f>VLOOKUP(N27,products!A:B,2,0)</f>
        <v>Office Supplies</v>
      </c>
      <c r="W27" s="3" t="s">
        <v>28</v>
      </c>
      <c r="X27" s="3" t="s">
        <v>98</v>
      </c>
      <c r="Y27" s="14">
        <f t="shared" si="6"/>
        <v>0.193869873</v>
      </c>
      <c r="Z27" s="3">
        <f t="shared" si="7"/>
        <v>37</v>
      </c>
      <c r="AA27" s="15">
        <f t="shared" si="8"/>
        <v>6</v>
      </c>
    </row>
    <row r="28" ht="15.75" customHeight="1">
      <c r="A28" s="3">
        <v>1.17929494E8</v>
      </c>
      <c r="B28" s="3" t="s">
        <v>851</v>
      </c>
      <c r="C28" s="3">
        <f>IFERROR(__xludf.DUMMYFUNCTION("split(B28,""/"")"),1.0)</f>
        <v>1</v>
      </c>
      <c r="D28" s="10">
        <f>IFERROR(__xludf.DUMMYFUNCTION("""COMPUTED_VALUE"""),24.0)</f>
        <v>24</v>
      </c>
      <c r="E28" s="11">
        <f>IFERROR(__xludf.DUMMYFUNCTION("""COMPUTED_VALUE"""),2015.0)</f>
        <v>2015</v>
      </c>
      <c r="F28" s="12">
        <f t="shared" si="1"/>
        <v>42028</v>
      </c>
      <c r="G28" s="9">
        <v>42038.0</v>
      </c>
      <c r="H28" s="3">
        <f>IFERROR(__xludf.DUMMYFUNCTION("split(G28,""/"")"),3.0)</f>
        <v>3</v>
      </c>
      <c r="I28" s="3">
        <f>IFERROR(__xludf.DUMMYFUNCTION("""COMPUTED_VALUE"""),2.0)</f>
        <v>2</v>
      </c>
      <c r="J28" s="3">
        <f>IFERROR(__xludf.DUMMYFUNCTION("""COMPUTED_VALUE"""),2015.0)</f>
        <v>2015</v>
      </c>
      <c r="K28" s="12">
        <f t="shared" si="2"/>
        <v>42065</v>
      </c>
      <c r="L28" s="3" t="s">
        <v>827</v>
      </c>
      <c r="M28" s="3" t="s">
        <v>821</v>
      </c>
      <c r="N28" s="3">
        <v>4594.0</v>
      </c>
      <c r="O28" s="3" t="s">
        <v>818</v>
      </c>
      <c r="P28" s="10">
        <v>6813.0</v>
      </c>
      <c r="Q28" s="13">
        <v>9.33</v>
      </c>
      <c r="R28" s="13">
        <v>6.92</v>
      </c>
      <c r="S28" s="13">
        <f t="shared" si="3"/>
        <v>63565.29</v>
      </c>
      <c r="T28" s="13">
        <f t="shared" si="4"/>
        <v>47145.96</v>
      </c>
      <c r="U28" s="13">
        <f t="shared" si="5"/>
        <v>16419.33</v>
      </c>
      <c r="V28" s="3" t="str">
        <f>VLOOKUP(N28,products!A:B,2,0)</f>
        <v>Fruits</v>
      </c>
      <c r="W28" s="3" t="s">
        <v>821</v>
      </c>
      <c r="X28" s="3" t="s">
        <v>821</v>
      </c>
      <c r="Y28" s="14">
        <f t="shared" si="6"/>
        <v>0.258306538</v>
      </c>
      <c r="Z28" s="3">
        <f t="shared" si="7"/>
        <v>37</v>
      </c>
      <c r="AA28" s="15">
        <f t="shared" si="8"/>
        <v>7</v>
      </c>
    </row>
    <row r="29" ht="15.75" customHeight="1">
      <c r="A29" s="3">
        <v>1.18086564E8</v>
      </c>
      <c r="B29" s="3" t="s">
        <v>852</v>
      </c>
      <c r="C29" s="3">
        <f>IFERROR(__xludf.DUMMYFUNCTION("split(B29,""/"")"),2.0)</f>
        <v>2</v>
      </c>
      <c r="D29" s="10">
        <f>IFERROR(__xludf.DUMMYFUNCTION("""COMPUTED_VALUE"""),19.0)</f>
        <v>19</v>
      </c>
      <c r="E29" s="11">
        <f>IFERROR(__xludf.DUMMYFUNCTION("""COMPUTED_VALUE"""),2016.0)</f>
        <v>2016</v>
      </c>
      <c r="F29" s="12">
        <f t="shared" si="1"/>
        <v>42419</v>
      </c>
      <c r="G29" s="3" t="s">
        <v>853</v>
      </c>
      <c r="H29" s="3">
        <f>IFERROR(__xludf.DUMMYFUNCTION("split(G29,""/"")"),3.0)</f>
        <v>3</v>
      </c>
      <c r="I29" s="3">
        <f>IFERROR(__xludf.DUMMYFUNCTION("""COMPUTED_VALUE"""),13.0)</f>
        <v>13</v>
      </c>
      <c r="J29" s="3">
        <f>IFERROR(__xludf.DUMMYFUNCTION("""COMPUTED_VALUE"""),2016.0)</f>
        <v>2016</v>
      </c>
      <c r="K29" s="12">
        <f t="shared" si="2"/>
        <v>42442</v>
      </c>
      <c r="L29" s="3" t="s">
        <v>814</v>
      </c>
      <c r="M29" s="3" t="s">
        <v>542</v>
      </c>
      <c r="N29" s="3">
        <v>8969.0</v>
      </c>
      <c r="O29" s="3" t="s">
        <v>815</v>
      </c>
      <c r="P29" s="10">
        <v>3293.0</v>
      </c>
      <c r="Q29" s="13">
        <v>152.58</v>
      </c>
      <c r="R29" s="13">
        <v>97.44</v>
      </c>
      <c r="S29" s="13">
        <f t="shared" si="3"/>
        <v>502445.94</v>
      </c>
      <c r="T29" s="13">
        <f t="shared" si="4"/>
        <v>320869.92</v>
      </c>
      <c r="U29" s="13">
        <f t="shared" si="5"/>
        <v>181576.02</v>
      </c>
      <c r="V29" s="3" t="str">
        <f>VLOOKUP(N29,products!A:B,2,0)</f>
        <v>Snacks</v>
      </c>
      <c r="W29" s="3" t="s">
        <v>28</v>
      </c>
      <c r="X29" s="3" t="s">
        <v>29</v>
      </c>
      <c r="Y29" s="14">
        <f t="shared" si="6"/>
        <v>0.3613841919</v>
      </c>
      <c r="Z29" s="3">
        <f t="shared" si="7"/>
        <v>23</v>
      </c>
      <c r="AA29" s="15">
        <f t="shared" si="8"/>
        <v>6</v>
      </c>
    </row>
    <row r="30" ht="15.75" customHeight="1">
      <c r="A30" s="3">
        <v>1.18659913E8</v>
      </c>
      <c r="B30" s="9">
        <v>41678.0</v>
      </c>
      <c r="C30" s="3">
        <f>IFERROR(__xludf.DUMMYFUNCTION("split(B30,""/"")"),8.0)</f>
        <v>8</v>
      </c>
      <c r="D30" s="10">
        <f>IFERROR(__xludf.DUMMYFUNCTION("""COMPUTED_VALUE"""),2.0)</f>
        <v>2</v>
      </c>
      <c r="E30" s="11">
        <f>IFERROR(__xludf.DUMMYFUNCTION("""COMPUTED_VALUE"""),2014.0)</f>
        <v>2014</v>
      </c>
      <c r="F30" s="12">
        <f t="shared" si="1"/>
        <v>41853</v>
      </c>
      <c r="G30" s="3" t="s">
        <v>854</v>
      </c>
      <c r="H30" s="3">
        <f>IFERROR(__xludf.DUMMYFUNCTION("split(G30,""/"")"),8.0)</f>
        <v>8</v>
      </c>
      <c r="I30" s="3">
        <f>IFERROR(__xludf.DUMMYFUNCTION("""COMPUTED_VALUE"""),17.0)</f>
        <v>17</v>
      </c>
      <c r="J30" s="3">
        <f>IFERROR(__xludf.DUMMYFUNCTION("""COMPUTED_VALUE"""),2014.0)</f>
        <v>2014</v>
      </c>
      <c r="K30" s="12">
        <f t="shared" si="2"/>
        <v>41868</v>
      </c>
      <c r="L30" s="3" t="s">
        <v>817</v>
      </c>
      <c r="M30" s="3" t="s">
        <v>218</v>
      </c>
      <c r="N30" s="3">
        <v>2103.0</v>
      </c>
      <c r="O30" s="3" t="s">
        <v>815</v>
      </c>
      <c r="P30" s="10">
        <v>2960.0</v>
      </c>
      <c r="Q30" s="13">
        <v>205.7</v>
      </c>
      <c r="R30" s="13">
        <v>117.11</v>
      </c>
      <c r="S30" s="13">
        <f t="shared" si="3"/>
        <v>608872</v>
      </c>
      <c r="T30" s="13">
        <f t="shared" si="4"/>
        <v>346645.6</v>
      </c>
      <c r="U30" s="13">
        <f t="shared" si="5"/>
        <v>262226.4</v>
      </c>
      <c r="V30" s="3" t="str">
        <f>VLOOKUP(N30,products!A:B,2,0)</f>
        <v>Cereal</v>
      </c>
      <c r="W30" s="3" t="s">
        <v>28</v>
      </c>
      <c r="X30" s="3" t="s">
        <v>98</v>
      </c>
      <c r="Y30" s="14">
        <f t="shared" si="6"/>
        <v>0.4306757414</v>
      </c>
      <c r="Z30" s="3">
        <f t="shared" si="7"/>
        <v>15</v>
      </c>
      <c r="AA30" s="15">
        <f t="shared" si="8"/>
        <v>7</v>
      </c>
    </row>
    <row r="31" ht="15.75" customHeight="1">
      <c r="A31" s="3">
        <v>1.18859469E8</v>
      </c>
      <c r="B31" s="9">
        <v>40580.0</v>
      </c>
      <c r="C31" s="3">
        <f>IFERROR(__xludf.DUMMYFUNCTION("split(B31,""/"")"),6.0)</f>
        <v>6</v>
      </c>
      <c r="D31" s="10">
        <f>IFERROR(__xludf.DUMMYFUNCTION("""COMPUTED_VALUE"""),2.0)</f>
        <v>2</v>
      </c>
      <c r="E31" s="11">
        <f>IFERROR(__xludf.DUMMYFUNCTION("""COMPUTED_VALUE"""),2011.0)</f>
        <v>2011</v>
      </c>
      <c r="F31" s="12">
        <f t="shared" si="1"/>
        <v>40696</v>
      </c>
      <c r="G31" s="9">
        <v>40550.0</v>
      </c>
      <c r="H31" s="3">
        <f>IFERROR(__xludf.DUMMYFUNCTION("split(G31,""/"")"),7.0)</f>
        <v>7</v>
      </c>
      <c r="I31" s="3">
        <f>IFERROR(__xludf.DUMMYFUNCTION("""COMPUTED_VALUE"""),1.0)</f>
        <v>1</v>
      </c>
      <c r="J31" s="3">
        <f>IFERROR(__xludf.DUMMYFUNCTION("""COMPUTED_VALUE"""),2011.0)</f>
        <v>2011</v>
      </c>
      <c r="K31" s="12">
        <f t="shared" si="2"/>
        <v>40725</v>
      </c>
      <c r="L31" s="3" t="s">
        <v>825</v>
      </c>
      <c r="M31" s="3" t="s">
        <v>821</v>
      </c>
      <c r="N31" s="3">
        <v>8969.0</v>
      </c>
      <c r="O31" s="3" t="s">
        <v>818</v>
      </c>
      <c r="P31" s="10">
        <v>2013.0</v>
      </c>
      <c r="Q31" s="13">
        <v>152.58</v>
      </c>
      <c r="R31" s="13">
        <v>97.44</v>
      </c>
      <c r="S31" s="13">
        <f t="shared" si="3"/>
        <v>307143.54</v>
      </c>
      <c r="T31" s="13">
        <f t="shared" si="4"/>
        <v>196146.72</v>
      </c>
      <c r="U31" s="13">
        <f t="shared" si="5"/>
        <v>110996.82</v>
      </c>
      <c r="V31" s="3" t="str">
        <f>VLOOKUP(N31,products!A:B,2,0)</f>
        <v>Snacks</v>
      </c>
      <c r="W31" s="3" t="s">
        <v>821</v>
      </c>
      <c r="X31" s="3" t="s">
        <v>821</v>
      </c>
      <c r="Y31" s="14">
        <f t="shared" si="6"/>
        <v>0.3613841919</v>
      </c>
      <c r="Z31" s="3">
        <f t="shared" si="7"/>
        <v>29</v>
      </c>
      <c r="AA31" s="15">
        <f t="shared" si="8"/>
        <v>5</v>
      </c>
    </row>
    <row r="32" ht="15.75" customHeight="1">
      <c r="A32" s="3">
        <v>1.19935786E8</v>
      </c>
      <c r="B32" s="3" t="s">
        <v>855</v>
      </c>
      <c r="C32" s="3">
        <f>IFERROR(__xludf.DUMMYFUNCTION("split(B32,""/"")"),1.0)</f>
        <v>1</v>
      </c>
      <c r="D32" s="10">
        <f>IFERROR(__xludf.DUMMYFUNCTION("""COMPUTED_VALUE"""),14.0)</f>
        <v>14</v>
      </c>
      <c r="E32" s="11">
        <f>IFERROR(__xludf.DUMMYFUNCTION("""COMPUTED_VALUE"""),2015.0)</f>
        <v>2015</v>
      </c>
      <c r="F32" s="12">
        <f t="shared" si="1"/>
        <v>42018</v>
      </c>
      <c r="G32" s="3" t="s">
        <v>856</v>
      </c>
      <c r="H32" s="3">
        <f>IFERROR(__xludf.DUMMYFUNCTION("split(G32,""/"")"),1.0)</f>
        <v>1</v>
      </c>
      <c r="I32" s="3">
        <f>IFERROR(__xludf.DUMMYFUNCTION("""COMPUTED_VALUE"""),27.0)</f>
        <v>27</v>
      </c>
      <c r="J32" s="3">
        <f>IFERROR(__xludf.DUMMYFUNCTION("""COMPUTED_VALUE"""),2015.0)</f>
        <v>2015</v>
      </c>
      <c r="K32" s="12">
        <f t="shared" si="2"/>
        <v>42031</v>
      </c>
      <c r="L32" s="3" t="s">
        <v>825</v>
      </c>
      <c r="M32" s="3" t="s">
        <v>590</v>
      </c>
      <c r="N32" s="3">
        <v>3127.0</v>
      </c>
      <c r="O32" s="3" t="s">
        <v>818</v>
      </c>
      <c r="P32" s="10">
        <v>519.0</v>
      </c>
      <c r="Q32" s="13">
        <v>81.73</v>
      </c>
      <c r="R32" s="13">
        <v>56.67</v>
      </c>
      <c r="S32" s="13">
        <f t="shared" si="3"/>
        <v>42417.87</v>
      </c>
      <c r="T32" s="13">
        <f t="shared" si="4"/>
        <v>29411.73</v>
      </c>
      <c r="U32" s="13">
        <f t="shared" si="5"/>
        <v>13006.14</v>
      </c>
      <c r="V32" s="3" t="str">
        <f>VLOOKUP(N32,products!A:B,2,0)</f>
        <v>Personal Care</v>
      </c>
      <c r="W32" s="3" t="s">
        <v>28</v>
      </c>
      <c r="X32" s="3" t="s">
        <v>98</v>
      </c>
      <c r="Y32" s="14">
        <f t="shared" si="6"/>
        <v>0.3066193564</v>
      </c>
      <c r="Z32" s="3">
        <f t="shared" si="7"/>
        <v>13</v>
      </c>
      <c r="AA32" s="15">
        <f t="shared" si="8"/>
        <v>4</v>
      </c>
    </row>
    <row r="33" ht="15.75" customHeight="1">
      <c r="A33" s="3">
        <v>1.20419871E8</v>
      </c>
      <c r="B33" s="3" t="s">
        <v>857</v>
      </c>
      <c r="C33" s="3">
        <f>IFERROR(__xludf.DUMMYFUNCTION("split(B33,""/"")"),5.0)</f>
        <v>5</v>
      </c>
      <c r="D33" s="10">
        <f>IFERROR(__xludf.DUMMYFUNCTION("""COMPUTED_VALUE"""),13.0)</f>
        <v>13</v>
      </c>
      <c r="E33" s="11">
        <f>IFERROR(__xludf.DUMMYFUNCTION("""COMPUTED_VALUE"""),2015.0)</f>
        <v>2015</v>
      </c>
      <c r="F33" s="12">
        <f t="shared" si="1"/>
        <v>42137</v>
      </c>
      <c r="G33" s="3" t="s">
        <v>858</v>
      </c>
      <c r="H33" s="3">
        <f>IFERROR(__xludf.DUMMYFUNCTION("split(G33,""/"")"),6.0)</f>
        <v>6</v>
      </c>
      <c r="I33" s="3">
        <f>IFERROR(__xludf.DUMMYFUNCTION("""COMPUTED_VALUE"""),26.0)</f>
        <v>26</v>
      </c>
      <c r="J33" s="3">
        <f>IFERROR(__xludf.DUMMYFUNCTION("""COMPUTED_VALUE"""),2015.0)</f>
        <v>2015</v>
      </c>
      <c r="K33" s="12">
        <f t="shared" si="2"/>
        <v>42181</v>
      </c>
      <c r="L33" s="3" t="s">
        <v>827</v>
      </c>
      <c r="M33" s="3" t="s">
        <v>431</v>
      </c>
      <c r="N33" s="3">
        <v>3127.0</v>
      </c>
      <c r="O33" s="3" t="s">
        <v>815</v>
      </c>
      <c r="P33" s="10">
        <v>3771.0</v>
      </c>
      <c r="Q33" s="13">
        <v>81.73</v>
      </c>
      <c r="R33" s="13">
        <v>56.67</v>
      </c>
      <c r="S33" s="13">
        <f t="shared" si="3"/>
        <v>308203.83</v>
      </c>
      <c r="T33" s="13">
        <f t="shared" si="4"/>
        <v>213702.57</v>
      </c>
      <c r="U33" s="13">
        <f t="shared" si="5"/>
        <v>94501.26</v>
      </c>
      <c r="V33" s="3" t="str">
        <f>VLOOKUP(N33,products!A:B,2,0)</f>
        <v>Personal Care</v>
      </c>
      <c r="W33" s="3" t="s">
        <v>28</v>
      </c>
      <c r="X33" s="3" t="s">
        <v>29</v>
      </c>
      <c r="Y33" s="14">
        <f t="shared" si="6"/>
        <v>0.3066193564</v>
      </c>
      <c r="Z33" s="3">
        <f t="shared" si="7"/>
        <v>44</v>
      </c>
      <c r="AA33" s="15">
        <f t="shared" si="8"/>
        <v>4</v>
      </c>
    </row>
    <row r="34" ht="15.75" customHeight="1">
      <c r="A34" s="3">
        <v>1.20977771E8</v>
      </c>
      <c r="B34" s="3" t="s">
        <v>859</v>
      </c>
      <c r="C34" s="3">
        <f>IFERROR(__xludf.DUMMYFUNCTION("split(B34,""/"")"),3.0)</f>
        <v>3</v>
      </c>
      <c r="D34" s="10">
        <f>IFERROR(__xludf.DUMMYFUNCTION("""COMPUTED_VALUE"""),23.0)</f>
        <v>23</v>
      </c>
      <c r="E34" s="11">
        <f>IFERROR(__xludf.DUMMYFUNCTION("""COMPUTED_VALUE"""),2011.0)</f>
        <v>2011</v>
      </c>
      <c r="F34" s="12">
        <f t="shared" si="1"/>
        <v>40625</v>
      </c>
      <c r="G34" s="9">
        <v>40579.0</v>
      </c>
      <c r="H34" s="3">
        <f>IFERROR(__xludf.DUMMYFUNCTION("split(G34,""/"")"),5.0)</f>
        <v>5</v>
      </c>
      <c r="I34" s="3">
        <f>IFERROR(__xludf.DUMMYFUNCTION("""COMPUTED_VALUE"""),2.0)</f>
        <v>2</v>
      </c>
      <c r="J34" s="3">
        <f>IFERROR(__xludf.DUMMYFUNCTION("""COMPUTED_VALUE"""),2011.0)</f>
        <v>2011</v>
      </c>
      <c r="K34" s="12">
        <f t="shared" si="2"/>
        <v>40665</v>
      </c>
      <c r="L34" s="3" t="s">
        <v>814</v>
      </c>
      <c r="M34" s="3" t="s">
        <v>67</v>
      </c>
      <c r="N34" s="3">
        <v>4594.0</v>
      </c>
      <c r="O34" s="3" t="s">
        <v>815</v>
      </c>
      <c r="P34" s="10">
        <v>8866.0</v>
      </c>
      <c r="Q34" s="13">
        <v>9.33</v>
      </c>
      <c r="R34" s="13">
        <v>6.92</v>
      </c>
      <c r="S34" s="13">
        <f t="shared" si="3"/>
        <v>82719.78</v>
      </c>
      <c r="T34" s="13">
        <f t="shared" si="4"/>
        <v>61352.72</v>
      </c>
      <c r="U34" s="13">
        <f t="shared" si="5"/>
        <v>21367.06</v>
      </c>
      <c r="V34" s="3" t="str">
        <f>VLOOKUP(N34,products!A:B,2,0)</f>
        <v>Fruits</v>
      </c>
      <c r="W34" s="3" t="s">
        <v>23</v>
      </c>
      <c r="X34" s="3" t="s">
        <v>68</v>
      </c>
      <c r="Y34" s="14">
        <f t="shared" si="6"/>
        <v>0.258306538</v>
      </c>
      <c r="Z34" s="3">
        <f t="shared" si="7"/>
        <v>40</v>
      </c>
      <c r="AA34" s="15">
        <f t="shared" si="8"/>
        <v>4</v>
      </c>
    </row>
    <row r="35" ht="15.75" customHeight="1">
      <c r="A35" s="3">
        <v>1.21380746E8</v>
      </c>
      <c r="B35" s="3" t="s">
        <v>860</v>
      </c>
      <c r="C35" s="3">
        <f>IFERROR(__xludf.DUMMYFUNCTION("split(B35,""/"")"),11.0)</f>
        <v>11</v>
      </c>
      <c r="D35" s="10">
        <f>IFERROR(__xludf.DUMMYFUNCTION("""COMPUTED_VALUE"""),21.0)</f>
        <v>21</v>
      </c>
      <c r="E35" s="11">
        <f>IFERROR(__xludf.DUMMYFUNCTION("""COMPUTED_VALUE"""),2016.0)</f>
        <v>2016</v>
      </c>
      <c r="F35" s="12">
        <f t="shared" si="1"/>
        <v>42695</v>
      </c>
      <c r="G35" s="3" t="s">
        <v>861</v>
      </c>
      <c r="H35" s="3">
        <f>IFERROR(__xludf.DUMMYFUNCTION("split(G35,""/"")"),12.0)</f>
        <v>12</v>
      </c>
      <c r="I35" s="3">
        <f>IFERROR(__xludf.DUMMYFUNCTION("""COMPUTED_VALUE"""),18.0)</f>
        <v>18</v>
      </c>
      <c r="J35" s="3">
        <f>IFERROR(__xludf.DUMMYFUNCTION("""COMPUTED_VALUE"""),2016.0)</f>
        <v>2016</v>
      </c>
      <c r="K35" s="12">
        <f t="shared" si="2"/>
        <v>42722</v>
      </c>
      <c r="L35" s="3" t="s">
        <v>817</v>
      </c>
      <c r="M35" s="3" t="s">
        <v>455</v>
      </c>
      <c r="N35" s="3">
        <v>4594.0</v>
      </c>
      <c r="O35" s="3" t="s">
        <v>815</v>
      </c>
      <c r="P35" s="10">
        <v>8115.0</v>
      </c>
      <c r="Q35" s="13">
        <v>9.33</v>
      </c>
      <c r="R35" s="13">
        <v>6.92</v>
      </c>
      <c r="S35" s="13">
        <f t="shared" si="3"/>
        <v>75712.95</v>
      </c>
      <c r="T35" s="13">
        <f t="shared" si="4"/>
        <v>56155.8</v>
      </c>
      <c r="U35" s="13">
        <f t="shared" si="5"/>
        <v>19557.15</v>
      </c>
      <c r="V35" s="3" t="str">
        <f>VLOOKUP(N35,products!A:B,2,0)</f>
        <v>Fruits</v>
      </c>
      <c r="W35" s="3" t="s">
        <v>28</v>
      </c>
      <c r="X35" s="3" t="s">
        <v>33</v>
      </c>
      <c r="Y35" s="14">
        <f t="shared" si="6"/>
        <v>0.258306538</v>
      </c>
      <c r="Z35" s="3">
        <f t="shared" si="7"/>
        <v>27</v>
      </c>
      <c r="AA35" s="15">
        <f t="shared" si="8"/>
        <v>2</v>
      </c>
    </row>
    <row r="36" ht="15.75" customHeight="1">
      <c r="A36" s="3">
        <v>1.21945512E8</v>
      </c>
      <c r="B36" s="9">
        <v>42951.0</v>
      </c>
      <c r="C36" s="3">
        <f>IFERROR(__xludf.DUMMYFUNCTION("split(B36,""/"")"),4.0)</f>
        <v>4</v>
      </c>
      <c r="D36" s="10">
        <f>IFERROR(__xludf.DUMMYFUNCTION("""COMPUTED_VALUE"""),8.0)</f>
        <v>8</v>
      </c>
      <c r="E36" s="11">
        <f>IFERROR(__xludf.DUMMYFUNCTION("""COMPUTED_VALUE"""),2017.0)</f>
        <v>2017</v>
      </c>
      <c r="F36" s="12">
        <f t="shared" si="1"/>
        <v>42833</v>
      </c>
      <c r="G36" s="9">
        <v>43073.0</v>
      </c>
      <c r="H36" s="3">
        <f>IFERROR(__xludf.DUMMYFUNCTION("split(G36,""/"")"),4.0)</f>
        <v>4</v>
      </c>
      <c r="I36" s="3">
        <f>IFERROR(__xludf.DUMMYFUNCTION("""COMPUTED_VALUE"""),12.0)</f>
        <v>12</v>
      </c>
      <c r="J36" s="3">
        <f>IFERROR(__xludf.DUMMYFUNCTION("""COMPUTED_VALUE"""),2017.0)</f>
        <v>2017</v>
      </c>
      <c r="K36" s="12">
        <f t="shared" si="2"/>
        <v>42837</v>
      </c>
      <c r="L36" s="3" t="s">
        <v>817</v>
      </c>
      <c r="M36" s="3" t="s">
        <v>746</v>
      </c>
      <c r="N36" s="3">
        <v>1270.0</v>
      </c>
      <c r="O36" s="3" t="s">
        <v>815</v>
      </c>
      <c r="P36" s="10">
        <v>5242.0</v>
      </c>
      <c r="Q36" s="13">
        <v>47.45</v>
      </c>
      <c r="R36" s="13">
        <v>31.79</v>
      </c>
      <c r="S36" s="13">
        <f t="shared" si="3"/>
        <v>248732.9</v>
      </c>
      <c r="T36" s="13">
        <f t="shared" si="4"/>
        <v>166643.18</v>
      </c>
      <c r="U36" s="13">
        <f t="shared" si="5"/>
        <v>82089.72</v>
      </c>
      <c r="V36" s="3" t="str">
        <f>VLOOKUP(N36,products!A:B,2,0)</f>
        <v>Beverages</v>
      </c>
      <c r="W36" s="3" t="s">
        <v>28</v>
      </c>
      <c r="X36" s="3" t="s">
        <v>29</v>
      </c>
      <c r="Y36" s="14">
        <f t="shared" si="6"/>
        <v>0.3300316122</v>
      </c>
      <c r="Z36" s="3">
        <f t="shared" si="7"/>
        <v>4</v>
      </c>
      <c r="AA36" s="15">
        <f t="shared" si="8"/>
        <v>7</v>
      </c>
    </row>
    <row r="37" ht="15.75" customHeight="1">
      <c r="A37" s="3">
        <v>1.2214421E8</v>
      </c>
      <c r="B37" s="3" t="s">
        <v>862</v>
      </c>
      <c r="C37" s="3">
        <f>IFERROR(__xludf.DUMMYFUNCTION("split(B37,""/"")"),4.0)</f>
        <v>4</v>
      </c>
      <c r="D37" s="10">
        <f>IFERROR(__xludf.DUMMYFUNCTION("""COMPUTED_VALUE"""),27.0)</f>
        <v>27</v>
      </c>
      <c r="E37" s="11">
        <f>IFERROR(__xludf.DUMMYFUNCTION("""COMPUTED_VALUE"""),2017.0)</f>
        <v>2017</v>
      </c>
      <c r="F37" s="12">
        <f t="shared" si="1"/>
        <v>42852</v>
      </c>
      <c r="G37" s="3" t="s">
        <v>863</v>
      </c>
      <c r="H37" s="3">
        <f>IFERROR(__xludf.DUMMYFUNCTION("split(G37,""/"")"),5.0)</f>
        <v>5</v>
      </c>
      <c r="I37" s="3">
        <f>IFERROR(__xludf.DUMMYFUNCTION("""COMPUTED_VALUE"""),24.0)</f>
        <v>24</v>
      </c>
      <c r="J37" s="3">
        <f>IFERROR(__xludf.DUMMYFUNCTION("""COMPUTED_VALUE"""),2017.0)</f>
        <v>2017</v>
      </c>
      <c r="K37" s="12">
        <f t="shared" si="2"/>
        <v>42879</v>
      </c>
      <c r="L37" s="3" t="s">
        <v>817</v>
      </c>
      <c r="M37" s="3" t="s">
        <v>488</v>
      </c>
      <c r="N37" s="3">
        <v>1270.0</v>
      </c>
      <c r="O37" s="3" t="s">
        <v>818</v>
      </c>
      <c r="P37" s="10">
        <v>4041.0</v>
      </c>
      <c r="Q37" s="13">
        <v>47.45</v>
      </c>
      <c r="R37" s="13">
        <v>31.79</v>
      </c>
      <c r="S37" s="13">
        <f t="shared" si="3"/>
        <v>191745.45</v>
      </c>
      <c r="T37" s="13">
        <f t="shared" si="4"/>
        <v>128463.39</v>
      </c>
      <c r="U37" s="13">
        <f t="shared" si="5"/>
        <v>63282.06</v>
      </c>
      <c r="V37" s="3" t="str">
        <f>VLOOKUP(N37,products!A:B,2,0)</f>
        <v>Beverages</v>
      </c>
      <c r="W37" s="3" t="s">
        <v>28</v>
      </c>
      <c r="X37" s="3" t="s">
        <v>33</v>
      </c>
      <c r="Y37" s="14">
        <f t="shared" si="6"/>
        <v>0.3300316122</v>
      </c>
      <c r="Z37" s="3">
        <f t="shared" si="7"/>
        <v>27</v>
      </c>
      <c r="AA37" s="15">
        <f t="shared" si="8"/>
        <v>5</v>
      </c>
    </row>
    <row r="38" ht="15.75" customHeight="1">
      <c r="A38" s="3">
        <v>1.22372519E8</v>
      </c>
      <c r="B38" s="9">
        <v>42644.0</v>
      </c>
      <c r="C38" s="3">
        <f>IFERROR(__xludf.DUMMYFUNCTION("split(B38,""/"")"),1.0)</f>
        <v>1</v>
      </c>
      <c r="D38" s="10">
        <f>IFERROR(__xludf.DUMMYFUNCTION("""COMPUTED_VALUE"""),10.0)</f>
        <v>10</v>
      </c>
      <c r="E38" s="11">
        <f>IFERROR(__xludf.DUMMYFUNCTION("""COMPUTED_VALUE"""),2016.0)</f>
        <v>2016</v>
      </c>
      <c r="F38" s="12">
        <f t="shared" si="1"/>
        <v>42379</v>
      </c>
      <c r="G38" s="3" t="s">
        <v>864</v>
      </c>
      <c r="H38" s="3">
        <f>IFERROR(__xludf.DUMMYFUNCTION("split(G38,""/"")"),1.0)</f>
        <v>1</v>
      </c>
      <c r="I38" s="3">
        <f>IFERROR(__xludf.DUMMYFUNCTION("""COMPUTED_VALUE"""),13.0)</f>
        <v>13</v>
      </c>
      <c r="J38" s="3">
        <f>IFERROR(__xludf.DUMMYFUNCTION("""COMPUTED_VALUE"""),2016.0)</f>
        <v>2016</v>
      </c>
      <c r="K38" s="12">
        <f t="shared" si="2"/>
        <v>42382</v>
      </c>
      <c r="L38" s="3" t="s">
        <v>825</v>
      </c>
      <c r="M38" s="3" t="s">
        <v>578</v>
      </c>
      <c r="N38" s="3">
        <v>1270.0</v>
      </c>
      <c r="O38" s="3" t="s">
        <v>818</v>
      </c>
      <c r="P38" s="10">
        <v>1603.0</v>
      </c>
      <c r="Q38" s="13">
        <v>47.45</v>
      </c>
      <c r="R38" s="13">
        <v>31.79</v>
      </c>
      <c r="S38" s="13">
        <f t="shared" si="3"/>
        <v>76062.35</v>
      </c>
      <c r="T38" s="13">
        <f t="shared" si="4"/>
        <v>50959.37</v>
      </c>
      <c r="U38" s="13">
        <f t="shared" si="5"/>
        <v>25102.98</v>
      </c>
      <c r="V38" s="3" t="str">
        <f>VLOOKUP(N38,products!A:B,2,0)</f>
        <v>Beverages</v>
      </c>
      <c r="W38" s="3" t="s">
        <v>28</v>
      </c>
      <c r="X38" s="3" t="s">
        <v>33</v>
      </c>
      <c r="Y38" s="14">
        <f t="shared" si="6"/>
        <v>0.3300316122</v>
      </c>
      <c r="Z38" s="3">
        <f t="shared" si="7"/>
        <v>3</v>
      </c>
      <c r="AA38" s="15">
        <f t="shared" si="8"/>
        <v>1</v>
      </c>
    </row>
    <row r="39" ht="15.75" customHeight="1">
      <c r="A39" s="3">
        <v>1.22967326E8</v>
      </c>
      <c r="B39" s="3" t="s">
        <v>865</v>
      </c>
      <c r="C39" s="3">
        <f>IFERROR(__xludf.DUMMYFUNCTION("split(B39,""/"")"),3.0)</f>
        <v>3</v>
      </c>
      <c r="D39" s="10">
        <f>IFERROR(__xludf.DUMMYFUNCTION("""COMPUTED_VALUE"""),24.0)</f>
        <v>24</v>
      </c>
      <c r="E39" s="11">
        <f>IFERROR(__xludf.DUMMYFUNCTION("""COMPUTED_VALUE"""),2017.0)</f>
        <v>2017</v>
      </c>
      <c r="F39" s="12">
        <f t="shared" si="1"/>
        <v>42818</v>
      </c>
      <c r="G39" s="3" t="s">
        <v>866</v>
      </c>
      <c r="H39" s="3">
        <f>IFERROR(__xludf.DUMMYFUNCTION("split(G39,""/"")"),4.0)</f>
        <v>4</v>
      </c>
      <c r="I39" s="3">
        <f>IFERROR(__xludf.DUMMYFUNCTION("""COMPUTED_VALUE"""),25.0)</f>
        <v>25</v>
      </c>
      <c r="J39" s="3">
        <f>IFERROR(__xludf.DUMMYFUNCTION("""COMPUTED_VALUE"""),2017.0)</f>
        <v>2017</v>
      </c>
      <c r="K39" s="12">
        <f t="shared" si="2"/>
        <v>42850</v>
      </c>
      <c r="L39" s="3" t="s">
        <v>827</v>
      </c>
      <c r="M39" s="3" t="s">
        <v>97</v>
      </c>
      <c r="N39" s="3">
        <v>1270.0</v>
      </c>
      <c r="O39" s="3" t="s">
        <v>815</v>
      </c>
      <c r="P39" s="10">
        <v>7619.0</v>
      </c>
      <c r="Q39" s="13">
        <v>47.45</v>
      </c>
      <c r="R39" s="13">
        <v>31.79</v>
      </c>
      <c r="S39" s="13">
        <f t="shared" si="3"/>
        <v>361521.55</v>
      </c>
      <c r="T39" s="13">
        <f t="shared" si="4"/>
        <v>242208.01</v>
      </c>
      <c r="U39" s="13">
        <f t="shared" si="5"/>
        <v>119313.54</v>
      </c>
      <c r="V39" s="3" t="str">
        <f>VLOOKUP(N39,products!A:B,2,0)</f>
        <v>Beverages</v>
      </c>
      <c r="W39" s="3" t="s">
        <v>28</v>
      </c>
      <c r="X39" s="3" t="s">
        <v>98</v>
      </c>
      <c r="Y39" s="14">
        <f t="shared" si="6"/>
        <v>0.3300316122</v>
      </c>
      <c r="Z39" s="3">
        <f t="shared" si="7"/>
        <v>32</v>
      </c>
      <c r="AA39" s="15">
        <f t="shared" si="8"/>
        <v>6</v>
      </c>
    </row>
    <row r="40" ht="15.75" customHeight="1">
      <c r="A40" s="3">
        <v>1.23086202E8</v>
      </c>
      <c r="B40" s="9">
        <v>41671.0</v>
      </c>
      <c r="C40" s="3">
        <f>IFERROR(__xludf.DUMMYFUNCTION("split(B40,""/"")"),1.0)</f>
        <v>1</v>
      </c>
      <c r="D40" s="10">
        <f>IFERROR(__xludf.DUMMYFUNCTION("""COMPUTED_VALUE"""),2.0)</f>
        <v>2</v>
      </c>
      <c r="E40" s="11">
        <f>IFERROR(__xludf.DUMMYFUNCTION("""COMPUTED_VALUE"""),2014.0)</f>
        <v>2014</v>
      </c>
      <c r="F40" s="12">
        <f t="shared" si="1"/>
        <v>41641</v>
      </c>
      <c r="G40" s="3" t="s">
        <v>867</v>
      </c>
      <c r="H40" s="3">
        <f>IFERROR(__xludf.DUMMYFUNCTION("split(G40,""/"")"),2.0)</f>
        <v>2</v>
      </c>
      <c r="I40" s="3">
        <f>IFERROR(__xludf.DUMMYFUNCTION("""COMPUTED_VALUE"""),20.0)</f>
        <v>20</v>
      </c>
      <c r="J40" s="3">
        <f>IFERROR(__xludf.DUMMYFUNCTION("""COMPUTED_VALUE"""),2014.0)</f>
        <v>2014</v>
      </c>
      <c r="K40" s="12">
        <f t="shared" si="2"/>
        <v>41690</v>
      </c>
      <c r="L40" s="3" t="s">
        <v>814</v>
      </c>
      <c r="M40" s="3" t="s">
        <v>248</v>
      </c>
      <c r="N40" s="3">
        <v>7331.0</v>
      </c>
      <c r="O40" s="3" t="s">
        <v>818</v>
      </c>
      <c r="P40" s="10">
        <v>2797.0</v>
      </c>
      <c r="Q40" s="13">
        <v>255.28</v>
      </c>
      <c r="R40" s="13">
        <v>159.42</v>
      </c>
      <c r="S40" s="13">
        <f t="shared" si="3"/>
        <v>714018.16</v>
      </c>
      <c r="T40" s="13">
        <f t="shared" si="4"/>
        <v>445897.74</v>
      </c>
      <c r="U40" s="13">
        <f t="shared" si="5"/>
        <v>268120.42</v>
      </c>
      <c r="V40" s="3" t="str">
        <f>VLOOKUP(N40,products!A:B,2,0)</f>
        <v>Baby Food</v>
      </c>
      <c r="W40" s="3" t="s">
        <v>28</v>
      </c>
      <c r="X40" s="3" t="s">
        <v>29</v>
      </c>
      <c r="Y40" s="14">
        <f t="shared" si="6"/>
        <v>0.3755092448</v>
      </c>
      <c r="Z40" s="3">
        <f t="shared" si="7"/>
        <v>49</v>
      </c>
      <c r="AA40" s="15">
        <f t="shared" si="8"/>
        <v>5</v>
      </c>
    </row>
    <row r="41" ht="15.75" customHeight="1">
      <c r="A41" s="3">
        <v>1.23544108E8</v>
      </c>
      <c r="B41" s="3" t="s">
        <v>868</v>
      </c>
      <c r="C41" s="3">
        <f>IFERROR(__xludf.DUMMYFUNCTION("split(B41,""/"")"),5.0)</f>
        <v>5</v>
      </c>
      <c r="D41" s="10">
        <f>IFERROR(__xludf.DUMMYFUNCTION("""COMPUTED_VALUE"""),13.0)</f>
        <v>13</v>
      </c>
      <c r="E41" s="11">
        <f>IFERROR(__xludf.DUMMYFUNCTION("""COMPUTED_VALUE"""),2010.0)</f>
        <v>2010</v>
      </c>
      <c r="F41" s="12">
        <f t="shared" si="1"/>
        <v>40311</v>
      </c>
      <c r="G41" s="3" t="s">
        <v>869</v>
      </c>
      <c r="H41" s="3">
        <f>IFERROR(__xludf.DUMMYFUNCTION("split(G41,""/"")"),6.0)</f>
        <v>6</v>
      </c>
      <c r="I41" s="3">
        <f>IFERROR(__xludf.DUMMYFUNCTION("""COMPUTED_VALUE"""),22.0)</f>
        <v>22</v>
      </c>
      <c r="J41" s="3">
        <f>IFERROR(__xludf.DUMMYFUNCTION("""COMPUTED_VALUE"""),2010.0)</f>
        <v>2010</v>
      </c>
      <c r="K41" s="12">
        <f t="shared" si="2"/>
        <v>40351</v>
      </c>
      <c r="L41" s="3" t="s">
        <v>814</v>
      </c>
      <c r="M41" s="3" t="s">
        <v>78</v>
      </c>
      <c r="N41" s="3">
        <v>2103.0</v>
      </c>
      <c r="O41" s="3" t="s">
        <v>815</v>
      </c>
      <c r="P41" s="10">
        <v>8302.0</v>
      </c>
      <c r="Q41" s="13">
        <v>205.7</v>
      </c>
      <c r="R41" s="13">
        <v>117.11</v>
      </c>
      <c r="S41" s="13">
        <f t="shared" si="3"/>
        <v>1707721.4</v>
      </c>
      <c r="T41" s="13">
        <f t="shared" si="4"/>
        <v>972247.22</v>
      </c>
      <c r="U41" s="13">
        <f t="shared" si="5"/>
        <v>735474.18</v>
      </c>
      <c r="V41" s="3" t="str">
        <f>VLOOKUP(N41,products!A:B,2,0)</f>
        <v>Cereal</v>
      </c>
      <c r="W41" s="3" t="s">
        <v>28</v>
      </c>
      <c r="X41" s="3" t="s">
        <v>79</v>
      </c>
      <c r="Y41" s="14">
        <f t="shared" si="6"/>
        <v>0.4306757414</v>
      </c>
      <c r="Z41" s="3">
        <f t="shared" si="7"/>
        <v>40</v>
      </c>
      <c r="AA41" s="15">
        <f t="shared" si="8"/>
        <v>5</v>
      </c>
    </row>
    <row r="42" ht="15.75" customHeight="1">
      <c r="A42" s="3">
        <v>1.2393893E8</v>
      </c>
      <c r="B42" s="3" t="s">
        <v>870</v>
      </c>
      <c r="C42" s="3">
        <f>IFERROR(__xludf.DUMMYFUNCTION("split(B42,""/"")"),7.0)</f>
        <v>7</v>
      </c>
      <c r="D42" s="10">
        <f>IFERROR(__xludf.DUMMYFUNCTION("""COMPUTED_VALUE"""),24.0)</f>
        <v>24</v>
      </c>
      <c r="E42" s="11">
        <f>IFERROR(__xludf.DUMMYFUNCTION("""COMPUTED_VALUE"""),2012.0)</f>
        <v>2012</v>
      </c>
      <c r="F42" s="12">
        <f t="shared" si="1"/>
        <v>41114</v>
      </c>
      <c r="G42" s="9">
        <v>40947.0</v>
      </c>
      <c r="H42" s="3">
        <f>IFERROR(__xludf.DUMMYFUNCTION("split(G42,""/"")"),8.0)</f>
        <v>8</v>
      </c>
      <c r="I42" s="3">
        <f>IFERROR(__xludf.DUMMYFUNCTION("""COMPUTED_VALUE"""),2.0)</f>
        <v>2</v>
      </c>
      <c r="J42" s="3">
        <f>IFERROR(__xludf.DUMMYFUNCTION("""COMPUTED_VALUE"""),2012.0)</f>
        <v>2012</v>
      </c>
      <c r="K42" s="12">
        <f t="shared" si="2"/>
        <v>41123</v>
      </c>
      <c r="L42" s="3" t="s">
        <v>814</v>
      </c>
      <c r="M42" s="3" t="s">
        <v>97</v>
      </c>
      <c r="N42" s="3">
        <v>1270.0</v>
      </c>
      <c r="O42" s="3" t="s">
        <v>815</v>
      </c>
      <c r="P42" s="10">
        <v>5138.0</v>
      </c>
      <c r="Q42" s="13">
        <v>47.45</v>
      </c>
      <c r="R42" s="13">
        <v>31.79</v>
      </c>
      <c r="S42" s="13">
        <f t="shared" si="3"/>
        <v>243798.1</v>
      </c>
      <c r="T42" s="13">
        <f t="shared" si="4"/>
        <v>163337.02</v>
      </c>
      <c r="U42" s="13">
        <f t="shared" si="5"/>
        <v>80461.08</v>
      </c>
      <c r="V42" s="3" t="str">
        <f>VLOOKUP(N42,products!A:B,2,0)</f>
        <v>Beverages</v>
      </c>
      <c r="W42" s="3" t="s">
        <v>28</v>
      </c>
      <c r="X42" s="3" t="s">
        <v>98</v>
      </c>
      <c r="Y42" s="14">
        <f t="shared" si="6"/>
        <v>0.3300316122</v>
      </c>
      <c r="Z42" s="3">
        <f t="shared" si="7"/>
        <v>9</v>
      </c>
      <c r="AA42" s="15">
        <f t="shared" si="8"/>
        <v>3</v>
      </c>
    </row>
    <row r="43" ht="15.75" customHeight="1">
      <c r="A43" s="3">
        <v>1.25339686E8</v>
      </c>
      <c r="B43" s="9">
        <v>43046.0</v>
      </c>
      <c r="C43" s="3">
        <f>IFERROR(__xludf.DUMMYFUNCTION("split(B43,""/"")"),7.0)</f>
        <v>7</v>
      </c>
      <c r="D43" s="10">
        <f>IFERROR(__xludf.DUMMYFUNCTION("""COMPUTED_VALUE"""),11.0)</f>
        <v>11</v>
      </c>
      <c r="E43" s="11">
        <f>IFERROR(__xludf.DUMMYFUNCTION("""COMPUTED_VALUE"""),2017.0)</f>
        <v>2017</v>
      </c>
      <c r="F43" s="12">
        <f t="shared" si="1"/>
        <v>42927</v>
      </c>
      <c r="G43" s="3" t="s">
        <v>871</v>
      </c>
      <c r="H43" s="3">
        <f>IFERROR(__xludf.DUMMYFUNCTION("split(G43,""/"")"),7.0)</f>
        <v>7</v>
      </c>
      <c r="I43" s="3">
        <f>IFERROR(__xludf.DUMMYFUNCTION("""COMPUTED_VALUE"""),24.0)</f>
        <v>24</v>
      </c>
      <c r="J43" s="3">
        <f>IFERROR(__xludf.DUMMYFUNCTION("""COMPUTED_VALUE"""),2017.0)</f>
        <v>2017</v>
      </c>
      <c r="K43" s="12">
        <f t="shared" si="2"/>
        <v>42940</v>
      </c>
      <c r="L43" s="3" t="s">
        <v>825</v>
      </c>
      <c r="M43" s="3" t="s">
        <v>536</v>
      </c>
      <c r="N43" s="3">
        <v>8969.0</v>
      </c>
      <c r="O43" s="3" t="s">
        <v>815</v>
      </c>
      <c r="P43" s="10">
        <v>9653.0</v>
      </c>
      <c r="Q43" s="13">
        <v>152.58</v>
      </c>
      <c r="R43" s="13">
        <v>97.44</v>
      </c>
      <c r="S43" s="13">
        <f t="shared" si="3"/>
        <v>1472854.74</v>
      </c>
      <c r="T43" s="13">
        <f t="shared" si="4"/>
        <v>940588.32</v>
      </c>
      <c r="U43" s="13">
        <f t="shared" si="5"/>
        <v>532266.42</v>
      </c>
      <c r="V43" s="3" t="str">
        <f>VLOOKUP(N43,products!A:B,2,0)</f>
        <v>Snacks</v>
      </c>
      <c r="W43" s="3" t="s">
        <v>28</v>
      </c>
      <c r="X43" s="3" t="s">
        <v>33</v>
      </c>
      <c r="Y43" s="14">
        <f t="shared" si="6"/>
        <v>0.3613841919</v>
      </c>
      <c r="Z43" s="3">
        <f t="shared" si="7"/>
        <v>13</v>
      </c>
      <c r="AA43" s="15">
        <f t="shared" si="8"/>
        <v>3</v>
      </c>
    </row>
    <row r="44" ht="15.75" customHeight="1">
      <c r="A44" s="3">
        <v>1.25349128E8</v>
      </c>
      <c r="B44" s="3" t="s">
        <v>872</v>
      </c>
      <c r="C44" s="3">
        <f>IFERROR(__xludf.DUMMYFUNCTION("split(B44,""/"")"),5.0)</f>
        <v>5</v>
      </c>
      <c r="D44" s="10">
        <f>IFERROR(__xludf.DUMMYFUNCTION("""COMPUTED_VALUE"""),18.0)</f>
        <v>18</v>
      </c>
      <c r="E44" s="11">
        <f>IFERROR(__xludf.DUMMYFUNCTION("""COMPUTED_VALUE"""),2012.0)</f>
        <v>2012</v>
      </c>
      <c r="F44" s="12">
        <f t="shared" si="1"/>
        <v>41047</v>
      </c>
      <c r="G44" s="9">
        <v>41066.0</v>
      </c>
      <c r="H44" s="3">
        <f>IFERROR(__xludf.DUMMYFUNCTION("split(G44,""/"")"),6.0)</f>
        <v>6</v>
      </c>
      <c r="I44" s="3">
        <f>IFERROR(__xludf.DUMMYFUNCTION("""COMPUTED_VALUE"""),6.0)</f>
        <v>6</v>
      </c>
      <c r="J44" s="3">
        <f>IFERROR(__xludf.DUMMYFUNCTION("""COMPUTED_VALUE"""),2012.0)</f>
        <v>2012</v>
      </c>
      <c r="K44" s="12">
        <f t="shared" si="2"/>
        <v>41066</v>
      </c>
      <c r="L44" s="3" t="s">
        <v>825</v>
      </c>
      <c r="M44" s="3" t="s">
        <v>623</v>
      </c>
      <c r="N44" s="3">
        <v>2103.0</v>
      </c>
      <c r="O44" s="3" t="s">
        <v>818</v>
      </c>
      <c r="P44" s="10">
        <v>2447.0</v>
      </c>
      <c r="Q44" s="13">
        <v>205.7</v>
      </c>
      <c r="R44" s="13">
        <v>117.11</v>
      </c>
      <c r="S44" s="13">
        <f t="shared" si="3"/>
        <v>503347.9</v>
      </c>
      <c r="T44" s="13">
        <f t="shared" si="4"/>
        <v>286568.17</v>
      </c>
      <c r="U44" s="13">
        <f t="shared" si="5"/>
        <v>216779.73</v>
      </c>
      <c r="V44" s="3" t="str">
        <f>VLOOKUP(N44,products!A:B,2,0)</f>
        <v>Cereal</v>
      </c>
      <c r="W44" s="3" t="s">
        <v>28</v>
      </c>
      <c r="X44" s="3" t="s">
        <v>33</v>
      </c>
      <c r="Y44" s="14">
        <f t="shared" si="6"/>
        <v>0.4306757414</v>
      </c>
      <c r="Z44" s="3">
        <f t="shared" si="7"/>
        <v>19</v>
      </c>
      <c r="AA44" s="15">
        <f t="shared" si="8"/>
        <v>6</v>
      </c>
    </row>
    <row r="45" ht="15.75" customHeight="1">
      <c r="A45" s="3">
        <v>1.26948583E8</v>
      </c>
      <c r="B45" s="3" t="s">
        <v>863</v>
      </c>
      <c r="C45" s="3">
        <f>IFERROR(__xludf.DUMMYFUNCTION("split(B45,""/"")"),5.0)</f>
        <v>5</v>
      </c>
      <c r="D45" s="10">
        <f>IFERROR(__xludf.DUMMYFUNCTION("""COMPUTED_VALUE"""),24.0)</f>
        <v>24</v>
      </c>
      <c r="E45" s="11">
        <f>IFERROR(__xludf.DUMMYFUNCTION("""COMPUTED_VALUE"""),2017.0)</f>
        <v>2017</v>
      </c>
      <c r="F45" s="12">
        <f t="shared" si="1"/>
        <v>42879</v>
      </c>
      <c r="G45" s="9">
        <v>42985.0</v>
      </c>
      <c r="H45" s="3">
        <f>IFERROR(__xludf.DUMMYFUNCTION("split(G45,""/"")"),7.0)</f>
        <v>7</v>
      </c>
      <c r="I45" s="3">
        <f>IFERROR(__xludf.DUMMYFUNCTION("""COMPUTED_VALUE"""),9.0)</f>
        <v>9</v>
      </c>
      <c r="J45" s="3">
        <f>IFERROR(__xludf.DUMMYFUNCTION("""COMPUTED_VALUE"""),2017.0)</f>
        <v>2017</v>
      </c>
      <c r="K45" s="12">
        <f t="shared" si="2"/>
        <v>42925</v>
      </c>
      <c r="L45" s="3" t="s">
        <v>817</v>
      </c>
      <c r="M45" s="3" t="s">
        <v>821</v>
      </c>
      <c r="N45" s="3">
        <v>7331.0</v>
      </c>
      <c r="O45" s="3" t="s">
        <v>815</v>
      </c>
      <c r="P45" s="10">
        <v>5762.0</v>
      </c>
      <c r="Q45" s="13">
        <v>255.28</v>
      </c>
      <c r="R45" s="13">
        <v>159.42</v>
      </c>
      <c r="S45" s="13">
        <f t="shared" si="3"/>
        <v>1470923.36</v>
      </c>
      <c r="T45" s="13">
        <f t="shared" si="4"/>
        <v>918578.04</v>
      </c>
      <c r="U45" s="13">
        <f t="shared" si="5"/>
        <v>552345.32</v>
      </c>
      <c r="V45" s="3" t="str">
        <f>VLOOKUP(N45,products!A:B,2,0)</f>
        <v>Baby Food</v>
      </c>
      <c r="W45" s="3" t="s">
        <v>821</v>
      </c>
      <c r="X45" s="3" t="s">
        <v>821</v>
      </c>
      <c r="Y45" s="14">
        <f t="shared" si="6"/>
        <v>0.3755092448</v>
      </c>
      <c r="Z45" s="3">
        <f t="shared" si="7"/>
        <v>46</v>
      </c>
      <c r="AA45" s="15">
        <f t="shared" si="8"/>
        <v>4</v>
      </c>
    </row>
    <row r="46" ht="15.75" customHeight="1">
      <c r="A46" s="3">
        <v>1.27694451E8</v>
      </c>
      <c r="B46" s="9">
        <v>40736.0</v>
      </c>
      <c r="C46" s="3">
        <f>IFERROR(__xludf.DUMMYFUNCTION("split(B46,""/"")"),12.0)</f>
        <v>12</v>
      </c>
      <c r="D46" s="10">
        <f>IFERROR(__xludf.DUMMYFUNCTION("""COMPUTED_VALUE"""),7.0)</f>
        <v>7</v>
      </c>
      <c r="E46" s="11">
        <f>IFERROR(__xludf.DUMMYFUNCTION("""COMPUTED_VALUE"""),2011.0)</f>
        <v>2011</v>
      </c>
      <c r="F46" s="12">
        <f t="shared" si="1"/>
        <v>40884</v>
      </c>
      <c r="G46" s="3" t="s">
        <v>873</v>
      </c>
      <c r="H46" s="3">
        <f>IFERROR(__xludf.DUMMYFUNCTION("split(G46,""/"")"),12.0)</f>
        <v>12</v>
      </c>
      <c r="I46" s="3">
        <f>IFERROR(__xludf.DUMMYFUNCTION("""COMPUTED_VALUE"""),27.0)</f>
        <v>27</v>
      </c>
      <c r="J46" s="3">
        <f>IFERROR(__xludf.DUMMYFUNCTION("""COMPUTED_VALUE"""),2011.0)</f>
        <v>2011</v>
      </c>
      <c r="K46" s="12">
        <f t="shared" si="2"/>
        <v>40904</v>
      </c>
      <c r="L46" s="3" t="s">
        <v>825</v>
      </c>
      <c r="M46" s="3" t="s">
        <v>248</v>
      </c>
      <c r="N46" s="3">
        <v>5988.0</v>
      </c>
      <c r="O46" s="3" t="s">
        <v>818</v>
      </c>
      <c r="P46" s="10">
        <v>6481.0</v>
      </c>
      <c r="Q46" s="13">
        <v>154.06</v>
      </c>
      <c r="R46" s="13">
        <v>90.93</v>
      </c>
      <c r="S46" s="13">
        <f t="shared" si="3"/>
        <v>998462.86</v>
      </c>
      <c r="T46" s="13">
        <f t="shared" si="4"/>
        <v>589317.33</v>
      </c>
      <c r="U46" s="13">
        <f t="shared" si="5"/>
        <v>409145.53</v>
      </c>
      <c r="V46" s="3" t="str">
        <f>VLOOKUP(N46,products!A:B,2,0)</f>
        <v>Vegetables</v>
      </c>
      <c r="W46" s="3" t="s">
        <v>28</v>
      </c>
      <c r="X46" s="3" t="s">
        <v>29</v>
      </c>
      <c r="Y46" s="14">
        <f t="shared" si="6"/>
        <v>0.4097754122</v>
      </c>
      <c r="Z46" s="3">
        <f t="shared" si="7"/>
        <v>20</v>
      </c>
      <c r="AA46" s="15">
        <f t="shared" si="8"/>
        <v>4</v>
      </c>
    </row>
    <row r="47" ht="15.75" customHeight="1">
      <c r="A47" s="3">
        <v>1.27838218E8</v>
      </c>
      <c r="B47" s="3" t="s">
        <v>874</v>
      </c>
      <c r="C47" s="3">
        <f>IFERROR(__xludf.DUMMYFUNCTION("split(B47,""/"")"),9.0)</f>
        <v>9</v>
      </c>
      <c r="D47" s="10">
        <f>IFERROR(__xludf.DUMMYFUNCTION("""COMPUTED_VALUE"""),20.0)</f>
        <v>20</v>
      </c>
      <c r="E47" s="11">
        <f>IFERROR(__xludf.DUMMYFUNCTION("""COMPUTED_VALUE"""),2013.0)</f>
        <v>2013</v>
      </c>
      <c r="F47" s="12">
        <f t="shared" si="1"/>
        <v>41537</v>
      </c>
      <c r="G47" s="3" t="s">
        <v>875</v>
      </c>
      <c r="H47" s="3">
        <f>IFERROR(__xludf.DUMMYFUNCTION("split(G47,""/"")"),10.0)</f>
        <v>10</v>
      </c>
      <c r="I47" s="3">
        <f>IFERROR(__xludf.DUMMYFUNCTION("""COMPUTED_VALUE"""),29.0)</f>
        <v>29</v>
      </c>
      <c r="J47" s="3">
        <f>IFERROR(__xludf.DUMMYFUNCTION("""COMPUTED_VALUE"""),2013.0)</f>
        <v>2013</v>
      </c>
      <c r="K47" s="12">
        <f t="shared" si="2"/>
        <v>41576</v>
      </c>
      <c r="L47" s="3" t="s">
        <v>817</v>
      </c>
      <c r="M47" s="3" t="s">
        <v>512</v>
      </c>
      <c r="N47" s="3">
        <v>4594.0</v>
      </c>
      <c r="O47" s="3" t="s">
        <v>818</v>
      </c>
      <c r="P47" s="10">
        <v>9024.0</v>
      </c>
      <c r="Q47" s="13">
        <v>9.33</v>
      </c>
      <c r="R47" s="13">
        <v>6.92</v>
      </c>
      <c r="S47" s="13">
        <f t="shared" si="3"/>
        <v>84193.92</v>
      </c>
      <c r="T47" s="13">
        <f t="shared" si="4"/>
        <v>62446.08</v>
      </c>
      <c r="U47" s="13">
        <f t="shared" si="5"/>
        <v>21747.84</v>
      </c>
      <c r="V47" s="3" t="str">
        <f>VLOOKUP(N47,products!A:B,2,0)</f>
        <v>Fruits</v>
      </c>
      <c r="W47" s="3" t="s">
        <v>28</v>
      </c>
      <c r="X47" s="3" t="s">
        <v>79</v>
      </c>
      <c r="Y47" s="14">
        <f t="shared" si="6"/>
        <v>0.258306538</v>
      </c>
      <c r="Z47" s="3">
        <f t="shared" si="7"/>
        <v>39</v>
      </c>
      <c r="AA47" s="15">
        <f t="shared" si="8"/>
        <v>6</v>
      </c>
    </row>
    <row r="48" ht="15.75" customHeight="1">
      <c r="A48" s="3">
        <v>1.28003442E8</v>
      </c>
      <c r="B48" s="9">
        <v>40430.0</v>
      </c>
      <c r="C48" s="3">
        <f>IFERROR(__xludf.DUMMYFUNCTION("split(B48,""/"")"),9.0)</f>
        <v>9</v>
      </c>
      <c r="D48" s="10">
        <f>IFERROR(__xludf.DUMMYFUNCTION("""COMPUTED_VALUE"""),9.0)</f>
        <v>9</v>
      </c>
      <c r="E48" s="11">
        <f>IFERROR(__xludf.DUMMYFUNCTION("""COMPUTED_VALUE"""),2010.0)</f>
        <v>2010</v>
      </c>
      <c r="F48" s="12">
        <f t="shared" si="1"/>
        <v>40430</v>
      </c>
      <c r="G48" s="3" t="s">
        <v>876</v>
      </c>
      <c r="H48" s="3">
        <f>IFERROR(__xludf.DUMMYFUNCTION("split(G48,""/"")"),10.0)</f>
        <v>10</v>
      </c>
      <c r="I48" s="3">
        <f>IFERROR(__xludf.DUMMYFUNCTION("""COMPUTED_VALUE"""),23.0)</f>
        <v>23</v>
      </c>
      <c r="J48" s="3">
        <f>IFERROR(__xludf.DUMMYFUNCTION("""COMPUTED_VALUE"""),2010.0)</f>
        <v>2010</v>
      </c>
      <c r="K48" s="12">
        <f t="shared" si="2"/>
        <v>40474</v>
      </c>
      <c r="L48" s="3" t="s">
        <v>825</v>
      </c>
      <c r="M48" s="3" t="s">
        <v>689</v>
      </c>
      <c r="N48" s="3">
        <v>7331.0</v>
      </c>
      <c r="O48" s="3" t="s">
        <v>815</v>
      </c>
      <c r="P48" s="10">
        <v>7918.0</v>
      </c>
      <c r="Q48" s="13">
        <v>255.28</v>
      </c>
      <c r="R48" s="13">
        <v>159.42</v>
      </c>
      <c r="S48" s="13">
        <f t="shared" si="3"/>
        <v>2021307.04</v>
      </c>
      <c r="T48" s="13">
        <f t="shared" si="4"/>
        <v>1262287.56</v>
      </c>
      <c r="U48" s="13">
        <f t="shared" si="5"/>
        <v>759019.48</v>
      </c>
      <c r="V48" s="3" t="str">
        <f>VLOOKUP(N48,products!A:B,2,0)</f>
        <v>Baby Food</v>
      </c>
      <c r="W48" s="3" t="s">
        <v>28</v>
      </c>
      <c r="X48" s="3" t="s">
        <v>79</v>
      </c>
      <c r="Y48" s="14">
        <f t="shared" si="6"/>
        <v>0.3755092448</v>
      </c>
      <c r="Z48" s="3">
        <f t="shared" si="7"/>
        <v>44</v>
      </c>
      <c r="AA48" s="15">
        <f t="shared" si="8"/>
        <v>5</v>
      </c>
    </row>
    <row r="49" ht="15.75" customHeight="1">
      <c r="A49" s="3">
        <v>1.28686225E8</v>
      </c>
      <c r="B49" s="3" t="s">
        <v>877</v>
      </c>
      <c r="C49" s="3">
        <f>IFERROR(__xludf.DUMMYFUNCTION("split(B49,""/"")"),1.0)</f>
        <v>1</v>
      </c>
      <c r="D49" s="10">
        <f>IFERROR(__xludf.DUMMYFUNCTION("""COMPUTED_VALUE"""),25.0)</f>
        <v>25</v>
      </c>
      <c r="E49" s="11">
        <f>IFERROR(__xludf.DUMMYFUNCTION("""COMPUTED_VALUE"""),2011.0)</f>
        <v>2011</v>
      </c>
      <c r="F49" s="12">
        <f t="shared" si="1"/>
        <v>40568</v>
      </c>
      <c r="G49" s="3" t="s">
        <v>878</v>
      </c>
      <c r="H49" s="3">
        <f>IFERROR(__xludf.DUMMYFUNCTION("split(G49,""/"")"),3.0)</f>
        <v>3</v>
      </c>
      <c r="I49" s="3">
        <f>IFERROR(__xludf.DUMMYFUNCTION("""COMPUTED_VALUE"""),13.0)</f>
        <v>13</v>
      </c>
      <c r="J49" s="3">
        <f>IFERROR(__xludf.DUMMYFUNCTION("""COMPUTED_VALUE"""),2011.0)</f>
        <v>2011</v>
      </c>
      <c r="K49" s="12">
        <f t="shared" si="2"/>
        <v>40615</v>
      </c>
      <c r="L49" s="3" t="s">
        <v>814</v>
      </c>
      <c r="M49" s="3" t="s">
        <v>346</v>
      </c>
      <c r="N49" s="3">
        <v>7331.0</v>
      </c>
      <c r="O49" s="3" t="s">
        <v>815</v>
      </c>
      <c r="P49" s="10">
        <v>9968.0</v>
      </c>
      <c r="Q49" s="13">
        <v>255.28</v>
      </c>
      <c r="R49" s="13">
        <v>159.42</v>
      </c>
      <c r="S49" s="13">
        <f t="shared" si="3"/>
        <v>2544631.04</v>
      </c>
      <c r="T49" s="13">
        <f t="shared" si="4"/>
        <v>1589098.56</v>
      </c>
      <c r="U49" s="13">
        <f t="shared" si="5"/>
        <v>955532.48</v>
      </c>
      <c r="V49" s="3" t="str">
        <f>VLOOKUP(N49,products!A:B,2,0)</f>
        <v>Baby Food</v>
      </c>
      <c r="W49" s="3" t="s">
        <v>28</v>
      </c>
      <c r="X49" s="3" t="s">
        <v>98</v>
      </c>
      <c r="Y49" s="14">
        <f t="shared" si="6"/>
        <v>0.3755092448</v>
      </c>
      <c r="Z49" s="3">
        <f t="shared" si="7"/>
        <v>47</v>
      </c>
      <c r="AA49" s="15">
        <f t="shared" si="8"/>
        <v>3</v>
      </c>
    </row>
    <row r="50" ht="15.75" customHeight="1">
      <c r="A50" s="3">
        <v>1.28766906E8</v>
      </c>
      <c r="B50" s="3" t="s">
        <v>879</v>
      </c>
      <c r="C50" s="3">
        <f>IFERROR(__xludf.DUMMYFUNCTION("split(B50,""/"")"),2.0)</f>
        <v>2</v>
      </c>
      <c r="D50" s="10">
        <f>IFERROR(__xludf.DUMMYFUNCTION("""COMPUTED_VALUE"""),13.0)</f>
        <v>13</v>
      </c>
      <c r="E50" s="11">
        <f>IFERROR(__xludf.DUMMYFUNCTION("""COMPUTED_VALUE"""),2011.0)</f>
        <v>2011</v>
      </c>
      <c r="F50" s="12">
        <f t="shared" si="1"/>
        <v>40587</v>
      </c>
      <c r="G50" s="3" t="s">
        <v>880</v>
      </c>
      <c r="H50" s="3">
        <f>IFERROR(__xludf.DUMMYFUNCTION("split(G50,""/"")"),3.0)</f>
        <v>3</v>
      </c>
      <c r="I50" s="3">
        <f>IFERROR(__xludf.DUMMYFUNCTION("""COMPUTED_VALUE"""),28.0)</f>
        <v>28</v>
      </c>
      <c r="J50" s="3">
        <f>IFERROR(__xludf.DUMMYFUNCTION("""COMPUTED_VALUE"""),2011.0)</f>
        <v>2011</v>
      </c>
      <c r="K50" s="12">
        <f t="shared" si="2"/>
        <v>40630</v>
      </c>
      <c r="L50" s="3" t="s">
        <v>817</v>
      </c>
      <c r="M50" s="3" t="s">
        <v>821</v>
      </c>
      <c r="N50" s="3">
        <v>7940.0</v>
      </c>
      <c r="O50" s="3" t="s">
        <v>818</v>
      </c>
      <c r="P50" s="10">
        <v>3844.0</v>
      </c>
      <c r="Q50" s="13">
        <v>668.27</v>
      </c>
      <c r="R50" s="13">
        <v>502.54</v>
      </c>
      <c r="S50" s="13">
        <f t="shared" si="3"/>
        <v>2568829.88</v>
      </c>
      <c r="T50" s="13">
        <f t="shared" si="4"/>
        <v>1931763.76</v>
      </c>
      <c r="U50" s="13">
        <f t="shared" si="5"/>
        <v>637066.12</v>
      </c>
      <c r="V50" s="3" t="str">
        <f>VLOOKUP(N50,products!A:B,2,0)</f>
        <v>Household</v>
      </c>
      <c r="W50" s="3" t="s">
        <v>821</v>
      </c>
      <c r="X50" s="3" t="s">
        <v>821</v>
      </c>
      <c r="Y50" s="14">
        <f t="shared" si="6"/>
        <v>0.2479985635</v>
      </c>
      <c r="Z50" s="3">
        <f t="shared" si="7"/>
        <v>43</v>
      </c>
      <c r="AA50" s="15">
        <f t="shared" si="8"/>
        <v>1</v>
      </c>
    </row>
    <row r="51" ht="15.75" customHeight="1">
      <c r="A51" s="3">
        <v>1.29127395E8</v>
      </c>
      <c r="B51" s="3" t="s">
        <v>881</v>
      </c>
      <c r="C51" s="3">
        <f>IFERROR(__xludf.DUMMYFUNCTION("split(B51,""/"")"),6.0)</f>
        <v>6</v>
      </c>
      <c r="D51" s="10">
        <f>IFERROR(__xludf.DUMMYFUNCTION("""COMPUTED_VALUE"""),16.0)</f>
        <v>16</v>
      </c>
      <c r="E51" s="11">
        <f>IFERROR(__xludf.DUMMYFUNCTION("""COMPUTED_VALUE"""),2013.0)</f>
        <v>2013</v>
      </c>
      <c r="F51" s="12">
        <f t="shared" si="1"/>
        <v>41441</v>
      </c>
      <c r="G51" s="3" t="s">
        <v>882</v>
      </c>
      <c r="H51" s="3">
        <f>IFERROR(__xludf.DUMMYFUNCTION("split(G51,""/"")"),6.0)</f>
        <v>6</v>
      </c>
      <c r="I51" s="3">
        <f>IFERROR(__xludf.DUMMYFUNCTION("""COMPUTED_VALUE"""),20.0)</f>
        <v>20</v>
      </c>
      <c r="J51" s="3">
        <f>IFERROR(__xludf.DUMMYFUNCTION("""COMPUTED_VALUE"""),2013.0)</f>
        <v>2013</v>
      </c>
      <c r="K51" s="12">
        <f t="shared" si="2"/>
        <v>41445</v>
      </c>
      <c r="L51" s="3" t="s">
        <v>825</v>
      </c>
      <c r="M51" s="3" t="s">
        <v>413</v>
      </c>
      <c r="N51" s="3">
        <v>8681.0</v>
      </c>
      <c r="O51" s="3" t="s">
        <v>815</v>
      </c>
      <c r="P51" s="10">
        <v>520.0</v>
      </c>
      <c r="Q51" s="13">
        <v>651.21</v>
      </c>
      <c r="R51" s="13">
        <v>524.96</v>
      </c>
      <c r="S51" s="13">
        <f t="shared" si="3"/>
        <v>338629.2</v>
      </c>
      <c r="T51" s="13">
        <f t="shared" si="4"/>
        <v>272979.2</v>
      </c>
      <c r="U51" s="13">
        <f t="shared" si="5"/>
        <v>65650</v>
      </c>
      <c r="V51" s="3" t="str">
        <f>VLOOKUP(N51,products!A:B,2,0)</f>
        <v>Office Supplies</v>
      </c>
      <c r="W51" s="3" t="s">
        <v>28</v>
      </c>
      <c r="X51" s="3" t="s">
        <v>29</v>
      </c>
      <c r="Y51" s="14">
        <f t="shared" si="6"/>
        <v>0.193869873</v>
      </c>
      <c r="Z51" s="3">
        <f t="shared" si="7"/>
        <v>4</v>
      </c>
      <c r="AA51" s="15">
        <f t="shared" si="8"/>
        <v>1</v>
      </c>
    </row>
    <row r="52" ht="15.75" customHeight="1">
      <c r="A52" s="3">
        <v>1.29169023E8</v>
      </c>
      <c r="B52" s="9">
        <v>41127.0</v>
      </c>
      <c r="C52" s="3">
        <f>IFERROR(__xludf.DUMMYFUNCTION("split(B52,""/"")"),6.0)</f>
        <v>6</v>
      </c>
      <c r="D52" s="10">
        <f>IFERROR(__xludf.DUMMYFUNCTION("""COMPUTED_VALUE"""),8.0)</f>
        <v>8</v>
      </c>
      <c r="E52" s="11">
        <f>IFERROR(__xludf.DUMMYFUNCTION("""COMPUTED_VALUE"""),2012.0)</f>
        <v>2012</v>
      </c>
      <c r="F52" s="12">
        <f t="shared" si="1"/>
        <v>41068</v>
      </c>
      <c r="G52" s="3" t="s">
        <v>883</v>
      </c>
      <c r="H52" s="3">
        <f>IFERROR(__xludf.DUMMYFUNCTION("split(G52,""/"")"),7.0)</f>
        <v>7</v>
      </c>
      <c r="I52" s="3">
        <f>IFERROR(__xludf.DUMMYFUNCTION("""COMPUTED_VALUE"""),18.0)</f>
        <v>18</v>
      </c>
      <c r="J52" s="3">
        <f>IFERROR(__xludf.DUMMYFUNCTION("""COMPUTED_VALUE"""),2012.0)</f>
        <v>2012</v>
      </c>
      <c r="K52" s="12">
        <f t="shared" si="2"/>
        <v>41108</v>
      </c>
      <c r="L52" s="3" t="s">
        <v>814</v>
      </c>
      <c r="M52" s="3" t="s">
        <v>821</v>
      </c>
      <c r="N52" s="3">
        <v>1270.0</v>
      </c>
      <c r="O52" s="3" t="s">
        <v>818</v>
      </c>
      <c r="P52" s="10">
        <v>2839.0</v>
      </c>
      <c r="Q52" s="13">
        <v>47.45</v>
      </c>
      <c r="R52" s="13">
        <v>31.79</v>
      </c>
      <c r="S52" s="13">
        <f t="shared" si="3"/>
        <v>134710.55</v>
      </c>
      <c r="T52" s="13">
        <f t="shared" si="4"/>
        <v>90251.81</v>
      </c>
      <c r="U52" s="13">
        <f t="shared" si="5"/>
        <v>44458.74</v>
      </c>
      <c r="V52" s="3" t="str">
        <f>VLOOKUP(N52,products!A:B,2,0)</f>
        <v>Beverages</v>
      </c>
      <c r="W52" s="3" t="s">
        <v>821</v>
      </c>
      <c r="X52" s="3" t="s">
        <v>821</v>
      </c>
      <c r="Y52" s="14">
        <f t="shared" si="6"/>
        <v>0.3300316122</v>
      </c>
      <c r="Z52" s="3">
        <f t="shared" si="7"/>
        <v>40</v>
      </c>
      <c r="AA52" s="15">
        <f t="shared" si="8"/>
        <v>6</v>
      </c>
    </row>
    <row r="53" ht="15.75" customHeight="1">
      <c r="A53" s="3">
        <v>1.29875409E8</v>
      </c>
      <c r="B53" s="3" t="s">
        <v>884</v>
      </c>
      <c r="C53" s="3">
        <f>IFERROR(__xludf.DUMMYFUNCTION("split(B53,""/"")"),4.0)</f>
        <v>4</v>
      </c>
      <c r="D53" s="10">
        <f>IFERROR(__xludf.DUMMYFUNCTION("""COMPUTED_VALUE"""),19.0)</f>
        <v>19</v>
      </c>
      <c r="E53" s="11">
        <f>IFERROR(__xludf.DUMMYFUNCTION("""COMPUTED_VALUE"""),2011.0)</f>
        <v>2011</v>
      </c>
      <c r="F53" s="12">
        <f t="shared" si="1"/>
        <v>40652</v>
      </c>
      <c r="G53" s="3" t="s">
        <v>885</v>
      </c>
      <c r="H53" s="3">
        <f>IFERROR(__xludf.DUMMYFUNCTION("split(G53,""/"")"),4.0)</f>
        <v>4</v>
      </c>
      <c r="I53" s="3">
        <f>IFERROR(__xludf.DUMMYFUNCTION("""COMPUTED_VALUE"""),26.0)</f>
        <v>26</v>
      </c>
      <c r="J53" s="3">
        <f>IFERROR(__xludf.DUMMYFUNCTION("""COMPUTED_VALUE"""),2011.0)</f>
        <v>2011</v>
      </c>
      <c r="K53" s="12">
        <f t="shared" si="2"/>
        <v>40659</v>
      </c>
      <c r="L53" s="3" t="s">
        <v>825</v>
      </c>
      <c r="M53" s="3" t="s">
        <v>431</v>
      </c>
      <c r="N53" s="3">
        <v>3127.0</v>
      </c>
      <c r="O53" s="3" t="s">
        <v>818</v>
      </c>
      <c r="P53" s="10">
        <v>1875.0</v>
      </c>
      <c r="Q53" s="13">
        <v>81.73</v>
      </c>
      <c r="R53" s="13">
        <v>56.67</v>
      </c>
      <c r="S53" s="13">
        <f t="shared" si="3"/>
        <v>153243.75</v>
      </c>
      <c r="T53" s="13">
        <f t="shared" si="4"/>
        <v>106256.25</v>
      </c>
      <c r="U53" s="13">
        <f t="shared" si="5"/>
        <v>46987.5</v>
      </c>
      <c r="V53" s="3" t="str">
        <f>VLOOKUP(N53,products!A:B,2,0)</f>
        <v>Personal Care</v>
      </c>
      <c r="W53" s="3" t="s">
        <v>28</v>
      </c>
      <c r="X53" s="3" t="s">
        <v>29</v>
      </c>
      <c r="Y53" s="14">
        <f t="shared" si="6"/>
        <v>0.3066193564</v>
      </c>
      <c r="Z53" s="3">
        <f t="shared" si="7"/>
        <v>7</v>
      </c>
      <c r="AA53" s="15">
        <f t="shared" si="8"/>
        <v>3</v>
      </c>
    </row>
    <row r="54" ht="15.75" customHeight="1">
      <c r="A54" s="3">
        <v>1.29902875E8</v>
      </c>
      <c r="B54" s="3" t="s">
        <v>886</v>
      </c>
      <c r="C54" s="3">
        <f>IFERROR(__xludf.DUMMYFUNCTION("split(B54,""/"")"),3.0)</f>
        <v>3</v>
      </c>
      <c r="D54" s="10">
        <f>IFERROR(__xludf.DUMMYFUNCTION("""COMPUTED_VALUE"""),21.0)</f>
        <v>21</v>
      </c>
      <c r="E54" s="11">
        <f>IFERROR(__xludf.DUMMYFUNCTION("""COMPUTED_VALUE"""),2014.0)</f>
        <v>2014</v>
      </c>
      <c r="F54" s="12">
        <f t="shared" si="1"/>
        <v>41719</v>
      </c>
      <c r="G54" s="3" t="s">
        <v>887</v>
      </c>
      <c r="H54" s="3">
        <f>IFERROR(__xludf.DUMMYFUNCTION("split(G54,""/"")"),4.0)</f>
        <v>4</v>
      </c>
      <c r="I54" s="3">
        <f>IFERROR(__xludf.DUMMYFUNCTION("""COMPUTED_VALUE"""),24.0)</f>
        <v>24</v>
      </c>
      <c r="J54" s="3">
        <f>IFERROR(__xludf.DUMMYFUNCTION("""COMPUTED_VALUE"""),2014.0)</f>
        <v>2014</v>
      </c>
      <c r="K54" s="12">
        <f t="shared" si="2"/>
        <v>41753</v>
      </c>
      <c r="L54" s="3" t="s">
        <v>817</v>
      </c>
      <c r="M54" s="3" t="s">
        <v>142</v>
      </c>
      <c r="N54" s="3">
        <v>7940.0</v>
      </c>
      <c r="O54" s="3" t="s">
        <v>815</v>
      </c>
      <c r="P54" s="10">
        <v>2.0</v>
      </c>
      <c r="Q54" s="13">
        <v>668.27</v>
      </c>
      <c r="R54" s="13">
        <v>502.54</v>
      </c>
      <c r="S54" s="13">
        <f t="shared" si="3"/>
        <v>1336.54</v>
      </c>
      <c r="T54" s="13">
        <f t="shared" si="4"/>
        <v>1005.08</v>
      </c>
      <c r="U54" s="13">
        <f t="shared" si="5"/>
        <v>331.46</v>
      </c>
      <c r="V54" s="3" t="str">
        <f>VLOOKUP(N54,products!A:B,2,0)</f>
        <v>Household</v>
      </c>
      <c r="W54" s="3" t="s">
        <v>28</v>
      </c>
      <c r="X54" s="3" t="s">
        <v>98</v>
      </c>
      <c r="Y54" s="14">
        <f t="shared" si="6"/>
        <v>0.2479985635</v>
      </c>
      <c r="Z54" s="3">
        <f t="shared" si="7"/>
        <v>34</v>
      </c>
      <c r="AA54" s="15">
        <f t="shared" si="8"/>
        <v>6</v>
      </c>
    </row>
    <row r="55" ht="15.75" customHeight="1">
      <c r="A55" s="3">
        <v>1.30356919E8</v>
      </c>
      <c r="B55" s="3" t="s">
        <v>888</v>
      </c>
      <c r="C55" s="3">
        <f>IFERROR(__xludf.DUMMYFUNCTION("split(B55,""/"")"),9.0)</f>
        <v>9</v>
      </c>
      <c r="D55" s="10">
        <f>IFERROR(__xludf.DUMMYFUNCTION("""COMPUTED_VALUE"""),18.0)</f>
        <v>18</v>
      </c>
      <c r="E55" s="11">
        <f>IFERROR(__xludf.DUMMYFUNCTION("""COMPUTED_VALUE"""),2013.0)</f>
        <v>2013</v>
      </c>
      <c r="F55" s="12">
        <f t="shared" si="1"/>
        <v>41535</v>
      </c>
      <c r="G55" s="9">
        <v>41284.0</v>
      </c>
      <c r="H55" s="3">
        <f>IFERROR(__xludf.DUMMYFUNCTION("split(G55,""/"")"),10.0)</f>
        <v>10</v>
      </c>
      <c r="I55" s="3">
        <f>IFERROR(__xludf.DUMMYFUNCTION("""COMPUTED_VALUE"""),1.0)</f>
        <v>1</v>
      </c>
      <c r="J55" s="3">
        <f>IFERROR(__xludf.DUMMYFUNCTION("""COMPUTED_VALUE"""),2013.0)</f>
        <v>2013</v>
      </c>
      <c r="K55" s="12">
        <f t="shared" si="2"/>
        <v>41548</v>
      </c>
      <c r="L55" s="3" t="s">
        <v>827</v>
      </c>
      <c r="M55" s="3" t="s">
        <v>689</v>
      </c>
      <c r="N55" s="3">
        <v>5988.0</v>
      </c>
      <c r="O55" s="3" t="s">
        <v>815</v>
      </c>
      <c r="P55" s="10">
        <v>4364.0</v>
      </c>
      <c r="Q55" s="13">
        <v>154.06</v>
      </c>
      <c r="R55" s="13">
        <v>90.93</v>
      </c>
      <c r="S55" s="13">
        <f t="shared" si="3"/>
        <v>672317.84</v>
      </c>
      <c r="T55" s="13">
        <f t="shared" si="4"/>
        <v>396818.52</v>
      </c>
      <c r="U55" s="13">
        <f t="shared" si="5"/>
        <v>275499.32</v>
      </c>
      <c r="V55" s="3" t="str">
        <f>VLOOKUP(N55,products!A:B,2,0)</f>
        <v>Vegetables</v>
      </c>
      <c r="W55" s="3" t="s">
        <v>28</v>
      </c>
      <c r="X55" s="3" t="s">
        <v>79</v>
      </c>
      <c r="Y55" s="14">
        <f t="shared" si="6"/>
        <v>0.4097754122</v>
      </c>
      <c r="Z55" s="3">
        <f t="shared" si="7"/>
        <v>13</v>
      </c>
      <c r="AA55" s="15">
        <f t="shared" si="8"/>
        <v>4</v>
      </c>
    </row>
    <row r="56" ht="15.75" customHeight="1">
      <c r="A56" s="3">
        <v>1.30754315E8</v>
      </c>
      <c r="B56" s="3" t="s">
        <v>889</v>
      </c>
      <c r="C56" s="3">
        <f>IFERROR(__xludf.DUMMYFUNCTION("split(B56,""/"")"),10.0)</f>
        <v>10</v>
      </c>
      <c r="D56" s="10">
        <f>IFERROR(__xludf.DUMMYFUNCTION("""COMPUTED_VALUE"""),27.0)</f>
        <v>27</v>
      </c>
      <c r="E56" s="11">
        <f>IFERROR(__xludf.DUMMYFUNCTION("""COMPUTED_VALUE"""),2013.0)</f>
        <v>2013</v>
      </c>
      <c r="F56" s="12">
        <f t="shared" si="1"/>
        <v>41574</v>
      </c>
      <c r="G56" s="9">
        <v>41316.0</v>
      </c>
      <c r="H56" s="3">
        <f>IFERROR(__xludf.DUMMYFUNCTION("split(G56,""/"")"),11.0)</f>
        <v>11</v>
      </c>
      <c r="I56" s="3">
        <f>IFERROR(__xludf.DUMMYFUNCTION("""COMPUTED_VALUE"""),2.0)</f>
        <v>2</v>
      </c>
      <c r="J56" s="3">
        <f>IFERROR(__xludf.DUMMYFUNCTION("""COMPUTED_VALUE"""),2013.0)</f>
        <v>2013</v>
      </c>
      <c r="K56" s="12">
        <f t="shared" si="2"/>
        <v>41580</v>
      </c>
      <c r="L56" s="3" t="s">
        <v>827</v>
      </c>
      <c r="M56" s="3" t="s">
        <v>270</v>
      </c>
      <c r="N56" s="3">
        <v>8681.0</v>
      </c>
      <c r="O56" s="3" t="s">
        <v>815</v>
      </c>
      <c r="P56" s="10">
        <v>1962.0</v>
      </c>
      <c r="Q56" s="13">
        <v>651.21</v>
      </c>
      <c r="R56" s="13">
        <v>524.96</v>
      </c>
      <c r="S56" s="13">
        <f t="shared" si="3"/>
        <v>1277674.02</v>
      </c>
      <c r="T56" s="13">
        <f t="shared" si="4"/>
        <v>1029971.52</v>
      </c>
      <c r="U56" s="13">
        <f t="shared" si="5"/>
        <v>247702.5</v>
      </c>
      <c r="V56" s="3" t="str">
        <f>VLOOKUP(N56,products!A:B,2,0)</f>
        <v>Office Supplies</v>
      </c>
      <c r="W56" s="3" t="s">
        <v>28</v>
      </c>
      <c r="X56" s="3" t="s">
        <v>79</v>
      </c>
      <c r="Y56" s="14">
        <f t="shared" si="6"/>
        <v>0.193869873</v>
      </c>
      <c r="Z56" s="3">
        <f t="shared" si="7"/>
        <v>6</v>
      </c>
      <c r="AA56" s="15">
        <f t="shared" si="8"/>
        <v>1</v>
      </c>
    </row>
    <row r="57" ht="15.75" customHeight="1">
      <c r="A57" s="3">
        <v>1.31585586E8</v>
      </c>
      <c r="B57" s="3" t="s">
        <v>890</v>
      </c>
      <c r="C57" s="3">
        <f>IFERROR(__xludf.DUMMYFUNCTION("split(B57,""/"")"),3.0)</f>
        <v>3</v>
      </c>
      <c r="D57" s="10">
        <f>IFERROR(__xludf.DUMMYFUNCTION("""COMPUTED_VALUE"""),13.0)</f>
        <v>13</v>
      </c>
      <c r="E57" s="11">
        <f>IFERROR(__xludf.DUMMYFUNCTION("""COMPUTED_VALUE"""),2017.0)</f>
        <v>2017</v>
      </c>
      <c r="F57" s="12">
        <f t="shared" si="1"/>
        <v>42807</v>
      </c>
      <c r="G57" s="3" t="s">
        <v>891</v>
      </c>
      <c r="H57" s="3">
        <f>IFERROR(__xludf.DUMMYFUNCTION("split(G57,""/"")"),4.0)</f>
        <v>4</v>
      </c>
      <c r="I57" s="3">
        <f>IFERROR(__xludf.DUMMYFUNCTION("""COMPUTED_VALUE"""),13.0)</f>
        <v>13</v>
      </c>
      <c r="J57" s="3">
        <f>IFERROR(__xludf.DUMMYFUNCTION("""COMPUTED_VALUE"""),2017.0)</f>
        <v>2017</v>
      </c>
      <c r="K57" s="12">
        <f t="shared" si="2"/>
        <v>42838</v>
      </c>
      <c r="L57" s="3" t="s">
        <v>817</v>
      </c>
      <c r="M57" s="3" t="s">
        <v>270</v>
      </c>
      <c r="N57" s="3">
        <v>3127.0</v>
      </c>
      <c r="O57" s="3" t="s">
        <v>818</v>
      </c>
      <c r="P57" s="10">
        <v>7954.0</v>
      </c>
      <c r="Q57" s="13">
        <v>81.73</v>
      </c>
      <c r="R57" s="13">
        <v>56.67</v>
      </c>
      <c r="S57" s="13">
        <f t="shared" si="3"/>
        <v>650080.42</v>
      </c>
      <c r="T57" s="13">
        <f t="shared" si="4"/>
        <v>450753.18</v>
      </c>
      <c r="U57" s="13">
        <f t="shared" si="5"/>
        <v>199327.24</v>
      </c>
      <c r="V57" s="3" t="str">
        <f>VLOOKUP(N57,products!A:B,2,0)</f>
        <v>Personal Care</v>
      </c>
      <c r="W57" s="3" t="s">
        <v>28</v>
      </c>
      <c r="X57" s="3" t="s">
        <v>79</v>
      </c>
      <c r="Y57" s="14">
        <f t="shared" si="6"/>
        <v>0.3066193564</v>
      </c>
      <c r="Z57" s="3">
        <f t="shared" si="7"/>
        <v>31</v>
      </c>
      <c r="AA57" s="15">
        <f t="shared" si="8"/>
        <v>2</v>
      </c>
    </row>
    <row r="58" ht="15.75" customHeight="1">
      <c r="A58" s="3">
        <v>1.32069671E8</v>
      </c>
      <c r="B58" s="9">
        <v>42985.0</v>
      </c>
      <c r="C58" s="3">
        <f>IFERROR(__xludf.DUMMYFUNCTION("split(B58,""/"")"),7.0)</f>
        <v>7</v>
      </c>
      <c r="D58" s="10">
        <f>IFERROR(__xludf.DUMMYFUNCTION("""COMPUTED_VALUE"""),9.0)</f>
        <v>9</v>
      </c>
      <c r="E58" s="11">
        <f>IFERROR(__xludf.DUMMYFUNCTION("""COMPUTED_VALUE"""),2017.0)</f>
        <v>2017</v>
      </c>
      <c r="F58" s="12">
        <f t="shared" si="1"/>
        <v>42925</v>
      </c>
      <c r="G58" s="3" t="s">
        <v>892</v>
      </c>
      <c r="H58" s="3">
        <f>IFERROR(__xludf.DUMMYFUNCTION("split(G58,""/"")"),7.0)</f>
        <v>7</v>
      </c>
      <c r="I58" s="3">
        <f>IFERROR(__xludf.DUMMYFUNCTION("""COMPUTED_VALUE"""),20.0)</f>
        <v>20</v>
      </c>
      <c r="J58" s="3">
        <f>IFERROR(__xludf.DUMMYFUNCTION("""COMPUTED_VALUE"""),2017.0)</f>
        <v>2017</v>
      </c>
      <c r="K58" s="12">
        <f t="shared" si="2"/>
        <v>42936</v>
      </c>
      <c r="L58" s="3" t="s">
        <v>814</v>
      </c>
      <c r="M58" s="3" t="s">
        <v>78</v>
      </c>
      <c r="N58" s="3">
        <v>3127.0</v>
      </c>
      <c r="O58" s="3" t="s">
        <v>815</v>
      </c>
      <c r="P58" s="10">
        <v>1205.0</v>
      </c>
      <c r="Q58" s="13">
        <v>81.73</v>
      </c>
      <c r="R58" s="13">
        <v>56.67</v>
      </c>
      <c r="S58" s="13">
        <f t="shared" si="3"/>
        <v>98484.65</v>
      </c>
      <c r="T58" s="13">
        <f t="shared" si="4"/>
        <v>68287.35</v>
      </c>
      <c r="U58" s="13">
        <f t="shared" si="5"/>
        <v>30197.3</v>
      </c>
      <c r="V58" s="3" t="str">
        <f>VLOOKUP(N58,products!A:B,2,0)</f>
        <v>Personal Care</v>
      </c>
      <c r="W58" s="3" t="s">
        <v>28</v>
      </c>
      <c r="X58" s="3" t="s">
        <v>79</v>
      </c>
      <c r="Y58" s="14">
        <f t="shared" si="6"/>
        <v>0.3066193564</v>
      </c>
      <c r="Z58" s="3">
        <f t="shared" si="7"/>
        <v>11</v>
      </c>
      <c r="AA58" s="15">
        <f t="shared" si="8"/>
        <v>1</v>
      </c>
    </row>
    <row r="59" ht="15.75" customHeight="1">
      <c r="A59" s="3">
        <v>1.32603538E8</v>
      </c>
      <c r="B59" s="3" t="s">
        <v>893</v>
      </c>
      <c r="C59" s="3">
        <f>IFERROR(__xludf.DUMMYFUNCTION("split(B59,""/"")"),9.0)</f>
        <v>9</v>
      </c>
      <c r="D59" s="10">
        <f>IFERROR(__xludf.DUMMYFUNCTION("""COMPUTED_VALUE"""),20.0)</f>
        <v>20</v>
      </c>
      <c r="E59" s="11">
        <f>IFERROR(__xludf.DUMMYFUNCTION("""COMPUTED_VALUE"""),2012.0)</f>
        <v>2012</v>
      </c>
      <c r="F59" s="12">
        <f t="shared" si="1"/>
        <v>41172</v>
      </c>
      <c r="G59" s="9">
        <v>41071.0</v>
      </c>
      <c r="H59" s="3">
        <f>IFERROR(__xludf.DUMMYFUNCTION("split(G59,""/"")"),11.0)</f>
        <v>11</v>
      </c>
      <c r="I59" s="3">
        <f>IFERROR(__xludf.DUMMYFUNCTION("""COMPUTED_VALUE"""),6.0)</f>
        <v>6</v>
      </c>
      <c r="J59" s="3">
        <f>IFERROR(__xludf.DUMMYFUNCTION("""COMPUTED_VALUE"""),2012.0)</f>
        <v>2012</v>
      </c>
      <c r="K59" s="12">
        <f t="shared" si="2"/>
        <v>41219</v>
      </c>
      <c r="L59" s="3" t="s">
        <v>814</v>
      </c>
      <c r="M59" s="3" t="s">
        <v>346</v>
      </c>
      <c r="N59" s="3">
        <v>8293.0</v>
      </c>
      <c r="O59" s="3" t="s">
        <v>815</v>
      </c>
      <c r="P59" s="10">
        <v>9188.0</v>
      </c>
      <c r="Q59" s="13">
        <v>437.2</v>
      </c>
      <c r="R59" s="13">
        <v>263.33</v>
      </c>
      <c r="S59" s="13">
        <f t="shared" si="3"/>
        <v>4016993.6</v>
      </c>
      <c r="T59" s="13">
        <f t="shared" si="4"/>
        <v>2419476.04</v>
      </c>
      <c r="U59" s="13">
        <f t="shared" si="5"/>
        <v>1597517.56</v>
      </c>
      <c r="V59" s="3" t="str">
        <f>VLOOKUP(N59,products!A:B,2,0)</f>
        <v>Cosmetics</v>
      </c>
      <c r="W59" s="3" t="s">
        <v>28</v>
      </c>
      <c r="X59" s="3" t="s">
        <v>98</v>
      </c>
      <c r="Y59" s="14">
        <f t="shared" si="6"/>
        <v>0.3976898445</v>
      </c>
      <c r="Z59" s="3">
        <f t="shared" si="7"/>
        <v>47</v>
      </c>
      <c r="AA59" s="15">
        <f t="shared" si="8"/>
        <v>5</v>
      </c>
    </row>
    <row r="60" ht="15.75" customHeight="1">
      <c r="A60" s="3">
        <v>1.3327645E8</v>
      </c>
      <c r="B60" s="3" t="s">
        <v>894</v>
      </c>
      <c r="C60" s="3">
        <f>IFERROR(__xludf.DUMMYFUNCTION("split(B60,""/"")"),1.0)</f>
        <v>1</v>
      </c>
      <c r="D60" s="10">
        <f>IFERROR(__xludf.DUMMYFUNCTION("""COMPUTED_VALUE"""),27.0)</f>
        <v>27</v>
      </c>
      <c r="E60" s="11">
        <f>IFERROR(__xludf.DUMMYFUNCTION("""COMPUTED_VALUE"""),2016.0)</f>
        <v>2016</v>
      </c>
      <c r="F60" s="12">
        <f t="shared" si="1"/>
        <v>42396</v>
      </c>
      <c r="G60" s="3" t="s">
        <v>895</v>
      </c>
      <c r="H60" s="3">
        <f>IFERROR(__xludf.DUMMYFUNCTION("split(G60,""/"")"),3.0)</f>
        <v>3</v>
      </c>
      <c r="I60" s="3">
        <f>IFERROR(__xludf.DUMMYFUNCTION("""COMPUTED_VALUE"""),15.0)</f>
        <v>15</v>
      </c>
      <c r="J60" s="3">
        <f>IFERROR(__xludf.DUMMYFUNCTION("""COMPUTED_VALUE"""),2016.0)</f>
        <v>2016</v>
      </c>
      <c r="K60" s="12">
        <f t="shared" si="2"/>
        <v>42444</v>
      </c>
      <c r="L60" s="3" t="s">
        <v>827</v>
      </c>
      <c r="M60" s="3" t="s">
        <v>821</v>
      </c>
      <c r="N60" s="3">
        <v>3127.0</v>
      </c>
      <c r="O60" s="3" t="s">
        <v>815</v>
      </c>
      <c r="P60" s="10">
        <v>8318.0</v>
      </c>
      <c r="Q60" s="13">
        <v>81.73</v>
      </c>
      <c r="R60" s="13">
        <v>56.67</v>
      </c>
      <c r="S60" s="13">
        <f t="shared" si="3"/>
        <v>679830.14</v>
      </c>
      <c r="T60" s="13">
        <f t="shared" si="4"/>
        <v>471381.06</v>
      </c>
      <c r="U60" s="13">
        <f t="shared" si="5"/>
        <v>208449.08</v>
      </c>
      <c r="V60" s="3" t="str">
        <f>VLOOKUP(N60,products!A:B,2,0)</f>
        <v>Personal Care</v>
      </c>
      <c r="W60" s="3" t="s">
        <v>821</v>
      </c>
      <c r="X60" s="3" t="s">
        <v>821</v>
      </c>
      <c r="Y60" s="14">
        <f t="shared" si="6"/>
        <v>0.3066193564</v>
      </c>
      <c r="Z60" s="3">
        <f t="shared" si="7"/>
        <v>48</v>
      </c>
      <c r="AA60" s="15">
        <f t="shared" si="8"/>
        <v>4</v>
      </c>
    </row>
    <row r="61" ht="15.75" customHeight="1">
      <c r="A61" s="3">
        <v>1.34121024E8</v>
      </c>
      <c r="B61" s="3" t="s">
        <v>896</v>
      </c>
      <c r="C61" s="3">
        <f>IFERROR(__xludf.DUMMYFUNCTION("split(B61,""/"")"),2.0)</f>
        <v>2</v>
      </c>
      <c r="D61" s="10">
        <f>IFERROR(__xludf.DUMMYFUNCTION("""COMPUTED_VALUE"""),28.0)</f>
        <v>28</v>
      </c>
      <c r="E61" s="11">
        <f>IFERROR(__xludf.DUMMYFUNCTION("""COMPUTED_VALUE"""),2011.0)</f>
        <v>2011</v>
      </c>
      <c r="F61" s="12">
        <f t="shared" si="1"/>
        <v>40602</v>
      </c>
      <c r="G61" s="9">
        <v>40759.0</v>
      </c>
      <c r="H61" s="3">
        <f>IFERROR(__xludf.DUMMYFUNCTION("split(G61,""/"")"),4.0)</f>
        <v>4</v>
      </c>
      <c r="I61" s="3">
        <f>IFERROR(__xludf.DUMMYFUNCTION("""COMPUTED_VALUE"""),8.0)</f>
        <v>8</v>
      </c>
      <c r="J61" s="3">
        <f>IFERROR(__xludf.DUMMYFUNCTION("""COMPUTED_VALUE"""),2011.0)</f>
        <v>2011</v>
      </c>
      <c r="K61" s="12">
        <f t="shared" si="2"/>
        <v>40641</v>
      </c>
      <c r="L61" s="3" t="s">
        <v>825</v>
      </c>
      <c r="M61" s="3" t="s">
        <v>248</v>
      </c>
      <c r="N61" s="3">
        <v>5988.0</v>
      </c>
      <c r="O61" s="3" t="s">
        <v>815</v>
      </c>
      <c r="P61" s="10">
        <v>8246.0</v>
      </c>
      <c r="Q61" s="13">
        <v>154.06</v>
      </c>
      <c r="R61" s="13">
        <v>90.93</v>
      </c>
      <c r="S61" s="13">
        <f t="shared" si="3"/>
        <v>1270378.76</v>
      </c>
      <c r="T61" s="13">
        <f t="shared" si="4"/>
        <v>749808.78</v>
      </c>
      <c r="U61" s="13">
        <f t="shared" si="5"/>
        <v>520569.98</v>
      </c>
      <c r="V61" s="3" t="str">
        <f>VLOOKUP(N61,products!A:B,2,0)</f>
        <v>Vegetables</v>
      </c>
      <c r="W61" s="3" t="s">
        <v>28</v>
      </c>
      <c r="X61" s="3" t="s">
        <v>29</v>
      </c>
      <c r="Y61" s="14">
        <f t="shared" si="6"/>
        <v>0.4097754122</v>
      </c>
      <c r="Z61" s="3">
        <f t="shared" si="7"/>
        <v>39</v>
      </c>
      <c r="AA61" s="15">
        <f t="shared" si="8"/>
        <v>2</v>
      </c>
    </row>
    <row r="62" ht="15.75" customHeight="1">
      <c r="A62" s="3">
        <v>1.34790503E8</v>
      </c>
      <c r="B62" s="9">
        <v>40943.0</v>
      </c>
      <c r="C62" s="3">
        <f>IFERROR(__xludf.DUMMYFUNCTION("split(B62,""/"")"),4.0)</f>
        <v>4</v>
      </c>
      <c r="D62" s="10">
        <f>IFERROR(__xludf.DUMMYFUNCTION("""COMPUTED_VALUE"""),2.0)</f>
        <v>2</v>
      </c>
      <c r="E62" s="11">
        <f>IFERROR(__xludf.DUMMYFUNCTION("""COMPUTED_VALUE"""),2012.0)</f>
        <v>2012</v>
      </c>
      <c r="F62" s="12">
        <f t="shared" si="1"/>
        <v>41001</v>
      </c>
      <c r="G62" s="3" t="s">
        <v>897</v>
      </c>
      <c r="H62" s="3">
        <f>IFERROR(__xludf.DUMMYFUNCTION("split(G62,""/"")"),4.0)</f>
        <v>4</v>
      </c>
      <c r="I62" s="3">
        <f>IFERROR(__xludf.DUMMYFUNCTION("""COMPUTED_VALUE"""),26.0)</f>
        <v>26</v>
      </c>
      <c r="J62" s="3">
        <f>IFERROR(__xludf.DUMMYFUNCTION("""COMPUTED_VALUE"""),2012.0)</f>
        <v>2012</v>
      </c>
      <c r="K62" s="12">
        <f t="shared" si="2"/>
        <v>41025</v>
      </c>
      <c r="L62" s="3" t="s">
        <v>814</v>
      </c>
      <c r="M62" s="3" t="s">
        <v>373</v>
      </c>
      <c r="N62" s="3">
        <v>2455.0</v>
      </c>
      <c r="O62" s="3" t="s">
        <v>815</v>
      </c>
      <c r="P62" s="10">
        <v>6360.0</v>
      </c>
      <c r="Q62" s="13">
        <v>109.28</v>
      </c>
      <c r="R62" s="13">
        <v>35.84</v>
      </c>
      <c r="S62" s="13">
        <f t="shared" si="3"/>
        <v>695020.8</v>
      </c>
      <c r="T62" s="13">
        <f t="shared" si="4"/>
        <v>227942.4</v>
      </c>
      <c r="U62" s="13">
        <f t="shared" si="5"/>
        <v>467078.4</v>
      </c>
      <c r="V62" s="3" t="str">
        <f>VLOOKUP(N62,products!A:B,2,0)</f>
        <v>Clothes</v>
      </c>
      <c r="W62" s="3" t="s">
        <v>28</v>
      </c>
      <c r="X62" s="3" t="s">
        <v>33</v>
      </c>
      <c r="Y62" s="14">
        <f t="shared" si="6"/>
        <v>0.6720351391</v>
      </c>
      <c r="Z62" s="3">
        <f t="shared" si="7"/>
        <v>24</v>
      </c>
      <c r="AA62" s="15">
        <f t="shared" si="8"/>
        <v>2</v>
      </c>
    </row>
    <row r="63" ht="15.75" customHeight="1">
      <c r="A63" s="3">
        <v>1.36624276E8</v>
      </c>
      <c r="B63" s="3" t="s">
        <v>898</v>
      </c>
      <c r="C63" s="3">
        <f>IFERROR(__xludf.DUMMYFUNCTION("split(B63,""/"")"),2.0)</f>
        <v>2</v>
      </c>
      <c r="D63" s="10">
        <f>IFERROR(__xludf.DUMMYFUNCTION("""COMPUTED_VALUE"""),20.0)</f>
        <v>20</v>
      </c>
      <c r="E63" s="11">
        <f>IFERROR(__xludf.DUMMYFUNCTION("""COMPUTED_VALUE"""),2016.0)</f>
        <v>2016</v>
      </c>
      <c r="F63" s="12">
        <f t="shared" si="1"/>
        <v>42420</v>
      </c>
      <c r="G63" s="9">
        <v>42585.0</v>
      </c>
      <c r="H63" s="3">
        <f>IFERROR(__xludf.DUMMYFUNCTION("split(G63,""/"")"),3.0)</f>
        <v>3</v>
      </c>
      <c r="I63" s="3">
        <f>IFERROR(__xludf.DUMMYFUNCTION("""COMPUTED_VALUE"""),8.0)</f>
        <v>8</v>
      </c>
      <c r="J63" s="3">
        <f>IFERROR(__xludf.DUMMYFUNCTION("""COMPUTED_VALUE"""),2016.0)</f>
        <v>2016</v>
      </c>
      <c r="K63" s="12">
        <f t="shared" si="2"/>
        <v>42437</v>
      </c>
      <c r="L63" s="3" t="s">
        <v>825</v>
      </c>
      <c r="M63" s="3" t="s">
        <v>413</v>
      </c>
      <c r="N63" s="3">
        <v>1270.0</v>
      </c>
      <c r="O63" s="3" t="s">
        <v>818</v>
      </c>
      <c r="P63" s="10">
        <v>9014.0</v>
      </c>
      <c r="Q63" s="13">
        <v>47.45</v>
      </c>
      <c r="R63" s="13">
        <v>31.79</v>
      </c>
      <c r="S63" s="13">
        <f t="shared" si="3"/>
        <v>427714.3</v>
      </c>
      <c r="T63" s="13">
        <f t="shared" si="4"/>
        <v>286555.06</v>
      </c>
      <c r="U63" s="13">
        <f t="shared" si="5"/>
        <v>141159.24</v>
      </c>
      <c r="V63" s="3" t="str">
        <f>VLOOKUP(N63,products!A:B,2,0)</f>
        <v>Beverages</v>
      </c>
      <c r="W63" s="3" t="s">
        <v>28</v>
      </c>
      <c r="X63" s="3" t="s">
        <v>29</v>
      </c>
      <c r="Y63" s="14">
        <f t="shared" si="6"/>
        <v>0.3300316122</v>
      </c>
      <c r="Z63" s="3">
        <f t="shared" si="7"/>
        <v>17</v>
      </c>
      <c r="AA63" s="15">
        <f t="shared" si="8"/>
        <v>7</v>
      </c>
    </row>
    <row r="64" ht="15.75" customHeight="1">
      <c r="A64" s="3">
        <v>1.38025033E8</v>
      </c>
      <c r="B64" s="3" t="s">
        <v>899</v>
      </c>
      <c r="C64" s="3">
        <f>IFERROR(__xludf.DUMMYFUNCTION("split(B64,""/"")"),7.0)</f>
        <v>7</v>
      </c>
      <c r="D64" s="10">
        <f>IFERROR(__xludf.DUMMYFUNCTION("""COMPUTED_VALUE"""),13.0)</f>
        <v>13</v>
      </c>
      <c r="E64" s="11">
        <f>IFERROR(__xludf.DUMMYFUNCTION("""COMPUTED_VALUE"""),2013.0)</f>
        <v>2013</v>
      </c>
      <c r="F64" s="12">
        <f t="shared" si="1"/>
        <v>41468</v>
      </c>
      <c r="G64" s="9">
        <v>41341.0</v>
      </c>
      <c r="H64" s="3">
        <f>IFERROR(__xludf.DUMMYFUNCTION("split(G64,""/"")"),8.0)</f>
        <v>8</v>
      </c>
      <c r="I64" s="3">
        <f>IFERROR(__xludf.DUMMYFUNCTION("""COMPUTED_VALUE"""),3.0)</f>
        <v>3</v>
      </c>
      <c r="J64" s="3">
        <f>IFERROR(__xludf.DUMMYFUNCTION("""COMPUTED_VALUE"""),2013.0)</f>
        <v>2013</v>
      </c>
      <c r="K64" s="12">
        <f t="shared" si="2"/>
        <v>41489</v>
      </c>
      <c r="L64" s="3" t="s">
        <v>825</v>
      </c>
      <c r="M64" s="3" t="s">
        <v>746</v>
      </c>
      <c r="N64" s="3">
        <v>8969.0</v>
      </c>
      <c r="O64" s="3" t="s">
        <v>815</v>
      </c>
      <c r="P64" s="10">
        <v>3529.0</v>
      </c>
      <c r="Q64" s="13">
        <v>152.58</v>
      </c>
      <c r="R64" s="13">
        <v>97.44</v>
      </c>
      <c r="S64" s="13">
        <f t="shared" si="3"/>
        <v>538454.82</v>
      </c>
      <c r="T64" s="13">
        <f t="shared" si="4"/>
        <v>343865.76</v>
      </c>
      <c r="U64" s="13">
        <f t="shared" si="5"/>
        <v>194589.06</v>
      </c>
      <c r="V64" s="3" t="str">
        <f>VLOOKUP(N64,products!A:B,2,0)</f>
        <v>Snacks</v>
      </c>
      <c r="W64" s="3" t="s">
        <v>28</v>
      </c>
      <c r="X64" s="3" t="s">
        <v>29</v>
      </c>
      <c r="Y64" s="14">
        <f t="shared" si="6"/>
        <v>0.3613841919</v>
      </c>
      <c r="Z64" s="3">
        <f t="shared" si="7"/>
        <v>21</v>
      </c>
      <c r="AA64" s="15">
        <f t="shared" si="8"/>
        <v>7</v>
      </c>
    </row>
    <row r="65" ht="15.75" customHeight="1">
      <c r="A65" s="3">
        <v>1.38182103E8</v>
      </c>
      <c r="B65" s="9">
        <v>41890.0</v>
      </c>
      <c r="C65" s="3">
        <f>IFERROR(__xludf.DUMMYFUNCTION("split(B65,""/"")"),8.0)</f>
        <v>8</v>
      </c>
      <c r="D65" s="10">
        <f>IFERROR(__xludf.DUMMYFUNCTION("""COMPUTED_VALUE"""),9.0)</f>
        <v>9</v>
      </c>
      <c r="E65" s="11">
        <f>IFERROR(__xludf.DUMMYFUNCTION("""COMPUTED_VALUE"""),2014.0)</f>
        <v>2014</v>
      </c>
      <c r="F65" s="12">
        <f t="shared" si="1"/>
        <v>41860</v>
      </c>
      <c r="G65" s="3" t="s">
        <v>900</v>
      </c>
      <c r="H65" s="3">
        <f>IFERROR(__xludf.DUMMYFUNCTION("split(G65,""/"")"),8.0)</f>
        <v>8</v>
      </c>
      <c r="I65" s="3">
        <f>IFERROR(__xludf.DUMMYFUNCTION("""COMPUTED_VALUE"""),16.0)</f>
        <v>16</v>
      </c>
      <c r="J65" s="3">
        <f>IFERROR(__xludf.DUMMYFUNCTION("""COMPUTED_VALUE"""),2014.0)</f>
        <v>2014</v>
      </c>
      <c r="K65" s="12">
        <f t="shared" si="2"/>
        <v>41867</v>
      </c>
      <c r="L65" s="3" t="s">
        <v>817</v>
      </c>
      <c r="M65" s="3" t="s">
        <v>512</v>
      </c>
      <c r="N65" s="3">
        <v>8681.0</v>
      </c>
      <c r="O65" s="3" t="s">
        <v>815</v>
      </c>
      <c r="P65" s="10">
        <v>10.0</v>
      </c>
      <c r="Q65" s="13">
        <v>651.21</v>
      </c>
      <c r="R65" s="13">
        <v>524.96</v>
      </c>
      <c r="S65" s="13">
        <f t="shared" si="3"/>
        <v>6512.1</v>
      </c>
      <c r="T65" s="13">
        <f t="shared" si="4"/>
        <v>5249.6</v>
      </c>
      <c r="U65" s="13">
        <f t="shared" si="5"/>
        <v>1262.5</v>
      </c>
      <c r="V65" s="3" t="str">
        <f>VLOOKUP(N65,products!A:B,2,0)</f>
        <v>Office Supplies</v>
      </c>
      <c r="W65" s="3" t="s">
        <v>28</v>
      </c>
      <c r="X65" s="3" t="s">
        <v>79</v>
      </c>
      <c r="Y65" s="14">
        <f t="shared" si="6"/>
        <v>0.193869873</v>
      </c>
      <c r="Z65" s="3">
        <f t="shared" si="7"/>
        <v>7</v>
      </c>
      <c r="AA65" s="15">
        <f t="shared" si="8"/>
        <v>7</v>
      </c>
    </row>
    <row r="66" ht="15.75" customHeight="1">
      <c r="A66" s="3">
        <v>1.38820683E8</v>
      </c>
      <c r="B66" s="9">
        <v>40428.0</v>
      </c>
      <c r="C66" s="3">
        <f>IFERROR(__xludf.DUMMYFUNCTION("split(B66,""/"")"),7.0)</f>
        <v>7</v>
      </c>
      <c r="D66" s="10">
        <f>IFERROR(__xludf.DUMMYFUNCTION("""COMPUTED_VALUE"""),9.0)</f>
        <v>9</v>
      </c>
      <c r="E66" s="11">
        <f>IFERROR(__xludf.DUMMYFUNCTION("""COMPUTED_VALUE"""),2010.0)</f>
        <v>2010</v>
      </c>
      <c r="F66" s="12">
        <f t="shared" si="1"/>
        <v>40368</v>
      </c>
      <c r="G66" s="9">
        <v>40428.0</v>
      </c>
      <c r="H66" s="3">
        <f>IFERROR(__xludf.DUMMYFUNCTION("split(G66,""/"")"),7.0)</f>
        <v>7</v>
      </c>
      <c r="I66" s="3">
        <f>IFERROR(__xludf.DUMMYFUNCTION("""COMPUTED_VALUE"""),9.0)</f>
        <v>9</v>
      </c>
      <c r="J66" s="3">
        <f>IFERROR(__xludf.DUMMYFUNCTION("""COMPUTED_VALUE"""),2010.0)</f>
        <v>2010</v>
      </c>
      <c r="K66" s="12">
        <f t="shared" si="2"/>
        <v>40368</v>
      </c>
      <c r="L66" s="3" t="s">
        <v>825</v>
      </c>
      <c r="M66" s="3" t="s">
        <v>593</v>
      </c>
      <c r="N66" s="3">
        <v>2455.0</v>
      </c>
      <c r="O66" s="3" t="s">
        <v>818</v>
      </c>
      <c r="P66" s="10">
        <v>8980.0</v>
      </c>
      <c r="Q66" s="13">
        <v>109.28</v>
      </c>
      <c r="R66" s="13">
        <v>35.84</v>
      </c>
      <c r="S66" s="13">
        <f t="shared" si="3"/>
        <v>981334.4</v>
      </c>
      <c r="T66" s="13">
        <f t="shared" si="4"/>
        <v>321843.2</v>
      </c>
      <c r="U66" s="13">
        <f t="shared" si="5"/>
        <v>659491.2</v>
      </c>
      <c r="V66" s="3" t="str">
        <f>VLOOKUP(N66,products!A:B,2,0)</f>
        <v>Clothes</v>
      </c>
      <c r="W66" s="3" t="s">
        <v>28</v>
      </c>
      <c r="X66" s="3" t="s">
        <v>98</v>
      </c>
      <c r="Y66" s="14">
        <f t="shared" si="6"/>
        <v>0.6720351391</v>
      </c>
      <c r="Z66" s="3">
        <f t="shared" si="7"/>
        <v>0</v>
      </c>
      <c r="AA66" s="15">
        <f t="shared" si="8"/>
        <v>6</v>
      </c>
    </row>
    <row r="67" ht="15.75" customHeight="1">
      <c r="A67" s="3">
        <v>1.39201343E8</v>
      </c>
      <c r="B67" s="3" t="s">
        <v>901</v>
      </c>
      <c r="C67" s="3">
        <f>IFERROR(__xludf.DUMMYFUNCTION("split(B67,""/"")"),8.0)</f>
        <v>8</v>
      </c>
      <c r="D67" s="10">
        <f>IFERROR(__xludf.DUMMYFUNCTION("""COMPUTED_VALUE"""),27.0)</f>
        <v>27</v>
      </c>
      <c r="E67" s="11">
        <f>IFERROR(__xludf.DUMMYFUNCTION("""COMPUTED_VALUE"""),2016.0)</f>
        <v>2016</v>
      </c>
      <c r="F67" s="12">
        <f t="shared" si="1"/>
        <v>42609</v>
      </c>
      <c r="G67" s="9">
        <v>42530.0</v>
      </c>
      <c r="H67" s="3">
        <f>IFERROR(__xludf.DUMMYFUNCTION("split(G67,""/"")"),9.0)</f>
        <v>9</v>
      </c>
      <c r="I67" s="3">
        <f>IFERROR(__xludf.DUMMYFUNCTION("""COMPUTED_VALUE"""),6.0)</f>
        <v>6</v>
      </c>
      <c r="J67" s="3">
        <f>IFERROR(__xludf.DUMMYFUNCTION("""COMPUTED_VALUE"""),2016.0)</f>
        <v>2016</v>
      </c>
      <c r="K67" s="12">
        <f t="shared" si="2"/>
        <v>42619</v>
      </c>
      <c r="L67" s="3" t="s">
        <v>827</v>
      </c>
      <c r="M67" s="3" t="s">
        <v>364</v>
      </c>
      <c r="N67" s="3">
        <v>8293.0</v>
      </c>
      <c r="O67" s="3" t="s">
        <v>818</v>
      </c>
      <c r="P67" s="10">
        <v>1625.0</v>
      </c>
      <c r="Q67" s="13">
        <v>437.2</v>
      </c>
      <c r="R67" s="13">
        <v>263.33</v>
      </c>
      <c r="S67" s="13">
        <f t="shared" si="3"/>
        <v>710450</v>
      </c>
      <c r="T67" s="13">
        <f t="shared" si="4"/>
        <v>427911.25</v>
      </c>
      <c r="U67" s="13">
        <f t="shared" si="5"/>
        <v>282538.75</v>
      </c>
      <c r="V67" s="3" t="str">
        <f>VLOOKUP(N67,products!A:B,2,0)</f>
        <v>Cosmetics</v>
      </c>
      <c r="W67" s="3" t="s">
        <v>28</v>
      </c>
      <c r="X67" s="3" t="s">
        <v>29</v>
      </c>
      <c r="Y67" s="14">
        <f t="shared" si="6"/>
        <v>0.3976898445</v>
      </c>
      <c r="Z67" s="3">
        <f t="shared" si="7"/>
        <v>10</v>
      </c>
      <c r="AA67" s="15">
        <f t="shared" si="8"/>
        <v>7</v>
      </c>
    </row>
    <row r="68" ht="15.75" customHeight="1">
      <c r="A68" s="3">
        <v>1.39949357E8</v>
      </c>
      <c r="B68" s="9">
        <v>41646.0</v>
      </c>
      <c r="C68" s="3">
        <f>IFERROR(__xludf.DUMMYFUNCTION("split(B68,""/"")"),7.0)</f>
        <v>7</v>
      </c>
      <c r="D68" s="10">
        <f>IFERROR(__xludf.DUMMYFUNCTION("""COMPUTED_VALUE"""),1.0)</f>
        <v>1</v>
      </c>
      <c r="E68" s="11">
        <f>IFERROR(__xludf.DUMMYFUNCTION("""COMPUTED_VALUE"""),2014.0)</f>
        <v>2014</v>
      </c>
      <c r="F68" s="12">
        <f t="shared" si="1"/>
        <v>41821</v>
      </c>
      <c r="G68" s="3" t="s">
        <v>902</v>
      </c>
      <c r="H68" s="3">
        <f>IFERROR(__xludf.DUMMYFUNCTION("split(G68,""/"")"),7.0)</f>
        <v>7</v>
      </c>
      <c r="I68" s="3">
        <f>IFERROR(__xludf.DUMMYFUNCTION("""COMPUTED_VALUE"""),14.0)</f>
        <v>14</v>
      </c>
      <c r="J68" s="3">
        <f>IFERROR(__xludf.DUMMYFUNCTION("""COMPUTED_VALUE"""),2014.0)</f>
        <v>2014</v>
      </c>
      <c r="K68" s="12">
        <f t="shared" si="2"/>
        <v>41834</v>
      </c>
      <c r="L68" s="3" t="s">
        <v>827</v>
      </c>
      <c r="M68" s="3" t="s">
        <v>821</v>
      </c>
      <c r="N68" s="3">
        <v>5988.0</v>
      </c>
      <c r="O68" s="3" t="s">
        <v>815</v>
      </c>
      <c r="P68" s="10">
        <v>2980.0</v>
      </c>
      <c r="Q68" s="13">
        <v>154.06</v>
      </c>
      <c r="R68" s="13">
        <v>90.93</v>
      </c>
      <c r="S68" s="13">
        <f t="shared" si="3"/>
        <v>459098.8</v>
      </c>
      <c r="T68" s="13">
        <f t="shared" si="4"/>
        <v>270971.4</v>
      </c>
      <c r="U68" s="13">
        <f t="shared" si="5"/>
        <v>188127.4</v>
      </c>
      <c r="V68" s="3" t="str">
        <f>VLOOKUP(N68,products!A:B,2,0)</f>
        <v>Vegetables</v>
      </c>
      <c r="W68" s="3" t="s">
        <v>821</v>
      </c>
      <c r="X68" s="3" t="s">
        <v>821</v>
      </c>
      <c r="Y68" s="14">
        <f t="shared" si="6"/>
        <v>0.4097754122</v>
      </c>
      <c r="Z68" s="3">
        <f t="shared" si="7"/>
        <v>13</v>
      </c>
      <c r="AA68" s="15">
        <f t="shared" si="8"/>
        <v>3</v>
      </c>
    </row>
    <row r="69" ht="15.75" customHeight="1">
      <c r="A69" s="3">
        <v>1.40461766E8</v>
      </c>
      <c r="B69" s="9">
        <v>41858.0</v>
      </c>
      <c r="C69" s="3">
        <f>IFERROR(__xludf.DUMMYFUNCTION("split(B69,""/"")"),7.0)</f>
        <v>7</v>
      </c>
      <c r="D69" s="10">
        <f>IFERROR(__xludf.DUMMYFUNCTION("""COMPUTED_VALUE"""),8.0)</f>
        <v>8</v>
      </c>
      <c r="E69" s="11">
        <f>IFERROR(__xludf.DUMMYFUNCTION("""COMPUTED_VALUE"""),2014.0)</f>
        <v>2014</v>
      </c>
      <c r="F69" s="12">
        <f t="shared" si="1"/>
        <v>41828</v>
      </c>
      <c r="G69" s="3" t="s">
        <v>903</v>
      </c>
      <c r="H69" s="3">
        <f>IFERROR(__xludf.DUMMYFUNCTION("split(G69,""/"")"),7.0)</f>
        <v>7</v>
      </c>
      <c r="I69" s="3">
        <f>IFERROR(__xludf.DUMMYFUNCTION("""COMPUTED_VALUE"""),20.0)</f>
        <v>20</v>
      </c>
      <c r="J69" s="3">
        <f>IFERROR(__xludf.DUMMYFUNCTION("""COMPUTED_VALUE"""),2014.0)</f>
        <v>2014</v>
      </c>
      <c r="K69" s="12">
        <f t="shared" si="2"/>
        <v>41840</v>
      </c>
      <c r="L69" s="3" t="s">
        <v>817</v>
      </c>
      <c r="M69" s="3" t="s">
        <v>740</v>
      </c>
      <c r="N69" s="3">
        <v>8293.0</v>
      </c>
      <c r="O69" s="3" t="s">
        <v>815</v>
      </c>
      <c r="P69" s="10">
        <v>4613.0</v>
      </c>
      <c r="Q69" s="13">
        <v>437.2</v>
      </c>
      <c r="R69" s="13">
        <v>263.33</v>
      </c>
      <c r="S69" s="13">
        <f t="shared" si="3"/>
        <v>2016803.6</v>
      </c>
      <c r="T69" s="13">
        <f t="shared" si="4"/>
        <v>1214741.29</v>
      </c>
      <c r="U69" s="13">
        <f t="shared" si="5"/>
        <v>802062.31</v>
      </c>
      <c r="V69" s="3" t="str">
        <f>VLOOKUP(N69,products!A:B,2,0)</f>
        <v>Cosmetics</v>
      </c>
      <c r="W69" s="3" t="s">
        <v>28</v>
      </c>
      <c r="X69" s="3" t="s">
        <v>98</v>
      </c>
      <c r="Y69" s="14">
        <f t="shared" si="6"/>
        <v>0.3976898445</v>
      </c>
      <c r="Z69" s="3">
        <f t="shared" si="7"/>
        <v>12</v>
      </c>
      <c r="AA69" s="15">
        <f t="shared" si="8"/>
        <v>3</v>
      </c>
    </row>
    <row r="70" ht="15.75" customHeight="1">
      <c r="A70" s="3">
        <v>1.40499961E8</v>
      </c>
      <c r="B70" s="3" t="s">
        <v>904</v>
      </c>
      <c r="C70" s="3">
        <f>IFERROR(__xludf.DUMMYFUNCTION("split(B70,""/"")"),3.0)</f>
        <v>3</v>
      </c>
      <c r="D70" s="10">
        <f>IFERROR(__xludf.DUMMYFUNCTION("""COMPUTED_VALUE"""),29.0)</f>
        <v>29</v>
      </c>
      <c r="E70" s="11">
        <f>IFERROR(__xludf.DUMMYFUNCTION("""COMPUTED_VALUE"""),2011.0)</f>
        <v>2011</v>
      </c>
      <c r="F70" s="12">
        <f t="shared" si="1"/>
        <v>40631</v>
      </c>
      <c r="G70" s="3" t="s">
        <v>905</v>
      </c>
      <c r="H70" s="3">
        <f>IFERROR(__xludf.DUMMYFUNCTION("split(G70,""/"")"),4.0)</f>
        <v>4</v>
      </c>
      <c r="I70" s="3">
        <f>IFERROR(__xludf.DUMMYFUNCTION("""COMPUTED_VALUE"""),30.0)</f>
        <v>30</v>
      </c>
      <c r="J70" s="3">
        <f>IFERROR(__xludf.DUMMYFUNCTION("""COMPUTED_VALUE"""),2011.0)</f>
        <v>2011</v>
      </c>
      <c r="K70" s="12">
        <f t="shared" si="2"/>
        <v>40663</v>
      </c>
      <c r="L70" s="3" t="s">
        <v>825</v>
      </c>
      <c r="M70" s="3" t="s">
        <v>413</v>
      </c>
      <c r="N70" s="3">
        <v>3127.0</v>
      </c>
      <c r="O70" s="3" t="s">
        <v>815</v>
      </c>
      <c r="P70" s="10">
        <v>5915.0</v>
      </c>
      <c r="Q70" s="13">
        <v>81.73</v>
      </c>
      <c r="R70" s="13">
        <v>56.67</v>
      </c>
      <c r="S70" s="13">
        <f t="shared" si="3"/>
        <v>483432.95</v>
      </c>
      <c r="T70" s="13">
        <f t="shared" si="4"/>
        <v>335203.05</v>
      </c>
      <c r="U70" s="13">
        <f t="shared" si="5"/>
        <v>148229.9</v>
      </c>
      <c r="V70" s="3" t="str">
        <f>VLOOKUP(N70,products!A:B,2,0)</f>
        <v>Personal Care</v>
      </c>
      <c r="W70" s="3" t="s">
        <v>28</v>
      </c>
      <c r="X70" s="3" t="s">
        <v>29</v>
      </c>
      <c r="Y70" s="14">
        <f t="shared" si="6"/>
        <v>0.3066193564</v>
      </c>
      <c r="Z70" s="3">
        <f t="shared" si="7"/>
        <v>32</v>
      </c>
      <c r="AA70" s="15">
        <f t="shared" si="8"/>
        <v>3</v>
      </c>
    </row>
    <row r="71" ht="15.75" customHeight="1">
      <c r="A71" s="3">
        <v>1.41764247E8</v>
      </c>
      <c r="B71" s="3" t="s">
        <v>906</v>
      </c>
      <c r="C71" s="3">
        <f>IFERROR(__xludf.DUMMYFUNCTION("split(B71,""/"")"),7.0)</f>
        <v>7</v>
      </c>
      <c r="D71" s="10">
        <f>IFERROR(__xludf.DUMMYFUNCTION("""COMPUTED_VALUE"""),15.0)</f>
        <v>15</v>
      </c>
      <c r="E71" s="11">
        <f>IFERROR(__xludf.DUMMYFUNCTION("""COMPUTED_VALUE"""),2013.0)</f>
        <v>2013</v>
      </c>
      <c r="F71" s="12">
        <f t="shared" si="1"/>
        <v>41470</v>
      </c>
      <c r="G71" s="3" t="s">
        <v>907</v>
      </c>
      <c r="H71" s="3">
        <f>IFERROR(__xludf.DUMMYFUNCTION("split(G71,""/"")"),8.0)</f>
        <v>8</v>
      </c>
      <c r="I71" s="3">
        <f>IFERROR(__xludf.DUMMYFUNCTION("""COMPUTED_VALUE"""),29.0)</f>
        <v>29</v>
      </c>
      <c r="J71" s="3">
        <f>IFERROR(__xludf.DUMMYFUNCTION("""COMPUTED_VALUE"""),2013.0)</f>
        <v>2013</v>
      </c>
      <c r="K71" s="12">
        <f t="shared" si="2"/>
        <v>41515</v>
      </c>
      <c r="L71" s="3" t="s">
        <v>827</v>
      </c>
      <c r="M71" s="3" t="s">
        <v>46</v>
      </c>
      <c r="N71" s="3">
        <v>7331.0</v>
      </c>
      <c r="O71" s="3" t="s">
        <v>818</v>
      </c>
      <c r="P71" s="10">
        <v>46.0</v>
      </c>
      <c r="Q71" s="13">
        <v>255.28</v>
      </c>
      <c r="R71" s="13">
        <v>159.42</v>
      </c>
      <c r="S71" s="13">
        <f t="shared" si="3"/>
        <v>11742.88</v>
      </c>
      <c r="T71" s="13">
        <f t="shared" si="4"/>
        <v>7333.32</v>
      </c>
      <c r="U71" s="13">
        <f t="shared" si="5"/>
        <v>4409.56</v>
      </c>
      <c r="V71" s="3" t="str">
        <f>VLOOKUP(N71,products!A:B,2,0)</f>
        <v>Baby Food</v>
      </c>
      <c r="W71" s="3" t="s">
        <v>28</v>
      </c>
      <c r="X71" s="3" t="s">
        <v>33</v>
      </c>
      <c r="Y71" s="14">
        <f t="shared" si="6"/>
        <v>0.3755092448</v>
      </c>
      <c r="Z71" s="3">
        <f t="shared" si="7"/>
        <v>45</v>
      </c>
      <c r="AA71" s="15">
        <f t="shared" si="8"/>
        <v>2</v>
      </c>
    </row>
    <row r="72" ht="15.75" customHeight="1">
      <c r="A72" s="3">
        <v>1.41846215E8</v>
      </c>
      <c r="B72" s="3" t="s">
        <v>883</v>
      </c>
      <c r="C72" s="3">
        <f>IFERROR(__xludf.DUMMYFUNCTION("split(B72,""/"")"),7.0)</f>
        <v>7</v>
      </c>
      <c r="D72" s="10">
        <f>IFERROR(__xludf.DUMMYFUNCTION("""COMPUTED_VALUE"""),18.0)</f>
        <v>18</v>
      </c>
      <c r="E72" s="11">
        <f>IFERROR(__xludf.DUMMYFUNCTION("""COMPUTED_VALUE"""),2012.0)</f>
        <v>2012</v>
      </c>
      <c r="F72" s="12">
        <f t="shared" si="1"/>
        <v>41108</v>
      </c>
      <c r="G72" s="3" t="s">
        <v>908</v>
      </c>
      <c r="H72" s="3">
        <f>IFERROR(__xludf.DUMMYFUNCTION("split(G72,""/"")"),8.0)</f>
        <v>8</v>
      </c>
      <c r="I72" s="3">
        <f>IFERROR(__xludf.DUMMYFUNCTION("""COMPUTED_VALUE"""),16.0)</f>
        <v>16</v>
      </c>
      <c r="J72" s="3">
        <f>IFERROR(__xludf.DUMMYFUNCTION("""COMPUTED_VALUE"""),2012.0)</f>
        <v>2012</v>
      </c>
      <c r="K72" s="12">
        <f t="shared" si="2"/>
        <v>41137</v>
      </c>
      <c r="L72" s="3" t="s">
        <v>827</v>
      </c>
      <c r="M72" s="3" t="s">
        <v>288</v>
      </c>
      <c r="N72" s="3">
        <v>2455.0</v>
      </c>
      <c r="O72" s="3" t="s">
        <v>815</v>
      </c>
      <c r="P72" s="10">
        <v>4302.0</v>
      </c>
      <c r="Q72" s="13">
        <v>109.28</v>
      </c>
      <c r="R72" s="13">
        <v>35.84</v>
      </c>
      <c r="S72" s="13">
        <f t="shared" si="3"/>
        <v>470122.56</v>
      </c>
      <c r="T72" s="13">
        <f t="shared" si="4"/>
        <v>154183.68</v>
      </c>
      <c r="U72" s="13">
        <f t="shared" si="5"/>
        <v>315938.88</v>
      </c>
      <c r="V72" s="3" t="str">
        <f>VLOOKUP(N72,products!A:B,2,0)</f>
        <v>Clothes</v>
      </c>
      <c r="W72" s="3" t="s">
        <v>23</v>
      </c>
      <c r="X72" s="3" t="s">
        <v>68</v>
      </c>
      <c r="Y72" s="14">
        <f t="shared" si="6"/>
        <v>0.6720351391</v>
      </c>
      <c r="Z72" s="3">
        <f t="shared" si="7"/>
        <v>29</v>
      </c>
      <c r="AA72" s="15">
        <f t="shared" si="8"/>
        <v>4</v>
      </c>
    </row>
    <row r="73" ht="15.75" customHeight="1">
      <c r="A73" s="3">
        <v>1.41875827E8</v>
      </c>
      <c r="B73" s="3" t="s">
        <v>878</v>
      </c>
      <c r="C73" s="3">
        <f>IFERROR(__xludf.DUMMYFUNCTION("split(B73,""/"")"),3.0)</f>
        <v>3</v>
      </c>
      <c r="D73" s="10">
        <f>IFERROR(__xludf.DUMMYFUNCTION("""COMPUTED_VALUE"""),13.0)</f>
        <v>13</v>
      </c>
      <c r="E73" s="11">
        <f>IFERROR(__xludf.DUMMYFUNCTION("""COMPUTED_VALUE"""),2011.0)</f>
        <v>2011</v>
      </c>
      <c r="F73" s="12">
        <f t="shared" si="1"/>
        <v>40615</v>
      </c>
      <c r="G73" s="3" t="s">
        <v>909</v>
      </c>
      <c r="H73" s="3">
        <f>IFERROR(__xludf.DUMMYFUNCTION("split(G73,""/"")"),4.0)</f>
        <v>4</v>
      </c>
      <c r="I73" s="3">
        <f>IFERROR(__xludf.DUMMYFUNCTION("""COMPUTED_VALUE"""),16.0)</f>
        <v>16</v>
      </c>
      <c r="J73" s="3">
        <f>IFERROR(__xludf.DUMMYFUNCTION("""COMPUTED_VALUE"""),2011.0)</f>
        <v>2011</v>
      </c>
      <c r="K73" s="12">
        <f t="shared" si="2"/>
        <v>40649</v>
      </c>
      <c r="L73" s="3" t="s">
        <v>817</v>
      </c>
      <c r="M73" s="3" t="s">
        <v>575</v>
      </c>
      <c r="N73" s="3">
        <v>7940.0</v>
      </c>
      <c r="O73" s="3" t="s">
        <v>815</v>
      </c>
      <c r="P73" s="10">
        <v>3065.0</v>
      </c>
      <c r="Q73" s="13">
        <v>668.27</v>
      </c>
      <c r="R73" s="13">
        <v>502.54</v>
      </c>
      <c r="S73" s="13">
        <f t="shared" si="3"/>
        <v>2048247.55</v>
      </c>
      <c r="T73" s="13">
        <f t="shared" si="4"/>
        <v>1540285.1</v>
      </c>
      <c r="U73" s="13">
        <f t="shared" si="5"/>
        <v>507962.45</v>
      </c>
      <c r="V73" s="3" t="str">
        <f>VLOOKUP(N73,products!A:B,2,0)</f>
        <v>Household</v>
      </c>
      <c r="W73" s="3" t="s">
        <v>28</v>
      </c>
      <c r="X73" s="3" t="s">
        <v>98</v>
      </c>
      <c r="Y73" s="14">
        <f t="shared" si="6"/>
        <v>0.2479985635</v>
      </c>
      <c r="Z73" s="3">
        <f t="shared" si="7"/>
        <v>34</v>
      </c>
      <c r="AA73" s="15">
        <f t="shared" si="8"/>
        <v>1</v>
      </c>
    </row>
    <row r="74" ht="15.75" customHeight="1">
      <c r="A74" s="3">
        <v>1.42375361E8</v>
      </c>
      <c r="B74" s="9">
        <v>41853.0</v>
      </c>
      <c r="C74" s="3">
        <f>IFERROR(__xludf.DUMMYFUNCTION("split(B74,""/"")"),2.0)</f>
        <v>2</v>
      </c>
      <c r="D74" s="10">
        <f>IFERROR(__xludf.DUMMYFUNCTION("""COMPUTED_VALUE"""),8.0)</f>
        <v>8</v>
      </c>
      <c r="E74" s="11">
        <f>IFERROR(__xludf.DUMMYFUNCTION("""COMPUTED_VALUE"""),2014.0)</f>
        <v>2014</v>
      </c>
      <c r="F74" s="12">
        <f t="shared" si="1"/>
        <v>41678</v>
      </c>
      <c r="G74" s="3" t="s">
        <v>910</v>
      </c>
      <c r="H74" s="3">
        <f>IFERROR(__xludf.DUMMYFUNCTION("split(G74,""/"")"),2.0)</f>
        <v>2</v>
      </c>
      <c r="I74" s="3">
        <f>IFERROR(__xludf.DUMMYFUNCTION("""COMPUTED_VALUE"""),19.0)</f>
        <v>19</v>
      </c>
      <c r="J74" s="3">
        <f>IFERROR(__xludf.DUMMYFUNCTION("""COMPUTED_VALUE"""),2014.0)</f>
        <v>2014</v>
      </c>
      <c r="K74" s="12">
        <f t="shared" si="2"/>
        <v>41689</v>
      </c>
      <c r="L74" s="3" t="s">
        <v>825</v>
      </c>
      <c r="M74" s="3" t="s">
        <v>428</v>
      </c>
      <c r="N74" s="3">
        <v>4594.0</v>
      </c>
      <c r="O74" s="3" t="s">
        <v>815</v>
      </c>
      <c r="P74" s="10">
        <v>888.0</v>
      </c>
      <c r="Q74" s="13">
        <v>9.33</v>
      </c>
      <c r="R74" s="13">
        <v>6.92</v>
      </c>
      <c r="S74" s="13">
        <f t="shared" si="3"/>
        <v>8285.04</v>
      </c>
      <c r="T74" s="13">
        <f t="shared" si="4"/>
        <v>6144.96</v>
      </c>
      <c r="U74" s="13">
        <f t="shared" si="5"/>
        <v>2140.08</v>
      </c>
      <c r="V74" s="3" t="str">
        <f>VLOOKUP(N74,products!A:B,2,0)</f>
        <v>Fruits</v>
      </c>
      <c r="W74" s="3" t="s">
        <v>28</v>
      </c>
      <c r="X74" s="3" t="s">
        <v>79</v>
      </c>
      <c r="Y74" s="14">
        <f t="shared" si="6"/>
        <v>0.258306538</v>
      </c>
      <c r="Z74" s="3">
        <f t="shared" si="7"/>
        <v>11</v>
      </c>
      <c r="AA74" s="15">
        <f t="shared" si="8"/>
        <v>7</v>
      </c>
    </row>
    <row r="75" ht="15.75" customHeight="1">
      <c r="A75" s="3">
        <v>1.42987763E8</v>
      </c>
      <c r="B75" s="3" t="s">
        <v>911</v>
      </c>
      <c r="C75" s="3">
        <f>IFERROR(__xludf.DUMMYFUNCTION("split(B75,""/"")"),8.0)</f>
        <v>8</v>
      </c>
      <c r="D75" s="10">
        <f>IFERROR(__xludf.DUMMYFUNCTION("""COMPUTED_VALUE"""),18.0)</f>
        <v>18</v>
      </c>
      <c r="E75" s="11">
        <f>IFERROR(__xludf.DUMMYFUNCTION("""COMPUTED_VALUE"""),2013.0)</f>
        <v>2013</v>
      </c>
      <c r="F75" s="12">
        <f t="shared" si="1"/>
        <v>41504</v>
      </c>
      <c r="G75" s="9">
        <v>41283.0</v>
      </c>
      <c r="H75" s="3">
        <f>IFERROR(__xludf.DUMMYFUNCTION("split(G75,""/"")"),9.0)</f>
        <v>9</v>
      </c>
      <c r="I75" s="3">
        <f>IFERROR(__xludf.DUMMYFUNCTION("""COMPUTED_VALUE"""),1.0)</f>
        <v>1</v>
      </c>
      <c r="J75" s="3">
        <f>IFERROR(__xludf.DUMMYFUNCTION("""COMPUTED_VALUE"""),2013.0)</f>
        <v>2013</v>
      </c>
      <c r="K75" s="12">
        <f t="shared" si="2"/>
        <v>41518</v>
      </c>
      <c r="L75" s="3" t="s">
        <v>825</v>
      </c>
      <c r="M75" s="3" t="s">
        <v>512</v>
      </c>
      <c r="N75" s="3">
        <v>7940.0</v>
      </c>
      <c r="O75" s="3" t="s">
        <v>818</v>
      </c>
      <c r="P75" s="10">
        <v>2112.0</v>
      </c>
      <c r="Q75" s="13">
        <v>668.27</v>
      </c>
      <c r="R75" s="13">
        <v>502.54</v>
      </c>
      <c r="S75" s="13">
        <f t="shared" si="3"/>
        <v>1411386.24</v>
      </c>
      <c r="T75" s="13">
        <f t="shared" si="4"/>
        <v>1061364.48</v>
      </c>
      <c r="U75" s="13">
        <f t="shared" si="5"/>
        <v>350021.76</v>
      </c>
      <c r="V75" s="3" t="str">
        <f>VLOOKUP(N75,products!A:B,2,0)</f>
        <v>Household</v>
      </c>
      <c r="W75" s="3" t="s">
        <v>28</v>
      </c>
      <c r="X75" s="3" t="s">
        <v>79</v>
      </c>
      <c r="Y75" s="14">
        <f t="shared" si="6"/>
        <v>0.2479985635</v>
      </c>
      <c r="Z75" s="3">
        <f t="shared" si="7"/>
        <v>14</v>
      </c>
      <c r="AA75" s="15">
        <f t="shared" si="8"/>
        <v>1</v>
      </c>
    </row>
    <row r="76" ht="15.75" customHeight="1">
      <c r="A76" s="3">
        <v>1.43414771E8</v>
      </c>
      <c r="B76" s="3" t="s">
        <v>912</v>
      </c>
      <c r="C76" s="3">
        <f>IFERROR(__xludf.DUMMYFUNCTION("split(B76,""/"")"),5.0)</f>
        <v>5</v>
      </c>
      <c r="D76" s="10">
        <f>IFERROR(__xludf.DUMMYFUNCTION("""COMPUTED_VALUE"""),21.0)</f>
        <v>21</v>
      </c>
      <c r="E76" s="11">
        <f>IFERROR(__xludf.DUMMYFUNCTION("""COMPUTED_VALUE"""),2012.0)</f>
        <v>2012</v>
      </c>
      <c r="F76" s="12">
        <f t="shared" si="1"/>
        <v>41050</v>
      </c>
      <c r="G76" s="9">
        <v>40974.0</v>
      </c>
      <c r="H76" s="3">
        <f>IFERROR(__xludf.DUMMYFUNCTION("split(G76,""/"")"),6.0)</f>
        <v>6</v>
      </c>
      <c r="I76" s="3">
        <f>IFERROR(__xludf.DUMMYFUNCTION("""COMPUTED_VALUE"""),3.0)</f>
        <v>3</v>
      </c>
      <c r="J76" s="3">
        <f>IFERROR(__xludf.DUMMYFUNCTION("""COMPUTED_VALUE"""),2012.0)</f>
        <v>2012</v>
      </c>
      <c r="K76" s="12">
        <f t="shared" si="2"/>
        <v>41063</v>
      </c>
      <c r="L76" s="3" t="s">
        <v>827</v>
      </c>
      <c r="M76" s="3" t="s">
        <v>364</v>
      </c>
      <c r="N76" s="3">
        <v>7940.0</v>
      </c>
      <c r="O76" s="3" t="s">
        <v>818</v>
      </c>
      <c r="P76" s="10">
        <v>8473.0</v>
      </c>
      <c r="Q76" s="13">
        <v>668.27</v>
      </c>
      <c r="R76" s="13">
        <v>502.54</v>
      </c>
      <c r="S76" s="13">
        <f t="shared" si="3"/>
        <v>5662251.71</v>
      </c>
      <c r="T76" s="13">
        <f t="shared" si="4"/>
        <v>4258021.42</v>
      </c>
      <c r="U76" s="13">
        <f t="shared" si="5"/>
        <v>1404230.29</v>
      </c>
      <c r="V76" s="3" t="str">
        <f>VLOOKUP(N76,products!A:B,2,0)</f>
        <v>Household</v>
      </c>
      <c r="W76" s="3" t="s">
        <v>28</v>
      </c>
      <c r="X76" s="3" t="s">
        <v>29</v>
      </c>
      <c r="Y76" s="14">
        <f t="shared" si="6"/>
        <v>0.2479985635</v>
      </c>
      <c r="Z76" s="3">
        <f t="shared" si="7"/>
        <v>13</v>
      </c>
      <c r="AA76" s="15">
        <f t="shared" si="8"/>
        <v>2</v>
      </c>
    </row>
    <row r="77" ht="15.75" customHeight="1">
      <c r="A77" s="3">
        <v>1.44282948E8</v>
      </c>
      <c r="B77" s="3" t="s">
        <v>899</v>
      </c>
      <c r="C77" s="3">
        <f>IFERROR(__xludf.DUMMYFUNCTION("split(B77,""/"")"),7.0)</f>
        <v>7</v>
      </c>
      <c r="D77" s="10">
        <f>IFERROR(__xludf.DUMMYFUNCTION("""COMPUTED_VALUE"""),13.0)</f>
        <v>13</v>
      </c>
      <c r="E77" s="11">
        <f>IFERROR(__xludf.DUMMYFUNCTION("""COMPUTED_VALUE"""),2013.0)</f>
        <v>2013</v>
      </c>
      <c r="F77" s="12">
        <f t="shared" si="1"/>
        <v>41468</v>
      </c>
      <c r="G77" s="9">
        <v>41282.0</v>
      </c>
      <c r="H77" s="3">
        <f>IFERROR(__xludf.DUMMYFUNCTION("split(G77,""/"")"),8.0)</f>
        <v>8</v>
      </c>
      <c r="I77" s="3">
        <f>IFERROR(__xludf.DUMMYFUNCTION("""COMPUTED_VALUE"""),1.0)</f>
        <v>1</v>
      </c>
      <c r="J77" s="3">
        <f>IFERROR(__xludf.DUMMYFUNCTION("""COMPUTED_VALUE"""),2013.0)</f>
        <v>2013</v>
      </c>
      <c r="K77" s="12">
        <f t="shared" si="2"/>
        <v>41487</v>
      </c>
      <c r="L77" s="3" t="s">
        <v>827</v>
      </c>
      <c r="M77" s="3" t="s">
        <v>267</v>
      </c>
      <c r="N77" s="3">
        <v>2103.0</v>
      </c>
      <c r="O77" s="3" t="s">
        <v>815</v>
      </c>
      <c r="P77" s="10">
        <v>5386.0</v>
      </c>
      <c r="Q77" s="13">
        <v>205.7</v>
      </c>
      <c r="R77" s="13">
        <v>117.11</v>
      </c>
      <c r="S77" s="13">
        <f t="shared" si="3"/>
        <v>1107900.2</v>
      </c>
      <c r="T77" s="13">
        <f t="shared" si="4"/>
        <v>630754.46</v>
      </c>
      <c r="U77" s="13">
        <f t="shared" si="5"/>
        <v>477145.74</v>
      </c>
      <c r="V77" s="3" t="str">
        <f>VLOOKUP(N77,products!A:B,2,0)</f>
        <v>Cereal</v>
      </c>
      <c r="W77" s="3" t="s">
        <v>28</v>
      </c>
      <c r="X77" s="3" t="s">
        <v>29</v>
      </c>
      <c r="Y77" s="14">
        <f t="shared" si="6"/>
        <v>0.4306757414</v>
      </c>
      <c r="Z77" s="3">
        <f t="shared" si="7"/>
        <v>19</v>
      </c>
      <c r="AA77" s="15">
        <f t="shared" si="8"/>
        <v>7</v>
      </c>
    </row>
    <row r="78" ht="15.75" customHeight="1">
      <c r="A78" s="3">
        <v>1.44743001E8</v>
      </c>
      <c r="B78" s="9">
        <v>41611.0</v>
      </c>
      <c r="C78" s="3">
        <f>IFERROR(__xludf.DUMMYFUNCTION("split(B78,""/"")"),3.0)</f>
        <v>3</v>
      </c>
      <c r="D78" s="10">
        <f>IFERROR(__xludf.DUMMYFUNCTION("""COMPUTED_VALUE"""),12.0)</f>
        <v>12</v>
      </c>
      <c r="E78" s="11">
        <f>IFERROR(__xludf.DUMMYFUNCTION("""COMPUTED_VALUE"""),2013.0)</f>
        <v>2013</v>
      </c>
      <c r="F78" s="12">
        <f t="shared" si="1"/>
        <v>41345</v>
      </c>
      <c r="G78" s="3" t="s">
        <v>839</v>
      </c>
      <c r="H78" s="3">
        <f>IFERROR(__xludf.DUMMYFUNCTION("split(G78,""/"")"),4.0)</f>
        <v>4</v>
      </c>
      <c r="I78" s="3">
        <f>IFERROR(__xludf.DUMMYFUNCTION("""COMPUTED_VALUE"""),21.0)</f>
        <v>21</v>
      </c>
      <c r="J78" s="3">
        <f>IFERROR(__xludf.DUMMYFUNCTION("""COMPUTED_VALUE"""),2013.0)</f>
        <v>2013</v>
      </c>
      <c r="K78" s="12">
        <f t="shared" si="2"/>
        <v>41385</v>
      </c>
      <c r="L78" s="3" t="s">
        <v>814</v>
      </c>
      <c r="M78" s="3" t="s">
        <v>653</v>
      </c>
      <c r="N78" s="3">
        <v>7331.0</v>
      </c>
      <c r="O78" s="3" t="s">
        <v>818</v>
      </c>
      <c r="P78" s="10">
        <v>1525.0</v>
      </c>
      <c r="Q78" s="13">
        <v>255.28</v>
      </c>
      <c r="R78" s="13">
        <v>159.42</v>
      </c>
      <c r="S78" s="13">
        <f t="shared" si="3"/>
        <v>389302</v>
      </c>
      <c r="T78" s="13">
        <f t="shared" si="4"/>
        <v>243115.5</v>
      </c>
      <c r="U78" s="13">
        <f t="shared" si="5"/>
        <v>146186.5</v>
      </c>
      <c r="V78" s="3" t="str">
        <f>VLOOKUP(N78,products!A:B,2,0)</f>
        <v>Baby Food</v>
      </c>
      <c r="W78" s="3" t="s">
        <v>28</v>
      </c>
      <c r="X78" s="3" t="s">
        <v>33</v>
      </c>
      <c r="Y78" s="14">
        <f t="shared" si="6"/>
        <v>0.3755092448</v>
      </c>
      <c r="Z78" s="3">
        <f t="shared" si="7"/>
        <v>40</v>
      </c>
      <c r="AA78" s="15">
        <f t="shared" si="8"/>
        <v>3</v>
      </c>
    </row>
    <row r="79" ht="15.75" customHeight="1">
      <c r="A79" s="3">
        <v>1.44978606E8</v>
      </c>
      <c r="B79" s="9">
        <v>40695.0</v>
      </c>
      <c r="C79" s="3">
        <f>IFERROR(__xludf.DUMMYFUNCTION("split(B79,""/"")"),1.0)</f>
        <v>1</v>
      </c>
      <c r="D79" s="10">
        <f>IFERROR(__xludf.DUMMYFUNCTION("""COMPUTED_VALUE"""),6.0)</f>
        <v>6</v>
      </c>
      <c r="E79" s="11">
        <f>IFERROR(__xludf.DUMMYFUNCTION("""COMPUTED_VALUE"""),2011.0)</f>
        <v>2011</v>
      </c>
      <c r="F79" s="12">
        <f t="shared" si="1"/>
        <v>40549</v>
      </c>
      <c r="G79" s="3" t="s">
        <v>913</v>
      </c>
      <c r="H79" s="3">
        <f>IFERROR(__xludf.DUMMYFUNCTION("split(G79,""/"")"),2.0)</f>
        <v>2</v>
      </c>
      <c r="I79" s="3">
        <f>IFERROR(__xludf.DUMMYFUNCTION("""COMPUTED_VALUE"""),19.0)</f>
        <v>19</v>
      </c>
      <c r="J79" s="3">
        <f>IFERROR(__xludf.DUMMYFUNCTION("""COMPUTED_VALUE"""),2011.0)</f>
        <v>2011</v>
      </c>
      <c r="K79" s="12">
        <f t="shared" si="2"/>
        <v>40593</v>
      </c>
      <c r="L79" s="3" t="s">
        <v>817</v>
      </c>
      <c r="M79" s="3" t="s">
        <v>364</v>
      </c>
      <c r="N79" s="3">
        <v>8681.0</v>
      </c>
      <c r="O79" s="3" t="s">
        <v>815</v>
      </c>
      <c r="P79" s="10">
        <v>1246.0</v>
      </c>
      <c r="Q79" s="13">
        <v>651.21</v>
      </c>
      <c r="R79" s="13">
        <v>524.96</v>
      </c>
      <c r="S79" s="13">
        <f t="shared" si="3"/>
        <v>811407.66</v>
      </c>
      <c r="T79" s="13">
        <f t="shared" si="4"/>
        <v>654100.16</v>
      </c>
      <c r="U79" s="13">
        <f t="shared" si="5"/>
        <v>157307.5</v>
      </c>
      <c r="V79" s="3" t="str">
        <f>VLOOKUP(N79,products!A:B,2,0)</f>
        <v>Office Supplies</v>
      </c>
      <c r="W79" s="3" t="s">
        <v>28</v>
      </c>
      <c r="X79" s="3" t="s">
        <v>29</v>
      </c>
      <c r="Y79" s="14">
        <f t="shared" si="6"/>
        <v>0.193869873</v>
      </c>
      <c r="Z79" s="3">
        <f t="shared" si="7"/>
        <v>44</v>
      </c>
      <c r="AA79" s="15">
        <f t="shared" si="8"/>
        <v>5</v>
      </c>
    </row>
    <row r="80" ht="15.75" customHeight="1">
      <c r="A80" s="3">
        <v>1.46349751E8</v>
      </c>
      <c r="B80" s="9">
        <v>42740.0</v>
      </c>
      <c r="C80" s="3">
        <f>IFERROR(__xludf.DUMMYFUNCTION("split(B80,""/"")"),5.0)</f>
        <v>5</v>
      </c>
      <c r="D80" s="10">
        <f>IFERROR(__xludf.DUMMYFUNCTION("""COMPUTED_VALUE"""),1.0)</f>
        <v>1</v>
      </c>
      <c r="E80" s="11">
        <f>IFERROR(__xludf.DUMMYFUNCTION("""COMPUTED_VALUE"""),2017.0)</f>
        <v>2017</v>
      </c>
      <c r="F80" s="12">
        <f t="shared" si="1"/>
        <v>42856</v>
      </c>
      <c r="G80" s="3" t="s">
        <v>824</v>
      </c>
      <c r="H80" s="3">
        <f>IFERROR(__xludf.DUMMYFUNCTION("split(G80,""/"")"),6.0)</f>
        <v>6</v>
      </c>
      <c r="I80" s="3">
        <f>IFERROR(__xludf.DUMMYFUNCTION("""COMPUTED_VALUE"""),13.0)</f>
        <v>13</v>
      </c>
      <c r="J80" s="3">
        <f>IFERROR(__xludf.DUMMYFUNCTION("""COMPUTED_VALUE"""),2017.0)</f>
        <v>2017</v>
      </c>
      <c r="K80" s="12">
        <f t="shared" si="2"/>
        <v>42899</v>
      </c>
      <c r="L80" s="3" t="s">
        <v>814</v>
      </c>
      <c r="M80" s="3" t="s">
        <v>431</v>
      </c>
      <c r="N80" s="3">
        <v>5988.0</v>
      </c>
      <c r="O80" s="3" t="s">
        <v>815</v>
      </c>
      <c r="P80" s="10">
        <v>6999.0</v>
      </c>
      <c r="Q80" s="13">
        <v>154.06</v>
      </c>
      <c r="R80" s="13">
        <v>90.93</v>
      </c>
      <c r="S80" s="13">
        <f t="shared" si="3"/>
        <v>1078265.94</v>
      </c>
      <c r="T80" s="13">
        <f t="shared" si="4"/>
        <v>636419.07</v>
      </c>
      <c r="U80" s="13">
        <f t="shared" si="5"/>
        <v>441846.87</v>
      </c>
      <c r="V80" s="3" t="str">
        <f>VLOOKUP(N80,products!A:B,2,0)</f>
        <v>Vegetables</v>
      </c>
      <c r="W80" s="3" t="s">
        <v>28</v>
      </c>
      <c r="X80" s="3" t="s">
        <v>29</v>
      </c>
      <c r="Y80" s="14">
        <f t="shared" si="6"/>
        <v>0.4097754122</v>
      </c>
      <c r="Z80" s="3">
        <f t="shared" si="7"/>
        <v>43</v>
      </c>
      <c r="AA80" s="15">
        <f t="shared" si="8"/>
        <v>2</v>
      </c>
    </row>
    <row r="81" ht="15.75" customHeight="1">
      <c r="A81" s="3">
        <v>1.46545875E8</v>
      </c>
      <c r="B81" s="3" t="s">
        <v>914</v>
      </c>
      <c r="C81" s="3">
        <f>IFERROR(__xludf.DUMMYFUNCTION("split(B81,""/"")"),11.0)</f>
        <v>11</v>
      </c>
      <c r="D81" s="10">
        <f>IFERROR(__xludf.DUMMYFUNCTION("""COMPUTED_VALUE"""),27.0)</f>
        <v>27</v>
      </c>
      <c r="E81" s="11">
        <f>IFERROR(__xludf.DUMMYFUNCTION("""COMPUTED_VALUE"""),2011.0)</f>
        <v>2011</v>
      </c>
      <c r="F81" s="12">
        <f t="shared" si="1"/>
        <v>40874</v>
      </c>
      <c r="G81" s="9">
        <v>41091.0</v>
      </c>
      <c r="H81" s="3">
        <f>IFERROR(__xludf.DUMMYFUNCTION("split(G81,""/"")"),1.0)</f>
        <v>1</v>
      </c>
      <c r="I81" s="3">
        <f>IFERROR(__xludf.DUMMYFUNCTION("""COMPUTED_VALUE"""),7.0)</f>
        <v>7</v>
      </c>
      <c r="J81" s="3">
        <f>IFERROR(__xludf.DUMMYFUNCTION("""COMPUTED_VALUE"""),2012.0)</f>
        <v>2012</v>
      </c>
      <c r="K81" s="12">
        <f t="shared" si="2"/>
        <v>40915</v>
      </c>
      <c r="L81" s="3" t="s">
        <v>814</v>
      </c>
      <c r="M81" s="3" t="s">
        <v>650</v>
      </c>
      <c r="N81" s="3">
        <v>8293.0</v>
      </c>
      <c r="O81" s="3" t="s">
        <v>818</v>
      </c>
      <c r="P81" s="10">
        <v>5036.0</v>
      </c>
      <c r="Q81" s="13">
        <v>437.2</v>
      </c>
      <c r="R81" s="13">
        <v>263.33</v>
      </c>
      <c r="S81" s="13">
        <f t="shared" si="3"/>
        <v>2201739.2</v>
      </c>
      <c r="T81" s="13">
        <f t="shared" si="4"/>
        <v>1326129.88</v>
      </c>
      <c r="U81" s="13">
        <f t="shared" si="5"/>
        <v>875609.32</v>
      </c>
      <c r="V81" s="3" t="str">
        <f>VLOOKUP(N81,products!A:B,2,0)</f>
        <v>Cosmetics</v>
      </c>
      <c r="W81" s="3" t="s">
        <v>28</v>
      </c>
      <c r="X81" s="3" t="s">
        <v>98</v>
      </c>
      <c r="Y81" s="14">
        <f t="shared" si="6"/>
        <v>0.3976898445</v>
      </c>
      <c r="Z81" s="3">
        <f t="shared" si="7"/>
        <v>41</v>
      </c>
      <c r="AA81" s="15">
        <f t="shared" si="8"/>
        <v>1</v>
      </c>
    </row>
    <row r="82" ht="15.75" customHeight="1">
      <c r="A82" s="3">
        <v>1.47826898E8</v>
      </c>
      <c r="B82" s="3" t="s">
        <v>915</v>
      </c>
      <c r="C82" s="3">
        <f>IFERROR(__xludf.DUMMYFUNCTION("split(B82,""/"")"),9.0)</f>
        <v>9</v>
      </c>
      <c r="D82" s="10">
        <f>IFERROR(__xludf.DUMMYFUNCTION("""COMPUTED_VALUE"""),29.0)</f>
        <v>29</v>
      </c>
      <c r="E82" s="11">
        <f>IFERROR(__xludf.DUMMYFUNCTION("""COMPUTED_VALUE"""),2015.0)</f>
        <v>2015</v>
      </c>
      <c r="F82" s="12">
        <f t="shared" si="1"/>
        <v>42276</v>
      </c>
      <c r="G82" s="9">
        <v>42135.0</v>
      </c>
      <c r="H82" s="3">
        <f>IFERROR(__xludf.DUMMYFUNCTION("split(G82,""/"")"),11.0)</f>
        <v>11</v>
      </c>
      <c r="I82" s="3">
        <f>IFERROR(__xludf.DUMMYFUNCTION("""COMPUTED_VALUE"""),5.0)</f>
        <v>5</v>
      </c>
      <c r="J82" s="3">
        <f>IFERROR(__xludf.DUMMYFUNCTION("""COMPUTED_VALUE"""),2015.0)</f>
        <v>2015</v>
      </c>
      <c r="K82" s="12">
        <f t="shared" si="2"/>
        <v>42313</v>
      </c>
      <c r="L82" s="3" t="s">
        <v>814</v>
      </c>
      <c r="M82" s="3" t="s">
        <v>101</v>
      </c>
      <c r="N82" s="3">
        <v>8293.0</v>
      </c>
      <c r="O82" s="3" t="s">
        <v>815</v>
      </c>
      <c r="P82" s="10">
        <v>4119.0</v>
      </c>
      <c r="Q82" s="13">
        <v>437.2</v>
      </c>
      <c r="R82" s="13">
        <v>263.33</v>
      </c>
      <c r="S82" s="13">
        <f t="shared" si="3"/>
        <v>1800826.8</v>
      </c>
      <c r="T82" s="13">
        <f t="shared" si="4"/>
        <v>1084656.27</v>
      </c>
      <c r="U82" s="13">
        <f t="shared" si="5"/>
        <v>716170.53</v>
      </c>
      <c r="V82" s="3" t="str">
        <f>VLOOKUP(N82,products!A:B,2,0)</f>
        <v>Cosmetics</v>
      </c>
      <c r="W82" s="3" t="s">
        <v>28</v>
      </c>
      <c r="X82" s="3" t="s">
        <v>79</v>
      </c>
      <c r="Y82" s="14">
        <f t="shared" si="6"/>
        <v>0.3976898445</v>
      </c>
      <c r="Z82" s="3">
        <f t="shared" si="7"/>
        <v>37</v>
      </c>
      <c r="AA82" s="15">
        <f t="shared" si="8"/>
        <v>3</v>
      </c>
    </row>
    <row r="83" ht="15.75" customHeight="1">
      <c r="A83" s="3">
        <v>1.48894631E8</v>
      </c>
      <c r="B83" s="3" t="s">
        <v>916</v>
      </c>
      <c r="C83" s="3">
        <f>IFERROR(__xludf.DUMMYFUNCTION("split(B83,""/"")"),9.0)</f>
        <v>9</v>
      </c>
      <c r="D83" s="10">
        <f>IFERROR(__xludf.DUMMYFUNCTION("""COMPUTED_VALUE"""),19.0)</f>
        <v>19</v>
      </c>
      <c r="E83" s="11">
        <f>IFERROR(__xludf.DUMMYFUNCTION("""COMPUTED_VALUE"""),2013.0)</f>
        <v>2013</v>
      </c>
      <c r="F83" s="12">
        <f t="shared" si="1"/>
        <v>41536</v>
      </c>
      <c r="G83" s="3" t="s">
        <v>917</v>
      </c>
      <c r="H83" s="3">
        <f>IFERROR(__xludf.DUMMYFUNCTION("split(G83,""/"")"),9.0)</f>
        <v>9</v>
      </c>
      <c r="I83" s="3">
        <f>IFERROR(__xludf.DUMMYFUNCTION("""COMPUTED_VALUE"""),25.0)</f>
        <v>25</v>
      </c>
      <c r="J83" s="3">
        <f>IFERROR(__xludf.DUMMYFUNCTION("""COMPUTED_VALUE"""),2013.0)</f>
        <v>2013</v>
      </c>
      <c r="K83" s="12">
        <f t="shared" si="2"/>
        <v>41542</v>
      </c>
      <c r="L83" s="3" t="s">
        <v>827</v>
      </c>
      <c r="M83" s="3" t="s">
        <v>575</v>
      </c>
      <c r="N83" s="3">
        <v>8681.0</v>
      </c>
      <c r="O83" s="3" t="s">
        <v>815</v>
      </c>
      <c r="P83" s="10">
        <v>85.0</v>
      </c>
      <c r="Q83" s="13">
        <v>651.21</v>
      </c>
      <c r="R83" s="13">
        <v>524.96</v>
      </c>
      <c r="S83" s="13">
        <f t="shared" si="3"/>
        <v>55352.85</v>
      </c>
      <c r="T83" s="13">
        <f t="shared" si="4"/>
        <v>44621.6</v>
      </c>
      <c r="U83" s="13">
        <f t="shared" si="5"/>
        <v>10731.25</v>
      </c>
      <c r="V83" s="3" t="str">
        <f>VLOOKUP(N83,products!A:B,2,0)</f>
        <v>Office Supplies</v>
      </c>
      <c r="W83" s="3" t="s">
        <v>28</v>
      </c>
      <c r="X83" s="3" t="s">
        <v>98</v>
      </c>
      <c r="Y83" s="14">
        <f t="shared" si="6"/>
        <v>0.193869873</v>
      </c>
      <c r="Z83" s="3">
        <f t="shared" si="7"/>
        <v>6</v>
      </c>
      <c r="AA83" s="15">
        <f t="shared" si="8"/>
        <v>5</v>
      </c>
    </row>
    <row r="84" ht="15.75" customHeight="1">
      <c r="A84" s="3">
        <v>1.49274003E8</v>
      </c>
      <c r="B84" s="3" t="s">
        <v>918</v>
      </c>
      <c r="C84" s="3">
        <f>IFERROR(__xludf.DUMMYFUNCTION("split(B84,""/"")"),4.0)</f>
        <v>4</v>
      </c>
      <c r="D84" s="10">
        <f>IFERROR(__xludf.DUMMYFUNCTION("""COMPUTED_VALUE"""),29.0)</f>
        <v>29</v>
      </c>
      <c r="E84" s="11">
        <f>IFERROR(__xludf.DUMMYFUNCTION("""COMPUTED_VALUE"""),2013.0)</f>
        <v>2013</v>
      </c>
      <c r="F84" s="12">
        <f t="shared" si="1"/>
        <v>41393</v>
      </c>
      <c r="G84" s="3" t="s">
        <v>919</v>
      </c>
      <c r="H84" s="3">
        <f>IFERROR(__xludf.DUMMYFUNCTION("split(G84,""/"")"),5.0)</f>
        <v>5</v>
      </c>
      <c r="I84" s="3">
        <f>IFERROR(__xludf.DUMMYFUNCTION("""COMPUTED_VALUE"""),29.0)</f>
        <v>29</v>
      </c>
      <c r="J84" s="3">
        <f>IFERROR(__xludf.DUMMYFUNCTION("""COMPUTED_VALUE"""),2013.0)</f>
        <v>2013</v>
      </c>
      <c r="K84" s="12">
        <f t="shared" si="2"/>
        <v>41423</v>
      </c>
      <c r="L84" s="3" t="s">
        <v>817</v>
      </c>
      <c r="M84" s="3" t="s">
        <v>542</v>
      </c>
      <c r="N84" s="3">
        <v>7940.0</v>
      </c>
      <c r="O84" s="3" t="s">
        <v>818</v>
      </c>
      <c r="P84" s="10">
        <v>2350.0</v>
      </c>
      <c r="Q84" s="13">
        <v>668.27</v>
      </c>
      <c r="R84" s="13">
        <v>502.54</v>
      </c>
      <c r="S84" s="13">
        <f t="shared" si="3"/>
        <v>1570434.5</v>
      </c>
      <c r="T84" s="13">
        <f t="shared" si="4"/>
        <v>1180969</v>
      </c>
      <c r="U84" s="13">
        <f t="shared" si="5"/>
        <v>389465.5</v>
      </c>
      <c r="V84" s="3" t="str">
        <f>VLOOKUP(N84,products!A:B,2,0)</f>
        <v>Household</v>
      </c>
      <c r="W84" s="3" t="s">
        <v>28</v>
      </c>
      <c r="X84" s="3" t="s">
        <v>29</v>
      </c>
      <c r="Y84" s="14">
        <f t="shared" si="6"/>
        <v>0.2479985635</v>
      </c>
      <c r="Z84" s="3">
        <f t="shared" si="7"/>
        <v>30</v>
      </c>
      <c r="AA84" s="15">
        <f t="shared" si="8"/>
        <v>2</v>
      </c>
    </row>
    <row r="85" ht="15.75" customHeight="1">
      <c r="A85" s="3">
        <v>1.50293242E8</v>
      </c>
      <c r="B85" s="3" t="s">
        <v>920</v>
      </c>
      <c r="C85" s="3">
        <f>IFERROR(__xludf.DUMMYFUNCTION("split(B85,""/"")"),5.0)</f>
        <v>5</v>
      </c>
      <c r="D85" s="10">
        <f>IFERROR(__xludf.DUMMYFUNCTION("""COMPUTED_VALUE"""),19.0)</f>
        <v>19</v>
      </c>
      <c r="E85" s="11">
        <f>IFERROR(__xludf.DUMMYFUNCTION("""COMPUTED_VALUE"""),2015.0)</f>
        <v>2015</v>
      </c>
      <c r="F85" s="12">
        <f t="shared" si="1"/>
        <v>42143</v>
      </c>
      <c r="G85" s="3" t="s">
        <v>921</v>
      </c>
      <c r="H85" s="3">
        <f>IFERROR(__xludf.DUMMYFUNCTION("split(G85,""/"")"),6.0)</f>
        <v>6</v>
      </c>
      <c r="I85" s="3">
        <f>IFERROR(__xludf.DUMMYFUNCTION("""COMPUTED_VALUE"""),21.0)</f>
        <v>21</v>
      </c>
      <c r="J85" s="3">
        <f>IFERROR(__xludf.DUMMYFUNCTION("""COMPUTED_VALUE"""),2015.0)</f>
        <v>2015</v>
      </c>
      <c r="K85" s="12">
        <f t="shared" si="2"/>
        <v>42176</v>
      </c>
      <c r="L85" s="3" t="s">
        <v>827</v>
      </c>
      <c r="M85" s="3" t="s">
        <v>821</v>
      </c>
      <c r="N85" s="3">
        <v>8681.0</v>
      </c>
      <c r="O85" s="3" t="s">
        <v>818</v>
      </c>
      <c r="P85" s="10">
        <v>3965.0</v>
      </c>
      <c r="Q85" s="13">
        <v>651.21</v>
      </c>
      <c r="R85" s="13">
        <v>524.96</v>
      </c>
      <c r="S85" s="13">
        <f t="shared" si="3"/>
        <v>2582047.65</v>
      </c>
      <c r="T85" s="13">
        <f t="shared" si="4"/>
        <v>2081466.4</v>
      </c>
      <c r="U85" s="13">
        <f t="shared" si="5"/>
        <v>500581.25</v>
      </c>
      <c r="V85" s="3" t="str">
        <f>VLOOKUP(N85,products!A:B,2,0)</f>
        <v>Office Supplies</v>
      </c>
      <c r="W85" s="3" t="s">
        <v>821</v>
      </c>
      <c r="X85" s="3" t="s">
        <v>821</v>
      </c>
      <c r="Y85" s="14">
        <f t="shared" si="6"/>
        <v>0.193869873</v>
      </c>
      <c r="Z85" s="3">
        <f t="shared" si="7"/>
        <v>33</v>
      </c>
      <c r="AA85" s="15">
        <f t="shared" si="8"/>
        <v>3</v>
      </c>
    </row>
    <row r="86" ht="15.75" customHeight="1">
      <c r="A86" s="3">
        <v>1.51312482E8</v>
      </c>
      <c r="B86" s="9">
        <v>42892.0</v>
      </c>
      <c r="C86" s="3">
        <f>IFERROR(__xludf.DUMMYFUNCTION("split(B86,""/"")"),6.0)</f>
        <v>6</v>
      </c>
      <c r="D86" s="10">
        <f>IFERROR(__xludf.DUMMYFUNCTION("""COMPUTED_VALUE"""),6.0)</f>
        <v>6</v>
      </c>
      <c r="E86" s="11">
        <f>IFERROR(__xludf.DUMMYFUNCTION("""COMPUTED_VALUE"""),2017.0)</f>
        <v>2017</v>
      </c>
      <c r="F86" s="12">
        <f t="shared" si="1"/>
        <v>42892</v>
      </c>
      <c r="G86" s="9">
        <v>43076.0</v>
      </c>
      <c r="H86" s="3">
        <f>IFERROR(__xludf.DUMMYFUNCTION("split(G86,""/"")"),7.0)</f>
        <v>7</v>
      </c>
      <c r="I86" s="3">
        <f>IFERROR(__xludf.DUMMYFUNCTION("""COMPUTED_VALUE"""),12.0)</f>
        <v>12</v>
      </c>
      <c r="J86" s="3">
        <f>IFERROR(__xludf.DUMMYFUNCTION("""COMPUTED_VALUE"""),2017.0)</f>
        <v>2017</v>
      </c>
      <c r="K86" s="12">
        <f t="shared" si="2"/>
        <v>42928</v>
      </c>
      <c r="L86" s="3" t="s">
        <v>827</v>
      </c>
      <c r="M86" s="3" t="s">
        <v>218</v>
      </c>
      <c r="N86" s="3">
        <v>8293.0</v>
      </c>
      <c r="O86" s="3" t="s">
        <v>815</v>
      </c>
      <c r="P86" s="10">
        <v>5581.0</v>
      </c>
      <c r="Q86" s="13">
        <v>437.2</v>
      </c>
      <c r="R86" s="13">
        <v>263.33</v>
      </c>
      <c r="S86" s="13">
        <f t="shared" si="3"/>
        <v>2440013.2</v>
      </c>
      <c r="T86" s="13">
        <f t="shared" si="4"/>
        <v>1469644.73</v>
      </c>
      <c r="U86" s="13">
        <f t="shared" si="5"/>
        <v>970368.47</v>
      </c>
      <c r="V86" s="3" t="str">
        <f>VLOOKUP(N86,products!A:B,2,0)</f>
        <v>Cosmetics</v>
      </c>
      <c r="W86" s="3" t="s">
        <v>28</v>
      </c>
      <c r="X86" s="3" t="s">
        <v>98</v>
      </c>
      <c r="Y86" s="14">
        <f t="shared" si="6"/>
        <v>0.3976898445</v>
      </c>
      <c r="Z86" s="3">
        <f t="shared" si="7"/>
        <v>36</v>
      </c>
      <c r="AA86" s="15">
        <f t="shared" si="8"/>
        <v>3</v>
      </c>
    </row>
    <row r="87" ht="15.75" customHeight="1">
      <c r="A87" s="3">
        <v>1.52191388E8</v>
      </c>
      <c r="B87" s="3" t="s">
        <v>872</v>
      </c>
      <c r="C87" s="3">
        <f>IFERROR(__xludf.DUMMYFUNCTION("split(B87,""/"")"),5.0)</f>
        <v>5</v>
      </c>
      <c r="D87" s="10">
        <f>IFERROR(__xludf.DUMMYFUNCTION("""COMPUTED_VALUE"""),18.0)</f>
        <v>18</v>
      </c>
      <c r="E87" s="11">
        <f>IFERROR(__xludf.DUMMYFUNCTION("""COMPUTED_VALUE"""),2012.0)</f>
        <v>2012</v>
      </c>
      <c r="F87" s="12">
        <f t="shared" si="1"/>
        <v>41047</v>
      </c>
      <c r="G87" s="3" t="s">
        <v>922</v>
      </c>
      <c r="H87" s="3">
        <f>IFERROR(__xludf.DUMMYFUNCTION("split(G87,""/"")"),6.0)</f>
        <v>6</v>
      </c>
      <c r="I87" s="3">
        <f>IFERROR(__xludf.DUMMYFUNCTION("""COMPUTED_VALUE"""),22.0)</f>
        <v>22</v>
      </c>
      <c r="J87" s="3">
        <f>IFERROR(__xludf.DUMMYFUNCTION("""COMPUTED_VALUE"""),2012.0)</f>
        <v>2012</v>
      </c>
      <c r="K87" s="12">
        <f t="shared" si="2"/>
        <v>41082</v>
      </c>
      <c r="L87" s="3" t="s">
        <v>825</v>
      </c>
      <c r="M87" s="3" t="s">
        <v>32</v>
      </c>
      <c r="N87" s="3">
        <v>7331.0</v>
      </c>
      <c r="O87" s="3" t="s">
        <v>818</v>
      </c>
      <c r="P87" s="10">
        <v>5669.0</v>
      </c>
      <c r="Q87" s="13">
        <v>255.28</v>
      </c>
      <c r="R87" s="13">
        <v>159.42</v>
      </c>
      <c r="S87" s="13">
        <f t="shared" si="3"/>
        <v>1447182.32</v>
      </c>
      <c r="T87" s="13">
        <f t="shared" si="4"/>
        <v>903751.98</v>
      </c>
      <c r="U87" s="13">
        <f t="shared" si="5"/>
        <v>543430.34</v>
      </c>
      <c r="V87" s="3" t="str">
        <f>VLOOKUP(N87,products!A:B,2,0)</f>
        <v>Baby Food</v>
      </c>
      <c r="W87" s="3" t="s">
        <v>28</v>
      </c>
      <c r="X87" s="3" t="s">
        <v>33</v>
      </c>
      <c r="Y87" s="14">
        <f t="shared" si="6"/>
        <v>0.3755092448</v>
      </c>
      <c r="Z87" s="3">
        <f t="shared" si="7"/>
        <v>35</v>
      </c>
      <c r="AA87" s="15">
        <f t="shared" si="8"/>
        <v>6</v>
      </c>
    </row>
    <row r="88" ht="15.75" customHeight="1">
      <c r="A88" s="3">
        <v>1.52411115E8</v>
      </c>
      <c r="B88" s="9">
        <v>41365.0</v>
      </c>
      <c r="C88" s="3">
        <f>IFERROR(__xludf.DUMMYFUNCTION("split(B88,""/"")"),1.0)</f>
        <v>1</v>
      </c>
      <c r="D88" s="10">
        <f>IFERROR(__xludf.DUMMYFUNCTION("""COMPUTED_VALUE"""),4.0)</f>
        <v>4</v>
      </c>
      <c r="E88" s="11">
        <f>IFERROR(__xludf.DUMMYFUNCTION("""COMPUTED_VALUE"""),2013.0)</f>
        <v>2013</v>
      </c>
      <c r="F88" s="12">
        <f t="shared" si="1"/>
        <v>41278</v>
      </c>
      <c r="G88" s="3" t="s">
        <v>923</v>
      </c>
      <c r="H88" s="3">
        <f>IFERROR(__xludf.DUMMYFUNCTION("split(G88,""/"")"),2.0)</f>
        <v>2</v>
      </c>
      <c r="I88" s="3">
        <f>IFERROR(__xludf.DUMMYFUNCTION("""COMPUTED_VALUE"""),21.0)</f>
        <v>21</v>
      </c>
      <c r="J88" s="3">
        <f>IFERROR(__xludf.DUMMYFUNCTION("""COMPUTED_VALUE"""),2013.0)</f>
        <v>2013</v>
      </c>
      <c r="K88" s="12">
        <f t="shared" si="2"/>
        <v>41326</v>
      </c>
      <c r="L88" s="3" t="s">
        <v>827</v>
      </c>
      <c r="M88" s="3" t="s">
        <v>686</v>
      </c>
      <c r="N88" s="3">
        <v>8875.0</v>
      </c>
      <c r="O88" s="3" t="s">
        <v>815</v>
      </c>
      <c r="P88" s="10">
        <v>691.0</v>
      </c>
      <c r="Q88" s="13">
        <v>421.89</v>
      </c>
      <c r="R88" s="13">
        <v>364.69</v>
      </c>
      <c r="S88" s="13">
        <f t="shared" si="3"/>
        <v>291525.99</v>
      </c>
      <c r="T88" s="13">
        <f t="shared" si="4"/>
        <v>252000.79</v>
      </c>
      <c r="U88" s="13">
        <f t="shared" si="5"/>
        <v>39525.2</v>
      </c>
      <c r="V88" s="3" t="str">
        <f>VLOOKUP(N88,products!A:B,2,0)</f>
        <v>Meat</v>
      </c>
      <c r="W88" s="3" t="s">
        <v>28</v>
      </c>
      <c r="X88" s="3" t="s">
        <v>29</v>
      </c>
      <c r="Y88" s="14">
        <f t="shared" si="6"/>
        <v>0.1355803646</v>
      </c>
      <c r="Z88" s="3">
        <f t="shared" si="7"/>
        <v>48</v>
      </c>
      <c r="AA88" s="15">
        <f t="shared" si="8"/>
        <v>6</v>
      </c>
    </row>
    <row r="89" ht="15.75" customHeight="1">
      <c r="A89" s="3">
        <v>1.52505099E8</v>
      </c>
      <c r="B89" s="9">
        <v>41095.0</v>
      </c>
      <c r="C89" s="3">
        <f>IFERROR(__xludf.DUMMYFUNCTION("split(B89,""/"")"),5.0)</f>
        <v>5</v>
      </c>
      <c r="D89" s="10">
        <f>IFERROR(__xludf.DUMMYFUNCTION("""COMPUTED_VALUE"""),7.0)</f>
        <v>7</v>
      </c>
      <c r="E89" s="11">
        <f>IFERROR(__xludf.DUMMYFUNCTION("""COMPUTED_VALUE"""),2012.0)</f>
        <v>2012</v>
      </c>
      <c r="F89" s="12">
        <f t="shared" si="1"/>
        <v>41036</v>
      </c>
      <c r="G89" s="3" t="s">
        <v>924</v>
      </c>
      <c r="H89" s="3">
        <f>IFERROR(__xludf.DUMMYFUNCTION("split(G89,""/"")"),5.0)</f>
        <v>5</v>
      </c>
      <c r="I89" s="3">
        <f>IFERROR(__xludf.DUMMYFUNCTION("""COMPUTED_VALUE"""),19.0)</f>
        <v>19</v>
      </c>
      <c r="J89" s="3">
        <f>IFERROR(__xludf.DUMMYFUNCTION("""COMPUTED_VALUE"""),2012.0)</f>
        <v>2012</v>
      </c>
      <c r="K89" s="12">
        <f t="shared" si="2"/>
        <v>41048</v>
      </c>
      <c r="L89" s="3" t="s">
        <v>814</v>
      </c>
      <c r="M89" s="3" t="s">
        <v>623</v>
      </c>
      <c r="N89" s="3">
        <v>2455.0</v>
      </c>
      <c r="O89" s="3" t="s">
        <v>818</v>
      </c>
      <c r="P89" s="10">
        <v>8503.0</v>
      </c>
      <c r="Q89" s="13">
        <v>109.28</v>
      </c>
      <c r="R89" s="13">
        <v>35.84</v>
      </c>
      <c r="S89" s="13">
        <f t="shared" si="3"/>
        <v>929207.84</v>
      </c>
      <c r="T89" s="13">
        <f t="shared" si="4"/>
        <v>304747.52</v>
      </c>
      <c r="U89" s="13">
        <f t="shared" si="5"/>
        <v>624460.32</v>
      </c>
      <c r="V89" s="3" t="str">
        <f>VLOOKUP(N89,products!A:B,2,0)</f>
        <v>Clothes</v>
      </c>
      <c r="W89" s="3" t="s">
        <v>28</v>
      </c>
      <c r="X89" s="3" t="s">
        <v>33</v>
      </c>
      <c r="Y89" s="14">
        <f t="shared" si="6"/>
        <v>0.6720351391</v>
      </c>
      <c r="Z89" s="3">
        <f t="shared" si="7"/>
        <v>12</v>
      </c>
      <c r="AA89" s="15">
        <f t="shared" si="8"/>
        <v>2</v>
      </c>
    </row>
    <row r="90" ht="15.75" customHeight="1">
      <c r="A90" s="3">
        <v>1.52746713E8</v>
      </c>
      <c r="B90" s="9">
        <v>40214.0</v>
      </c>
      <c r="C90" s="3">
        <f>IFERROR(__xludf.DUMMYFUNCTION("split(B90,""/"")"),5.0)</f>
        <v>5</v>
      </c>
      <c r="D90" s="10">
        <f>IFERROR(__xludf.DUMMYFUNCTION("""COMPUTED_VALUE"""),2.0)</f>
        <v>2</v>
      </c>
      <c r="E90" s="11">
        <f>IFERROR(__xludf.DUMMYFUNCTION("""COMPUTED_VALUE"""),2010.0)</f>
        <v>2010</v>
      </c>
      <c r="F90" s="12">
        <f t="shared" si="1"/>
        <v>40300</v>
      </c>
      <c r="G90" s="9">
        <v>40395.0</v>
      </c>
      <c r="H90" s="3">
        <f>IFERROR(__xludf.DUMMYFUNCTION("split(G90,""/"")"),5.0)</f>
        <v>5</v>
      </c>
      <c r="I90" s="3">
        <f>IFERROR(__xludf.DUMMYFUNCTION("""COMPUTED_VALUE"""),8.0)</f>
        <v>8</v>
      </c>
      <c r="J90" s="3">
        <f>IFERROR(__xludf.DUMMYFUNCTION("""COMPUTED_VALUE"""),2010.0)</f>
        <v>2010</v>
      </c>
      <c r="K90" s="12">
        <f t="shared" si="2"/>
        <v>40306</v>
      </c>
      <c r="L90" s="3" t="s">
        <v>817</v>
      </c>
      <c r="M90" s="3" t="s">
        <v>123</v>
      </c>
      <c r="N90" s="3">
        <v>8681.0</v>
      </c>
      <c r="O90" s="3" t="s">
        <v>818</v>
      </c>
      <c r="P90" s="10">
        <v>2.0</v>
      </c>
      <c r="Q90" s="13">
        <v>651.21</v>
      </c>
      <c r="R90" s="13">
        <v>524.96</v>
      </c>
      <c r="S90" s="13">
        <f t="shared" si="3"/>
        <v>1302.42</v>
      </c>
      <c r="T90" s="13">
        <f t="shared" si="4"/>
        <v>1049.92</v>
      </c>
      <c r="U90" s="13">
        <f t="shared" si="5"/>
        <v>252.5</v>
      </c>
      <c r="V90" s="3" t="str">
        <f>VLOOKUP(N90,products!A:B,2,0)</f>
        <v>Office Supplies</v>
      </c>
      <c r="W90" s="3" t="s">
        <v>28</v>
      </c>
      <c r="X90" s="3" t="s">
        <v>33</v>
      </c>
      <c r="Y90" s="14">
        <f t="shared" si="6"/>
        <v>0.193869873</v>
      </c>
      <c r="Z90" s="3">
        <f t="shared" si="7"/>
        <v>6</v>
      </c>
      <c r="AA90" s="15">
        <f t="shared" si="8"/>
        <v>1</v>
      </c>
    </row>
    <row r="91" ht="15.75" customHeight="1">
      <c r="A91" s="3">
        <v>1.5397495E8</v>
      </c>
      <c r="B91" s="3" t="s">
        <v>925</v>
      </c>
      <c r="C91" s="3">
        <f>IFERROR(__xludf.DUMMYFUNCTION("split(B91,""/"")"),8.0)</f>
        <v>8</v>
      </c>
      <c r="D91" s="10">
        <f>IFERROR(__xludf.DUMMYFUNCTION("""COMPUTED_VALUE"""),22.0)</f>
        <v>22</v>
      </c>
      <c r="E91" s="11">
        <f>IFERROR(__xludf.DUMMYFUNCTION("""COMPUTED_VALUE"""),2011.0)</f>
        <v>2011</v>
      </c>
      <c r="F91" s="12">
        <f t="shared" si="1"/>
        <v>40777</v>
      </c>
      <c r="G91" s="3" t="s">
        <v>926</v>
      </c>
      <c r="H91" s="3">
        <f>IFERROR(__xludf.DUMMYFUNCTION("split(G91,""/"")"),9.0)</f>
        <v>9</v>
      </c>
      <c r="I91" s="3">
        <f>IFERROR(__xludf.DUMMYFUNCTION("""COMPUTED_VALUE"""),20.0)</f>
        <v>20</v>
      </c>
      <c r="J91" s="3">
        <f>IFERROR(__xludf.DUMMYFUNCTION("""COMPUTED_VALUE"""),2011.0)</f>
        <v>2011</v>
      </c>
      <c r="K91" s="12">
        <f t="shared" si="2"/>
        <v>40806</v>
      </c>
      <c r="L91" s="3" t="s">
        <v>825</v>
      </c>
      <c r="M91" s="3" t="s">
        <v>686</v>
      </c>
      <c r="N91" s="3">
        <v>4594.0</v>
      </c>
      <c r="O91" s="3" t="s">
        <v>818</v>
      </c>
      <c r="P91" s="10">
        <v>3464.0</v>
      </c>
      <c r="Q91" s="13">
        <v>9.33</v>
      </c>
      <c r="R91" s="13">
        <v>6.92</v>
      </c>
      <c r="S91" s="13">
        <f t="shared" si="3"/>
        <v>32319.12</v>
      </c>
      <c r="T91" s="13">
        <f t="shared" si="4"/>
        <v>23970.88</v>
      </c>
      <c r="U91" s="13">
        <f t="shared" si="5"/>
        <v>8348.24</v>
      </c>
      <c r="V91" s="3" t="str">
        <f>VLOOKUP(N91,products!A:B,2,0)</f>
        <v>Fruits</v>
      </c>
      <c r="W91" s="3" t="s">
        <v>28</v>
      </c>
      <c r="X91" s="3" t="s">
        <v>29</v>
      </c>
      <c r="Y91" s="14">
        <f t="shared" si="6"/>
        <v>0.258306538</v>
      </c>
      <c r="Z91" s="3">
        <f t="shared" si="7"/>
        <v>29</v>
      </c>
      <c r="AA91" s="15">
        <f t="shared" si="8"/>
        <v>2</v>
      </c>
    </row>
    <row r="92" ht="15.75" customHeight="1">
      <c r="A92" s="3">
        <v>1.55086886E8</v>
      </c>
      <c r="B92" s="3" t="s">
        <v>927</v>
      </c>
      <c r="C92" s="3">
        <f>IFERROR(__xludf.DUMMYFUNCTION("split(B92,""/"")"),1.0)</f>
        <v>1</v>
      </c>
      <c r="D92" s="10">
        <f>IFERROR(__xludf.DUMMYFUNCTION("""COMPUTED_VALUE"""),28.0)</f>
        <v>28</v>
      </c>
      <c r="E92" s="11">
        <f>IFERROR(__xludf.DUMMYFUNCTION("""COMPUTED_VALUE"""),2014.0)</f>
        <v>2014</v>
      </c>
      <c r="F92" s="12">
        <f t="shared" si="1"/>
        <v>41667</v>
      </c>
      <c r="G92" s="9">
        <v>41761.0</v>
      </c>
      <c r="H92" s="3">
        <f>IFERROR(__xludf.DUMMYFUNCTION("split(G92,""/"")"),2.0)</f>
        <v>2</v>
      </c>
      <c r="I92" s="3">
        <f>IFERROR(__xludf.DUMMYFUNCTION("""COMPUTED_VALUE"""),5.0)</f>
        <v>5</v>
      </c>
      <c r="J92" s="3">
        <f>IFERROR(__xludf.DUMMYFUNCTION("""COMPUTED_VALUE"""),2014.0)</f>
        <v>2014</v>
      </c>
      <c r="K92" s="12">
        <f t="shared" si="2"/>
        <v>41675</v>
      </c>
      <c r="L92" s="3" t="s">
        <v>814</v>
      </c>
      <c r="M92" s="3" t="s">
        <v>653</v>
      </c>
      <c r="N92" s="3">
        <v>8293.0</v>
      </c>
      <c r="O92" s="3" t="s">
        <v>818</v>
      </c>
      <c r="P92" s="10">
        <v>2511.0</v>
      </c>
      <c r="Q92" s="13">
        <v>437.2</v>
      </c>
      <c r="R92" s="13">
        <v>263.33</v>
      </c>
      <c r="S92" s="13">
        <f t="shared" si="3"/>
        <v>1097809.2</v>
      </c>
      <c r="T92" s="13">
        <f t="shared" si="4"/>
        <v>661221.63</v>
      </c>
      <c r="U92" s="13">
        <f t="shared" si="5"/>
        <v>436587.57</v>
      </c>
      <c r="V92" s="3" t="str">
        <f>VLOOKUP(N92,products!A:B,2,0)</f>
        <v>Cosmetics</v>
      </c>
      <c r="W92" s="3" t="s">
        <v>28</v>
      </c>
      <c r="X92" s="3" t="s">
        <v>33</v>
      </c>
      <c r="Y92" s="14">
        <f t="shared" si="6"/>
        <v>0.3976898445</v>
      </c>
      <c r="Z92" s="3">
        <f t="shared" si="7"/>
        <v>8</v>
      </c>
      <c r="AA92" s="15">
        <f t="shared" si="8"/>
        <v>3</v>
      </c>
    </row>
    <row r="93" ht="15.75" customHeight="1">
      <c r="A93" s="3">
        <v>1.55914723E8</v>
      </c>
      <c r="B93" s="9">
        <v>42341.0</v>
      </c>
      <c r="C93" s="3">
        <f>IFERROR(__xludf.DUMMYFUNCTION("split(B93,""/"")"),3.0)</f>
        <v>3</v>
      </c>
      <c r="D93" s="10">
        <f>IFERROR(__xludf.DUMMYFUNCTION("""COMPUTED_VALUE"""),12.0)</f>
        <v>12</v>
      </c>
      <c r="E93" s="11">
        <f>IFERROR(__xludf.DUMMYFUNCTION("""COMPUTED_VALUE"""),2015.0)</f>
        <v>2015</v>
      </c>
      <c r="F93" s="12">
        <f t="shared" si="1"/>
        <v>42075</v>
      </c>
      <c r="G93" s="3" t="s">
        <v>928</v>
      </c>
      <c r="H93" s="3">
        <f>IFERROR(__xludf.DUMMYFUNCTION("split(G93,""/"")"),3.0)</f>
        <v>3</v>
      </c>
      <c r="I93" s="3">
        <f>IFERROR(__xludf.DUMMYFUNCTION("""COMPUTED_VALUE"""),29.0)</f>
        <v>29</v>
      </c>
      <c r="J93" s="3">
        <f>IFERROR(__xludf.DUMMYFUNCTION("""COMPUTED_VALUE"""),2015.0)</f>
        <v>2015</v>
      </c>
      <c r="K93" s="12">
        <f t="shared" si="2"/>
        <v>42092</v>
      </c>
      <c r="L93" s="3" t="s">
        <v>827</v>
      </c>
      <c r="M93" s="3" t="s">
        <v>364</v>
      </c>
      <c r="N93" s="3">
        <v>4594.0</v>
      </c>
      <c r="O93" s="3" t="s">
        <v>818</v>
      </c>
      <c r="P93" s="10">
        <v>7486.0</v>
      </c>
      <c r="Q93" s="13">
        <v>9.33</v>
      </c>
      <c r="R93" s="13">
        <v>6.92</v>
      </c>
      <c r="S93" s="13">
        <f t="shared" si="3"/>
        <v>69844.38</v>
      </c>
      <c r="T93" s="13">
        <f t="shared" si="4"/>
        <v>51803.12</v>
      </c>
      <c r="U93" s="13">
        <f t="shared" si="5"/>
        <v>18041.26</v>
      </c>
      <c r="V93" s="3" t="str">
        <f>VLOOKUP(N93,products!A:B,2,0)</f>
        <v>Fruits</v>
      </c>
      <c r="W93" s="3" t="s">
        <v>28</v>
      </c>
      <c r="X93" s="3" t="s">
        <v>29</v>
      </c>
      <c r="Y93" s="14">
        <f t="shared" si="6"/>
        <v>0.258306538</v>
      </c>
      <c r="Z93" s="3">
        <f t="shared" si="7"/>
        <v>17</v>
      </c>
      <c r="AA93" s="15">
        <f t="shared" si="8"/>
        <v>5</v>
      </c>
    </row>
    <row r="94" ht="15.75" customHeight="1">
      <c r="A94" s="3">
        <v>1.56158483E8</v>
      </c>
      <c r="B94" s="3" t="s">
        <v>929</v>
      </c>
      <c r="C94" s="3">
        <f>IFERROR(__xludf.DUMMYFUNCTION("split(B94,""/"")"),6.0)</f>
        <v>6</v>
      </c>
      <c r="D94" s="10">
        <f>IFERROR(__xludf.DUMMYFUNCTION("""COMPUTED_VALUE"""),26.0)</f>
        <v>26</v>
      </c>
      <c r="E94" s="11">
        <f>IFERROR(__xludf.DUMMYFUNCTION("""COMPUTED_VALUE"""),2016.0)</f>
        <v>2016</v>
      </c>
      <c r="F94" s="12">
        <f t="shared" si="1"/>
        <v>42547</v>
      </c>
      <c r="G94" s="9">
        <v>42498.0</v>
      </c>
      <c r="H94" s="3">
        <f>IFERROR(__xludf.DUMMYFUNCTION("split(G94,""/"")"),8.0)</f>
        <v>8</v>
      </c>
      <c r="I94" s="3">
        <f>IFERROR(__xludf.DUMMYFUNCTION("""COMPUTED_VALUE"""),5.0)</f>
        <v>5</v>
      </c>
      <c r="J94" s="3">
        <f>IFERROR(__xludf.DUMMYFUNCTION("""COMPUTED_VALUE"""),2016.0)</f>
        <v>2016</v>
      </c>
      <c r="K94" s="12">
        <f t="shared" si="2"/>
        <v>42587</v>
      </c>
      <c r="L94" s="3" t="s">
        <v>817</v>
      </c>
      <c r="M94" s="3" t="s">
        <v>431</v>
      </c>
      <c r="N94" s="3">
        <v>2455.0</v>
      </c>
      <c r="O94" s="3" t="s">
        <v>818</v>
      </c>
      <c r="P94" s="10">
        <v>9620.0</v>
      </c>
      <c r="Q94" s="13">
        <v>109.28</v>
      </c>
      <c r="R94" s="13">
        <v>35.84</v>
      </c>
      <c r="S94" s="13">
        <f t="shared" si="3"/>
        <v>1051273.6</v>
      </c>
      <c r="T94" s="13">
        <f t="shared" si="4"/>
        <v>344780.8</v>
      </c>
      <c r="U94" s="13">
        <f t="shared" si="5"/>
        <v>706492.8</v>
      </c>
      <c r="V94" s="3" t="str">
        <f>VLOOKUP(N94,products!A:B,2,0)</f>
        <v>Clothes</v>
      </c>
      <c r="W94" s="3" t="s">
        <v>28</v>
      </c>
      <c r="X94" s="3" t="s">
        <v>29</v>
      </c>
      <c r="Y94" s="14">
        <f t="shared" si="6"/>
        <v>0.6720351391</v>
      </c>
      <c r="Z94" s="3">
        <f t="shared" si="7"/>
        <v>40</v>
      </c>
      <c r="AA94" s="15">
        <f t="shared" si="8"/>
        <v>1</v>
      </c>
    </row>
    <row r="95" ht="15.75" customHeight="1">
      <c r="A95" s="3">
        <v>1.58479773E8</v>
      </c>
      <c r="B95" s="3" t="s">
        <v>920</v>
      </c>
      <c r="C95" s="3">
        <f>IFERROR(__xludf.DUMMYFUNCTION("split(B95,""/"")"),5.0)</f>
        <v>5</v>
      </c>
      <c r="D95" s="10">
        <f>IFERROR(__xludf.DUMMYFUNCTION("""COMPUTED_VALUE"""),19.0)</f>
        <v>19</v>
      </c>
      <c r="E95" s="11">
        <f>IFERROR(__xludf.DUMMYFUNCTION("""COMPUTED_VALUE"""),2015.0)</f>
        <v>2015</v>
      </c>
      <c r="F95" s="12">
        <f t="shared" si="1"/>
        <v>42143</v>
      </c>
      <c r="G95" s="3" t="s">
        <v>930</v>
      </c>
      <c r="H95" s="3">
        <f>IFERROR(__xludf.DUMMYFUNCTION("split(G95,""/"")"),6.0)</f>
        <v>6</v>
      </c>
      <c r="I95" s="3">
        <f>IFERROR(__xludf.DUMMYFUNCTION("""COMPUTED_VALUE"""),18.0)</f>
        <v>18</v>
      </c>
      <c r="J95" s="3">
        <f>IFERROR(__xludf.DUMMYFUNCTION("""COMPUTED_VALUE"""),2015.0)</f>
        <v>2015</v>
      </c>
      <c r="K95" s="12">
        <f t="shared" si="2"/>
        <v>42173</v>
      </c>
      <c r="L95" s="3" t="s">
        <v>825</v>
      </c>
      <c r="M95" s="3" t="s">
        <v>593</v>
      </c>
      <c r="N95" s="3">
        <v>7331.0</v>
      </c>
      <c r="O95" s="3" t="s">
        <v>818</v>
      </c>
      <c r="P95" s="10">
        <v>6542.0</v>
      </c>
      <c r="Q95" s="13">
        <v>255.28</v>
      </c>
      <c r="R95" s="13">
        <v>159.42</v>
      </c>
      <c r="S95" s="13">
        <f t="shared" si="3"/>
        <v>1670041.76</v>
      </c>
      <c r="T95" s="13">
        <f t="shared" si="4"/>
        <v>1042925.64</v>
      </c>
      <c r="U95" s="13">
        <f t="shared" si="5"/>
        <v>627116.12</v>
      </c>
      <c r="V95" s="3" t="str">
        <f>VLOOKUP(N95,products!A:B,2,0)</f>
        <v>Baby Food</v>
      </c>
      <c r="W95" s="3" t="s">
        <v>28</v>
      </c>
      <c r="X95" s="3" t="s">
        <v>98</v>
      </c>
      <c r="Y95" s="14">
        <f t="shared" si="6"/>
        <v>0.3755092448</v>
      </c>
      <c r="Z95" s="3">
        <f t="shared" si="7"/>
        <v>30</v>
      </c>
      <c r="AA95" s="15">
        <f t="shared" si="8"/>
        <v>3</v>
      </c>
    </row>
    <row r="96" ht="15.75" customHeight="1">
      <c r="A96" s="3">
        <v>1.58673751E8</v>
      </c>
      <c r="B96" s="3" t="s">
        <v>931</v>
      </c>
      <c r="C96" s="3">
        <f>IFERROR(__xludf.DUMMYFUNCTION("split(B96,""/"")"),3.0)</f>
        <v>3</v>
      </c>
      <c r="D96" s="10">
        <f>IFERROR(__xludf.DUMMYFUNCTION("""COMPUTED_VALUE"""),22.0)</f>
        <v>22</v>
      </c>
      <c r="E96" s="11">
        <f>IFERROR(__xludf.DUMMYFUNCTION("""COMPUTED_VALUE"""),2014.0)</f>
        <v>2014</v>
      </c>
      <c r="F96" s="12">
        <f t="shared" si="1"/>
        <v>41720</v>
      </c>
      <c r="G96" s="9">
        <v>41917.0</v>
      </c>
      <c r="H96" s="3">
        <f>IFERROR(__xludf.DUMMYFUNCTION("split(G96,""/"")"),5.0)</f>
        <v>5</v>
      </c>
      <c r="I96" s="3">
        <f>IFERROR(__xludf.DUMMYFUNCTION("""COMPUTED_VALUE"""),10.0)</f>
        <v>10</v>
      </c>
      <c r="J96" s="3">
        <f>IFERROR(__xludf.DUMMYFUNCTION("""COMPUTED_VALUE"""),2014.0)</f>
        <v>2014</v>
      </c>
      <c r="K96" s="12">
        <f t="shared" si="2"/>
        <v>41769</v>
      </c>
      <c r="L96" s="3" t="s">
        <v>827</v>
      </c>
      <c r="M96" s="3" t="s">
        <v>291</v>
      </c>
      <c r="N96" s="3">
        <v>8969.0</v>
      </c>
      <c r="O96" s="3" t="s">
        <v>815</v>
      </c>
      <c r="P96" s="10">
        <v>3944.0</v>
      </c>
      <c r="Q96" s="13">
        <v>152.58</v>
      </c>
      <c r="R96" s="13">
        <v>97.44</v>
      </c>
      <c r="S96" s="13">
        <f t="shared" si="3"/>
        <v>601775.52</v>
      </c>
      <c r="T96" s="13">
        <f t="shared" si="4"/>
        <v>384303.36</v>
      </c>
      <c r="U96" s="13">
        <f t="shared" si="5"/>
        <v>217472.16</v>
      </c>
      <c r="V96" s="3" t="str">
        <f>VLOOKUP(N96,products!A:B,2,0)</f>
        <v>Snacks</v>
      </c>
      <c r="W96" s="3" t="s">
        <v>28</v>
      </c>
      <c r="X96" s="3" t="s">
        <v>79</v>
      </c>
      <c r="Y96" s="14">
        <f t="shared" si="6"/>
        <v>0.3613841919</v>
      </c>
      <c r="Z96" s="3">
        <f t="shared" si="7"/>
        <v>49</v>
      </c>
      <c r="AA96" s="15">
        <f t="shared" si="8"/>
        <v>7</v>
      </c>
    </row>
    <row r="97" ht="15.75" customHeight="1">
      <c r="A97" s="3">
        <v>1.59232509E8</v>
      </c>
      <c r="B97" s="9">
        <v>41857.0</v>
      </c>
      <c r="C97" s="3">
        <f>IFERROR(__xludf.DUMMYFUNCTION("split(B97,""/"")"),6.0)</f>
        <v>6</v>
      </c>
      <c r="D97" s="10">
        <f>IFERROR(__xludf.DUMMYFUNCTION("""COMPUTED_VALUE"""),8.0)</f>
        <v>8</v>
      </c>
      <c r="E97" s="11">
        <f>IFERROR(__xludf.DUMMYFUNCTION("""COMPUTED_VALUE"""),2014.0)</f>
        <v>2014</v>
      </c>
      <c r="F97" s="12">
        <f t="shared" si="1"/>
        <v>41798</v>
      </c>
      <c r="G97" s="3" t="s">
        <v>902</v>
      </c>
      <c r="H97" s="3">
        <f>IFERROR(__xludf.DUMMYFUNCTION("split(G97,""/"")"),7.0)</f>
        <v>7</v>
      </c>
      <c r="I97" s="3">
        <f>IFERROR(__xludf.DUMMYFUNCTION("""COMPUTED_VALUE"""),14.0)</f>
        <v>14</v>
      </c>
      <c r="J97" s="3">
        <f>IFERROR(__xludf.DUMMYFUNCTION("""COMPUTED_VALUE"""),2014.0)</f>
        <v>2014</v>
      </c>
      <c r="K97" s="12">
        <f t="shared" si="2"/>
        <v>41834</v>
      </c>
      <c r="L97" s="3" t="s">
        <v>827</v>
      </c>
      <c r="M97" s="3" t="s">
        <v>689</v>
      </c>
      <c r="N97" s="3">
        <v>4594.0</v>
      </c>
      <c r="O97" s="3" t="s">
        <v>815</v>
      </c>
      <c r="P97" s="10">
        <v>9293.0</v>
      </c>
      <c r="Q97" s="13">
        <v>9.33</v>
      </c>
      <c r="R97" s="13">
        <v>6.92</v>
      </c>
      <c r="S97" s="13">
        <f t="shared" si="3"/>
        <v>86703.69</v>
      </c>
      <c r="T97" s="13">
        <f t="shared" si="4"/>
        <v>64307.56</v>
      </c>
      <c r="U97" s="13">
        <f t="shared" si="5"/>
        <v>22396.13</v>
      </c>
      <c r="V97" s="3" t="str">
        <f>VLOOKUP(N97,products!A:B,2,0)</f>
        <v>Fruits</v>
      </c>
      <c r="W97" s="3" t="s">
        <v>28</v>
      </c>
      <c r="X97" s="3" t="s">
        <v>79</v>
      </c>
      <c r="Y97" s="14">
        <f t="shared" si="6"/>
        <v>0.258306538</v>
      </c>
      <c r="Z97" s="3">
        <f t="shared" si="7"/>
        <v>36</v>
      </c>
      <c r="AA97" s="15">
        <f t="shared" si="8"/>
        <v>1</v>
      </c>
    </row>
    <row r="98" ht="15.75" customHeight="1">
      <c r="A98" s="3">
        <v>1.59805858E8</v>
      </c>
      <c r="B98" s="3" t="s">
        <v>932</v>
      </c>
      <c r="C98" s="3">
        <f>IFERROR(__xludf.DUMMYFUNCTION("split(B98,""/"")"),11.0)</f>
        <v>11</v>
      </c>
      <c r="D98" s="10">
        <f>IFERROR(__xludf.DUMMYFUNCTION("""COMPUTED_VALUE"""),19.0)</f>
        <v>19</v>
      </c>
      <c r="E98" s="11">
        <f>IFERROR(__xludf.DUMMYFUNCTION("""COMPUTED_VALUE"""),2012.0)</f>
        <v>2012</v>
      </c>
      <c r="F98" s="12">
        <f t="shared" si="1"/>
        <v>41232</v>
      </c>
      <c r="G98" s="3" t="s">
        <v>933</v>
      </c>
      <c r="H98" s="3">
        <f>IFERROR(__xludf.DUMMYFUNCTION("split(G98,""/"")"),12.0)</f>
        <v>12</v>
      </c>
      <c r="I98" s="3">
        <f>IFERROR(__xludf.DUMMYFUNCTION("""COMPUTED_VALUE"""),17.0)</f>
        <v>17</v>
      </c>
      <c r="J98" s="3">
        <f>IFERROR(__xludf.DUMMYFUNCTION("""COMPUTED_VALUE"""),2012.0)</f>
        <v>2012</v>
      </c>
      <c r="K98" s="12">
        <f t="shared" si="2"/>
        <v>41260</v>
      </c>
      <c r="L98" s="3" t="s">
        <v>814</v>
      </c>
      <c r="M98" s="3" t="s">
        <v>821</v>
      </c>
      <c r="N98" s="3">
        <v>8875.0</v>
      </c>
      <c r="O98" s="3" t="s">
        <v>818</v>
      </c>
      <c r="P98" s="10">
        <v>8959.0</v>
      </c>
      <c r="Q98" s="13">
        <v>421.89</v>
      </c>
      <c r="R98" s="13">
        <v>364.69</v>
      </c>
      <c r="S98" s="13">
        <f t="shared" si="3"/>
        <v>3779712.51</v>
      </c>
      <c r="T98" s="13">
        <f t="shared" si="4"/>
        <v>3267257.71</v>
      </c>
      <c r="U98" s="13">
        <f t="shared" si="5"/>
        <v>512454.8</v>
      </c>
      <c r="V98" s="3" t="str">
        <f>VLOOKUP(N98,products!A:B,2,0)</f>
        <v>Meat</v>
      </c>
      <c r="W98" s="3" t="s">
        <v>821</v>
      </c>
      <c r="X98" s="3" t="s">
        <v>821</v>
      </c>
      <c r="Y98" s="14">
        <f t="shared" si="6"/>
        <v>0.1355803646</v>
      </c>
      <c r="Z98" s="3">
        <f t="shared" si="7"/>
        <v>28</v>
      </c>
      <c r="AA98" s="15">
        <f t="shared" si="8"/>
        <v>2</v>
      </c>
    </row>
    <row r="99" ht="15.75" customHeight="1">
      <c r="A99" s="3">
        <v>1.60578763E8</v>
      </c>
      <c r="B99" s="3" t="s">
        <v>934</v>
      </c>
      <c r="C99" s="3">
        <f>IFERROR(__xludf.DUMMYFUNCTION("split(B99,""/"")"),9.0)</f>
        <v>9</v>
      </c>
      <c r="D99" s="10">
        <f>IFERROR(__xludf.DUMMYFUNCTION("""COMPUTED_VALUE"""),27.0)</f>
        <v>27</v>
      </c>
      <c r="E99" s="11">
        <f>IFERROR(__xludf.DUMMYFUNCTION("""COMPUTED_VALUE"""),2015.0)</f>
        <v>2015</v>
      </c>
      <c r="F99" s="12">
        <f t="shared" si="1"/>
        <v>42274</v>
      </c>
      <c r="G99" s="3" t="s">
        <v>935</v>
      </c>
      <c r="H99" s="3">
        <f>IFERROR(__xludf.DUMMYFUNCTION("split(G99,""/"")"),10.0)</f>
        <v>10</v>
      </c>
      <c r="I99" s="3">
        <f>IFERROR(__xludf.DUMMYFUNCTION("""COMPUTED_VALUE"""),30.0)</f>
        <v>30</v>
      </c>
      <c r="J99" s="3">
        <f>IFERROR(__xludf.DUMMYFUNCTION("""COMPUTED_VALUE"""),2015.0)</f>
        <v>2015</v>
      </c>
      <c r="K99" s="12">
        <f t="shared" si="2"/>
        <v>42307</v>
      </c>
      <c r="L99" s="3" t="s">
        <v>825</v>
      </c>
      <c r="M99" s="3" t="s">
        <v>590</v>
      </c>
      <c r="N99" s="3">
        <v>8681.0</v>
      </c>
      <c r="O99" s="3" t="s">
        <v>815</v>
      </c>
      <c r="P99" s="10">
        <v>7679.0</v>
      </c>
      <c r="Q99" s="13">
        <v>651.21</v>
      </c>
      <c r="R99" s="13">
        <v>524.96</v>
      </c>
      <c r="S99" s="13">
        <f t="shared" si="3"/>
        <v>5000641.59</v>
      </c>
      <c r="T99" s="13">
        <f t="shared" si="4"/>
        <v>4031167.84</v>
      </c>
      <c r="U99" s="13">
        <f t="shared" si="5"/>
        <v>969473.75</v>
      </c>
      <c r="V99" s="3" t="str">
        <f>VLOOKUP(N99,products!A:B,2,0)</f>
        <v>Office Supplies</v>
      </c>
      <c r="W99" s="3" t="s">
        <v>28</v>
      </c>
      <c r="X99" s="3" t="s">
        <v>98</v>
      </c>
      <c r="Y99" s="14">
        <f t="shared" si="6"/>
        <v>0.193869873</v>
      </c>
      <c r="Z99" s="3">
        <f t="shared" si="7"/>
        <v>33</v>
      </c>
      <c r="AA99" s="15">
        <f t="shared" si="8"/>
        <v>1</v>
      </c>
    </row>
    <row r="100" ht="15.75" customHeight="1">
      <c r="A100" s="3">
        <v>1.60751283E8</v>
      </c>
      <c r="B100" s="3" t="s">
        <v>936</v>
      </c>
      <c r="C100" s="3">
        <f>IFERROR(__xludf.DUMMYFUNCTION("split(B100,""/"")"),10.0)</f>
        <v>10</v>
      </c>
      <c r="D100" s="10">
        <f>IFERROR(__xludf.DUMMYFUNCTION("""COMPUTED_VALUE"""),29.0)</f>
        <v>29</v>
      </c>
      <c r="E100" s="11">
        <f>IFERROR(__xludf.DUMMYFUNCTION("""COMPUTED_VALUE"""),2011.0)</f>
        <v>2011</v>
      </c>
      <c r="F100" s="12">
        <f t="shared" si="1"/>
        <v>40845</v>
      </c>
      <c r="G100" s="3" t="s">
        <v>937</v>
      </c>
      <c r="H100" s="3">
        <f>IFERROR(__xludf.DUMMYFUNCTION("split(G100,""/"")"),11.0)</f>
        <v>11</v>
      </c>
      <c r="I100" s="3">
        <f>IFERROR(__xludf.DUMMYFUNCTION("""COMPUTED_VALUE"""),13.0)</f>
        <v>13</v>
      </c>
      <c r="J100" s="3">
        <f>IFERROR(__xludf.DUMMYFUNCTION("""COMPUTED_VALUE"""),2011.0)</f>
        <v>2011</v>
      </c>
      <c r="K100" s="12">
        <f t="shared" si="2"/>
        <v>40860</v>
      </c>
      <c r="L100" s="3" t="s">
        <v>817</v>
      </c>
      <c r="M100" s="3" t="s">
        <v>413</v>
      </c>
      <c r="N100" s="3">
        <v>3127.0</v>
      </c>
      <c r="O100" s="3" t="s">
        <v>818</v>
      </c>
      <c r="P100" s="10">
        <v>8732.0</v>
      </c>
      <c r="Q100" s="13">
        <v>81.73</v>
      </c>
      <c r="R100" s="13">
        <v>56.67</v>
      </c>
      <c r="S100" s="13">
        <f t="shared" si="3"/>
        <v>713666.36</v>
      </c>
      <c r="T100" s="13">
        <f t="shared" si="4"/>
        <v>494842.44</v>
      </c>
      <c r="U100" s="13">
        <f t="shared" si="5"/>
        <v>218823.92</v>
      </c>
      <c r="V100" s="3" t="str">
        <f>VLOOKUP(N100,products!A:B,2,0)</f>
        <v>Personal Care</v>
      </c>
      <c r="W100" s="3" t="s">
        <v>28</v>
      </c>
      <c r="X100" s="3" t="s">
        <v>29</v>
      </c>
      <c r="Y100" s="14">
        <f t="shared" si="6"/>
        <v>0.3066193564</v>
      </c>
      <c r="Z100" s="3">
        <f t="shared" si="7"/>
        <v>15</v>
      </c>
      <c r="AA100" s="15">
        <f t="shared" si="8"/>
        <v>7</v>
      </c>
    </row>
    <row r="101" ht="15.75" customHeight="1">
      <c r="A101" s="3">
        <v>1.61399304E8</v>
      </c>
      <c r="B101" s="9">
        <v>40181.0</v>
      </c>
      <c r="C101" s="3">
        <f>IFERROR(__xludf.DUMMYFUNCTION("split(B101,""/"")"),3.0)</f>
        <v>3</v>
      </c>
      <c r="D101" s="10">
        <f>IFERROR(__xludf.DUMMYFUNCTION("""COMPUTED_VALUE"""),1.0)</f>
        <v>1</v>
      </c>
      <c r="E101" s="11">
        <f>IFERROR(__xludf.DUMMYFUNCTION("""COMPUTED_VALUE"""),2010.0)</f>
        <v>2010</v>
      </c>
      <c r="F101" s="12">
        <f t="shared" si="1"/>
        <v>40238</v>
      </c>
      <c r="G101" s="3" t="s">
        <v>938</v>
      </c>
      <c r="H101" s="3">
        <f>IFERROR(__xludf.DUMMYFUNCTION("split(G101,""/"")"),3.0)</f>
        <v>3</v>
      </c>
      <c r="I101" s="3">
        <f>IFERROR(__xludf.DUMMYFUNCTION("""COMPUTED_VALUE"""),15.0)</f>
        <v>15</v>
      </c>
      <c r="J101" s="3">
        <f>IFERROR(__xludf.DUMMYFUNCTION("""COMPUTED_VALUE"""),2010.0)</f>
        <v>2010</v>
      </c>
      <c r="K101" s="12">
        <f t="shared" si="2"/>
        <v>40252</v>
      </c>
      <c r="L101" s="3" t="s">
        <v>825</v>
      </c>
      <c r="M101" s="3" t="s">
        <v>650</v>
      </c>
      <c r="N101" s="3">
        <v>8293.0</v>
      </c>
      <c r="O101" s="3" t="s">
        <v>939</v>
      </c>
      <c r="P101" s="10">
        <v>496.0</v>
      </c>
      <c r="Q101" s="13">
        <v>437.2</v>
      </c>
      <c r="R101" s="13">
        <v>263.33</v>
      </c>
      <c r="S101" s="13">
        <f t="shared" si="3"/>
        <v>216851.2</v>
      </c>
      <c r="T101" s="13">
        <f t="shared" si="4"/>
        <v>130611.68</v>
      </c>
      <c r="U101" s="13">
        <f t="shared" si="5"/>
        <v>86239.52</v>
      </c>
      <c r="V101" s="3" t="str">
        <f>VLOOKUP(N101,products!A:B,2,0)</f>
        <v>Cosmetics</v>
      </c>
      <c r="W101" s="3" t="s">
        <v>28</v>
      </c>
      <c r="X101" s="3" t="s">
        <v>98</v>
      </c>
      <c r="Y101" s="14">
        <f t="shared" si="6"/>
        <v>0.3976898445</v>
      </c>
      <c r="Z101" s="3">
        <f t="shared" si="7"/>
        <v>14</v>
      </c>
      <c r="AA101" s="15">
        <f t="shared" si="8"/>
        <v>2</v>
      </c>
    </row>
    <row r="102" ht="15.75" customHeight="1">
      <c r="A102" s="3">
        <v>1.61607444E8</v>
      </c>
      <c r="B102" s="3" t="s">
        <v>940</v>
      </c>
      <c r="C102" s="3">
        <f>IFERROR(__xludf.DUMMYFUNCTION("split(B102,""/"")"),8.0)</f>
        <v>8</v>
      </c>
      <c r="D102" s="10">
        <f>IFERROR(__xludf.DUMMYFUNCTION("""COMPUTED_VALUE"""),22.0)</f>
        <v>22</v>
      </c>
      <c r="E102" s="11">
        <f>IFERROR(__xludf.DUMMYFUNCTION("""COMPUTED_VALUE"""),2012.0)</f>
        <v>2012</v>
      </c>
      <c r="F102" s="12">
        <f t="shared" si="1"/>
        <v>41143</v>
      </c>
      <c r="G102" s="9">
        <v>40978.0</v>
      </c>
      <c r="H102" s="3">
        <f>IFERROR(__xludf.DUMMYFUNCTION("split(G102,""/"")"),10.0)</f>
        <v>10</v>
      </c>
      <c r="I102" s="3">
        <f>IFERROR(__xludf.DUMMYFUNCTION("""COMPUTED_VALUE"""),3.0)</f>
        <v>3</v>
      </c>
      <c r="J102" s="3">
        <f>IFERROR(__xludf.DUMMYFUNCTION("""COMPUTED_VALUE"""),2012.0)</f>
        <v>2012</v>
      </c>
      <c r="K102" s="12">
        <f t="shared" si="2"/>
        <v>41185</v>
      </c>
      <c r="L102" s="3" t="s">
        <v>825</v>
      </c>
      <c r="M102" s="3" t="s">
        <v>590</v>
      </c>
      <c r="N102" s="3">
        <v>8875.0</v>
      </c>
      <c r="O102" s="3" t="s">
        <v>818</v>
      </c>
      <c r="P102" s="10">
        <v>2089.0</v>
      </c>
      <c r="Q102" s="13">
        <v>421.89</v>
      </c>
      <c r="R102" s="13">
        <v>364.69</v>
      </c>
      <c r="S102" s="13">
        <f t="shared" si="3"/>
        <v>881328.21</v>
      </c>
      <c r="T102" s="13">
        <f t="shared" si="4"/>
        <v>761837.41</v>
      </c>
      <c r="U102" s="13">
        <f t="shared" si="5"/>
        <v>119490.8</v>
      </c>
      <c r="V102" s="3" t="str">
        <f>VLOOKUP(N102,products!A:B,2,0)</f>
        <v>Meat</v>
      </c>
      <c r="W102" s="3" t="s">
        <v>28</v>
      </c>
      <c r="X102" s="3" t="s">
        <v>98</v>
      </c>
      <c r="Y102" s="14">
        <f t="shared" si="6"/>
        <v>0.1355803646</v>
      </c>
      <c r="Z102" s="3">
        <f t="shared" si="7"/>
        <v>42</v>
      </c>
      <c r="AA102" s="15">
        <f t="shared" si="8"/>
        <v>4</v>
      </c>
    </row>
    <row r="103" ht="15.75" customHeight="1">
      <c r="A103" s="3">
        <v>1.6181215E8</v>
      </c>
      <c r="B103" s="9">
        <v>41163.0</v>
      </c>
      <c r="C103" s="3">
        <f>IFERROR(__xludf.DUMMYFUNCTION("split(B103,""/"")"),11.0)</f>
        <v>11</v>
      </c>
      <c r="D103" s="10">
        <f>IFERROR(__xludf.DUMMYFUNCTION("""COMPUTED_VALUE"""),9.0)</f>
        <v>9</v>
      </c>
      <c r="E103" s="11">
        <f>IFERROR(__xludf.DUMMYFUNCTION("""COMPUTED_VALUE"""),2012.0)</f>
        <v>2012</v>
      </c>
      <c r="F103" s="12">
        <f t="shared" si="1"/>
        <v>41222</v>
      </c>
      <c r="G103" s="9">
        <v>41254.0</v>
      </c>
      <c r="H103" s="3">
        <f>IFERROR(__xludf.DUMMYFUNCTION("split(G103,""/"")"),11.0)</f>
        <v>11</v>
      </c>
      <c r="I103" s="3">
        <f>IFERROR(__xludf.DUMMYFUNCTION("""COMPUTED_VALUE"""),12.0)</f>
        <v>12</v>
      </c>
      <c r="J103" s="3">
        <f>IFERROR(__xludf.DUMMYFUNCTION("""COMPUTED_VALUE"""),2012.0)</f>
        <v>2012</v>
      </c>
      <c r="K103" s="12">
        <f t="shared" si="2"/>
        <v>41225</v>
      </c>
      <c r="L103" s="3" t="s">
        <v>817</v>
      </c>
      <c r="M103" s="3" t="s">
        <v>221</v>
      </c>
      <c r="N103" s="3">
        <v>2455.0</v>
      </c>
      <c r="O103" s="3" t="s">
        <v>815</v>
      </c>
      <c r="P103" s="10">
        <v>2666.0</v>
      </c>
      <c r="Q103" s="13">
        <v>109.28</v>
      </c>
      <c r="R103" s="13">
        <v>35.84</v>
      </c>
      <c r="S103" s="13">
        <f t="shared" si="3"/>
        <v>291340.48</v>
      </c>
      <c r="T103" s="13">
        <f t="shared" si="4"/>
        <v>95549.44</v>
      </c>
      <c r="U103" s="13">
        <f t="shared" si="5"/>
        <v>195791.04</v>
      </c>
      <c r="V103" s="3" t="str">
        <f>VLOOKUP(N103,products!A:B,2,0)</f>
        <v>Clothes</v>
      </c>
      <c r="W103" s="3" t="s">
        <v>28</v>
      </c>
      <c r="X103" s="3" t="s">
        <v>29</v>
      </c>
      <c r="Y103" s="14">
        <f t="shared" si="6"/>
        <v>0.6720351391</v>
      </c>
      <c r="Z103" s="3">
        <f t="shared" si="7"/>
        <v>3</v>
      </c>
      <c r="AA103" s="15">
        <f t="shared" si="8"/>
        <v>6</v>
      </c>
    </row>
    <row r="104" ht="15.75" customHeight="1">
      <c r="A104" s="3">
        <v>1.62791907E8</v>
      </c>
      <c r="B104" s="3" t="s">
        <v>941</v>
      </c>
      <c r="C104" s="3">
        <f>IFERROR(__xludf.DUMMYFUNCTION("split(B104,""/"")"),8.0)</f>
        <v>8</v>
      </c>
      <c r="D104" s="10">
        <f>IFERROR(__xludf.DUMMYFUNCTION("""COMPUTED_VALUE"""),30.0)</f>
        <v>30</v>
      </c>
      <c r="E104" s="11">
        <f>IFERROR(__xludf.DUMMYFUNCTION("""COMPUTED_VALUE"""),2011.0)</f>
        <v>2011</v>
      </c>
      <c r="F104" s="12">
        <f t="shared" si="1"/>
        <v>40785</v>
      </c>
      <c r="G104" s="3" t="s">
        <v>942</v>
      </c>
      <c r="H104" s="3">
        <f>IFERROR(__xludf.DUMMYFUNCTION("split(G104,""/"")"),10.0)</f>
        <v>10</v>
      </c>
      <c r="I104" s="3">
        <f>IFERROR(__xludf.DUMMYFUNCTION("""COMPUTED_VALUE"""),19.0)</f>
        <v>19</v>
      </c>
      <c r="J104" s="3">
        <f>IFERROR(__xludf.DUMMYFUNCTION("""COMPUTED_VALUE"""),2011.0)</f>
        <v>2011</v>
      </c>
      <c r="K104" s="12">
        <f t="shared" si="2"/>
        <v>40835</v>
      </c>
      <c r="L104" s="3" t="s">
        <v>814</v>
      </c>
      <c r="M104" s="3" t="s">
        <v>593</v>
      </c>
      <c r="N104" s="3">
        <v>1270.0</v>
      </c>
      <c r="O104" s="3" t="s">
        <v>818</v>
      </c>
      <c r="P104" s="10">
        <v>2598.0</v>
      </c>
      <c r="Q104" s="13">
        <v>47.45</v>
      </c>
      <c r="R104" s="13">
        <v>31.79</v>
      </c>
      <c r="S104" s="13">
        <f t="shared" si="3"/>
        <v>123275.1</v>
      </c>
      <c r="T104" s="13">
        <f t="shared" si="4"/>
        <v>82590.42</v>
      </c>
      <c r="U104" s="13">
        <f t="shared" si="5"/>
        <v>40684.68</v>
      </c>
      <c r="V104" s="3" t="str">
        <f>VLOOKUP(N104,products!A:B,2,0)</f>
        <v>Beverages</v>
      </c>
      <c r="W104" s="3" t="s">
        <v>28</v>
      </c>
      <c r="X104" s="3" t="s">
        <v>98</v>
      </c>
      <c r="Y104" s="14">
        <f t="shared" si="6"/>
        <v>0.3300316122</v>
      </c>
      <c r="Z104" s="3">
        <f t="shared" si="7"/>
        <v>50</v>
      </c>
      <c r="AA104" s="15">
        <f t="shared" si="8"/>
        <v>3</v>
      </c>
    </row>
    <row r="105" ht="15.75" customHeight="1">
      <c r="A105" s="3">
        <v>1.63587558E8</v>
      </c>
      <c r="B105" s="3" t="s">
        <v>943</v>
      </c>
      <c r="C105" s="3">
        <f>IFERROR(__xludf.DUMMYFUNCTION("split(B105,""/"")"),3.0)</f>
        <v>3</v>
      </c>
      <c r="D105" s="10">
        <f>IFERROR(__xludf.DUMMYFUNCTION("""COMPUTED_VALUE"""),22.0)</f>
        <v>22</v>
      </c>
      <c r="E105" s="11">
        <f>IFERROR(__xludf.DUMMYFUNCTION("""COMPUTED_VALUE"""),2016.0)</f>
        <v>2016</v>
      </c>
      <c r="F105" s="12">
        <f t="shared" si="1"/>
        <v>42451</v>
      </c>
      <c r="G105" s="3" t="s">
        <v>944</v>
      </c>
      <c r="H105" s="3">
        <f>IFERROR(__xludf.DUMMYFUNCTION("split(G105,""/"")"),4.0)</f>
        <v>4</v>
      </c>
      <c r="I105" s="3">
        <f>IFERROR(__xludf.DUMMYFUNCTION("""COMPUTED_VALUE"""),19.0)</f>
        <v>19</v>
      </c>
      <c r="J105" s="3">
        <f>IFERROR(__xludf.DUMMYFUNCTION("""COMPUTED_VALUE"""),2016.0)</f>
        <v>2016</v>
      </c>
      <c r="K105" s="12">
        <f t="shared" si="2"/>
        <v>42479</v>
      </c>
      <c r="L105" s="3" t="s">
        <v>814</v>
      </c>
      <c r="M105" s="3" t="s">
        <v>536</v>
      </c>
      <c r="N105" s="3">
        <v>8969.0</v>
      </c>
      <c r="O105" s="3" t="s">
        <v>818</v>
      </c>
      <c r="P105" s="10">
        <v>8048.0</v>
      </c>
      <c r="Q105" s="13">
        <v>152.58</v>
      </c>
      <c r="R105" s="13">
        <v>97.44</v>
      </c>
      <c r="S105" s="13">
        <f t="shared" si="3"/>
        <v>1227963.84</v>
      </c>
      <c r="T105" s="13">
        <f t="shared" si="4"/>
        <v>784197.12</v>
      </c>
      <c r="U105" s="13">
        <f t="shared" si="5"/>
        <v>443766.72</v>
      </c>
      <c r="V105" s="3" t="str">
        <f>VLOOKUP(N105,products!A:B,2,0)</f>
        <v>Snacks</v>
      </c>
      <c r="W105" s="3" t="s">
        <v>28</v>
      </c>
      <c r="X105" s="3" t="s">
        <v>33</v>
      </c>
      <c r="Y105" s="14">
        <f t="shared" si="6"/>
        <v>0.3613841919</v>
      </c>
      <c r="Z105" s="3">
        <f t="shared" si="7"/>
        <v>28</v>
      </c>
      <c r="AA105" s="15">
        <f t="shared" si="8"/>
        <v>3</v>
      </c>
    </row>
    <row r="106" ht="15.75" customHeight="1">
      <c r="A106" s="3">
        <v>1.63744628E8</v>
      </c>
      <c r="B106" s="3" t="s">
        <v>945</v>
      </c>
      <c r="C106" s="3">
        <f>IFERROR(__xludf.DUMMYFUNCTION("split(B106,""/"")"),4.0)</f>
        <v>4</v>
      </c>
      <c r="D106" s="10">
        <f>IFERROR(__xludf.DUMMYFUNCTION("""COMPUTED_VALUE"""),17.0)</f>
        <v>17</v>
      </c>
      <c r="E106" s="11">
        <f>IFERROR(__xludf.DUMMYFUNCTION("""COMPUTED_VALUE"""),2017.0)</f>
        <v>2017</v>
      </c>
      <c r="F106" s="12">
        <f t="shared" si="1"/>
        <v>42842</v>
      </c>
      <c r="G106" s="9">
        <v>42740.0</v>
      </c>
      <c r="H106" s="3">
        <f>IFERROR(__xludf.DUMMYFUNCTION("split(G106,""/"")"),5.0)</f>
        <v>5</v>
      </c>
      <c r="I106" s="3">
        <f>IFERROR(__xludf.DUMMYFUNCTION("""COMPUTED_VALUE"""),1.0)</f>
        <v>1</v>
      </c>
      <c r="J106" s="3">
        <f>IFERROR(__xludf.DUMMYFUNCTION("""COMPUTED_VALUE"""),2017.0)</f>
        <v>2017</v>
      </c>
      <c r="K106" s="12">
        <f t="shared" si="2"/>
        <v>42856</v>
      </c>
      <c r="L106" s="3" t="s">
        <v>825</v>
      </c>
      <c r="M106" s="3" t="s">
        <v>267</v>
      </c>
      <c r="N106" s="3">
        <v>8681.0</v>
      </c>
      <c r="O106" s="3" t="s">
        <v>818</v>
      </c>
      <c r="P106" s="10">
        <v>4529.0</v>
      </c>
      <c r="Q106" s="13">
        <v>651.21</v>
      </c>
      <c r="R106" s="13">
        <v>524.96</v>
      </c>
      <c r="S106" s="13">
        <f t="shared" si="3"/>
        <v>2949330.09</v>
      </c>
      <c r="T106" s="13">
        <f t="shared" si="4"/>
        <v>2377543.84</v>
      </c>
      <c r="U106" s="13">
        <f t="shared" si="5"/>
        <v>571786.25</v>
      </c>
      <c r="V106" s="3" t="str">
        <f>VLOOKUP(N106,products!A:B,2,0)</f>
        <v>Office Supplies</v>
      </c>
      <c r="W106" s="3" t="s">
        <v>28</v>
      </c>
      <c r="X106" s="3" t="s">
        <v>29</v>
      </c>
      <c r="Y106" s="14">
        <f t="shared" si="6"/>
        <v>0.193869873</v>
      </c>
      <c r="Z106" s="3">
        <f t="shared" si="7"/>
        <v>14</v>
      </c>
      <c r="AA106" s="15">
        <f t="shared" si="8"/>
        <v>2</v>
      </c>
    </row>
    <row r="107" ht="15.75" customHeight="1">
      <c r="A107" s="3">
        <v>1.64259612E8</v>
      </c>
      <c r="B107" s="3" t="s">
        <v>946</v>
      </c>
      <c r="C107" s="3">
        <f>IFERROR(__xludf.DUMMYFUNCTION("split(B107,""/"")"),3.0)</f>
        <v>3</v>
      </c>
      <c r="D107" s="10">
        <f>IFERROR(__xludf.DUMMYFUNCTION("""COMPUTED_VALUE"""),22.0)</f>
        <v>22</v>
      </c>
      <c r="E107" s="11">
        <f>IFERROR(__xludf.DUMMYFUNCTION("""COMPUTED_VALUE"""),2015.0)</f>
        <v>2015</v>
      </c>
      <c r="F107" s="12">
        <f t="shared" si="1"/>
        <v>42085</v>
      </c>
      <c r="G107" s="3" t="s">
        <v>947</v>
      </c>
      <c r="H107" s="3">
        <f>IFERROR(__xludf.DUMMYFUNCTION("split(G107,""/"")"),4.0)</f>
        <v>4</v>
      </c>
      <c r="I107" s="3">
        <f>IFERROR(__xludf.DUMMYFUNCTION("""COMPUTED_VALUE"""),29.0)</f>
        <v>29</v>
      </c>
      <c r="J107" s="3">
        <f>IFERROR(__xludf.DUMMYFUNCTION("""COMPUTED_VALUE"""),2015.0)</f>
        <v>2015</v>
      </c>
      <c r="K107" s="12">
        <f t="shared" si="2"/>
        <v>42123</v>
      </c>
      <c r="L107" s="3" t="s">
        <v>814</v>
      </c>
      <c r="M107" s="3" t="s">
        <v>101</v>
      </c>
      <c r="N107" s="3">
        <v>8875.0</v>
      </c>
      <c r="O107" s="3" t="s">
        <v>818</v>
      </c>
      <c r="P107" s="10">
        <v>6924.0</v>
      </c>
      <c r="Q107" s="13">
        <v>421.89</v>
      </c>
      <c r="R107" s="13">
        <v>364.69</v>
      </c>
      <c r="S107" s="13">
        <f t="shared" si="3"/>
        <v>2921166.36</v>
      </c>
      <c r="T107" s="13">
        <f t="shared" si="4"/>
        <v>2525113.56</v>
      </c>
      <c r="U107" s="13">
        <f t="shared" si="5"/>
        <v>396052.8</v>
      </c>
      <c r="V107" s="3" t="str">
        <f>VLOOKUP(N107,products!A:B,2,0)</f>
        <v>Meat</v>
      </c>
      <c r="W107" s="3" t="s">
        <v>28</v>
      </c>
      <c r="X107" s="3" t="s">
        <v>79</v>
      </c>
      <c r="Y107" s="14">
        <f t="shared" si="6"/>
        <v>0.1355803646</v>
      </c>
      <c r="Z107" s="3">
        <f t="shared" si="7"/>
        <v>38</v>
      </c>
      <c r="AA107" s="15">
        <f t="shared" si="8"/>
        <v>1</v>
      </c>
    </row>
    <row r="108" ht="15.75" customHeight="1">
      <c r="A108" s="3">
        <v>1.668105E8</v>
      </c>
      <c r="B108" s="9">
        <v>40826.0</v>
      </c>
      <c r="C108" s="3">
        <f>IFERROR(__xludf.DUMMYFUNCTION("split(B108,""/"")"),10.0)</f>
        <v>10</v>
      </c>
      <c r="D108" s="10">
        <f>IFERROR(__xludf.DUMMYFUNCTION("""COMPUTED_VALUE"""),10.0)</f>
        <v>10</v>
      </c>
      <c r="E108" s="11">
        <f>IFERROR(__xludf.DUMMYFUNCTION("""COMPUTED_VALUE"""),2011.0)</f>
        <v>2011</v>
      </c>
      <c r="F108" s="12">
        <f t="shared" si="1"/>
        <v>40826</v>
      </c>
      <c r="G108" s="3" t="s">
        <v>948</v>
      </c>
      <c r="H108" s="3">
        <f>IFERROR(__xludf.DUMMYFUNCTION("split(G108,""/"")"),11.0)</f>
        <v>11</v>
      </c>
      <c r="I108" s="3">
        <f>IFERROR(__xludf.DUMMYFUNCTION("""COMPUTED_VALUE"""),21.0)</f>
        <v>21</v>
      </c>
      <c r="J108" s="3">
        <f>IFERROR(__xludf.DUMMYFUNCTION("""COMPUTED_VALUE"""),2011.0)</f>
        <v>2011</v>
      </c>
      <c r="K108" s="12">
        <f t="shared" si="2"/>
        <v>40868</v>
      </c>
      <c r="L108" s="3" t="s">
        <v>814</v>
      </c>
      <c r="M108" s="3" t="s">
        <v>123</v>
      </c>
      <c r="N108" s="3">
        <v>2455.0</v>
      </c>
      <c r="O108" s="3" t="s">
        <v>815</v>
      </c>
      <c r="P108" s="10">
        <v>1789.0</v>
      </c>
      <c r="Q108" s="13">
        <v>109.28</v>
      </c>
      <c r="R108" s="13">
        <v>35.84</v>
      </c>
      <c r="S108" s="13">
        <f t="shared" si="3"/>
        <v>195501.92</v>
      </c>
      <c r="T108" s="13">
        <f t="shared" si="4"/>
        <v>64117.76</v>
      </c>
      <c r="U108" s="13">
        <f t="shared" si="5"/>
        <v>131384.16</v>
      </c>
      <c r="V108" s="3" t="str">
        <f>VLOOKUP(N108,products!A:B,2,0)</f>
        <v>Clothes</v>
      </c>
      <c r="W108" s="3" t="s">
        <v>28</v>
      </c>
      <c r="X108" s="3" t="s">
        <v>33</v>
      </c>
      <c r="Y108" s="14">
        <f t="shared" si="6"/>
        <v>0.6720351391</v>
      </c>
      <c r="Z108" s="3">
        <f t="shared" si="7"/>
        <v>42</v>
      </c>
      <c r="AA108" s="15">
        <f t="shared" si="8"/>
        <v>2</v>
      </c>
    </row>
    <row r="109" ht="15.75" customHeight="1">
      <c r="A109" s="3">
        <v>1.68319404E8</v>
      </c>
      <c r="B109" s="3" t="s">
        <v>949</v>
      </c>
      <c r="C109" s="3">
        <f>IFERROR(__xludf.DUMMYFUNCTION("split(B109,""/"")"),2.0)</f>
        <v>2</v>
      </c>
      <c r="D109" s="10">
        <f>IFERROR(__xludf.DUMMYFUNCTION("""COMPUTED_VALUE"""),20.0)</f>
        <v>20</v>
      </c>
      <c r="E109" s="11">
        <f>IFERROR(__xludf.DUMMYFUNCTION("""COMPUTED_VALUE"""),2012.0)</f>
        <v>2012</v>
      </c>
      <c r="F109" s="12">
        <f t="shared" si="1"/>
        <v>40959</v>
      </c>
      <c r="G109" s="9">
        <v>41185.0</v>
      </c>
      <c r="H109" s="3">
        <f>IFERROR(__xludf.DUMMYFUNCTION("split(G109,""/"")"),3.0)</f>
        <v>3</v>
      </c>
      <c r="I109" s="3">
        <f>IFERROR(__xludf.DUMMYFUNCTION("""COMPUTED_VALUE"""),10.0)</f>
        <v>10</v>
      </c>
      <c r="J109" s="3">
        <f>IFERROR(__xludf.DUMMYFUNCTION("""COMPUTED_VALUE"""),2012.0)</f>
        <v>2012</v>
      </c>
      <c r="K109" s="12">
        <f t="shared" si="2"/>
        <v>40978</v>
      </c>
      <c r="L109" s="3" t="s">
        <v>827</v>
      </c>
      <c r="M109" s="3" t="s">
        <v>650</v>
      </c>
      <c r="N109" s="3">
        <v>8681.0</v>
      </c>
      <c r="O109" s="3" t="s">
        <v>815</v>
      </c>
      <c r="P109" s="10">
        <v>8307.0</v>
      </c>
      <c r="Q109" s="13">
        <v>651.21</v>
      </c>
      <c r="R109" s="13">
        <v>524.96</v>
      </c>
      <c r="S109" s="13">
        <f t="shared" si="3"/>
        <v>5409601.47</v>
      </c>
      <c r="T109" s="13">
        <f t="shared" si="4"/>
        <v>4360842.72</v>
      </c>
      <c r="U109" s="13">
        <f t="shared" si="5"/>
        <v>1048758.75</v>
      </c>
      <c r="V109" s="3" t="str">
        <f>VLOOKUP(N109,products!A:B,2,0)</f>
        <v>Office Supplies</v>
      </c>
      <c r="W109" s="3" t="s">
        <v>28</v>
      </c>
      <c r="X109" s="3" t="s">
        <v>98</v>
      </c>
      <c r="Y109" s="14">
        <f t="shared" si="6"/>
        <v>0.193869873</v>
      </c>
      <c r="Z109" s="3">
        <f t="shared" si="7"/>
        <v>19</v>
      </c>
      <c r="AA109" s="15">
        <f t="shared" si="8"/>
        <v>2</v>
      </c>
    </row>
    <row r="110" ht="15.75" customHeight="1">
      <c r="A110" s="3">
        <v>1.68487203E8</v>
      </c>
      <c r="B110" s="9">
        <v>41706.0</v>
      </c>
      <c r="C110" s="3">
        <f>IFERROR(__xludf.DUMMYFUNCTION("split(B110,""/"")"),8.0)</f>
        <v>8</v>
      </c>
      <c r="D110" s="10">
        <f>IFERROR(__xludf.DUMMYFUNCTION("""COMPUTED_VALUE"""),3.0)</f>
        <v>3</v>
      </c>
      <c r="E110" s="11">
        <f>IFERROR(__xludf.DUMMYFUNCTION("""COMPUTED_VALUE"""),2014.0)</f>
        <v>2014</v>
      </c>
      <c r="F110" s="12">
        <f t="shared" si="1"/>
        <v>41854</v>
      </c>
      <c r="G110" s="3" t="s">
        <v>950</v>
      </c>
      <c r="H110" s="3">
        <f>IFERROR(__xludf.DUMMYFUNCTION("split(G110,""/"")"),9.0)</f>
        <v>9</v>
      </c>
      <c r="I110" s="3">
        <f>IFERROR(__xludf.DUMMYFUNCTION("""COMPUTED_VALUE"""),21.0)</f>
        <v>21</v>
      </c>
      <c r="J110" s="3">
        <f>IFERROR(__xludf.DUMMYFUNCTION("""COMPUTED_VALUE"""),2014.0)</f>
        <v>2014</v>
      </c>
      <c r="K110" s="12">
        <f t="shared" si="2"/>
        <v>41903</v>
      </c>
      <c r="L110" s="3" t="s">
        <v>827</v>
      </c>
      <c r="M110" s="3" t="s">
        <v>821</v>
      </c>
      <c r="N110" s="3">
        <v>8681.0</v>
      </c>
      <c r="O110" s="3" t="s">
        <v>818</v>
      </c>
      <c r="P110" s="10">
        <v>7962.0</v>
      </c>
      <c r="Q110" s="13">
        <v>651.21</v>
      </c>
      <c r="R110" s="13">
        <v>524.96</v>
      </c>
      <c r="S110" s="13">
        <f t="shared" si="3"/>
        <v>5184934.02</v>
      </c>
      <c r="T110" s="13">
        <f t="shared" si="4"/>
        <v>4179731.52</v>
      </c>
      <c r="U110" s="13">
        <f t="shared" si="5"/>
        <v>1005202.5</v>
      </c>
      <c r="V110" s="3" t="str">
        <f>VLOOKUP(N110,products!A:B,2,0)</f>
        <v>Office Supplies</v>
      </c>
      <c r="W110" s="3" t="s">
        <v>821</v>
      </c>
      <c r="X110" s="3" t="s">
        <v>821</v>
      </c>
      <c r="Y110" s="14">
        <f t="shared" si="6"/>
        <v>0.193869873</v>
      </c>
      <c r="Z110" s="3">
        <f t="shared" si="7"/>
        <v>49</v>
      </c>
      <c r="AA110" s="15">
        <f t="shared" si="8"/>
        <v>1</v>
      </c>
    </row>
    <row r="111" ht="15.75" customHeight="1">
      <c r="A111" s="3">
        <v>1.68960559E8</v>
      </c>
      <c r="B111" s="3" t="s">
        <v>951</v>
      </c>
      <c r="C111" s="3">
        <f>IFERROR(__xludf.DUMMYFUNCTION("split(B111,""/"")"),7.0)</f>
        <v>7</v>
      </c>
      <c r="D111" s="10">
        <f>IFERROR(__xludf.DUMMYFUNCTION("""COMPUTED_VALUE"""),14.0)</f>
        <v>14</v>
      </c>
      <c r="E111" s="11">
        <f>IFERROR(__xludf.DUMMYFUNCTION("""COMPUTED_VALUE"""),2013.0)</f>
        <v>2013</v>
      </c>
      <c r="F111" s="12">
        <f t="shared" si="1"/>
        <v>41469</v>
      </c>
      <c r="G111" s="3" t="s">
        <v>952</v>
      </c>
      <c r="H111" s="3">
        <f>IFERROR(__xludf.DUMMYFUNCTION("split(G111,""/"")"),8.0)</f>
        <v>8</v>
      </c>
      <c r="I111" s="3">
        <f>IFERROR(__xludf.DUMMYFUNCTION("""COMPUTED_VALUE"""),19.0)</f>
        <v>19</v>
      </c>
      <c r="J111" s="3">
        <f>IFERROR(__xludf.DUMMYFUNCTION("""COMPUTED_VALUE"""),2013.0)</f>
        <v>2013</v>
      </c>
      <c r="K111" s="12">
        <f t="shared" si="2"/>
        <v>41505</v>
      </c>
      <c r="L111" s="3" t="s">
        <v>827</v>
      </c>
      <c r="M111" s="3" t="s">
        <v>288</v>
      </c>
      <c r="N111" s="3">
        <v>7331.0</v>
      </c>
      <c r="O111" s="3" t="s">
        <v>815</v>
      </c>
      <c r="P111" s="10">
        <v>8039.0</v>
      </c>
      <c r="Q111" s="13">
        <v>255.28</v>
      </c>
      <c r="R111" s="13">
        <v>159.42</v>
      </c>
      <c r="S111" s="13">
        <f t="shared" si="3"/>
        <v>2052195.92</v>
      </c>
      <c r="T111" s="13">
        <f t="shared" si="4"/>
        <v>1281577.38</v>
      </c>
      <c r="U111" s="13">
        <f t="shared" si="5"/>
        <v>770618.54</v>
      </c>
      <c r="V111" s="3" t="str">
        <f>VLOOKUP(N111,products!A:B,2,0)</f>
        <v>Baby Food</v>
      </c>
      <c r="W111" s="3" t="s">
        <v>23</v>
      </c>
      <c r="X111" s="3" t="s">
        <v>68</v>
      </c>
      <c r="Y111" s="14">
        <f t="shared" si="6"/>
        <v>0.3755092448</v>
      </c>
      <c r="Z111" s="3">
        <f t="shared" si="7"/>
        <v>36</v>
      </c>
      <c r="AA111" s="15">
        <f t="shared" si="8"/>
        <v>1</v>
      </c>
    </row>
    <row r="112" ht="15.75" customHeight="1">
      <c r="A112" s="3">
        <v>1.68979442E8</v>
      </c>
      <c r="B112" s="3" t="s">
        <v>953</v>
      </c>
      <c r="C112" s="3">
        <f>IFERROR(__xludf.DUMMYFUNCTION("split(B112,""/"")"),10.0)</f>
        <v>10</v>
      </c>
      <c r="D112" s="10">
        <f>IFERROR(__xludf.DUMMYFUNCTION("""COMPUTED_VALUE"""),22.0)</f>
        <v>22</v>
      </c>
      <c r="E112" s="11">
        <f>IFERROR(__xludf.DUMMYFUNCTION("""COMPUTED_VALUE"""),2010.0)</f>
        <v>2010</v>
      </c>
      <c r="F112" s="12">
        <f t="shared" si="1"/>
        <v>40473</v>
      </c>
      <c r="G112" s="9">
        <v>40463.0</v>
      </c>
      <c r="H112" s="3">
        <f>IFERROR(__xludf.DUMMYFUNCTION("split(G112,""/"")"),12.0)</f>
        <v>12</v>
      </c>
      <c r="I112" s="3">
        <f>IFERROR(__xludf.DUMMYFUNCTION("""COMPUTED_VALUE"""),10.0)</f>
        <v>10</v>
      </c>
      <c r="J112" s="3">
        <f>IFERROR(__xludf.DUMMYFUNCTION("""COMPUTED_VALUE"""),2010.0)</f>
        <v>2010</v>
      </c>
      <c r="K112" s="12">
        <f t="shared" si="2"/>
        <v>40522</v>
      </c>
      <c r="L112" s="3" t="s">
        <v>827</v>
      </c>
      <c r="M112" s="3" t="s">
        <v>623</v>
      </c>
      <c r="N112" s="3">
        <v>8875.0</v>
      </c>
      <c r="O112" s="3" t="s">
        <v>815</v>
      </c>
      <c r="P112" s="10">
        <v>3627.0</v>
      </c>
      <c r="Q112" s="13">
        <v>421.89</v>
      </c>
      <c r="R112" s="13">
        <v>364.69</v>
      </c>
      <c r="S112" s="13">
        <f t="shared" si="3"/>
        <v>1530195.03</v>
      </c>
      <c r="T112" s="13">
        <f t="shared" si="4"/>
        <v>1322730.63</v>
      </c>
      <c r="U112" s="13">
        <f t="shared" si="5"/>
        <v>207464.4</v>
      </c>
      <c r="V112" s="3" t="str">
        <f>VLOOKUP(N112,products!A:B,2,0)</f>
        <v>Meat</v>
      </c>
      <c r="W112" s="3" t="s">
        <v>28</v>
      </c>
      <c r="X112" s="3" t="s">
        <v>33</v>
      </c>
      <c r="Y112" s="14">
        <f t="shared" si="6"/>
        <v>0.1355803646</v>
      </c>
      <c r="Z112" s="3">
        <f t="shared" si="7"/>
        <v>49</v>
      </c>
      <c r="AA112" s="15">
        <f t="shared" si="8"/>
        <v>6</v>
      </c>
    </row>
    <row r="113" ht="15.75" customHeight="1">
      <c r="A113" s="3">
        <v>1.69378983E8</v>
      </c>
      <c r="B113" s="3" t="s">
        <v>886</v>
      </c>
      <c r="C113" s="3">
        <f>IFERROR(__xludf.DUMMYFUNCTION("split(B113,""/"")"),3.0)</f>
        <v>3</v>
      </c>
      <c r="D113" s="10">
        <f>IFERROR(__xludf.DUMMYFUNCTION("""COMPUTED_VALUE"""),21.0)</f>
        <v>21</v>
      </c>
      <c r="E113" s="11">
        <f>IFERROR(__xludf.DUMMYFUNCTION("""COMPUTED_VALUE"""),2014.0)</f>
        <v>2014</v>
      </c>
      <c r="F113" s="12">
        <f t="shared" si="1"/>
        <v>41719</v>
      </c>
      <c r="G113" s="9">
        <v>41916.0</v>
      </c>
      <c r="H113" s="3">
        <f>IFERROR(__xludf.DUMMYFUNCTION("split(G113,""/"")"),4.0)</f>
        <v>4</v>
      </c>
      <c r="I113" s="3">
        <f>IFERROR(__xludf.DUMMYFUNCTION("""COMPUTED_VALUE"""),10.0)</f>
        <v>10</v>
      </c>
      <c r="J113" s="3">
        <f>IFERROR(__xludf.DUMMYFUNCTION("""COMPUTED_VALUE"""),2014.0)</f>
        <v>2014</v>
      </c>
      <c r="K113" s="12">
        <f t="shared" si="2"/>
        <v>41739</v>
      </c>
      <c r="L113" s="3" t="s">
        <v>825</v>
      </c>
      <c r="M113" s="3" t="s">
        <v>689</v>
      </c>
      <c r="N113" s="3">
        <v>8875.0</v>
      </c>
      <c r="O113" s="3" t="s">
        <v>815</v>
      </c>
      <c r="P113" s="10">
        <v>1860.0</v>
      </c>
      <c r="Q113" s="13">
        <v>421.89</v>
      </c>
      <c r="R113" s="13">
        <v>364.69</v>
      </c>
      <c r="S113" s="13">
        <f t="shared" si="3"/>
        <v>784715.4</v>
      </c>
      <c r="T113" s="13">
        <f t="shared" si="4"/>
        <v>678323.4</v>
      </c>
      <c r="U113" s="13">
        <f t="shared" si="5"/>
        <v>106392</v>
      </c>
      <c r="V113" s="3" t="str">
        <f>VLOOKUP(N113,products!A:B,2,0)</f>
        <v>Meat</v>
      </c>
      <c r="W113" s="3" t="s">
        <v>28</v>
      </c>
      <c r="X113" s="3" t="s">
        <v>79</v>
      </c>
      <c r="Y113" s="14">
        <f t="shared" si="6"/>
        <v>0.1355803646</v>
      </c>
      <c r="Z113" s="3">
        <f t="shared" si="7"/>
        <v>20</v>
      </c>
      <c r="AA113" s="15">
        <f t="shared" si="8"/>
        <v>6</v>
      </c>
    </row>
    <row r="114" ht="15.75" customHeight="1">
      <c r="A114" s="3">
        <v>1.69799983E8</v>
      </c>
      <c r="B114" s="3" t="s">
        <v>954</v>
      </c>
      <c r="C114" s="3">
        <f>IFERROR(__xludf.DUMMYFUNCTION("split(B114,""/"")"),10.0)</f>
        <v>10</v>
      </c>
      <c r="D114" s="10">
        <f>IFERROR(__xludf.DUMMYFUNCTION("""COMPUTED_VALUE"""),22.0)</f>
        <v>22</v>
      </c>
      <c r="E114" s="11">
        <f>IFERROR(__xludf.DUMMYFUNCTION("""COMPUTED_VALUE"""),2012.0)</f>
        <v>2012</v>
      </c>
      <c r="F114" s="12">
        <f t="shared" si="1"/>
        <v>41204</v>
      </c>
      <c r="G114" s="3" t="s">
        <v>955</v>
      </c>
      <c r="H114" s="3">
        <f>IFERROR(__xludf.DUMMYFUNCTION("split(G114,""/"")"),11.0)</f>
        <v>11</v>
      </c>
      <c r="I114" s="3">
        <f>IFERROR(__xludf.DUMMYFUNCTION("""COMPUTED_VALUE"""),20.0)</f>
        <v>20</v>
      </c>
      <c r="J114" s="3">
        <f>IFERROR(__xludf.DUMMYFUNCTION("""COMPUTED_VALUE"""),2012.0)</f>
        <v>2012</v>
      </c>
      <c r="K114" s="12">
        <f t="shared" si="2"/>
        <v>41233</v>
      </c>
      <c r="L114" s="3" t="s">
        <v>827</v>
      </c>
      <c r="M114" s="3" t="s">
        <v>653</v>
      </c>
      <c r="N114" s="3">
        <v>4594.0</v>
      </c>
      <c r="O114" s="3" t="s">
        <v>815</v>
      </c>
      <c r="P114" s="10">
        <v>6443.0</v>
      </c>
      <c r="Q114" s="13">
        <v>9.33</v>
      </c>
      <c r="R114" s="13">
        <v>6.92</v>
      </c>
      <c r="S114" s="13">
        <f t="shared" si="3"/>
        <v>60113.19</v>
      </c>
      <c r="T114" s="13">
        <f t="shared" si="4"/>
        <v>44585.56</v>
      </c>
      <c r="U114" s="13">
        <f t="shared" si="5"/>
        <v>15527.63</v>
      </c>
      <c r="V114" s="3" t="str">
        <f>VLOOKUP(N114,products!A:B,2,0)</f>
        <v>Fruits</v>
      </c>
      <c r="W114" s="3" t="s">
        <v>28</v>
      </c>
      <c r="X114" s="3" t="s">
        <v>33</v>
      </c>
      <c r="Y114" s="14">
        <f t="shared" si="6"/>
        <v>0.258306538</v>
      </c>
      <c r="Z114" s="3">
        <f t="shared" si="7"/>
        <v>29</v>
      </c>
      <c r="AA114" s="15">
        <f t="shared" si="8"/>
        <v>2</v>
      </c>
    </row>
    <row r="115" ht="15.75" customHeight="1">
      <c r="A115" s="3">
        <v>1.73122918E8</v>
      </c>
      <c r="B115" s="9">
        <v>42222.0</v>
      </c>
      <c r="C115" s="3">
        <f>IFERROR(__xludf.DUMMYFUNCTION("split(B115,""/"")"),6.0)</f>
        <v>6</v>
      </c>
      <c r="D115" s="10">
        <f>IFERROR(__xludf.DUMMYFUNCTION("""COMPUTED_VALUE"""),8.0)</f>
        <v>8</v>
      </c>
      <c r="E115" s="11">
        <f>IFERROR(__xludf.DUMMYFUNCTION("""COMPUTED_VALUE"""),2015.0)</f>
        <v>2015</v>
      </c>
      <c r="F115" s="12">
        <f t="shared" si="1"/>
        <v>42163</v>
      </c>
      <c r="G115" s="3" t="s">
        <v>956</v>
      </c>
      <c r="H115" s="3">
        <f>IFERROR(__xludf.DUMMYFUNCTION("split(G115,""/"")"),7.0)</f>
        <v>7</v>
      </c>
      <c r="I115" s="3">
        <f>IFERROR(__xludf.DUMMYFUNCTION("""COMPUTED_VALUE"""),25.0)</f>
        <v>25</v>
      </c>
      <c r="J115" s="3">
        <f>IFERROR(__xludf.DUMMYFUNCTION("""COMPUTED_VALUE"""),2015.0)</f>
        <v>2015</v>
      </c>
      <c r="K115" s="12">
        <f t="shared" si="2"/>
        <v>42210</v>
      </c>
      <c r="L115" s="3" t="s">
        <v>814</v>
      </c>
      <c r="M115" s="3" t="s">
        <v>97</v>
      </c>
      <c r="N115" s="3">
        <v>2455.0</v>
      </c>
      <c r="O115" s="3" t="s">
        <v>818</v>
      </c>
      <c r="P115" s="10">
        <v>9773.0</v>
      </c>
      <c r="Q115" s="13">
        <v>109.28</v>
      </c>
      <c r="R115" s="13">
        <v>35.84</v>
      </c>
      <c r="S115" s="13">
        <f t="shared" si="3"/>
        <v>1067993.44</v>
      </c>
      <c r="T115" s="13">
        <f t="shared" si="4"/>
        <v>350264.32</v>
      </c>
      <c r="U115" s="13">
        <f t="shared" si="5"/>
        <v>717729.12</v>
      </c>
      <c r="V115" s="3" t="str">
        <f>VLOOKUP(N115,products!A:B,2,0)</f>
        <v>Clothes</v>
      </c>
      <c r="W115" s="3" t="s">
        <v>28</v>
      </c>
      <c r="X115" s="3" t="s">
        <v>98</v>
      </c>
      <c r="Y115" s="14">
        <f t="shared" si="6"/>
        <v>0.6720351391</v>
      </c>
      <c r="Z115" s="3">
        <f t="shared" si="7"/>
        <v>47</v>
      </c>
      <c r="AA115" s="15">
        <f t="shared" si="8"/>
        <v>2</v>
      </c>
    </row>
    <row r="116" ht="15.75" customHeight="1">
      <c r="A116" s="3">
        <v>1.74218118E8</v>
      </c>
      <c r="B116" s="3" t="s">
        <v>957</v>
      </c>
      <c r="C116" s="3">
        <f>IFERROR(__xludf.DUMMYFUNCTION("split(B116,""/"")"),4.0)</f>
        <v>4</v>
      </c>
      <c r="D116" s="10">
        <f>IFERROR(__xludf.DUMMYFUNCTION("""COMPUTED_VALUE"""),30.0)</f>
        <v>30</v>
      </c>
      <c r="E116" s="11">
        <f>IFERROR(__xludf.DUMMYFUNCTION("""COMPUTED_VALUE"""),2016.0)</f>
        <v>2016</v>
      </c>
      <c r="F116" s="12">
        <f t="shared" si="1"/>
        <v>42490</v>
      </c>
      <c r="G116" s="3" t="s">
        <v>840</v>
      </c>
      <c r="H116" s="3">
        <f>IFERROR(__xludf.DUMMYFUNCTION("split(G116,""/"")"),6.0)</f>
        <v>6</v>
      </c>
      <c r="I116" s="3">
        <f>IFERROR(__xludf.DUMMYFUNCTION("""COMPUTED_VALUE"""),13.0)</f>
        <v>13</v>
      </c>
      <c r="J116" s="3">
        <f>IFERROR(__xludf.DUMMYFUNCTION("""COMPUTED_VALUE"""),2016.0)</f>
        <v>2016</v>
      </c>
      <c r="K116" s="12">
        <f t="shared" si="2"/>
        <v>42534</v>
      </c>
      <c r="L116" s="3" t="s">
        <v>814</v>
      </c>
      <c r="M116" s="3" t="s">
        <v>291</v>
      </c>
      <c r="N116" s="3">
        <v>2103.0</v>
      </c>
      <c r="O116" s="3" t="s">
        <v>818</v>
      </c>
      <c r="P116" s="10">
        <v>3867.0</v>
      </c>
      <c r="Q116" s="13">
        <v>205.7</v>
      </c>
      <c r="R116" s="13">
        <v>117.11</v>
      </c>
      <c r="S116" s="13">
        <f t="shared" si="3"/>
        <v>795441.9</v>
      </c>
      <c r="T116" s="13">
        <f t="shared" si="4"/>
        <v>452864.37</v>
      </c>
      <c r="U116" s="13">
        <f t="shared" si="5"/>
        <v>342577.53</v>
      </c>
      <c r="V116" s="3" t="str">
        <f>VLOOKUP(N116,products!A:B,2,0)</f>
        <v>Cereal</v>
      </c>
      <c r="W116" s="3" t="s">
        <v>28</v>
      </c>
      <c r="X116" s="3" t="s">
        <v>79</v>
      </c>
      <c r="Y116" s="14">
        <f t="shared" si="6"/>
        <v>0.4306757414</v>
      </c>
      <c r="Z116" s="3">
        <f t="shared" si="7"/>
        <v>44</v>
      </c>
      <c r="AA116" s="15">
        <f t="shared" si="8"/>
        <v>7</v>
      </c>
    </row>
    <row r="117" ht="15.75" customHeight="1">
      <c r="A117" s="3">
        <v>1.74614226E8</v>
      </c>
      <c r="B117" s="3" t="s">
        <v>958</v>
      </c>
      <c r="C117" s="3">
        <f>IFERROR(__xludf.DUMMYFUNCTION("split(B117,""/"")"),6.0)</f>
        <v>6</v>
      </c>
      <c r="D117" s="10">
        <f>IFERROR(__xludf.DUMMYFUNCTION("""COMPUTED_VALUE"""),24.0)</f>
        <v>24</v>
      </c>
      <c r="E117" s="11">
        <f>IFERROR(__xludf.DUMMYFUNCTION("""COMPUTED_VALUE"""),2017.0)</f>
        <v>2017</v>
      </c>
      <c r="F117" s="12">
        <f t="shared" si="1"/>
        <v>42910</v>
      </c>
      <c r="G117" s="3" t="s">
        <v>959</v>
      </c>
      <c r="H117" s="3">
        <f>IFERROR(__xludf.DUMMYFUNCTION("split(G117,""/"")"),8.0)</f>
        <v>8</v>
      </c>
      <c r="I117" s="3">
        <f>IFERROR(__xludf.DUMMYFUNCTION("""COMPUTED_VALUE"""),13.0)</f>
        <v>13</v>
      </c>
      <c r="J117" s="3">
        <f>IFERROR(__xludf.DUMMYFUNCTION("""COMPUTED_VALUE"""),2017.0)</f>
        <v>2017</v>
      </c>
      <c r="K117" s="12">
        <f t="shared" si="2"/>
        <v>42960</v>
      </c>
      <c r="L117" s="3" t="s">
        <v>817</v>
      </c>
      <c r="M117" s="3" t="s">
        <v>46</v>
      </c>
      <c r="N117" s="3">
        <v>7331.0</v>
      </c>
      <c r="O117" s="3" t="s">
        <v>818</v>
      </c>
      <c r="P117" s="10">
        <v>1085.0</v>
      </c>
      <c r="Q117" s="13">
        <v>255.28</v>
      </c>
      <c r="R117" s="13">
        <v>159.42</v>
      </c>
      <c r="S117" s="13">
        <f t="shared" si="3"/>
        <v>276978.8</v>
      </c>
      <c r="T117" s="13">
        <f t="shared" si="4"/>
        <v>172970.7</v>
      </c>
      <c r="U117" s="13">
        <f t="shared" si="5"/>
        <v>104008.1</v>
      </c>
      <c r="V117" s="3" t="str">
        <f>VLOOKUP(N117,products!A:B,2,0)</f>
        <v>Baby Food</v>
      </c>
      <c r="W117" s="3" t="s">
        <v>28</v>
      </c>
      <c r="X117" s="3" t="s">
        <v>33</v>
      </c>
      <c r="Y117" s="14">
        <f t="shared" si="6"/>
        <v>0.3755092448</v>
      </c>
      <c r="Z117" s="3">
        <f t="shared" si="7"/>
        <v>50</v>
      </c>
      <c r="AA117" s="15">
        <f t="shared" si="8"/>
        <v>7</v>
      </c>
    </row>
    <row r="118" ht="15.75" customHeight="1">
      <c r="A118" s="3">
        <v>1.74935233E8</v>
      </c>
      <c r="B118" s="3" t="s">
        <v>960</v>
      </c>
      <c r="C118" s="3">
        <f>IFERROR(__xludf.DUMMYFUNCTION("split(B118,""/"")"),7.0)</f>
        <v>7</v>
      </c>
      <c r="D118" s="10">
        <f>IFERROR(__xludf.DUMMYFUNCTION("""COMPUTED_VALUE"""),26.0)</f>
        <v>26</v>
      </c>
      <c r="E118" s="11">
        <f>IFERROR(__xludf.DUMMYFUNCTION("""COMPUTED_VALUE"""),2016.0)</f>
        <v>2016</v>
      </c>
      <c r="F118" s="12">
        <f t="shared" si="1"/>
        <v>42577</v>
      </c>
      <c r="G118" s="3" t="s">
        <v>961</v>
      </c>
      <c r="H118" s="3">
        <f>IFERROR(__xludf.DUMMYFUNCTION("split(G118,""/"")"),7.0)</f>
        <v>7</v>
      </c>
      <c r="I118" s="3">
        <f>IFERROR(__xludf.DUMMYFUNCTION("""COMPUTED_VALUE"""),29.0)</f>
        <v>29</v>
      </c>
      <c r="J118" s="3">
        <f>IFERROR(__xludf.DUMMYFUNCTION("""COMPUTED_VALUE"""),2016.0)</f>
        <v>2016</v>
      </c>
      <c r="K118" s="12">
        <f t="shared" si="2"/>
        <v>42580</v>
      </c>
      <c r="L118" s="3" t="s">
        <v>814</v>
      </c>
      <c r="M118" s="3" t="s">
        <v>270</v>
      </c>
      <c r="N118" s="3">
        <v>8293.0</v>
      </c>
      <c r="O118" s="3" t="s">
        <v>815</v>
      </c>
      <c r="P118" s="10">
        <v>6078.0</v>
      </c>
      <c r="Q118" s="13">
        <v>437.2</v>
      </c>
      <c r="R118" s="13">
        <v>263.33</v>
      </c>
      <c r="S118" s="13">
        <f t="shared" si="3"/>
        <v>2657301.6</v>
      </c>
      <c r="T118" s="13">
        <f t="shared" si="4"/>
        <v>1600519.74</v>
      </c>
      <c r="U118" s="13">
        <f t="shared" si="5"/>
        <v>1056781.86</v>
      </c>
      <c r="V118" s="3" t="str">
        <f>VLOOKUP(N118,products!A:B,2,0)</f>
        <v>Cosmetics</v>
      </c>
      <c r="W118" s="3" t="s">
        <v>28</v>
      </c>
      <c r="X118" s="3" t="s">
        <v>79</v>
      </c>
      <c r="Y118" s="14">
        <f t="shared" si="6"/>
        <v>0.3976898445</v>
      </c>
      <c r="Z118" s="3">
        <f t="shared" si="7"/>
        <v>3</v>
      </c>
      <c r="AA118" s="15">
        <f t="shared" si="8"/>
        <v>3</v>
      </c>
    </row>
    <row r="119" ht="15.75" customHeight="1">
      <c r="A119" s="3">
        <v>1.75723588E8</v>
      </c>
      <c r="B119" s="9">
        <v>41888.0</v>
      </c>
      <c r="C119" s="3">
        <f>IFERROR(__xludf.DUMMYFUNCTION("split(B119,""/"")"),6.0)</f>
        <v>6</v>
      </c>
      <c r="D119" s="10">
        <f>IFERROR(__xludf.DUMMYFUNCTION("""COMPUTED_VALUE"""),9.0)</f>
        <v>9</v>
      </c>
      <c r="E119" s="11">
        <f>IFERROR(__xludf.DUMMYFUNCTION("""COMPUTED_VALUE"""),2014.0)</f>
        <v>2014</v>
      </c>
      <c r="F119" s="12">
        <f t="shared" si="1"/>
        <v>41799</v>
      </c>
      <c r="G119" s="3" t="s">
        <v>962</v>
      </c>
      <c r="H119" s="3">
        <f>IFERROR(__xludf.DUMMYFUNCTION("split(G119,""/"")"),6.0)</f>
        <v>6</v>
      </c>
      <c r="I119" s="3">
        <f>IFERROR(__xludf.DUMMYFUNCTION("""COMPUTED_VALUE"""),14.0)</f>
        <v>14</v>
      </c>
      <c r="J119" s="3">
        <f>IFERROR(__xludf.DUMMYFUNCTION("""COMPUTED_VALUE"""),2014.0)</f>
        <v>2014</v>
      </c>
      <c r="K119" s="12">
        <f t="shared" si="2"/>
        <v>41804</v>
      </c>
      <c r="L119" s="3" t="s">
        <v>825</v>
      </c>
      <c r="M119" s="3" t="s">
        <v>482</v>
      </c>
      <c r="N119" s="3">
        <v>7940.0</v>
      </c>
      <c r="O119" s="3" t="s">
        <v>815</v>
      </c>
      <c r="P119" s="10">
        <v>9370.0</v>
      </c>
      <c r="Q119" s="13">
        <v>668.27</v>
      </c>
      <c r="R119" s="13">
        <v>502.54</v>
      </c>
      <c r="S119" s="13">
        <f t="shared" si="3"/>
        <v>6261689.9</v>
      </c>
      <c r="T119" s="13">
        <f t="shared" si="4"/>
        <v>4708799.8</v>
      </c>
      <c r="U119" s="13">
        <f t="shared" si="5"/>
        <v>1552890.1</v>
      </c>
      <c r="V119" s="3" t="str">
        <f>VLOOKUP(N119,products!A:B,2,0)</f>
        <v>Household</v>
      </c>
      <c r="W119" s="3" t="s">
        <v>28</v>
      </c>
      <c r="X119" s="3" t="s">
        <v>79</v>
      </c>
      <c r="Y119" s="14">
        <f t="shared" si="6"/>
        <v>0.2479985635</v>
      </c>
      <c r="Z119" s="3">
        <f t="shared" si="7"/>
        <v>5</v>
      </c>
      <c r="AA119" s="15">
        <f t="shared" si="8"/>
        <v>2</v>
      </c>
    </row>
    <row r="120" ht="15.75" customHeight="1">
      <c r="A120" s="3">
        <v>1.76050603E8</v>
      </c>
      <c r="B120" s="9">
        <v>41495.0</v>
      </c>
      <c r="C120" s="3">
        <f>IFERROR(__xludf.DUMMYFUNCTION("split(B120,""/"")"),9.0)</f>
        <v>9</v>
      </c>
      <c r="D120" s="10">
        <f>IFERROR(__xludf.DUMMYFUNCTION("""COMPUTED_VALUE"""),8.0)</f>
        <v>8</v>
      </c>
      <c r="E120" s="11">
        <f>IFERROR(__xludf.DUMMYFUNCTION("""COMPUTED_VALUE"""),2013.0)</f>
        <v>2013</v>
      </c>
      <c r="F120" s="12">
        <f t="shared" si="1"/>
        <v>41525</v>
      </c>
      <c r="G120" s="3" t="s">
        <v>841</v>
      </c>
      <c r="H120" s="3">
        <f>IFERROR(__xludf.DUMMYFUNCTION("split(G120,""/"")"),10.0)</f>
        <v>10</v>
      </c>
      <c r="I120" s="3">
        <f>IFERROR(__xludf.DUMMYFUNCTION("""COMPUTED_VALUE"""),28.0)</f>
        <v>28</v>
      </c>
      <c r="J120" s="3">
        <f>IFERROR(__xludf.DUMMYFUNCTION("""COMPUTED_VALUE"""),2013.0)</f>
        <v>2013</v>
      </c>
      <c r="K120" s="12">
        <f t="shared" si="2"/>
        <v>41575</v>
      </c>
      <c r="L120" s="3" t="s">
        <v>817</v>
      </c>
      <c r="M120" s="3" t="s">
        <v>575</v>
      </c>
      <c r="N120" s="3">
        <v>2103.0</v>
      </c>
      <c r="O120" s="3" t="s">
        <v>815</v>
      </c>
      <c r="P120" s="10">
        <v>6140.0</v>
      </c>
      <c r="Q120" s="13">
        <v>205.7</v>
      </c>
      <c r="R120" s="13">
        <v>117.11</v>
      </c>
      <c r="S120" s="13">
        <f t="shared" si="3"/>
        <v>1262998</v>
      </c>
      <c r="T120" s="13">
        <f t="shared" si="4"/>
        <v>719055.4</v>
      </c>
      <c r="U120" s="13">
        <f t="shared" si="5"/>
        <v>543942.6</v>
      </c>
      <c r="V120" s="3" t="str">
        <f>VLOOKUP(N120,products!A:B,2,0)</f>
        <v>Cereal</v>
      </c>
      <c r="W120" s="3" t="s">
        <v>28</v>
      </c>
      <c r="X120" s="3" t="s">
        <v>98</v>
      </c>
      <c r="Y120" s="14">
        <f t="shared" si="6"/>
        <v>0.4306757414</v>
      </c>
      <c r="Z120" s="3">
        <f t="shared" si="7"/>
        <v>50</v>
      </c>
      <c r="AA120" s="15">
        <f t="shared" si="8"/>
        <v>1</v>
      </c>
    </row>
    <row r="121" ht="15.75" customHeight="1">
      <c r="A121" s="3">
        <v>1.76722657E8</v>
      </c>
      <c r="B121" s="9">
        <v>41130.0</v>
      </c>
      <c r="C121" s="3">
        <f>IFERROR(__xludf.DUMMYFUNCTION("split(B121,""/"")"),9.0)</f>
        <v>9</v>
      </c>
      <c r="D121" s="10">
        <f>IFERROR(__xludf.DUMMYFUNCTION("""COMPUTED_VALUE"""),8.0)</f>
        <v>8</v>
      </c>
      <c r="E121" s="11">
        <f>IFERROR(__xludf.DUMMYFUNCTION("""COMPUTED_VALUE"""),2012.0)</f>
        <v>2012</v>
      </c>
      <c r="F121" s="12">
        <f t="shared" si="1"/>
        <v>41160</v>
      </c>
      <c r="G121" s="3" t="s">
        <v>963</v>
      </c>
      <c r="H121" s="3">
        <f>IFERROR(__xludf.DUMMYFUNCTION("split(G121,""/"")"),9.0)</f>
        <v>9</v>
      </c>
      <c r="I121" s="3">
        <f>IFERROR(__xludf.DUMMYFUNCTION("""COMPUTED_VALUE"""),16.0)</f>
        <v>16</v>
      </c>
      <c r="J121" s="3">
        <f>IFERROR(__xludf.DUMMYFUNCTION("""COMPUTED_VALUE"""),2012.0)</f>
        <v>2012</v>
      </c>
      <c r="K121" s="12">
        <f t="shared" si="2"/>
        <v>41168</v>
      </c>
      <c r="L121" s="3" t="s">
        <v>827</v>
      </c>
      <c r="M121" s="3" t="s">
        <v>248</v>
      </c>
      <c r="N121" s="3">
        <v>2455.0</v>
      </c>
      <c r="O121" s="3" t="s">
        <v>815</v>
      </c>
      <c r="P121" s="10">
        <v>5016.0</v>
      </c>
      <c r="Q121" s="13">
        <v>109.28</v>
      </c>
      <c r="R121" s="13">
        <v>35.84</v>
      </c>
      <c r="S121" s="13">
        <f t="shared" si="3"/>
        <v>548148.48</v>
      </c>
      <c r="T121" s="13">
        <f t="shared" si="4"/>
        <v>179773.44</v>
      </c>
      <c r="U121" s="13">
        <f t="shared" si="5"/>
        <v>368375.04</v>
      </c>
      <c r="V121" s="3" t="str">
        <f>VLOOKUP(N121,products!A:B,2,0)</f>
        <v>Clothes</v>
      </c>
      <c r="W121" s="3" t="s">
        <v>28</v>
      </c>
      <c r="X121" s="3" t="s">
        <v>29</v>
      </c>
      <c r="Y121" s="14">
        <f t="shared" si="6"/>
        <v>0.6720351391</v>
      </c>
      <c r="Z121" s="3">
        <f t="shared" si="7"/>
        <v>8</v>
      </c>
      <c r="AA121" s="15">
        <f t="shared" si="8"/>
        <v>7</v>
      </c>
    </row>
    <row r="122" ht="15.75" customHeight="1">
      <c r="A122" s="3">
        <v>1.7714709E8</v>
      </c>
      <c r="B122" s="3" t="s">
        <v>906</v>
      </c>
      <c r="C122" s="3">
        <f>IFERROR(__xludf.DUMMYFUNCTION("split(B122,""/"")"),7.0)</f>
        <v>7</v>
      </c>
      <c r="D122" s="10">
        <f>IFERROR(__xludf.DUMMYFUNCTION("""COMPUTED_VALUE"""),15.0)</f>
        <v>15</v>
      </c>
      <c r="E122" s="11">
        <f>IFERROR(__xludf.DUMMYFUNCTION("""COMPUTED_VALUE"""),2013.0)</f>
        <v>2013</v>
      </c>
      <c r="F122" s="12">
        <f t="shared" si="1"/>
        <v>41470</v>
      </c>
      <c r="G122" s="3" t="s">
        <v>964</v>
      </c>
      <c r="H122" s="3">
        <f>IFERROR(__xludf.DUMMYFUNCTION("split(G122,""/"")"),8.0)</f>
        <v>8</v>
      </c>
      <c r="I122" s="3">
        <f>IFERROR(__xludf.DUMMYFUNCTION("""COMPUTED_VALUE"""),17.0)</f>
        <v>17</v>
      </c>
      <c r="J122" s="3">
        <f>IFERROR(__xludf.DUMMYFUNCTION("""COMPUTED_VALUE"""),2013.0)</f>
        <v>2013</v>
      </c>
      <c r="K122" s="12">
        <f t="shared" si="2"/>
        <v>41503</v>
      </c>
      <c r="L122" s="3" t="s">
        <v>825</v>
      </c>
      <c r="M122" s="3" t="s">
        <v>482</v>
      </c>
      <c r="N122" s="3">
        <v>8875.0</v>
      </c>
      <c r="O122" s="3" t="s">
        <v>818</v>
      </c>
      <c r="P122" s="10">
        <v>615.0</v>
      </c>
      <c r="Q122" s="13">
        <v>421.89</v>
      </c>
      <c r="R122" s="13">
        <v>364.69</v>
      </c>
      <c r="S122" s="13">
        <f t="shared" si="3"/>
        <v>259462.35</v>
      </c>
      <c r="T122" s="13">
        <f t="shared" si="4"/>
        <v>224284.35</v>
      </c>
      <c r="U122" s="13">
        <f t="shared" si="5"/>
        <v>35178</v>
      </c>
      <c r="V122" s="3" t="str">
        <f>VLOOKUP(N122,products!A:B,2,0)</f>
        <v>Meat</v>
      </c>
      <c r="W122" s="3" t="s">
        <v>28</v>
      </c>
      <c r="X122" s="3" t="s">
        <v>79</v>
      </c>
      <c r="Y122" s="14">
        <f t="shared" si="6"/>
        <v>0.1355803646</v>
      </c>
      <c r="Z122" s="3">
        <f t="shared" si="7"/>
        <v>33</v>
      </c>
      <c r="AA122" s="15">
        <f t="shared" si="8"/>
        <v>2</v>
      </c>
    </row>
    <row r="123" ht="15.75" customHeight="1">
      <c r="A123" s="3">
        <v>1.78604066E8</v>
      </c>
      <c r="B123" s="3" t="s">
        <v>965</v>
      </c>
      <c r="C123" s="3">
        <f>IFERROR(__xludf.DUMMYFUNCTION("split(B123,""/"")"),9.0)</f>
        <v>9</v>
      </c>
      <c r="D123" s="10">
        <f>IFERROR(__xludf.DUMMYFUNCTION("""COMPUTED_VALUE"""),20.0)</f>
        <v>20</v>
      </c>
      <c r="E123" s="11">
        <f>IFERROR(__xludf.DUMMYFUNCTION("""COMPUTED_VALUE"""),2015.0)</f>
        <v>2015</v>
      </c>
      <c r="F123" s="12">
        <f t="shared" si="1"/>
        <v>42267</v>
      </c>
      <c r="G123" s="3" t="s">
        <v>966</v>
      </c>
      <c r="H123" s="3">
        <f>IFERROR(__xludf.DUMMYFUNCTION("split(G123,""/"")"),10.0)</f>
        <v>10</v>
      </c>
      <c r="I123" s="3">
        <f>IFERROR(__xludf.DUMMYFUNCTION("""COMPUTED_VALUE"""),18.0)</f>
        <v>18</v>
      </c>
      <c r="J123" s="3">
        <f>IFERROR(__xludf.DUMMYFUNCTION("""COMPUTED_VALUE"""),2015.0)</f>
        <v>2015</v>
      </c>
      <c r="K123" s="12">
        <f t="shared" si="2"/>
        <v>42295</v>
      </c>
      <c r="L123" s="3" t="s">
        <v>817</v>
      </c>
      <c r="M123" s="3" t="s">
        <v>78</v>
      </c>
      <c r="N123" s="3">
        <v>7940.0</v>
      </c>
      <c r="O123" s="3" t="s">
        <v>815</v>
      </c>
      <c r="P123" s="10">
        <v>1767.0</v>
      </c>
      <c r="Q123" s="13">
        <v>668.27</v>
      </c>
      <c r="R123" s="13">
        <v>502.54</v>
      </c>
      <c r="S123" s="13">
        <f t="shared" si="3"/>
        <v>1180833.09</v>
      </c>
      <c r="T123" s="13">
        <f t="shared" si="4"/>
        <v>887988.18</v>
      </c>
      <c r="U123" s="13">
        <f t="shared" si="5"/>
        <v>292844.91</v>
      </c>
      <c r="V123" s="3" t="str">
        <f>VLOOKUP(N123,products!A:B,2,0)</f>
        <v>Household</v>
      </c>
      <c r="W123" s="3" t="s">
        <v>28</v>
      </c>
      <c r="X123" s="3" t="s">
        <v>79</v>
      </c>
      <c r="Y123" s="14">
        <f t="shared" si="6"/>
        <v>0.2479985635</v>
      </c>
      <c r="Z123" s="3">
        <f t="shared" si="7"/>
        <v>28</v>
      </c>
      <c r="AA123" s="15">
        <f t="shared" si="8"/>
        <v>1</v>
      </c>
    </row>
    <row r="124" ht="15.75" customHeight="1">
      <c r="A124" s="3">
        <v>1.79819428E8</v>
      </c>
      <c r="B124" s="9">
        <v>41034.0</v>
      </c>
      <c r="C124" s="3">
        <f>IFERROR(__xludf.DUMMYFUNCTION("split(B124,""/"")"),5.0)</f>
        <v>5</v>
      </c>
      <c r="D124" s="10">
        <f>IFERROR(__xludf.DUMMYFUNCTION("""COMPUTED_VALUE"""),5.0)</f>
        <v>5</v>
      </c>
      <c r="E124" s="11">
        <f>IFERROR(__xludf.DUMMYFUNCTION("""COMPUTED_VALUE"""),2012.0)</f>
        <v>2012</v>
      </c>
      <c r="F124" s="12">
        <f t="shared" si="1"/>
        <v>41034</v>
      </c>
      <c r="G124" s="9">
        <v>40945.0</v>
      </c>
      <c r="H124" s="3">
        <f>IFERROR(__xludf.DUMMYFUNCTION("split(G124,""/"")"),6.0)</f>
        <v>6</v>
      </c>
      <c r="I124" s="3">
        <f>IFERROR(__xludf.DUMMYFUNCTION("""COMPUTED_VALUE"""),2.0)</f>
        <v>2</v>
      </c>
      <c r="J124" s="3">
        <f>IFERROR(__xludf.DUMMYFUNCTION("""COMPUTED_VALUE"""),2012.0)</f>
        <v>2012</v>
      </c>
      <c r="K124" s="12">
        <f t="shared" si="2"/>
        <v>41062</v>
      </c>
      <c r="L124" s="3" t="s">
        <v>817</v>
      </c>
      <c r="M124" s="3" t="s">
        <v>142</v>
      </c>
      <c r="N124" s="3">
        <v>8293.0</v>
      </c>
      <c r="O124" s="3" t="s">
        <v>815</v>
      </c>
      <c r="P124" s="10">
        <v>1420.0</v>
      </c>
      <c r="Q124" s="13">
        <v>437.2</v>
      </c>
      <c r="R124" s="13">
        <v>263.33</v>
      </c>
      <c r="S124" s="13">
        <f t="shared" si="3"/>
        <v>620824</v>
      </c>
      <c r="T124" s="13">
        <f t="shared" si="4"/>
        <v>373928.6</v>
      </c>
      <c r="U124" s="13">
        <f t="shared" si="5"/>
        <v>246895.4</v>
      </c>
      <c r="V124" s="3" t="str">
        <f>VLOOKUP(N124,products!A:B,2,0)</f>
        <v>Cosmetics</v>
      </c>
      <c r="W124" s="3" t="s">
        <v>28</v>
      </c>
      <c r="X124" s="3" t="s">
        <v>98</v>
      </c>
      <c r="Y124" s="14">
        <f t="shared" si="6"/>
        <v>0.3976898445</v>
      </c>
      <c r="Z124" s="3">
        <f t="shared" si="7"/>
        <v>28</v>
      </c>
      <c r="AA124" s="15">
        <f t="shared" si="8"/>
        <v>7</v>
      </c>
    </row>
    <row r="125" ht="15.75" customHeight="1">
      <c r="A125" s="3">
        <v>1.80358016E8</v>
      </c>
      <c r="B125" s="3" t="s">
        <v>957</v>
      </c>
      <c r="C125" s="3">
        <f>IFERROR(__xludf.DUMMYFUNCTION("split(B125,""/"")"),4.0)</f>
        <v>4</v>
      </c>
      <c r="D125" s="10">
        <f>IFERROR(__xludf.DUMMYFUNCTION("""COMPUTED_VALUE"""),30.0)</f>
        <v>30</v>
      </c>
      <c r="E125" s="11">
        <f>IFERROR(__xludf.DUMMYFUNCTION("""COMPUTED_VALUE"""),2016.0)</f>
        <v>2016</v>
      </c>
      <c r="F125" s="12">
        <f t="shared" si="1"/>
        <v>42490</v>
      </c>
      <c r="G125" s="3" t="s">
        <v>967</v>
      </c>
      <c r="H125" s="3">
        <f>IFERROR(__xludf.DUMMYFUNCTION("split(G125,""/"")"),5.0)</f>
        <v>5</v>
      </c>
      <c r="I125" s="3">
        <f>IFERROR(__xludf.DUMMYFUNCTION("""COMPUTED_VALUE"""),16.0)</f>
        <v>16</v>
      </c>
      <c r="J125" s="3">
        <f>IFERROR(__xludf.DUMMYFUNCTION("""COMPUTED_VALUE"""),2016.0)</f>
        <v>2016</v>
      </c>
      <c r="K125" s="12">
        <f t="shared" si="2"/>
        <v>42506</v>
      </c>
      <c r="L125" s="3" t="s">
        <v>814</v>
      </c>
      <c r="M125" s="3" t="s">
        <v>455</v>
      </c>
      <c r="N125" s="3">
        <v>1270.0</v>
      </c>
      <c r="O125" s="3" t="s">
        <v>815</v>
      </c>
      <c r="P125" s="10">
        <v>800.0</v>
      </c>
      <c r="Q125" s="13">
        <v>47.45</v>
      </c>
      <c r="R125" s="13">
        <v>31.79</v>
      </c>
      <c r="S125" s="13">
        <f t="shared" si="3"/>
        <v>37960</v>
      </c>
      <c r="T125" s="13">
        <f t="shared" si="4"/>
        <v>25432</v>
      </c>
      <c r="U125" s="13">
        <f t="shared" si="5"/>
        <v>12528</v>
      </c>
      <c r="V125" s="3" t="str">
        <f>VLOOKUP(N125,products!A:B,2,0)</f>
        <v>Beverages</v>
      </c>
      <c r="W125" s="3" t="s">
        <v>28</v>
      </c>
      <c r="X125" s="3" t="s">
        <v>33</v>
      </c>
      <c r="Y125" s="14">
        <f t="shared" si="6"/>
        <v>0.3300316122</v>
      </c>
      <c r="Z125" s="3">
        <f t="shared" si="7"/>
        <v>16</v>
      </c>
      <c r="AA125" s="15">
        <f t="shared" si="8"/>
        <v>7</v>
      </c>
    </row>
    <row r="126" ht="15.75" customHeight="1">
      <c r="A126" s="3">
        <v>1.80479466E8</v>
      </c>
      <c r="B126" s="9">
        <v>40664.0</v>
      </c>
      <c r="C126" s="3">
        <f>IFERROR(__xludf.DUMMYFUNCTION("split(B126,""/"")"),1.0)</f>
        <v>1</v>
      </c>
      <c r="D126" s="10">
        <f>IFERROR(__xludf.DUMMYFUNCTION("""COMPUTED_VALUE"""),5.0)</f>
        <v>5</v>
      </c>
      <c r="E126" s="11">
        <f>IFERROR(__xludf.DUMMYFUNCTION("""COMPUTED_VALUE"""),2011.0)</f>
        <v>2011</v>
      </c>
      <c r="F126" s="12">
        <f t="shared" si="1"/>
        <v>40548</v>
      </c>
      <c r="G126" s="9">
        <v>40878.0</v>
      </c>
      <c r="H126" s="3">
        <f>IFERROR(__xludf.DUMMYFUNCTION("split(G126,""/"")"),1.0)</f>
        <v>1</v>
      </c>
      <c r="I126" s="3">
        <f>IFERROR(__xludf.DUMMYFUNCTION("""COMPUTED_VALUE"""),12.0)</f>
        <v>12</v>
      </c>
      <c r="J126" s="3">
        <f>IFERROR(__xludf.DUMMYFUNCTION("""COMPUTED_VALUE"""),2011.0)</f>
        <v>2011</v>
      </c>
      <c r="K126" s="12">
        <f t="shared" si="2"/>
        <v>40555</v>
      </c>
      <c r="L126" s="3" t="s">
        <v>817</v>
      </c>
      <c r="M126" s="3" t="s">
        <v>97</v>
      </c>
      <c r="N126" s="3">
        <v>5988.0</v>
      </c>
      <c r="O126" s="3" t="s">
        <v>815</v>
      </c>
      <c r="P126" s="10">
        <v>6740.0</v>
      </c>
      <c r="Q126" s="13">
        <v>154.06</v>
      </c>
      <c r="R126" s="13">
        <v>90.93</v>
      </c>
      <c r="S126" s="13">
        <f t="shared" si="3"/>
        <v>1038364.4</v>
      </c>
      <c r="T126" s="13">
        <f t="shared" si="4"/>
        <v>612868.2</v>
      </c>
      <c r="U126" s="13">
        <f t="shared" si="5"/>
        <v>425496.2</v>
      </c>
      <c r="V126" s="3" t="str">
        <f>VLOOKUP(N126,products!A:B,2,0)</f>
        <v>Vegetables</v>
      </c>
      <c r="W126" s="3" t="s">
        <v>28</v>
      </c>
      <c r="X126" s="3" t="s">
        <v>98</v>
      </c>
      <c r="Y126" s="14">
        <f t="shared" si="6"/>
        <v>0.4097754122</v>
      </c>
      <c r="Z126" s="3">
        <f t="shared" si="7"/>
        <v>7</v>
      </c>
      <c r="AA126" s="15">
        <f t="shared" si="8"/>
        <v>4</v>
      </c>
    </row>
    <row r="127" ht="15.75" customHeight="1">
      <c r="A127" s="3">
        <v>1.81260526E8</v>
      </c>
      <c r="B127" s="9">
        <v>42799.0</v>
      </c>
      <c r="C127" s="3">
        <f>IFERROR(__xludf.DUMMYFUNCTION("split(B127,""/"")"),5.0)</f>
        <v>5</v>
      </c>
      <c r="D127" s="10">
        <f>IFERROR(__xludf.DUMMYFUNCTION("""COMPUTED_VALUE"""),3.0)</f>
        <v>3</v>
      </c>
      <c r="E127" s="11">
        <f>IFERROR(__xludf.DUMMYFUNCTION("""COMPUTED_VALUE"""),2017.0)</f>
        <v>2017</v>
      </c>
      <c r="F127" s="12">
        <f t="shared" si="1"/>
        <v>42858</v>
      </c>
      <c r="G127" s="9">
        <v>42800.0</v>
      </c>
      <c r="H127" s="3">
        <f>IFERROR(__xludf.DUMMYFUNCTION("split(G127,""/"")"),6.0)</f>
        <v>6</v>
      </c>
      <c r="I127" s="3">
        <f>IFERROR(__xludf.DUMMYFUNCTION("""COMPUTED_VALUE"""),3.0)</f>
        <v>3</v>
      </c>
      <c r="J127" s="3">
        <f>IFERROR(__xludf.DUMMYFUNCTION("""COMPUTED_VALUE"""),2017.0)</f>
        <v>2017</v>
      </c>
      <c r="K127" s="12">
        <f t="shared" si="2"/>
        <v>42889</v>
      </c>
      <c r="L127" s="3" t="s">
        <v>814</v>
      </c>
      <c r="M127" s="3" t="s">
        <v>740</v>
      </c>
      <c r="N127" s="3">
        <v>8681.0</v>
      </c>
      <c r="O127" s="3" t="s">
        <v>818</v>
      </c>
      <c r="P127" s="10">
        <v>7872.0</v>
      </c>
      <c r="Q127" s="13">
        <v>651.21</v>
      </c>
      <c r="R127" s="13">
        <v>524.96</v>
      </c>
      <c r="S127" s="13">
        <f t="shared" si="3"/>
        <v>5126325.12</v>
      </c>
      <c r="T127" s="13">
        <f t="shared" si="4"/>
        <v>4132485.12</v>
      </c>
      <c r="U127" s="13">
        <f t="shared" si="5"/>
        <v>993840</v>
      </c>
      <c r="V127" s="3" t="str">
        <f>VLOOKUP(N127,products!A:B,2,0)</f>
        <v>Office Supplies</v>
      </c>
      <c r="W127" s="3" t="s">
        <v>28</v>
      </c>
      <c r="X127" s="3" t="s">
        <v>98</v>
      </c>
      <c r="Y127" s="14">
        <f t="shared" si="6"/>
        <v>0.193869873</v>
      </c>
      <c r="Z127" s="3">
        <f t="shared" si="7"/>
        <v>31</v>
      </c>
      <c r="AA127" s="15">
        <f t="shared" si="8"/>
        <v>4</v>
      </c>
    </row>
    <row r="128" ht="15.75" customHeight="1">
      <c r="A128" s="3">
        <v>1.82078921E8</v>
      </c>
      <c r="B128" s="9">
        <v>42705.0</v>
      </c>
      <c r="C128" s="3">
        <f>IFERROR(__xludf.DUMMYFUNCTION("split(B128,""/"")"),1.0)</f>
        <v>1</v>
      </c>
      <c r="D128" s="10">
        <f>IFERROR(__xludf.DUMMYFUNCTION("""COMPUTED_VALUE"""),12.0)</f>
        <v>12</v>
      </c>
      <c r="E128" s="11">
        <f>IFERROR(__xludf.DUMMYFUNCTION("""COMPUTED_VALUE"""),2016.0)</f>
        <v>2016</v>
      </c>
      <c r="F128" s="12">
        <f t="shared" si="1"/>
        <v>42381</v>
      </c>
      <c r="G128" s="3" t="s">
        <v>968</v>
      </c>
      <c r="H128" s="3">
        <f>IFERROR(__xludf.DUMMYFUNCTION("split(G128,""/"")"),2.0)</f>
        <v>2</v>
      </c>
      <c r="I128" s="3">
        <f>IFERROR(__xludf.DUMMYFUNCTION("""COMPUTED_VALUE"""),14.0)</f>
        <v>14</v>
      </c>
      <c r="J128" s="3">
        <f>IFERROR(__xludf.DUMMYFUNCTION("""COMPUTED_VALUE"""),2016.0)</f>
        <v>2016</v>
      </c>
      <c r="K128" s="12">
        <f t="shared" si="2"/>
        <v>42414</v>
      </c>
      <c r="L128" s="3" t="s">
        <v>827</v>
      </c>
      <c r="M128" s="3" t="s">
        <v>267</v>
      </c>
      <c r="N128" s="3">
        <v>4594.0</v>
      </c>
      <c r="O128" s="3" t="s">
        <v>818</v>
      </c>
      <c r="P128" s="10">
        <v>54.0</v>
      </c>
      <c r="Q128" s="13">
        <v>9.33</v>
      </c>
      <c r="R128" s="13">
        <v>6.92</v>
      </c>
      <c r="S128" s="13">
        <f t="shared" si="3"/>
        <v>503.82</v>
      </c>
      <c r="T128" s="13">
        <f t="shared" si="4"/>
        <v>373.68</v>
      </c>
      <c r="U128" s="13">
        <f t="shared" si="5"/>
        <v>130.14</v>
      </c>
      <c r="V128" s="3" t="str">
        <f>VLOOKUP(N128,products!A:B,2,0)</f>
        <v>Fruits</v>
      </c>
      <c r="W128" s="3" t="s">
        <v>28</v>
      </c>
      <c r="X128" s="3" t="s">
        <v>29</v>
      </c>
      <c r="Y128" s="14">
        <f t="shared" si="6"/>
        <v>0.258306538</v>
      </c>
      <c r="Z128" s="3">
        <f t="shared" si="7"/>
        <v>33</v>
      </c>
      <c r="AA128" s="15">
        <f t="shared" si="8"/>
        <v>3</v>
      </c>
    </row>
    <row r="129" ht="15.75" customHeight="1">
      <c r="A129" s="3">
        <v>1.82228696E8</v>
      </c>
      <c r="B129" s="3" t="s">
        <v>969</v>
      </c>
      <c r="C129" s="3">
        <f>IFERROR(__xludf.DUMMYFUNCTION("split(B129,""/"")"),5.0)</f>
        <v>5</v>
      </c>
      <c r="D129" s="10">
        <f>IFERROR(__xludf.DUMMYFUNCTION("""COMPUTED_VALUE"""),31.0)</f>
        <v>31</v>
      </c>
      <c r="E129" s="11">
        <f>IFERROR(__xludf.DUMMYFUNCTION("""COMPUTED_VALUE"""),2010.0)</f>
        <v>2010</v>
      </c>
      <c r="F129" s="12">
        <f t="shared" si="1"/>
        <v>40329</v>
      </c>
      <c r="G129" s="9">
        <v>40519.0</v>
      </c>
      <c r="H129" s="3">
        <f>IFERROR(__xludf.DUMMYFUNCTION("split(G129,""/"")"),7.0)</f>
        <v>7</v>
      </c>
      <c r="I129" s="3">
        <f>IFERROR(__xludf.DUMMYFUNCTION("""COMPUTED_VALUE"""),12.0)</f>
        <v>12</v>
      </c>
      <c r="J129" s="3">
        <f>IFERROR(__xludf.DUMMYFUNCTION("""COMPUTED_VALUE"""),2010.0)</f>
        <v>2010</v>
      </c>
      <c r="K129" s="12">
        <f t="shared" si="2"/>
        <v>40371</v>
      </c>
      <c r="L129" s="3" t="s">
        <v>825</v>
      </c>
      <c r="M129" s="3" t="s">
        <v>413</v>
      </c>
      <c r="N129" s="3">
        <v>8681.0</v>
      </c>
      <c r="O129" s="3" t="s">
        <v>815</v>
      </c>
      <c r="P129" s="10">
        <v>4375.0</v>
      </c>
      <c r="Q129" s="13">
        <v>651.21</v>
      </c>
      <c r="R129" s="13">
        <v>524.96</v>
      </c>
      <c r="S129" s="13">
        <f t="shared" si="3"/>
        <v>2849043.75</v>
      </c>
      <c r="T129" s="13">
        <f t="shared" si="4"/>
        <v>2296700</v>
      </c>
      <c r="U129" s="13">
        <f t="shared" si="5"/>
        <v>552343.75</v>
      </c>
      <c r="V129" s="3" t="str">
        <f>VLOOKUP(N129,products!A:B,2,0)</f>
        <v>Office Supplies</v>
      </c>
      <c r="W129" s="3" t="s">
        <v>28</v>
      </c>
      <c r="X129" s="3" t="s">
        <v>29</v>
      </c>
      <c r="Y129" s="14">
        <f t="shared" si="6"/>
        <v>0.193869873</v>
      </c>
      <c r="Z129" s="3">
        <f t="shared" si="7"/>
        <v>42</v>
      </c>
      <c r="AA129" s="15">
        <f t="shared" si="8"/>
        <v>2</v>
      </c>
    </row>
    <row r="130" ht="15.75" customHeight="1">
      <c r="A130" s="3">
        <v>1.83778369E8</v>
      </c>
      <c r="B130" s="3" t="s">
        <v>970</v>
      </c>
      <c r="C130" s="3">
        <f>IFERROR(__xludf.DUMMYFUNCTION("split(B130,""/"")"),12.0)</f>
        <v>12</v>
      </c>
      <c r="D130" s="10">
        <f>IFERROR(__xludf.DUMMYFUNCTION("""COMPUTED_VALUE"""),24.0)</f>
        <v>24</v>
      </c>
      <c r="E130" s="11">
        <f>IFERROR(__xludf.DUMMYFUNCTION("""COMPUTED_VALUE"""),2012.0)</f>
        <v>2012</v>
      </c>
      <c r="F130" s="12">
        <f t="shared" si="1"/>
        <v>41267</v>
      </c>
      <c r="G130" s="9">
        <v>41456.0</v>
      </c>
      <c r="H130" s="3">
        <f>IFERROR(__xludf.DUMMYFUNCTION("split(G130,""/"")"),1.0)</f>
        <v>1</v>
      </c>
      <c r="I130" s="3">
        <f>IFERROR(__xludf.DUMMYFUNCTION("""COMPUTED_VALUE"""),7.0)</f>
        <v>7</v>
      </c>
      <c r="J130" s="3">
        <f>IFERROR(__xludf.DUMMYFUNCTION("""COMPUTED_VALUE"""),2013.0)</f>
        <v>2013</v>
      </c>
      <c r="K130" s="12">
        <f t="shared" si="2"/>
        <v>41281</v>
      </c>
      <c r="L130" s="3" t="s">
        <v>825</v>
      </c>
      <c r="M130" s="3" t="s">
        <v>123</v>
      </c>
      <c r="N130" s="3">
        <v>8969.0</v>
      </c>
      <c r="O130" s="3" t="s">
        <v>815</v>
      </c>
      <c r="P130" s="10">
        <v>2958.0</v>
      </c>
      <c r="Q130" s="13">
        <v>152.58</v>
      </c>
      <c r="R130" s="13">
        <v>97.44</v>
      </c>
      <c r="S130" s="13">
        <f t="shared" si="3"/>
        <v>451331.64</v>
      </c>
      <c r="T130" s="13">
        <f t="shared" si="4"/>
        <v>288227.52</v>
      </c>
      <c r="U130" s="13">
        <f t="shared" si="5"/>
        <v>163104.12</v>
      </c>
      <c r="V130" s="3" t="str">
        <f>VLOOKUP(N130,products!A:B,2,0)</f>
        <v>Snacks</v>
      </c>
      <c r="W130" s="3" t="s">
        <v>28</v>
      </c>
      <c r="X130" s="3" t="s">
        <v>33</v>
      </c>
      <c r="Y130" s="14">
        <f t="shared" si="6"/>
        <v>0.3613841919</v>
      </c>
      <c r="Z130" s="3">
        <f t="shared" si="7"/>
        <v>14</v>
      </c>
      <c r="AA130" s="15">
        <f t="shared" si="8"/>
        <v>2</v>
      </c>
    </row>
    <row r="131" ht="15.75" customHeight="1">
      <c r="A131" s="3">
        <v>1.83910119E8</v>
      </c>
      <c r="B131" s="9">
        <v>41888.0</v>
      </c>
      <c r="C131" s="3">
        <f>IFERROR(__xludf.DUMMYFUNCTION("split(B131,""/"")"),6.0)</f>
        <v>6</v>
      </c>
      <c r="D131" s="10">
        <f>IFERROR(__xludf.DUMMYFUNCTION("""COMPUTED_VALUE"""),9.0)</f>
        <v>9</v>
      </c>
      <c r="E131" s="11">
        <f>IFERROR(__xludf.DUMMYFUNCTION("""COMPUTED_VALUE"""),2014.0)</f>
        <v>2014</v>
      </c>
      <c r="F131" s="12">
        <f t="shared" si="1"/>
        <v>41799</v>
      </c>
      <c r="G131" s="9">
        <v>41949.0</v>
      </c>
      <c r="H131" s="3">
        <f>IFERROR(__xludf.DUMMYFUNCTION("split(G131,""/"")"),6.0)</f>
        <v>6</v>
      </c>
      <c r="I131" s="3">
        <f>IFERROR(__xludf.DUMMYFUNCTION("""COMPUTED_VALUE"""),11.0)</f>
        <v>11</v>
      </c>
      <c r="J131" s="3">
        <f>IFERROR(__xludf.DUMMYFUNCTION("""COMPUTED_VALUE"""),2014.0)</f>
        <v>2014</v>
      </c>
      <c r="K131" s="12">
        <f t="shared" si="2"/>
        <v>41801</v>
      </c>
      <c r="L131" s="3" t="s">
        <v>817</v>
      </c>
      <c r="M131" s="3" t="s">
        <v>740</v>
      </c>
      <c r="N131" s="3">
        <v>8293.0</v>
      </c>
      <c r="O131" s="3" t="s">
        <v>815</v>
      </c>
      <c r="P131" s="10">
        <v>1946.0</v>
      </c>
      <c r="Q131" s="13">
        <v>437.2</v>
      </c>
      <c r="R131" s="13">
        <v>263.33</v>
      </c>
      <c r="S131" s="13">
        <f t="shared" si="3"/>
        <v>850791.2</v>
      </c>
      <c r="T131" s="13">
        <f t="shared" si="4"/>
        <v>512440.18</v>
      </c>
      <c r="U131" s="13">
        <f t="shared" si="5"/>
        <v>338351.02</v>
      </c>
      <c r="V131" s="3" t="str">
        <f>VLOOKUP(N131,products!A:B,2,0)</f>
        <v>Cosmetics</v>
      </c>
      <c r="W131" s="3" t="s">
        <v>28</v>
      </c>
      <c r="X131" s="3" t="s">
        <v>98</v>
      </c>
      <c r="Y131" s="14">
        <f t="shared" si="6"/>
        <v>0.3976898445</v>
      </c>
      <c r="Z131" s="3">
        <f t="shared" si="7"/>
        <v>2</v>
      </c>
      <c r="AA131" s="15">
        <f t="shared" si="8"/>
        <v>2</v>
      </c>
    </row>
    <row r="132" ht="15.75" customHeight="1">
      <c r="A132" s="3">
        <v>1.84120833E8</v>
      </c>
      <c r="B132" s="3" t="s">
        <v>971</v>
      </c>
      <c r="C132" s="3">
        <f>IFERROR(__xludf.DUMMYFUNCTION("split(B132,""/"")"),10.0)</f>
        <v>10</v>
      </c>
      <c r="D132" s="10">
        <f>IFERROR(__xludf.DUMMYFUNCTION("""COMPUTED_VALUE"""),27.0)</f>
        <v>27</v>
      </c>
      <c r="E132" s="11">
        <f>IFERROR(__xludf.DUMMYFUNCTION("""COMPUTED_VALUE"""),2014.0)</f>
        <v>2014</v>
      </c>
      <c r="F132" s="12">
        <f t="shared" si="1"/>
        <v>41939</v>
      </c>
      <c r="G132" s="3" t="s">
        <v>972</v>
      </c>
      <c r="H132" s="3">
        <f>IFERROR(__xludf.DUMMYFUNCTION("split(G132,""/"")"),10.0)</f>
        <v>10</v>
      </c>
      <c r="I132" s="3">
        <f>IFERROR(__xludf.DUMMYFUNCTION("""COMPUTED_VALUE"""),31.0)</f>
        <v>31</v>
      </c>
      <c r="J132" s="3">
        <f>IFERROR(__xludf.DUMMYFUNCTION("""COMPUTED_VALUE"""),2014.0)</f>
        <v>2014</v>
      </c>
      <c r="K132" s="12">
        <f t="shared" si="2"/>
        <v>41943</v>
      </c>
      <c r="L132" s="3" t="s">
        <v>827</v>
      </c>
      <c r="M132" s="3" t="s">
        <v>221</v>
      </c>
      <c r="N132" s="3">
        <v>2455.0</v>
      </c>
      <c r="O132" s="3" t="s">
        <v>818</v>
      </c>
      <c r="P132" s="10">
        <v>4301.0</v>
      </c>
      <c r="Q132" s="13">
        <v>109.28</v>
      </c>
      <c r="R132" s="13">
        <v>35.84</v>
      </c>
      <c r="S132" s="13">
        <f t="shared" si="3"/>
        <v>470013.28</v>
      </c>
      <c r="T132" s="13">
        <f t="shared" si="4"/>
        <v>154147.84</v>
      </c>
      <c r="U132" s="13">
        <f t="shared" si="5"/>
        <v>315865.44</v>
      </c>
      <c r="V132" s="3" t="str">
        <f>VLOOKUP(N132,products!A:B,2,0)</f>
        <v>Clothes</v>
      </c>
      <c r="W132" s="3" t="s">
        <v>28</v>
      </c>
      <c r="X132" s="3" t="s">
        <v>29</v>
      </c>
      <c r="Y132" s="14">
        <f t="shared" si="6"/>
        <v>0.6720351391</v>
      </c>
      <c r="Z132" s="3">
        <f t="shared" si="7"/>
        <v>4</v>
      </c>
      <c r="AA132" s="15">
        <f t="shared" si="8"/>
        <v>2</v>
      </c>
    </row>
    <row r="133" ht="15.75" customHeight="1">
      <c r="A133" s="3">
        <v>1.84412229E8</v>
      </c>
      <c r="B133" s="9">
        <v>42098.0</v>
      </c>
      <c r="C133" s="3">
        <f>IFERROR(__xludf.DUMMYFUNCTION("split(B133,""/"")"),4.0)</f>
        <v>4</v>
      </c>
      <c r="D133" s="10">
        <f>IFERROR(__xludf.DUMMYFUNCTION("""COMPUTED_VALUE"""),4.0)</f>
        <v>4</v>
      </c>
      <c r="E133" s="11">
        <f>IFERROR(__xludf.DUMMYFUNCTION("""COMPUTED_VALUE"""),2015.0)</f>
        <v>2015</v>
      </c>
      <c r="F133" s="12">
        <f t="shared" si="1"/>
        <v>42098</v>
      </c>
      <c r="G133" s="9">
        <v>42189.0</v>
      </c>
      <c r="H133" s="3">
        <f>IFERROR(__xludf.DUMMYFUNCTION("split(G133,""/"")"),4.0)</f>
        <v>4</v>
      </c>
      <c r="I133" s="3">
        <f>IFERROR(__xludf.DUMMYFUNCTION("""COMPUTED_VALUE"""),7.0)</f>
        <v>7</v>
      </c>
      <c r="J133" s="3">
        <f>IFERROR(__xludf.DUMMYFUNCTION("""COMPUTED_VALUE"""),2015.0)</f>
        <v>2015</v>
      </c>
      <c r="K133" s="12">
        <f t="shared" si="2"/>
        <v>42101</v>
      </c>
      <c r="L133" s="3" t="s">
        <v>817</v>
      </c>
      <c r="M133" s="3" t="s">
        <v>123</v>
      </c>
      <c r="N133" s="3">
        <v>7331.0</v>
      </c>
      <c r="O133" s="3" t="s">
        <v>815</v>
      </c>
      <c r="P133" s="10">
        <v>531.0</v>
      </c>
      <c r="Q133" s="13">
        <v>255.28</v>
      </c>
      <c r="R133" s="13">
        <v>159.42</v>
      </c>
      <c r="S133" s="13">
        <f t="shared" si="3"/>
        <v>135553.68</v>
      </c>
      <c r="T133" s="13">
        <f t="shared" si="4"/>
        <v>84652.02</v>
      </c>
      <c r="U133" s="13">
        <f t="shared" si="5"/>
        <v>50901.66</v>
      </c>
      <c r="V133" s="3" t="str">
        <f>VLOOKUP(N133,products!A:B,2,0)</f>
        <v>Baby Food</v>
      </c>
      <c r="W133" s="3" t="s">
        <v>28</v>
      </c>
      <c r="X133" s="3" t="s">
        <v>33</v>
      </c>
      <c r="Y133" s="14">
        <f t="shared" si="6"/>
        <v>0.3755092448</v>
      </c>
      <c r="Z133" s="3">
        <f t="shared" si="7"/>
        <v>3</v>
      </c>
      <c r="AA133" s="15">
        <f t="shared" si="8"/>
        <v>7</v>
      </c>
    </row>
    <row r="134" ht="15.75" customHeight="1">
      <c r="A134" s="3">
        <v>1.84708344E8</v>
      </c>
      <c r="B134" s="3" t="s">
        <v>973</v>
      </c>
      <c r="C134" s="3">
        <f>IFERROR(__xludf.DUMMYFUNCTION("split(B134,""/"")"),11.0)</f>
        <v>11</v>
      </c>
      <c r="D134" s="10">
        <f>IFERROR(__xludf.DUMMYFUNCTION("""COMPUTED_VALUE"""),27.0)</f>
        <v>27</v>
      </c>
      <c r="E134" s="11">
        <f>IFERROR(__xludf.DUMMYFUNCTION("""COMPUTED_VALUE"""),2016.0)</f>
        <v>2016</v>
      </c>
      <c r="F134" s="12">
        <f t="shared" si="1"/>
        <v>42701</v>
      </c>
      <c r="G134" s="9">
        <v>42412.0</v>
      </c>
      <c r="H134" s="3">
        <f>IFERROR(__xludf.DUMMYFUNCTION("split(G134,""/"")"),12.0)</f>
        <v>12</v>
      </c>
      <c r="I134" s="3">
        <f>IFERROR(__xludf.DUMMYFUNCTION("""COMPUTED_VALUE"""),2.0)</f>
        <v>2</v>
      </c>
      <c r="J134" s="3">
        <f>IFERROR(__xludf.DUMMYFUNCTION("""COMPUTED_VALUE"""),2016.0)</f>
        <v>2016</v>
      </c>
      <c r="K134" s="12">
        <f t="shared" si="2"/>
        <v>42706</v>
      </c>
      <c r="L134" s="3" t="s">
        <v>827</v>
      </c>
      <c r="M134" s="3" t="s">
        <v>123</v>
      </c>
      <c r="N134" s="3">
        <v>5988.0</v>
      </c>
      <c r="O134" s="3" t="s">
        <v>815</v>
      </c>
      <c r="P134" s="10">
        <v>8159.0</v>
      </c>
      <c r="Q134" s="13">
        <v>154.06</v>
      </c>
      <c r="R134" s="13">
        <v>90.93</v>
      </c>
      <c r="S134" s="13">
        <f t="shared" si="3"/>
        <v>1256975.54</v>
      </c>
      <c r="T134" s="13">
        <f t="shared" si="4"/>
        <v>741897.87</v>
      </c>
      <c r="U134" s="13">
        <f t="shared" si="5"/>
        <v>515077.67</v>
      </c>
      <c r="V134" s="3" t="str">
        <f>VLOOKUP(N134,products!A:B,2,0)</f>
        <v>Vegetables</v>
      </c>
      <c r="W134" s="3" t="s">
        <v>28</v>
      </c>
      <c r="X134" s="3" t="s">
        <v>33</v>
      </c>
      <c r="Y134" s="14">
        <f t="shared" si="6"/>
        <v>0.4097754122</v>
      </c>
      <c r="Z134" s="3">
        <f t="shared" si="7"/>
        <v>5</v>
      </c>
      <c r="AA134" s="15">
        <f t="shared" si="8"/>
        <v>1</v>
      </c>
    </row>
    <row r="135" ht="15.75" customHeight="1">
      <c r="A135" s="3">
        <v>1.84976994E8</v>
      </c>
      <c r="B135" s="3" t="s">
        <v>974</v>
      </c>
      <c r="C135" s="3">
        <f>IFERROR(__xludf.DUMMYFUNCTION("split(B135,""/"")"),8.0)</f>
        <v>8</v>
      </c>
      <c r="D135" s="10">
        <f>IFERROR(__xludf.DUMMYFUNCTION("""COMPUTED_VALUE"""),21.0)</f>
        <v>21</v>
      </c>
      <c r="E135" s="11">
        <f>IFERROR(__xludf.DUMMYFUNCTION("""COMPUTED_VALUE"""),2015.0)</f>
        <v>2015</v>
      </c>
      <c r="F135" s="12">
        <f t="shared" si="1"/>
        <v>42237</v>
      </c>
      <c r="G135" s="3" t="s">
        <v>975</v>
      </c>
      <c r="H135" s="3">
        <f>IFERROR(__xludf.DUMMYFUNCTION("split(G135,""/"")"),9.0)</f>
        <v>9</v>
      </c>
      <c r="I135" s="3">
        <f>IFERROR(__xludf.DUMMYFUNCTION("""COMPUTED_VALUE"""),21.0)</f>
        <v>21</v>
      </c>
      <c r="J135" s="3">
        <f>IFERROR(__xludf.DUMMYFUNCTION("""COMPUTED_VALUE"""),2015.0)</f>
        <v>2015</v>
      </c>
      <c r="K135" s="12">
        <f t="shared" si="2"/>
        <v>42268</v>
      </c>
      <c r="L135" s="3" t="s">
        <v>817</v>
      </c>
      <c r="M135" s="3" t="s">
        <v>428</v>
      </c>
      <c r="N135" s="3">
        <v>7940.0</v>
      </c>
      <c r="O135" s="3" t="s">
        <v>815</v>
      </c>
      <c r="P135" s="10">
        <v>7658.0</v>
      </c>
      <c r="Q135" s="13">
        <v>668.27</v>
      </c>
      <c r="R135" s="13">
        <v>502.54</v>
      </c>
      <c r="S135" s="13">
        <f t="shared" si="3"/>
        <v>5117611.66</v>
      </c>
      <c r="T135" s="13">
        <f t="shared" si="4"/>
        <v>3848451.32</v>
      </c>
      <c r="U135" s="13">
        <f t="shared" si="5"/>
        <v>1269160.34</v>
      </c>
      <c r="V135" s="3" t="str">
        <f>VLOOKUP(N135,products!A:B,2,0)</f>
        <v>Household</v>
      </c>
      <c r="W135" s="3" t="s">
        <v>28</v>
      </c>
      <c r="X135" s="3" t="s">
        <v>79</v>
      </c>
      <c r="Y135" s="14">
        <f t="shared" si="6"/>
        <v>0.2479985635</v>
      </c>
      <c r="Z135" s="3">
        <f t="shared" si="7"/>
        <v>31</v>
      </c>
      <c r="AA135" s="15">
        <f t="shared" si="8"/>
        <v>6</v>
      </c>
    </row>
    <row r="136" ht="15.75" customHeight="1">
      <c r="A136" s="3">
        <v>1.8594731E8</v>
      </c>
      <c r="B136" s="9">
        <v>41061.0</v>
      </c>
      <c r="C136" s="3">
        <f>IFERROR(__xludf.DUMMYFUNCTION("split(B136,""/"")"),1.0)</f>
        <v>1</v>
      </c>
      <c r="D136" s="10">
        <f>IFERROR(__xludf.DUMMYFUNCTION("""COMPUTED_VALUE"""),6.0)</f>
        <v>6</v>
      </c>
      <c r="E136" s="11">
        <f>IFERROR(__xludf.DUMMYFUNCTION("""COMPUTED_VALUE"""),2012.0)</f>
        <v>2012</v>
      </c>
      <c r="F136" s="12">
        <f t="shared" si="1"/>
        <v>40914</v>
      </c>
      <c r="G136" s="3" t="s">
        <v>976</v>
      </c>
      <c r="H136" s="3">
        <f>IFERROR(__xludf.DUMMYFUNCTION("split(G136,""/"")"),1.0)</f>
        <v>1</v>
      </c>
      <c r="I136" s="3">
        <f>IFERROR(__xludf.DUMMYFUNCTION("""COMPUTED_VALUE"""),27.0)</f>
        <v>27</v>
      </c>
      <c r="J136" s="3">
        <f>IFERROR(__xludf.DUMMYFUNCTION("""COMPUTED_VALUE"""),2012.0)</f>
        <v>2012</v>
      </c>
      <c r="K136" s="12">
        <f t="shared" si="2"/>
        <v>40935</v>
      </c>
      <c r="L136" s="3" t="s">
        <v>825</v>
      </c>
      <c r="M136" s="3" t="s">
        <v>623</v>
      </c>
      <c r="N136" s="3">
        <v>3127.0</v>
      </c>
      <c r="O136" s="3" t="s">
        <v>939</v>
      </c>
      <c r="P136" s="10">
        <v>4796.0</v>
      </c>
      <c r="Q136" s="13">
        <v>81.73</v>
      </c>
      <c r="R136" s="13">
        <v>56.67</v>
      </c>
      <c r="S136" s="13">
        <f t="shared" si="3"/>
        <v>391977.08</v>
      </c>
      <c r="T136" s="13">
        <f t="shared" si="4"/>
        <v>271789.32</v>
      </c>
      <c r="U136" s="13">
        <f t="shared" si="5"/>
        <v>120187.76</v>
      </c>
      <c r="V136" s="3" t="str">
        <f>VLOOKUP(N136,products!A:B,2,0)</f>
        <v>Personal Care</v>
      </c>
      <c r="W136" s="3" t="s">
        <v>28</v>
      </c>
      <c r="X136" s="3" t="s">
        <v>33</v>
      </c>
      <c r="Y136" s="14">
        <f t="shared" si="6"/>
        <v>0.3066193564</v>
      </c>
      <c r="Z136" s="3">
        <f t="shared" si="7"/>
        <v>21</v>
      </c>
      <c r="AA136" s="15">
        <f t="shared" si="8"/>
        <v>6</v>
      </c>
    </row>
    <row r="137" ht="15.75" customHeight="1">
      <c r="A137" s="3">
        <v>1.85960614E8</v>
      </c>
      <c r="B137" s="3" t="s">
        <v>977</v>
      </c>
      <c r="C137" s="3">
        <f>IFERROR(__xludf.DUMMYFUNCTION("split(B137,""/"")"),4.0)</f>
        <v>4</v>
      </c>
      <c r="D137" s="10">
        <f>IFERROR(__xludf.DUMMYFUNCTION("""COMPUTED_VALUE"""),20.0)</f>
        <v>20</v>
      </c>
      <c r="E137" s="11">
        <f>IFERROR(__xludf.DUMMYFUNCTION("""COMPUTED_VALUE"""),2011.0)</f>
        <v>2011</v>
      </c>
      <c r="F137" s="12">
        <f t="shared" si="1"/>
        <v>40653</v>
      </c>
      <c r="G137" s="3" t="s">
        <v>978</v>
      </c>
      <c r="H137" s="3">
        <f>IFERROR(__xludf.DUMMYFUNCTION("split(G137,""/"")"),5.0)</f>
        <v>5</v>
      </c>
      <c r="I137" s="3">
        <f>IFERROR(__xludf.DUMMYFUNCTION("""COMPUTED_VALUE"""),28.0)</f>
        <v>28</v>
      </c>
      <c r="J137" s="3">
        <f>IFERROR(__xludf.DUMMYFUNCTION("""COMPUTED_VALUE"""),2011.0)</f>
        <v>2011</v>
      </c>
      <c r="K137" s="12">
        <f t="shared" si="2"/>
        <v>40691</v>
      </c>
      <c r="L137" s="3" t="s">
        <v>814</v>
      </c>
      <c r="M137" s="3" t="s">
        <v>78</v>
      </c>
      <c r="N137" s="3">
        <v>4594.0</v>
      </c>
      <c r="O137" s="3" t="s">
        <v>818</v>
      </c>
      <c r="P137" s="10">
        <v>8733.0</v>
      </c>
      <c r="Q137" s="13">
        <v>9.33</v>
      </c>
      <c r="R137" s="13">
        <v>6.92</v>
      </c>
      <c r="S137" s="13">
        <f t="shared" si="3"/>
        <v>81478.89</v>
      </c>
      <c r="T137" s="13">
        <f t="shared" si="4"/>
        <v>60432.36</v>
      </c>
      <c r="U137" s="13">
        <f t="shared" si="5"/>
        <v>21046.53</v>
      </c>
      <c r="V137" s="3" t="str">
        <f>VLOOKUP(N137,products!A:B,2,0)</f>
        <v>Fruits</v>
      </c>
      <c r="W137" s="3" t="s">
        <v>28</v>
      </c>
      <c r="X137" s="3" t="s">
        <v>79</v>
      </c>
      <c r="Y137" s="14">
        <f t="shared" si="6"/>
        <v>0.258306538</v>
      </c>
      <c r="Z137" s="3">
        <f t="shared" si="7"/>
        <v>38</v>
      </c>
      <c r="AA137" s="15">
        <f t="shared" si="8"/>
        <v>4</v>
      </c>
    </row>
    <row r="138" ht="15.75" customHeight="1">
      <c r="A138" s="3">
        <v>1.8607949E8</v>
      </c>
      <c r="B138" s="3" t="s">
        <v>979</v>
      </c>
      <c r="C138" s="3">
        <f>IFERROR(__xludf.DUMMYFUNCTION("split(B138,""/"")"),8.0)</f>
        <v>8</v>
      </c>
      <c r="D138" s="10">
        <f>IFERROR(__xludf.DUMMYFUNCTION("""COMPUTED_VALUE"""),25.0)</f>
        <v>25</v>
      </c>
      <c r="E138" s="11">
        <f>IFERROR(__xludf.DUMMYFUNCTION("""COMPUTED_VALUE"""),2015.0)</f>
        <v>2015</v>
      </c>
      <c r="F138" s="12">
        <f t="shared" si="1"/>
        <v>42241</v>
      </c>
      <c r="G138" s="3" t="s">
        <v>980</v>
      </c>
      <c r="H138" s="3">
        <f>IFERROR(__xludf.DUMMYFUNCTION("split(G138,""/"")"),8.0)</f>
        <v>8</v>
      </c>
      <c r="I138" s="3">
        <f>IFERROR(__xludf.DUMMYFUNCTION("""COMPUTED_VALUE"""),29.0)</f>
        <v>29</v>
      </c>
      <c r="J138" s="3">
        <f>IFERROR(__xludf.DUMMYFUNCTION("""COMPUTED_VALUE"""),2015.0)</f>
        <v>2015</v>
      </c>
      <c r="K138" s="12">
        <f t="shared" si="2"/>
        <v>42245</v>
      </c>
      <c r="L138" s="3" t="s">
        <v>825</v>
      </c>
      <c r="M138" s="3" t="s">
        <v>221</v>
      </c>
      <c r="N138" s="3">
        <v>5988.0</v>
      </c>
      <c r="O138" s="3" t="s">
        <v>815</v>
      </c>
      <c r="P138" s="10">
        <v>3911.0</v>
      </c>
      <c r="Q138" s="13">
        <v>154.06</v>
      </c>
      <c r="R138" s="13">
        <v>90.93</v>
      </c>
      <c r="S138" s="13">
        <f t="shared" si="3"/>
        <v>602528.66</v>
      </c>
      <c r="T138" s="13">
        <f t="shared" si="4"/>
        <v>355627.23</v>
      </c>
      <c r="U138" s="13">
        <f t="shared" si="5"/>
        <v>246901.43</v>
      </c>
      <c r="V138" s="3" t="str">
        <f>VLOOKUP(N138,products!A:B,2,0)</f>
        <v>Vegetables</v>
      </c>
      <c r="W138" s="3" t="s">
        <v>28</v>
      </c>
      <c r="X138" s="3" t="s">
        <v>29</v>
      </c>
      <c r="Y138" s="14">
        <f t="shared" si="6"/>
        <v>0.4097754122</v>
      </c>
      <c r="Z138" s="3">
        <f t="shared" si="7"/>
        <v>4</v>
      </c>
      <c r="AA138" s="15">
        <f t="shared" si="8"/>
        <v>3</v>
      </c>
    </row>
    <row r="139" ht="15.75" customHeight="1">
      <c r="A139" s="3">
        <v>1.86597907E8</v>
      </c>
      <c r="B139" s="9">
        <v>42015.0</v>
      </c>
      <c r="C139" s="3">
        <f>IFERROR(__xludf.DUMMYFUNCTION("split(B139,""/"")"),11.0)</f>
        <v>11</v>
      </c>
      <c r="D139" s="10">
        <f>IFERROR(__xludf.DUMMYFUNCTION("""COMPUTED_VALUE"""),1.0)</f>
        <v>1</v>
      </c>
      <c r="E139" s="11">
        <f>IFERROR(__xludf.DUMMYFUNCTION("""COMPUTED_VALUE"""),2015.0)</f>
        <v>2015</v>
      </c>
      <c r="F139" s="12">
        <f t="shared" si="1"/>
        <v>42309</v>
      </c>
      <c r="G139" s="3" t="s">
        <v>981</v>
      </c>
      <c r="H139" s="3">
        <f>IFERROR(__xludf.DUMMYFUNCTION("split(G139,""/"")"),12.0)</f>
        <v>12</v>
      </c>
      <c r="I139" s="3">
        <f>IFERROR(__xludf.DUMMYFUNCTION("""COMPUTED_VALUE"""),15.0)</f>
        <v>15</v>
      </c>
      <c r="J139" s="3">
        <f>IFERROR(__xludf.DUMMYFUNCTION("""COMPUTED_VALUE"""),2015.0)</f>
        <v>2015</v>
      </c>
      <c r="K139" s="12">
        <f t="shared" si="2"/>
        <v>42353</v>
      </c>
      <c r="L139" s="3" t="s">
        <v>814</v>
      </c>
      <c r="M139" s="3" t="s">
        <v>428</v>
      </c>
      <c r="N139" s="3">
        <v>8681.0</v>
      </c>
      <c r="O139" s="3" t="s">
        <v>815</v>
      </c>
      <c r="P139" s="10">
        <v>7322.0</v>
      </c>
      <c r="Q139" s="13">
        <v>651.21</v>
      </c>
      <c r="R139" s="13">
        <v>524.96</v>
      </c>
      <c r="S139" s="13">
        <f t="shared" si="3"/>
        <v>4768159.62</v>
      </c>
      <c r="T139" s="13">
        <f t="shared" si="4"/>
        <v>3843757.12</v>
      </c>
      <c r="U139" s="13">
        <f t="shared" si="5"/>
        <v>924402.5</v>
      </c>
      <c r="V139" s="3" t="str">
        <f>VLOOKUP(N139,products!A:B,2,0)</f>
        <v>Office Supplies</v>
      </c>
      <c r="W139" s="3" t="s">
        <v>28</v>
      </c>
      <c r="X139" s="3" t="s">
        <v>79</v>
      </c>
      <c r="Y139" s="14">
        <f t="shared" si="6"/>
        <v>0.193869873</v>
      </c>
      <c r="Z139" s="3">
        <f t="shared" si="7"/>
        <v>44</v>
      </c>
      <c r="AA139" s="15">
        <f t="shared" si="8"/>
        <v>1</v>
      </c>
    </row>
    <row r="140" ht="15.75" customHeight="1">
      <c r="A140" s="3">
        <v>1.86847674E8</v>
      </c>
      <c r="B140" s="3" t="s">
        <v>982</v>
      </c>
      <c r="C140" s="3">
        <f>IFERROR(__xludf.DUMMYFUNCTION("split(B140,""/"")"),4.0)</f>
        <v>4</v>
      </c>
      <c r="D140" s="10">
        <f>IFERROR(__xludf.DUMMYFUNCTION("""COMPUTED_VALUE"""),16.0)</f>
        <v>16</v>
      </c>
      <c r="E140" s="11">
        <f>IFERROR(__xludf.DUMMYFUNCTION("""COMPUTED_VALUE"""),2017.0)</f>
        <v>2017</v>
      </c>
      <c r="F140" s="12">
        <f t="shared" si="1"/>
        <v>42841</v>
      </c>
      <c r="G140" s="3" t="s">
        <v>983</v>
      </c>
      <c r="H140" s="3">
        <f>IFERROR(__xludf.DUMMYFUNCTION("split(G140,""/"")"),4.0)</f>
        <v>4</v>
      </c>
      <c r="I140" s="3">
        <f>IFERROR(__xludf.DUMMYFUNCTION("""COMPUTED_VALUE"""),23.0)</f>
        <v>23</v>
      </c>
      <c r="J140" s="3">
        <f>IFERROR(__xludf.DUMMYFUNCTION("""COMPUTED_VALUE"""),2017.0)</f>
        <v>2017</v>
      </c>
      <c r="K140" s="12">
        <f t="shared" si="2"/>
        <v>42848</v>
      </c>
      <c r="L140" s="3" t="s">
        <v>814</v>
      </c>
      <c r="M140" s="3" t="s">
        <v>349</v>
      </c>
      <c r="N140" s="3">
        <v>8293.0</v>
      </c>
      <c r="O140" s="3" t="s">
        <v>815</v>
      </c>
      <c r="P140" s="10">
        <v>1234.0</v>
      </c>
      <c r="Q140" s="13">
        <v>437.2</v>
      </c>
      <c r="R140" s="13">
        <v>263.33</v>
      </c>
      <c r="S140" s="13">
        <f t="shared" si="3"/>
        <v>539504.8</v>
      </c>
      <c r="T140" s="13">
        <f t="shared" si="4"/>
        <v>324949.22</v>
      </c>
      <c r="U140" s="13">
        <f t="shared" si="5"/>
        <v>214555.58</v>
      </c>
      <c r="V140" s="3" t="str">
        <f>VLOOKUP(N140,products!A:B,2,0)</f>
        <v>Cosmetics</v>
      </c>
      <c r="W140" s="3" t="s">
        <v>28</v>
      </c>
      <c r="X140" s="3" t="s">
        <v>29</v>
      </c>
      <c r="Y140" s="14">
        <f t="shared" si="6"/>
        <v>0.3976898445</v>
      </c>
      <c r="Z140" s="3">
        <f t="shared" si="7"/>
        <v>7</v>
      </c>
      <c r="AA140" s="15">
        <f t="shared" si="8"/>
        <v>1</v>
      </c>
    </row>
    <row r="141" ht="15.75" customHeight="1">
      <c r="A141" s="3">
        <v>1.8710345E8</v>
      </c>
      <c r="B141" s="9">
        <v>40638.0</v>
      </c>
      <c r="C141" s="3">
        <f>IFERROR(__xludf.DUMMYFUNCTION("split(B141,""/"")"),5.0)</f>
        <v>5</v>
      </c>
      <c r="D141" s="10">
        <f>IFERROR(__xludf.DUMMYFUNCTION("""COMPUTED_VALUE"""),4.0)</f>
        <v>4</v>
      </c>
      <c r="E141" s="11">
        <f>IFERROR(__xludf.DUMMYFUNCTION("""COMPUTED_VALUE"""),2011.0)</f>
        <v>2011</v>
      </c>
      <c r="F141" s="12">
        <f t="shared" si="1"/>
        <v>40667</v>
      </c>
      <c r="G141" s="3" t="s">
        <v>984</v>
      </c>
      <c r="H141" s="3">
        <f>IFERROR(__xludf.DUMMYFUNCTION("split(G141,""/"")"),5.0)</f>
        <v>5</v>
      </c>
      <c r="I141" s="3">
        <f>IFERROR(__xludf.DUMMYFUNCTION("""COMPUTED_VALUE"""),14.0)</f>
        <v>14</v>
      </c>
      <c r="J141" s="3">
        <f>IFERROR(__xludf.DUMMYFUNCTION("""COMPUTED_VALUE"""),2011.0)</f>
        <v>2011</v>
      </c>
      <c r="K141" s="12">
        <f t="shared" si="2"/>
        <v>40677</v>
      </c>
      <c r="L141" s="3" t="s">
        <v>814</v>
      </c>
      <c r="M141" s="3" t="s">
        <v>101</v>
      </c>
      <c r="N141" s="3">
        <v>4594.0</v>
      </c>
      <c r="O141" s="3" t="s">
        <v>818</v>
      </c>
      <c r="P141" s="10">
        <v>6924.0</v>
      </c>
      <c r="Q141" s="13">
        <v>9.33</v>
      </c>
      <c r="R141" s="13">
        <v>6.92</v>
      </c>
      <c r="S141" s="13">
        <f t="shared" si="3"/>
        <v>64600.92</v>
      </c>
      <c r="T141" s="13">
        <f t="shared" si="4"/>
        <v>47914.08</v>
      </c>
      <c r="U141" s="13">
        <f t="shared" si="5"/>
        <v>16686.84</v>
      </c>
      <c r="V141" s="3" t="str">
        <f>VLOOKUP(N141,products!A:B,2,0)</f>
        <v>Fruits</v>
      </c>
      <c r="W141" s="3" t="s">
        <v>28</v>
      </c>
      <c r="X141" s="3" t="s">
        <v>79</v>
      </c>
      <c r="Y141" s="14">
        <f t="shared" si="6"/>
        <v>0.258306538</v>
      </c>
      <c r="Z141" s="3">
        <f t="shared" si="7"/>
        <v>10</v>
      </c>
      <c r="AA141" s="15">
        <f t="shared" si="8"/>
        <v>4</v>
      </c>
    </row>
    <row r="142" ht="15.75" customHeight="1">
      <c r="A142" s="3">
        <v>1.88866841E8</v>
      </c>
      <c r="B142" s="3" t="s">
        <v>985</v>
      </c>
      <c r="C142" s="3">
        <f>IFERROR(__xludf.DUMMYFUNCTION("split(B142,""/"")"),5.0)</f>
        <v>5</v>
      </c>
      <c r="D142" s="10">
        <f>IFERROR(__xludf.DUMMYFUNCTION("""COMPUTED_VALUE"""),16.0)</f>
        <v>16</v>
      </c>
      <c r="E142" s="11">
        <f>IFERROR(__xludf.DUMMYFUNCTION("""COMPUTED_VALUE"""),2014.0)</f>
        <v>2014</v>
      </c>
      <c r="F142" s="12">
        <f t="shared" si="1"/>
        <v>41775</v>
      </c>
      <c r="G142" s="3" t="s">
        <v>986</v>
      </c>
      <c r="H142" s="3">
        <f>IFERROR(__xludf.DUMMYFUNCTION("split(G142,""/"")"),5.0)</f>
        <v>5</v>
      </c>
      <c r="I142" s="3">
        <f>IFERROR(__xludf.DUMMYFUNCTION("""COMPUTED_VALUE"""),20.0)</f>
        <v>20</v>
      </c>
      <c r="J142" s="3">
        <f>IFERROR(__xludf.DUMMYFUNCTION("""COMPUTED_VALUE"""),2014.0)</f>
        <v>2014</v>
      </c>
      <c r="K142" s="12">
        <f t="shared" si="2"/>
        <v>41779</v>
      </c>
      <c r="L142" s="3" t="s">
        <v>825</v>
      </c>
      <c r="M142" s="3" t="s">
        <v>653</v>
      </c>
      <c r="N142" s="3">
        <v>2455.0</v>
      </c>
      <c r="O142" s="3" t="s">
        <v>818</v>
      </c>
      <c r="P142" s="10">
        <v>8750.0</v>
      </c>
      <c r="Q142" s="13">
        <v>109.28</v>
      </c>
      <c r="R142" s="13">
        <v>35.84</v>
      </c>
      <c r="S142" s="13">
        <f t="shared" si="3"/>
        <v>956200</v>
      </c>
      <c r="T142" s="13">
        <f t="shared" si="4"/>
        <v>313600</v>
      </c>
      <c r="U142" s="13">
        <f t="shared" si="5"/>
        <v>642600</v>
      </c>
      <c r="V142" s="3" t="str">
        <f>VLOOKUP(N142,products!A:B,2,0)</f>
        <v>Clothes</v>
      </c>
      <c r="W142" s="3" t="s">
        <v>28</v>
      </c>
      <c r="X142" s="3" t="s">
        <v>33</v>
      </c>
      <c r="Y142" s="14">
        <f t="shared" si="6"/>
        <v>0.6720351391</v>
      </c>
      <c r="Z142" s="3">
        <f t="shared" si="7"/>
        <v>4</v>
      </c>
      <c r="AA142" s="15">
        <f t="shared" si="8"/>
        <v>6</v>
      </c>
    </row>
    <row r="143" ht="15.75" customHeight="1">
      <c r="A143" s="3">
        <v>1.89108455E8</v>
      </c>
      <c r="B143" s="9">
        <v>41218.0</v>
      </c>
      <c r="C143" s="3">
        <f>IFERROR(__xludf.DUMMYFUNCTION("split(B143,""/"")"),5.0)</f>
        <v>5</v>
      </c>
      <c r="D143" s="10">
        <f>IFERROR(__xludf.DUMMYFUNCTION("""COMPUTED_VALUE"""),11.0)</f>
        <v>11</v>
      </c>
      <c r="E143" s="11">
        <f>IFERROR(__xludf.DUMMYFUNCTION("""COMPUTED_VALUE"""),2012.0)</f>
        <v>2012</v>
      </c>
      <c r="F143" s="12">
        <f t="shared" si="1"/>
        <v>41040</v>
      </c>
      <c r="G143" s="3" t="s">
        <v>987</v>
      </c>
      <c r="H143" s="3">
        <f>IFERROR(__xludf.DUMMYFUNCTION("split(G143,""/"")"),6.0)</f>
        <v>6</v>
      </c>
      <c r="I143" s="3">
        <f>IFERROR(__xludf.DUMMYFUNCTION("""COMPUTED_VALUE"""),30.0)</f>
        <v>30</v>
      </c>
      <c r="J143" s="3">
        <f>IFERROR(__xludf.DUMMYFUNCTION("""COMPUTED_VALUE"""),2012.0)</f>
        <v>2012</v>
      </c>
      <c r="K143" s="12">
        <f t="shared" si="2"/>
        <v>41090</v>
      </c>
      <c r="L143" s="3" t="s">
        <v>827</v>
      </c>
      <c r="M143" s="3" t="s">
        <v>218</v>
      </c>
      <c r="N143" s="3">
        <v>8681.0</v>
      </c>
      <c r="O143" s="3" t="s">
        <v>818</v>
      </c>
      <c r="P143" s="10">
        <v>249.0</v>
      </c>
      <c r="Q143" s="13">
        <v>651.21</v>
      </c>
      <c r="R143" s="13">
        <v>524.96</v>
      </c>
      <c r="S143" s="13">
        <f t="shared" si="3"/>
        <v>162151.29</v>
      </c>
      <c r="T143" s="13">
        <f t="shared" si="4"/>
        <v>130715.04</v>
      </c>
      <c r="U143" s="13">
        <f t="shared" si="5"/>
        <v>31436.25</v>
      </c>
      <c r="V143" s="3" t="str">
        <f>VLOOKUP(N143,products!A:B,2,0)</f>
        <v>Office Supplies</v>
      </c>
      <c r="W143" s="3" t="s">
        <v>28</v>
      </c>
      <c r="X143" s="3" t="s">
        <v>98</v>
      </c>
      <c r="Y143" s="14">
        <f t="shared" si="6"/>
        <v>0.193869873</v>
      </c>
      <c r="Z143" s="3">
        <f t="shared" si="7"/>
        <v>50</v>
      </c>
      <c r="AA143" s="15">
        <f t="shared" si="8"/>
        <v>6</v>
      </c>
    </row>
    <row r="144" ht="15.75" customHeight="1">
      <c r="A144" s="3">
        <v>1.89667212E8</v>
      </c>
      <c r="B144" s="3" t="s">
        <v>988</v>
      </c>
      <c r="C144" s="3">
        <f>IFERROR(__xludf.DUMMYFUNCTION("split(B144,""/"")"),7.0)</f>
        <v>7</v>
      </c>
      <c r="D144" s="10">
        <f>IFERROR(__xludf.DUMMYFUNCTION("""COMPUTED_VALUE"""),28.0)</f>
        <v>28</v>
      </c>
      <c r="E144" s="11">
        <f>IFERROR(__xludf.DUMMYFUNCTION("""COMPUTED_VALUE"""),2012.0)</f>
        <v>2012</v>
      </c>
      <c r="F144" s="12">
        <f t="shared" si="1"/>
        <v>41118</v>
      </c>
      <c r="G144" s="9">
        <v>40977.0</v>
      </c>
      <c r="H144" s="3">
        <f>IFERROR(__xludf.DUMMYFUNCTION("split(G144,""/"")"),9.0)</f>
        <v>9</v>
      </c>
      <c r="I144" s="3">
        <f>IFERROR(__xludf.DUMMYFUNCTION("""COMPUTED_VALUE"""),3.0)</f>
        <v>3</v>
      </c>
      <c r="J144" s="3">
        <f>IFERROR(__xludf.DUMMYFUNCTION("""COMPUTED_VALUE"""),2012.0)</f>
        <v>2012</v>
      </c>
      <c r="K144" s="12">
        <f t="shared" si="2"/>
        <v>41155</v>
      </c>
      <c r="L144" s="3" t="s">
        <v>827</v>
      </c>
      <c r="M144" s="3" t="s">
        <v>593</v>
      </c>
      <c r="N144" s="3">
        <v>8969.0</v>
      </c>
      <c r="O144" s="3" t="s">
        <v>818</v>
      </c>
      <c r="P144" s="10">
        <v>5598.0</v>
      </c>
      <c r="Q144" s="13">
        <v>152.58</v>
      </c>
      <c r="R144" s="13">
        <v>97.44</v>
      </c>
      <c r="S144" s="13">
        <f t="shared" si="3"/>
        <v>854142.84</v>
      </c>
      <c r="T144" s="13">
        <f t="shared" si="4"/>
        <v>545469.12</v>
      </c>
      <c r="U144" s="13">
        <f t="shared" si="5"/>
        <v>308673.72</v>
      </c>
      <c r="V144" s="3" t="str">
        <f>VLOOKUP(N144,products!A:B,2,0)</f>
        <v>Snacks</v>
      </c>
      <c r="W144" s="3" t="s">
        <v>28</v>
      </c>
      <c r="X144" s="3" t="s">
        <v>98</v>
      </c>
      <c r="Y144" s="14">
        <f t="shared" si="6"/>
        <v>0.3613841919</v>
      </c>
      <c r="Z144" s="3">
        <f t="shared" si="7"/>
        <v>37</v>
      </c>
      <c r="AA144" s="15">
        <f t="shared" si="8"/>
        <v>7</v>
      </c>
    </row>
    <row r="145" ht="15.75" customHeight="1">
      <c r="A145" s="3">
        <v>1.89924275E8</v>
      </c>
      <c r="B145" s="3" t="s">
        <v>989</v>
      </c>
      <c r="C145" s="3">
        <f>IFERROR(__xludf.DUMMYFUNCTION("split(B145,""/"")"),2.0)</f>
        <v>2</v>
      </c>
      <c r="D145" s="10">
        <f>IFERROR(__xludf.DUMMYFUNCTION("""COMPUTED_VALUE"""),22.0)</f>
        <v>22</v>
      </c>
      <c r="E145" s="11">
        <f>IFERROR(__xludf.DUMMYFUNCTION("""COMPUTED_VALUE"""),2013.0)</f>
        <v>2013</v>
      </c>
      <c r="F145" s="12">
        <f t="shared" si="1"/>
        <v>41327</v>
      </c>
      <c r="G145" s="3" t="s">
        <v>990</v>
      </c>
      <c r="H145" s="3">
        <f>IFERROR(__xludf.DUMMYFUNCTION("split(G145,""/"")"),3.0)</f>
        <v>3</v>
      </c>
      <c r="I145" s="3">
        <f>IFERROR(__xludf.DUMMYFUNCTION("""COMPUTED_VALUE"""),21.0)</f>
        <v>21</v>
      </c>
      <c r="J145" s="3">
        <f>IFERROR(__xludf.DUMMYFUNCTION("""COMPUTED_VALUE"""),2013.0)</f>
        <v>2013</v>
      </c>
      <c r="K145" s="12">
        <f t="shared" si="2"/>
        <v>41354</v>
      </c>
      <c r="L145" s="3" t="s">
        <v>825</v>
      </c>
      <c r="M145" s="3" t="s">
        <v>206</v>
      </c>
      <c r="N145" s="3">
        <v>1270.0</v>
      </c>
      <c r="O145" s="3" t="s">
        <v>818</v>
      </c>
      <c r="P145" s="10">
        <v>1668.0</v>
      </c>
      <c r="Q145" s="13">
        <v>47.45</v>
      </c>
      <c r="R145" s="13">
        <v>31.79</v>
      </c>
      <c r="S145" s="13">
        <f t="shared" si="3"/>
        <v>79146.6</v>
      </c>
      <c r="T145" s="13">
        <f t="shared" si="4"/>
        <v>53025.72</v>
      </c>
      <c r="U145" s="13">
        <f t="shared" si="5"/>
        <v>26120.88</v>
      </c>
      <c r="V145" s="3" t="str">
        <f>VLOOKUP(N145,products!A:B,2,0)</f>
        <v>Beverages</v>
      </c>
      <c r="W145" s="3" t="s">
        <v>28</v>
      </c>
      <c r="X145" s="3" t="s">
        <v>33</v>
      </c>
      <c r="Y145" s="14">
        <f t="shared" si="6"/>
        <v>0.3300316122</v>
      </c>
      <c r="Z145" s="3">
        <f t="shared" si="7"/>
        <v>27</v>
      </c>
      <c r="AA145" s="15">
        <f t="shared" si="8"/>
        <v>6</v>
      </c>
    </row>
    <row r="146" ht="15.75" customHeight="1">
      <c r="A146" s="3">
        <v>1.9000281E8</v>
      </c>
      <c r="B146" s="3" t="s">
        <v>991</v>
      </c>
      <c r="C146" s="3">
        <f>IFERROR(__xludf.DUMMYFUNCTION("split(B146,""/"")"),6.0)</f>
        <v>6</v>
      </c>
      <c r="D146" s="10">
        <f>IFERROR(__xludf.DUMMYFUNCTION("""COMPUTED_VALUE"""),20.0)</f>
        <v>20</v>
      </c>
      <c r="E146" s="11">
        <f>IFERROR(__xludf.DUMMYFUNCTION("""COMPUTED_VALUE"""),2017.0)</f>
        <v>2017</v>
      </c>
      <c r="F146" s="12">
        <f t="shared" si="1"/>
        <v>42906</v>
      </c>
      <c r="G146" s="9">
        <v>42863.0</v>
      </c>
      <c r="H146" s="3">
        <f>IFERROR(__xludf.DUMMYFUNCTION("split(G146,""/"")"),8.0)</f>
        <v>8</v>
      </c>
      <c r="I146" s="3">
        <f>IFERROR(__xludf.DUMMYFUNCTION("""COMPUTED_VALUE"""),5.0)</f>
        <v>5</v>
      </c>
      <c r="J146" s="3">
        <f>IFERROR(__xludf.DUMMYFUNCTION("""COMPUTED_VALUE"""),2017.0)</f>
        <v>2017</v>
      </c>
      <c r="K146" s="12">
        <f t="shared" si="2"/>
        <v>42952</v>
      </c>
      <c r="L146" s="3" t="s">
        <v>817</v>
      </c>
      <c r="M146" s="3" t="s">
        <v>46</v>
      </c>
      <c r="N146" s="3">
        <v>2455.0</v>
      </c>
      <c r="O146" s="3" t="s">
        <v>815</v>
      </c>
      <c r="P146" s="10">
        <v>4909.0</v>
      </c>
      <c r="Q146" s="13">
        <v>109.28</v>
      </c>
      <c r="R146" s="13">
        <v>35.84</v>
      </c>
      <c r="S146" s="13">
        <f t="shared" si="3"/>
        <v>536455.52</v>
      </c>
      <c r="T146" s="13">
        <f t="shared" si="4"/>
        <v>175938.56</v>
      </c>
      <c r="U146" s="13">
        <f t="shared" si="5"/>
        <v>360516.96</v>
      </c>
      <c r="V146" s="3" t="str">
        <f>VLOOKUP(N146,products!A:B,2,0)</f>
        <v>Clothes</v>
      </c>
      <c r="W146" s="3" t="s">
        <v>28</v>
      </c>
      <c r="X146" s="3" t="s">
        <v>33</v>
      </c>
      <c r="Y146" s="14">
        <f t="shared" si="6"/>
        <v>0.6720351391</v>
      </c>
      <c r="Z146" s="3">
        <f t="shared" si="7"/>
        <v>46</v>
      </c>
      <c r="AA146" s="15">
        <f t="shared" si="8"/>
        <v>3</v>
      </c>
    </row>
    <row r="147" ht="15.75" customHeight="1">
      <c r="A147" s="3">
        <v>1.92236125E8</v>
      </c>
      <c r="B147" s="9">
        <v>43042.0</v>
      </c>
      <c r="C147" s="3">
        <f>IFERROR(__xludf.DUMMYFUNCTION("split(B147,""/"")"),3.0)</f>
        <v>3</v>
      </c>
      <c r="D147" s="10">
        <f>IFERROR(__xludf.DUMMYFUNCTION("""COMPUTED_VALUE"""),11.0)</f>
        <v>11</v>
      </c>
      <c r="E147" s="11">
        <f>IFERROR(__xludf.DUMMYFUNCTION("""COMPUTED_VALUE"""),2017.0)</f>
        <v>2017</v>
      </c>
      <c r="F147" s="12">
        <f t="shared" si="1"/>
        <v>42805</v>
      </c>
      <c r="G147" s="3" t="s">
        <v>992</v>
      </c>
      <c r="H147" s="3">
        <f>IFERROR(__xludf.DUMMYFUNCTION("split(G147,""/"")"),3.0)</f>
        <v>3</v>
      </c>
      <c r="I147" s="3">
        <f>IFERROR(__xludf.DUMMYFUNCTION("""COMPUTED_VALUE"""),22.0)</f>
        <v>22</v>
      </c>
      <c r="J147" s="3">
        <f>IFERROR(__xludf.DUMMYFUNCTION("""COMPUTED_VALUE"""),2017.0)</f>
        <v>2017</v>
      </c>
      <c r="K147" s="12">
        <f t="shared" si="2"/>
        <v>42816</v>
      </c>
      <c r="L147" s="3" t="s">
        <v>827</v>
      </c>
      <c r="M147" s="3" t="s">
        <v>206</v>
      </c>
      <c r="N147" s="3">
        <v>1270.0</v>
      </c>
      <c r="O147" s="3" t="s">
        <v>818</v>
      </c>
      <c r="P147" s="10">
        <v>5796.0</v>
      </c>
      <c r="Q147" s="13">
        <v>47.45</v>
      </c>
      <c r="R147" s="13">
        <v>31.79</v>
      </c>
      <c r="S147" s="13">
        <f t="shared" si="3"/>
        <v>275020.2</v>
      </c>
      <c r="T147" s="13">
        <f t="shared" si="4"/>
        <v>184254.84</v>
      </c>
      <c r="U147" s="13">
        <f t="shared" si="5"/>
        <v>90765.36</v>
      </c>
      <c r="V147" s="3" t="str">
        <f>VLOOKUP(N147,products!A:B,2,0)</f>
        <v>Beverages</v>
      </c>
      <c r="W147" s="3" t="s">
        <v>28</v>
      </c>
      <c r="X147" s="3" t="s">
        <v>33</v>
      </c>
      <c r="Y147" s="14">
        <f t="shared" si="6"/>
        <v>0.3300316122</v>
      </c>
      <c r="Z147" s="3">
        <f t="shared" si="7"/>
        <v>11</v>
      </c>
      <c r="AA147" s="15">
        <f t="shared" si="8"/>
        <v>7</v>
      </c>
    </row>
    <row r="148" ht="15.75" customHeight="1">
      <c r="A148" s="3">
        <v>1.92589318E8</v>
      </c>
      <c r="B148" s="9">
        <v>40919.0</v>
      </c>
      <c r="C148" s="3">
        <f>IFERROR(__xludf.DUMMYFUNCTION("split(B148,""/"")"),11.0)</f>
        <v>11</v>
      </c>
      <c r="D148" s="10">
        <f>IFERROR(__xludf.DUMMYFUNCTION("""COMPUTED_VALUE"""),1.0)</f>
        <v>1</v>
      </c>
      <c r="E148" s="11">
        <f>IFERROR(__xludf.DUMMYFUNCTION("""COMPUTED_VALUE"""),2012.0)</f>
        <v>2012</v>
      </c>
      <c r="F148" s="12">
        <f t="shared" si="1"/>
        <v>41214</v>
      </c>
      <c r="G148" s="3" t="s">
        <v>993</v>
      </c>
      <c r="H148" s="3">
        <f>IFERROR(__xludf.DUMMYFUNCTION("split(G148,""/"")"),12.0)</f>
        <v>12</v>
      </c>
      <c r="I148" s="3">
        <f>IFERROR(__xludf.DUMMYFUNCTION("""COMPUTED_VALUE"""),16.0)</f>
        <v>16</v>
      </c>
      <c r="J148" s="3">
        <f>IFERROR(__xludf.DUMMYFUNCTION("""COMPUTED_VALUE"""),2012.0)</f>
        <v>2012</v>
      </c>
      <c r="K148" s="12">
        <f t="shared" si="2"/>
        <v>41259</v>
      </c>
      <c r="L148" s="3" t="s">
        <v>814</v>
      </c>
      <c r="M148" s="3" t="s">
        <v>218</v>
      </c>
      <c r="N148" s="3">
        <v>4594.0</v>
      </c>
      <c r="O148" s="3" t="s">
        <v>815</v>
      </c>
      <c r="P148" s="10">
        <v>314.0</v>
      </c>
      <c r="Q148" s="13">
        <v>9.33</v>
      </c>
      <c r="R148" s="13">
        <v>6.92</v>
      </c>
      <c r="S148" s="13">
        <f t="shared" si="3"/>
        <v>2929.62</v>
      </c>
      <c r="T148" s="13">
        <f t="shared" si="4"/>
        <v>2172.88</v>
      </c>
      <c r="U148" s="13">
        <f t="shared" si="5"/>
        <v>756.74</v>
      </c>
      <c r="V148" s="3" t="str">
        <f>VLOOKUP(N148,products!A:B,2,0)</f>
        <v>Fruits</v>
      </c>
      <c r="W148" s="3" t="s">
        <v>28</v>
      </c>
      <c r="X148" s="3" t="s">
        <v>98</v>
      </c>
      <c r="Y148" s="14">
        <f t="shared" si="6"/>
        <v>0.258306538</v>
      </c>
      <c r="Z148" s="3">
        <f t="shared" si="7"/>
        <v>45</v>
      </c>
      <c r="AA148" s="15">
        <f t="shared" si="8"/>
        <v>5</v>
      </c>
    </row>
    <row r="149" ht="15.75" customHeight="1">
      <c r="A149" s="3">
        <v>1.92922341E8</v>
      </c>
      <c r="B149" s="9">
        <v>40943.0</v>
      </c>
      <c r="C149" s="3">
        <f>IFERROR(__xludf.DUMMYFUNCTION("split(B149,""/"")"),4.0)</f>
        <v>4</v>
      </c>
      <c r="D149" s="10">
        <f>IFERROR(__xludf.DUMMYFUNCTION("""COMPUTED_VALUE"""),2.0)</f>
        <v>2</v>
      </c>
      <c r="E149" s="11">
        <f>IFERROR(__xludf.DUMMYFUNCTION("""COMPUTED_VALUE"""),2012.0)</f>
        <v>2012</v>
      </c>
      <c r="F149" s="12">
        <f t="shared" si="1"/>
        <v>41001</v>
      </c>
      <c r="G149" s="9">
        <v>40913.0</v>
      </c>
      <c r="H149" s="3">
        <f>IFERROR(__xludf.DUMMYFUNCTION("split(G149,""/"")"),5.0)</f>
        <v>5</v>
      </c>
      <c r="I149" s="3">
        <f>IFERROR(__xludf.DUMMYFUNCTION("""COMPUTED_VALUE"""),1.0)</f>
        <v>1</v>
      </c>
      <c r="J149" s="3">
        <f>IFERROR(__xludf.DUMMYFUNCTION("""COMPUTED_VALUE"""),2012.0)</f>
        <v>2012</v>
      </c>
      <c r="K149" s="12">
        <f t="shared" si="2"/>
        <v>41030</v>
      </c>
      <c r="L149" s="3" t="s">
        <v>817</v>
      </c>
      <c r="M149" s="3" t="s">
        <v>78</v>
      </c>
      <c r="N149" s="3">
        <v>1270.0</v>
      </c>
      <c r="O149" s="3" t="s">
        <v>818</v>
      </c>
      <c r="P149" s="10">
        <v>8863.0</v>
      </c>
      <c r="Q149" s="13">
        <v>47.45</v>
      </c>
      <c r="R149" s="13">
        <v>31.79</v>
      </c>
      <c r="S149" s="13">
        <f t="shared" si="3"/>
        <v>420549.35</v>
      </c>
      <c r="T149" s="13">
        <f t="shared" si="4"/>
        <v>281754.77</v>
      </c>
      <c r="U149" s="13">
        <f t="shared" si="5"/>
        <v>138794.58</v>
      </c>
      <c r="V149" s="3" t="str">
        <f>VLOOKUP(N149,products!A:B,2,0)</f>
        <v>Beverages</v>
      </c>
      <c r="W149" s="3" t="s">
        <v>28</v>
      </c>
      <c r="X149" s="3" t="s">
        <v>79</v>
      </c>
      <c r="Y149" s="14">
        <f t="shared" si="6"/>
        <v>0.3300316122</v>
      </c>
      <c r="Z149" s="3">
        <f t="shared" si="7"/>
        <v>29</v>
      </c>
      <c r="AA149" s="15">
        <f t="shared" si="8"/>
        <v>2</v>
      </c>
    </row>
    <row r="150" ht="15.75" customHeight="1">
      <c r="A150" s="3">
        <v>1.93472945E8</v>
      </c>
      <c r="B150" s="3" t="s">
        <v>994</v>
      </c>
      <c r="C150" s="3">
        <f>IFERROR(__xludf.DUMMYFUNCTION("split(B150,""/"")"),7.0)</f>
        <v>7</v>
      </c>
      <c r="D150" s="10">
        <f>IFERROR(__xludf.DUMMYFUNCTION("""COMPUTED_VALUE"""),27.0)</f>
        <v>27</v>
      </c>
      <c r="E150" s="11">
        <f>IFERROR(__xludf.DUMMYFUNCTION("""COMPUTED_VALUE"""),2016.0)</f>
        <v>2016</v>
      </c>
      <c r="F150" s="12">
        <f t="shared" si="1"/>
        <v>42578</v>
      </c>
      <c r="G150" s="3" t="s">
        <v>995</v>
      </c>
      <c r="H150" s="3">
        <f>IFERROR(__xludf.DUMMYFUNCTION("split(G150,""/"")"),9.0)</f>
        <v>9</v>
      </c>
      <c r="I150" s="3">
        <f>IFERROR(__xludf.DUMMYFUNCTION("""COMPUTED_VALUE"""),13.0)</f>
        <v>13</v>
      </c>
      <c r="J150" s="3">
        <f>IFERROR(__xludf.DUMMYFUNCTION("""COMPUTED_VALUE"""),2016.0)</f>
        <v>2016</v>
      </c>
      <c r="K150" s="12">
        <f t="shared" si="2"/>
        <v>42626</v>
      </c>
      <c r="L150" s="3" t="s">
        <v>814</v>
      </c>
      <c r="M150" s="3" t="s">
        <v>101</v>
      </c>
      <c r="N150" s="3">
        <v>8293.0</v>
      </c>
      <c r="O150" s="3" t="s">
        <v>818</v>
      </c>
      <c r="P150" s="10">
        <v>1799.0</v>
      </c>
      <c r="Q150" s="13">
        <v>437.2</v>
      </c>
      <c r="R150" s="13">
        <v>263.33</v>
      </c>
      <c r="S150" s="13">
        <f t="shared" si="3"/>
        <v>786522.8</v>
      </c>
      <c r="T150" s="13">
        <f t="shared" si="4"/>
        <v>473730.67</v>
      </c>
      <c r="U150" s="13">
        <f t="shared" si="5"/>
        <v>312792.13</v>
      </c>
      <c r="V150" s="3" t="str">
        <f>VLOOKUP(N150,products!A:B,2,0)</f>
        <v>Cosmetics</v>
      </c>
      <c r="W150" s="3" t="s">
        <v>28</v>
      </c>
      <c r="X150" s="3" t="s">
        <v>79</v>
      </c>
      <c r="Y150" s="14">
        <f t="shared" si="6"/>
        <v>0.3976898445</v>
      </c>
      <c r="Z150" s="3">
        <f t="shared" si="7"/>
        <v>48</v>
      </c>
      <c r="AA150" s="15">
        <f t="shared" si="8"/>
        <v>4</v>
      </c>
    </row>
    <row r="151" ht="15.75" customHeight="1">
      <c r="A151" s="3">
        <v>1.94176757E8</v>
      </c>
      <c r="B151" s="9">
        <v>43015.0</v>
      </c>
      <c r="C151" s="3">
        <f>IFERROR(__xludf.DUMMYFUNCTION("split(B151,""/"")"),7.0)</f>
        <v>7</v>
      </c>
      <c r="D151" s="10">
        <f>IFERROR(__xludf.DUMMYFUNCTION("""COMPUTED_VALUE"""),10.0)</f>
        <v>10</v>
      </c>
      <c r="E151" s="11">
        <f>IFERROR(__xludf.DUMMYFUNCTION("""COMPUTED_VALUE"""),2017.0)</f>
        <v>2017</v>
      </c>
      <c r="F151" s="12">
        <f t="shared" si="1"/>
        <v>42926</v>
      </c>
      <c r="G151" s="3" t="s">
        <v>996</v>
      </c>
      <c r="H151" s="3">
        <f>IFERROR(__xludf.DUMMYFUNCTION("split(G151,""/"")"),8.0)</f>
        <v>8</v>
      </c>
      <c r="I151" s="3">
        <f>IFERROR(__xludf.DUMMYFUNCTION("""COMPUTED_VALUE"""),20.0)</f>
        <v>20</v>
      </c>
      <c r="J151" s="3">
        <f>IFERROR(__xludf.DUMMYFUNCTION("""COMPUTED_VALUE"""),2017.0)</f>
        <v>2017</v>
      </c>
      <c r="K151" s="12">
        <f t="shared" si="2"/>
        <v>42967</v>
      </c>
      <c r="L151" s="3" t="s">
        <v>814</v>
      </c>
      <c r="M151" s="3" t="s">
        <v>593</v>
      </c>
      <c r="N151" s="3">
        <v>7940.0</v>
      </c>
      <c r="O151" s="3" t="s">
        <v>815</v>
      </c>
      <c r="P151" s="10">
        <v>72.0</v>
      </c>
      <c r="Q151" s="13">
        <v>668.27</v>
      </c>
      <c r="R151" s="13">
        <v>502.54</v>
      </c>
      <c r="S151" s="13">
        <f t="shared" si="3"/>
        <v>48115.44</v>
      </c>
      <c r="T151" s="13">
        <f t="shared" si="4"/>
        <v>36182.88</v>
      </c>
      <c r="U151" s="13">
        <f t="shared" si="5"/>
        <v>11932.56</v>
      </c>
      <c r="V151" s="3" t="str">
        <f>VLOOKUP(N151,products!A:B,2,0)</f>
        <v>Household</v>
      </c>
      <c r="W151" s="3" t="s">
        <v>28</v>
      </c>
      <c r="X151" s="3" t="s">
        <v>98</v>
      </c>
      <c r="Y151" s="14">
        <f t="shared" si="6"/>
        <v>0.2479985635</v>
      </c>
      <c r="Z151" s="3">
        <f t="shared" si="7"/>
        <v>41</v>
      </c>
      <c r="AA151" s="15">
        <f t="shared" si="8"/>
        <v>2</v>
      </c>
    </row>
    <row r="152" ht="15.75" customHeight="1">
      <c r="A152" s="3">
        <v>1.94785726E8</v>
      </c>
      <c r="B152" s="3" t="s">
        <v>997</v>
      </c>
      <c r="C152" s="3">
        <f>IFERROR(__xludf.DUMMYFUNCTION("split(B152,""/"")"),10.0)</f>
        <v>10</v>
      </c>
      <c r="D152" s="10">
        <f>IFERROR(__xludf.DUMMYFUNCTION("""COMPUTED_VALUE"""),16.0)</f>
        <v>16</v>
      </c>
      <c r="E152" s="11">
        <f>IFERROR(__xludf.DUMMYFUNCTION("""COMPUTED_VALUE"""),2014.0)</f>
        <v>2014</v>
      </c>
      <c r="F152" s="12">
        <f t="shared" si="1"/>
        <v>41928</v>
      </c>
      <c r="G152" s="3" t="s">
        <v>998</v>
      </c>
      <c r="H152" s="3">
        <f>IFERROR(__xludf.DUMMYFUNCTION("split(G152,""/"")"),11.0)</f>
        <v>11</v>
      </c>
      <c r="I152" s="3">
        <f>IFERROR(__xludf.DUMMYFUNCTION("""COMPUTED_VALUE"""),13.0)</f>
        <v>13</v>
      </c>
      <c r="J152" s="3">
        <f>IFERROR(__xludf.DUMMYFUNCTION("""COMPUTED_VALUE"""),2014.0)</f>
        <v>2014</v>
      </c>
      <c r="K152" s="12">
        <f t="shared" si="2"/>
        <v>41956</v>
      </c>
      <c r="L152" s="3" t="s">
        <v>825</v>
      </c>
      <c r="M152" s="3" t="s">
        <v>428</v>
      </c>
      <c r="N152" s="3">
        <v>2103.0</v>
      </c>
      <c r="O152" s="3" t="s">
        <v>818</v>
      </c>
      <c r="P152" s="10">
        <v>280.0</v>
      </c>
      <c r="Q152" s="13">
        <v>205.7</v>
      </c>
      <c r="R152" s="13">
        <v>117.11</v>
      </c>
      <c r="S152" s="13">
        <f t="shared" si="3"/>
        <v>57596</v>
      </c>
      <c r="T152" s="13">
        <f t="shared" si="4"/>
        <v>32790.8</v>
      </c>
      <c r="U152" s="13">
        <f t="shared" si="5"/>
        <v>24805.2</v>
      </c>
      <c r="V152" s="3" t="str">
        <f>VLOOKUP(N152,products!A:B,2,0)</f>
        <v>Cereal</v>
      </c>
      <c r="W152" s="3" t="s">
        <v>28</v>
      </c>
      <c r="X152" s="3" t="s">
        <v>79</v>
      </c>
      <c r="Y152" s="14">
        <f t="shared" si="6"/>
        <v>0.4306757414</v>
      </c>
      <c r="Z152" s="3">
        <f t="shared" si="7"/>
        <v>28</v>
      </c>
      <c r="AA152" s="15">
        <f t="shared" si="8"/>
        <v>5</v>
      </c>
    </row>
    <row r="153" ht="15.75" customHeight="1">
      <c r="A153" s="3">
        <v>1.94858253E8</v>
      </c>
      <c r="B153" s="3" t="s">
        <v>999</v>
      </c>
      <c r="C153" s="3">
        <f>IFERROR(__xludf.DUMMYFUNCTION("split(B153,""/"")"),5.0)</f>
        <v>5</v>
      </c>
      <c r="D153" s="10">
        <f>IFERROR(__xludf.DUMMYFUNCTION("""COMPUTED_VALUE"""),17.0)</f>
        <v>17</v>
      </c>
      <c r="E153" s="11">
        <f>IFERROR(__xludf.DUMMYFUNCTION("""COMPUTED_VALUE"""),2011.0)</f>
        <v>2011</v>
      </c>
      <c r="F153" s="12">
        <f t="shared" si="1"/>
        <v>40680</v>
      </c>
      <c r="G153" s="3" t="s">
        <v>1000</v>
      </c>
      <c r="H153" s="3">
        <f>IFERROR(__xludf.DUMMYFUNCTION("split(G153,""/"")"),5.0)</f>
        <v>5</v>
      </c>
      <c r="I153" s="3">
        <f>IFERROR(__xludf.DUMMYFUNCTION("""COMPUTED_VALUE"""),22.0)</f>
        <v>22</v>
      </c>
      <c r="J153" s="3">
        <f>IFERROR(__xludf.DUMMYFUNCTION("""COMPUTED_VALUE"""),2011.0)</f>
        <v>2011</v>
      </c>
      <c r="K153" s="12">
        <f t="shared" si="2"/>
        <v>40685</v>
      </c>
      <c r="L153" s="3" t="s">
        <v>825</v>
      </c>
      <c r="M153" s="3" t="s">
        <v>434</v>
      </c>
      <c r="N153" s="3">
        <v>3127.0</v>
      </c>
      <c r="O153" s="3" t="s">
        <v>815</v>
      </c>
      <c r="P153" s="10">
        <v>1742.0</v>
      </c>
      <c r="Q153" s="13">
        <v>81.73</v>
      </c>
      <c r="R153" s="13">
        <v>56.67</v>
      </c>
      <c r="S153" s="13">
        <f t="shared" si="3"/>
        <v>142373.66</v>
      </c>
      <c r="T153" s="13">
        <f t="shared" si="4"/>
        <v>98719.14</v>
      </c>
      <c r="U153" s="13">
        <f t="shared" si="5"/>
        <v>43654.52</v>
      </c>
      <c r="V153" s="3" t="str">
        <f>VLOOKUP(N153,products!A:B,2,0)</f>
        <v>Personal Care</v>
      </c>
      <c r="W153" s="3" t="s">
        <v>28</v>
      </c>
      <c r="X153" s="3" t="s">
        <v>79</v>
      </c>
      <c r="Y153" s="14">
        <f t="shared" si="6"/>
        <v>0.3066193564</v>
      </c>
      <c r="Z153" s="3">
        <f t="shared" si="7"/>
        <v>5</v>
      </c>
      <c r="AA153" s="15">
        <f t="shared" si="8"/>
        <v>3</v>
      </c>
    </row>
    <row r="154" ht="15.75" customHeight="1">
      <c r="A154" s="3">
        <v>1.94922626E8</v>
      </c>
      <c r="B154" s="3" t="s">
        <v>1001</v>
      </c>
      <c r="C154" s="3">
        <f>IFERROR(__xludf.DUMMYFUNCTION("split(B154,""/"")"),1.0)</f>
        <v>1</v>
      </c>
      <c r="D154" s="10">
        <f>IFERROR(__xludf.DUMMYFUNCTION("""COMPUTED_VALUE"""),23.0)</f>
        <v>23</v>
      </c>
      <c r="E154" s="11">
        <f>IFERROR(__xludf.DUMMYFUNCTION("""COMPUTED_VALUE"""),2012.0)</f>
        <v>2012</v>
      </c>
      <c r="F154" s="12">
        <f t="shared" si="1"/>
        <v>40931</v>
      </c>
      <c r="G154" s="9">
        <v>41092.0</v>
      </c>
      <c r="H154" s="3">
        <f>IFERROR(__xludf.DUMMYFUNCTION("split(G154,""/"")"),2.0)</f>
        <v>2</v>
      </c>
      <c r="I154" s="3">
        <f>IFERROR(__xludf.DUMMYFUNCTION("""COMPUTED_VALUE"""),7.0)</f>
        <v>7</v>
      </c>
      <c r="J154" s="3">
        <f>IFERROR(__xludf.DUMMYFUNCTION("""COMPUTED_VALUE"""),2012.0)</f>
        <v>2012</v>
      </c>
      <c r="K154" s="12">
        <f t="shared" si="2"/>
        <v>40946</v>
      </c>
      <c r="L154" s="3" t="s">
        <v>827</v>
      </c>
      <c r="M154" s="3" t="s">
        <v>67</v>
      </c>
      <c r="N154" s="3">
        <v>7331.0</v>
      </c>
      <c r="O154" s="3" t="s">
        <v>818</v>
      </c>
      <c r="P154" s="10">
        <v>791.0</v>
      </c>
      <c r="Q154" s="13">
        <v>255.28</v>
      </c>
      <c r="R154" s="13">
        <v>159.42</v>
      </c>
      <c r="S154" s="13">
        <f t="shared" si="3"/>
        <v>201926.48</v>
      </c>
      <c r="T154" s="13">
        <f t="shared" si="4"/>
        <v>126101.22</v>
      </c>
      <c r="U154" s="13">
        <f t="shared" si="5"/>
        <v>75825.26</v>
      </c>
      <c r="V154" s="3" t="str">
        <f>VLOOKUP(N154,products!A:B,2,0)</f>
        <v>Baby Food</v>
      </c>
      <c r="W154" s="3" t="s">
        <v>23</v>
      </c>
      <c r="X154" s="3" t="s">
        <v>68</v>
      </c>
      <c r="Y154" s="14">
        <f t="shared" si="6"/>
        <v>0.3755092448</v>
      </c>
      <c r="Z154" s="3">
        <f t="shared" si="7"/>
        <v>15</v>
      </c>
      <c r="AA154" s="15">
        <f t="shared" si="8"/>
        <v>2</v>
      </c>
    </row>
    <row r="155" ht="15.75" customHeight="1">
      <c r="A155" s="3">
        <v>1.95171105E8</v>
      </c>
      <c r="B155" s="3" t="s">
        <v>1002</v>
      </c>
      <c r="C155" s="3">
        <f>IFERROR(__xludf.DUMMYFUNCTION("split(B155,""/"")"),7.0)</f>
        <v>7</v>
      </c>
      <c r="D155" s="10">
        <f>IFERROR(__xludf.DUMMYFUNCTION("""COMPUTED_VALUE"""),25.0)</f>
        <v>25</v>
      </c>
      <c r="E155" s="11">
        <f>IFERROR(__xludf.DUMMYFUNCTION("""COMPUTED_VALUE"""),2014.0)</f>
        <v>2014</v>
      </c>
      <c r="F155" s="12">
        <f t="shared" si="1"/>
        <v>41845</v>
      </c>
      <c r="G155" s="9">
        <v>41738.0</v>
      </c>
      <c r="H155" s="3">
        <f>IFERROR(__xludf.DUMMYFUNCTION("split(G155,""/"")"),9.0)</f>
        <v>9</v>
      </c>
      <c r="I155" s="3">
        <f>IFERROR(__xludf.DUMMYFUNCTION("""COMPUTED_VALUE"""),4.0)</f>
        <v>4</v>
      </c>
      <c r="J155" s="3">
        <f>IFERROR(__xludf.DUMMYFUNCTION("""COMPUTED_VALUE"""),2014.0)</f>
        <v>2014</v>
      </c>
      <c r="K155" s="12">
        <f t="shared" si="2"/>
        <v>41886</v>
      </c>
      <c r="L155" s="3" t="s">
        <v>814</v>
      </c>
      <c r="M155" s="3" t="s">
        <v>267</v>
      </c>
      <c r="N155" s="3">
        <v>3127.0</v>
      </c>
      <c r="O155" s="3" t="s">
        <v>815</v>
      </c>
      <c r="P155" s="10">
        <v>4322.0</v>
      </c>
      <c r="Q155" s="13">
        <v>81.73</v>
      </c>
      <c r="R155" s="13">
        <v>56.67</v>
      </c>
      <c r="S155" s="13">
        <f t="shared" si="3"/>
        <v>353237.06</v>
      </c>
      <c r="T155" s="13">
        <f t="shared" si="4"/>
        <v>244927.74</v>
      </c>
      <c r="U155" s="13">
        <f t="shared" si="5"/>
        <v>108309.32</v>
      </c>
      <c r="V155" s="3" t="str">
        <f>VLOOKUP(N155,products!A:B,2,0)</f>
        <v>Personal Care</v>
      </c>
      <c r="W155" s="3" t="s">
        <v>28</v>
      </c>
      <c r="X155" s="3" t="s">
        <v>29</v>
      </c>
      <c r="Y155" s="14">
        <f t="shared" si="6"/>
        <v>0.3066193564</v>
      </c>
      <c r="Z155" s="3">
        <f t="shared" si="7"/>
        <v>41</v>
      </c>
      <c r="AA155" s="15">
        <f t="shared" si="8"/>
        <v>6</v>
      </c>
    </row>
    <row r="156" ht="15.75" customHeight="1">
      <c r="A156" s="3">
        <v>1.95212733E8</v>
      </c>
      <c r="B156" s="3" t="s">
        <v>1003</v>
      </c>
      <c r="C156" s="3">
        <f>IFERROR(__xludf.DUMMYFUNCTION("split(B156,""/"")"),7.0)</f>
        <v>7</v>
      </c>
      <c r="D156" s="10">
        <f>IFERROR(__xludf.DUMMYFUNCTION("""COMPUTED_VALUE"""),18.0)</f>
        <v>18</v>
      </c>
      <c r="E156" s="11">
        <f>IFERROR(__xludf.DUMMYFUNCTION("""COMPUTED_VALUE"""),2013.0)</f>
        <v>2013</v>
      </c>
      <c r="F156" s="12">
        <f t="shared" si="1"/>
        <v>41473</v>
      </c>
      <c r="G156" s="3" t="s">
        <v>1004</v>
      </c>
      <c r="H156" s="3">
        <f>IFERROR(__xludf.DUMMYFUNCTION("split(G156,""/"")"),8.0)</f>
        <v>8</v>
      </c>
      <c r="I156" s="3">
        <f>IFERROR(__xludf.DUMMYFUNCTION("""COMPUTED_VALUE"""),14.0)</f>
        <v>14</v>
      </c>
      <c r="J156" s="3">
        <f>IFERROR(__xludf.DUMMYFUNCTION("""COMPUTED_VALUE"""),2013.0)</f>
        <v>2013</v>
      </c>
      <c r="K156" s="12">
        <f t="shared" si="2"/>
        <v>41500</v>
      </c>
      <c r="L156" s="3" t="s">
        <v>827</v>
      </c>
      <c r="M156" s="3" t="s">
        <v>248</v>
      </c>
      <c r="N156" s="3">
        <v>2103.0</v>
      </c>
      <c r="O156" s="3" t="s">
        <v>818</v>
      </c>
      <c r="P156" s="10">
        <v>6641.0</v>
      </c>
      <c r="Q156" s="13">
        <v>205.7</v>
      </c>
      <c r="R156" s="13">
        <v>117.11</v>
      </c>
      <c r="S156" s="13">
        <f t="shared" si="3"/>
        <v>1366053.7</v>
      </c>
      <c r="T156" s="13">
        <f t="shared" si="4"/>
        <v>777727.51</v>
      </c>
      <c r="U156" s="13">
        <f t="shared" si="5"/>
        <v>588326.19</v>
      </c>
      <c r="V156" s="3" t="str">
        <f>VLOOKUP(N156,products!A:B,2,0)</f>
        <v>Cereal</v>
      </c>
      <c r="W156" s="3" t="s">
        <v>28</v>
      </c>
      <c r="X156" s="3" t="s">
        <v>29</v>
      </c>
      <c r="Y156" s="14">
        <f t="shared" si="6"/>
        <v>0.4306757414</v>
      </c>
      <c r="Z156" s="3">
        <f t="shared" si="7"/>
        <v>27</v>
      </c>
      <c r="AA156" s="15">
        <f t="shared" si="8"/>
        <v>5</v>
      </c>
    </row>
    <row r="157" ht="15.75" customHeight="1">
      <c r="A157" s="3">
        <v>1.95259082E8</v>
      </c>
      <c r="B157" s="3" t="s">
        <v>1005</v>
      </c>
      <c r="C157" s="3">
        <f>IFERROR(__xludf.DUMMYFUNCTION("split(B157,""/"")"),9.0)</f>
        <v>9</v>
      </c>
      <c r="D157" s="10">
        <f>IFERROR(__xludf.DUMMYFUNCTION("""COMPUTED_VALUE"""),26.0)</f>
        <v>26</v>
      </c>
      <c r="E157" s="11">
        <f>IFERROR(__xludf.DUMMYFUNCTION("""COMPUTED_VALUE"""),2013.0)</f>
        <v>2013</v>
      </c>
      <c r="F157" s="12">
        <f t="shared" si="1"/>
        <v>41543</v>
      </c>
      <c r="G157" s="9">
        <v>41588.0</v>
      </c>
      <c r="H157" s="3">
        <f>IFERROR(__xludf.DUMMYFUNCTION("split(G157,""/"")"),10.0)</f>
        <v>10</v>
      </c>
      <c r="I157" s="3">
        <f>IFERROR(__xludf.DUMMYFUNCTION("""COMPUTED_VALUE"""),11.0)</f>
        <v>11</v>
      </c>
      <c r="J157" s="3">
        <f>IFERROR(__xludf.DUMMYFUNCTION("""COMPUTED_VALUE"""),2013.0)</f>
        <v>2013</v>
      </c>
      <c r="K157" s="12">
        <f t="shared" si="2"/>
        <v>41558</v>
      </c>
      <c r="L157" s="3" t="s">
        <v>825</v>
      </c>
      <c r="M157" s="3" t="s">
        <v>300</v>
      </c>
      <c r="N157" s="3">
        <v>7940.0</v>
      </c>
      <c r="O157" s="3" t="s">
        <v>815</v>
      </c>
      <c r="P157" s="10">
        <v>356.0</v>
      </c>
      <c r="Q157" s="13">
        <v>668.27</v>
      </c>
      <c r="R157" s="13">
        <v>502.54</v>
      </c>
      <c r="S157" s="13">
        <f t="shared" si="3"/>
        <v>237904.12</v>
      </c>
      <c r="T157" s="13">
        <f t="shared" si="4"/>
        <v>178904.24</v>
      </c>
      <c r="U157" s="13">
        <f t="shared" si="5"/>
        <v>58999.88</v>
      </c>
      <c r="V157" s="3" t="str">
        <f>VLOOKUP(N157,products!A:B,2,0)</f>
        <v>Household</v>
      </c>
      <c r="W157" s="3" t="s">
        <v>28</v>
      </c>
      <c r="X157" s="3" t="s">
        <v>33</v>
      </c>
      <c r="Y157" s="14">
        <f t="shared" si="6"/>
        <v>0.2479985635</v>
      </c>
      <c r="Z157" s="3">
        <f t="shared" si="7"/>
        <v>15</v>
      </c>
      <c r="AA157" s="15">
        <f t="shared" si="8"/>
        <v>5</v>
      </c>
    </row>
    <row r="158" ht="15.75" customHeight="1">
      <c r="A158" s="3">
        <v>1.96346127E8</v>
      </c>
      <c r="B158" s="3" t="s">
        <v>896</v>
      </c>
      <c r="C158" s="3">
        <f>IFERROR(__xludf.DUMMYFUNCTION("split(B158,""/"")"),2.0)</f>
        <v>2</v>
      </c>
      <c r="D158" s="10">
        <f>IFERROR(__xludf.DUMMYFUNCTION("""COMPUTED_VALUE"""),28.0)</f>
        <v>28</v>
      </c>
      <c r="E158" s="11">
        <f>IFERROR(__xludf.DUMMYFUNCTION("""COMPUTED_VALUE"""),2011.0)</f>
        <v>2011</v>
      </c>
      <c r="F158" s="12">
        <f t="shared" si="1"/>
        <v>40602</v>
      </c>
      <c r="G158" s="9">
        <v>40881.0</v>
      </c>
      <c r="H158" s="3">
        <f>IFERROR(__xludf.DUMMYFUNCTION("split(G158,""/"")"),4.0)</f>
        <v>4</v>
      </c>
      <c r="I158" s="3">
        <f>IFERROR(__xludf.DUMMYFUNCTION("""COMPUTED_VALUE"""),12.0)</f>
        <v>12</v>
      </c>
      <c r="J158" s="3">
        <f>IFERROR(__xludf.DUMMYFUNCTION("""COMPUTED_VALUE"""),2011.0)</f>
        <v>2011</v>
      </c>
      <c r="K158" s="12">
        <f t="shared" si="2"/>
        <v>40645</v>
      </c>
      <c r="L158" s="3" t="s">
        <v>827</v>
      </c>
      <c r="M158" s="3" t="s">
        <v>67</v>
      </c>
      <c r="N158" s="3">
        <v>8969.0</v>
      </c>
      <c r="O158" s="3" t="s">
        <v>815</v>
      </c>
      <c r="P158" s="10">
        <v>2037.0</v>
      </c>
      <c r="Q158" s="13">
        <v>152.58</v>
      </c>
      <c r="R158" s="13">
        <v>97.44</v>
      </c>
      <c r="S158" s="13">
        <f t="shared" si="3"/>
        <v>310805.46</v>
      </c>
      <c r="T158" s="13">
        <f t="shared" si="4"/>
        <v>198485.28</v>
      </c>
      <c r="U158" s="13">
        <f t="shared" si="5"/>
        <v>112320.18</v>
      </c>
      <c r="V158" s="3" t="str">
        <f>VLOOKUP(N158,products!A:B,2,0)</f>
        <v>Snacks</v>
      </c>
      <c r="W158" s="3" t="s">
        <v>23</v>
      </c>
      <c r="X158" s="3" t="s">
        <v>68</v>
      </c>
      <c r="Y158" s="14">
        <f t="shared" si="6"/>
        <v>0.3613841919</v>
      </c>
      <c r="Z158" s="3">
        <f t="shared" si="7"/>
        <v>43</v>
      </c>
      <c r="AA158" s="15">
        <f t="shared" si="8"/>
        <v>2</v>
      </c>
    </row>
    <row r="159" ht="15.75" customHeight="1">
      <c r="A159" s="3">
        <v>1.98537814E8</v>
      </c>
      <c r="B159" s="3" t="s">
        <v>1006</v>
      </c>
      <c r="C159" s="3">
        <f>IFERROR(__xludf.DUMMYFUNCTION("split(B159,""/"")"),11.0)</f>
        <v>11</v>
      </c>
      <c r="D159" s="10">
        <f>IFERROR(__xludf.DUMMYFUNCTION("""COMPUTED_VALUE"""),26.0)</f>
        <v>26</v>
      </c>
      <c r="E159" s="11">
        <f>IFERROR(__xludf.DUMMYFUNCTION("""COMPUTED_VALUE"""),2011.0)</f>
        <v>2011</v>
      </c>
      <c r="F159" s="12">
        <f t="shared" si="1"/>
        <v>40873</v>
      </c>
      <c r="G159" s="3" t="s">
        <v>1007</v>
      </c>
      <c r="H159" s="3">
        <f>IFERROR(__xludf.DUMMYFUNCTION("split(G159,""/"")"),12.0)</f>
        <v>12</v>
      </c>
      <c r="I159" s="3">
        <f>IFERROR(__xludf.DUMMYFUNCTION("""COMPUTED_VALUE"""),19.0)</f>
        <v>19</v>
      </c>
      <c r="J159" s="3">
        <f>IFERROR(__xludf.DUMMYFUNCTION("""COMPUTED_VALUE"""),2011.0)</f>
        <v>2011</v>
      </c>
      <c r="K159" s="12">
        <f t="shared" si="2"/>
        <v>40896</v>
      </c>
      <c r="L159" s="3" t="s">
        <v>817</v>
      </c>
      <c r="M159" s="3" t="s">
        <v>221</v>
      </c>
      <c r="N159" s="3">
        <v>8875.0</v>
      </c>
      <c r="O159" s="3" t="s">
        <v>815</v>
      </c>
      <c r="P159" s="10">
        <v>606.0</v>
      </c>
      <c r="Q159" s="13">
        <v>421.89</v>
      </c>
      <c r="R159" s="13">
        <v>364.69</v>
      </c>
      <c r="S159" s="13">
        <f t="shared" si="3"/>
        <v>255665.34</v>
      </c>
      <c r="T159" s="13">
        <f t="shared" si="4"/>
        <v>221002.14</v>
      </c>
      <c r="U159" s="13">
        <f t="shared" si="5"/>
        <v>34663.2</v>
      </c>
      <c r="V159" s="3" t="str">
        <f>VLOOKUP(N159,products!A:B,2,0)</f>
        <v>Meat</v>
      </c>
      <c r="W159" s="3" t="s">
        <v>28</v>
      </c>
      <c r="X159" s="3" t="s">
        <v>29</v>
      </c>
      <c r="Y159" s="14">
        <f t="shared" si="6"/>
        <v>0.1355803646</v>
      </c>
      <c r="Z159" s="3">
        <f t="shared" si="7"/>
        <v>23</v>
      </c>
      <c r="AA159" s="15">
        <f t="shared" si="8"/>
        <v>7</v>
      </c>
    </row>
    <row r="160" ht="15.75" customHeight="1">
      <c r="A160" s="3">
        <v>2.0035485E8</v>
      </c>
      <c r="B160" s="9">
        <v>41643.0</v>
      </c>
      <c r="C160" s="3">
        <f>IFERROR(__xludf.DUMMYFUNCTION("split(B160,""/"")"),4.0)</f>
        <v>4</v>
      </c>
      <c r="D160" s="10">
        <f>IFERROR(__xludf.DUMMYFUNCTION("""COMPUTED_VALUE"""),1.0)</f>
        <v>1</v>
      </c>
      <c r="E160" s="11">
        <f>IFERROR(__xludf.DUMMYFUNCTION("""COMPUTED_VALUE"""),2014.0)</f>
        <v>2014</v>
      </c>
      <c r="F160" s="12">
        <f t="shared" si="1"/>
        <v>41730</v>
      </c>
      <c r="G160" s="9">
        <v>41734.0</v>
      </c>
      <c r="H160" s="3">
        <f>IFERROR(__xludf.DUMMYFUNCTION("split(G160,""/"")"),5.0)</f>
        <v>5</v>
      </c>
      <c r="I160" s="3">
        <f>IFERROR(__xludf.DUMMYFUNCTION("""COMPUTED_VALUE"""),4.0)</f>
        <v>4</v>
      </c>
      <c r="J160" s="3">
        <f>IFERROR(__xludf.DUMMYFUNCTION("""COMPUTED_VALUE"""),2014.0)</f>
        <v>2014</v>
      </c>
      <c r="K160" s="12">
        <f t="shared" si="2"/>
        <v>41763</v>
      </c>
      <c r="L160" s="3" t="s">
        <v>827</v>
      </c>
      <c r="M160" s="3" t="s">
        <v>536</v>
      </c>
      <c r="N160" s="3">
        <v>7331.0</v>
      </c>
      <c r="O160" s="3" t="s">
        <v>818</v>
      </c>
      <c r="P160" s="10">
        <v>8307.0</v>
      </c>
      <c r="Q160" s="13">
        <v>255.28</v>
      </c>
      <c r="R160" s="13">
        <v>159.42</v>
      </c>
      <c r="S160" s="13">
        <f t="shared" si="3"/>
        <v>2120610.96</v>
      </c>
      <c r="T160" s="13">
        <f t="shared" si="4"/>
        <v>1324301.94</v>
      </c>
      <c r="U160" s="13">
        <f t="shared" si="5"/>
        <v>796309.02</v>
      </c>
      <c r="V160" s="3" t="str">
        <f>VLOOKUP(N160,products!A:B,2,0)</f>
        <v>Baby Food</v>
      </c>
      <c r="W160" s="3" t="s">
        <v>28</v>
      </c>
      <c r="X160" s="3" t="s">
        <v>33</v>
      </c>
      <c r="Y160" s="14">
        <f t="shared" si="6"/>
        <v>0.3755092448</v>
      </c>
      <c r="Z160" s="3">
        <f t="shared" si="7"/>
        <v>33</v>
      </c>
      <c r="AA160" s="15">
        <f t="shared" si="8"/>
        <v>3</v>
      </c>
    </row>
    <row r="161" ht="15.75" customHeight="1">
      <c r="A161" s="3">
        <v>2.00432097E8</v>
      </c>
      <c r="B161" s="3" t="s">
        <v>1008</v>
      </c>
      <c r="C161" s="3">
        <f>IFERROR(__xludf.DUMMYFUNCTION("split(B161,""/"")"),1.0)</f>
        <v>1</v>
      </c>
      <c r="D161" s="10">
        <f>IFERROR(__xludf.DUMMYFUNCTION("""COMPUTED_VALUE"""),17.0)</f>
        <v>17</v>
      </c>
      <c r="E161" s="11">
        <f>IFERROR(__xludf.DUMMYFUNCTION("""COMPUTED_VALUE"""),2012.0)</f>
        <v>2012</v>
      </c>
      <c r="F161" s="12">
        <f t="shared" si="1"/>
        <v>40925</v>
      </c>
      <c r="G161" s="3" t="s">
        <v>1009</v>
      </c>
      <c r="H161" s="3">
        <f>IFERROR(__xludf.DUMMYFUNCTION("split(G161,""/"")"),1.0)</f>
        <v>1</v>
      </c>
      <c r="I161" s="3">
        <f>IFERROR(__xludf.DUMMYFUNCTION("""COMPUTED_VALUE"""),31.0)</f>
        <v>31</v>
      </c>
      <c r="J161" s="3">
        <f>IFERROR(__xludf.DUMMYFUNCTION("""COMPUTED_VALUE"""),2012.0)</f>
        <v>2012</v>
      </c>
      <c r="K161" s="12">
        <f t="shared" si="2"/>
        <v>40939</v>
      </c>
      <c r="L161" s="3" t="s">
        <v>825</v>
      </c>
      <c r="M161" s="3" t="s">
        <v>578</v>
      </c>
      <c r="N161" s="3">
        <v>7940.0</v>
      </c>
      <c r="O161" s="3" t="s">
        <v>815</v>
      </c>
      <c r="P161" s="10">
        <v>1167.0</v>
      </c>
      <c r="Q161" s="13">
        <v>668.27</v>
      </c>
      <c r="R161" s="13">
        <v>502.54</v>
      </c>
      <c r="S161" s="13">
        <f t="shared" si="3"/>
        <v>779871.09</v>
      </c>
      <c r="T161" s="13">
        <f t="shared" si="4"/>
        <v>586464.18</v>
      </c>
      <c r="U161" s="13">
        <f t="shared" si="5"/>
        <v>193406.91</v>
      </c>
      <c r="V161" s="3" t="str">
        <f>VLOOKUP(N161,products!A:B,2,0)</f>
        <v>Household</v>
      </c>
      <c r="W161" s="3" t="s">
        <v>28</v>
      </c>
      <c r="X161" s="3" t="s">
        <v>33</v>
      </c>
      <c r="Y161" s="14">
        <f t="shared" si="6"/>
        <v>0.2479985635</v>
      </c>
      <c r="Z161" s="3">
        <f t="shared" si="7"/>
        <v>14</v>
      </c>
      <c r="AA161" s="15">
        <f t="shared" si="8"/>
        <v>3</v>
      </c>
    </row>
    <row r="162" ht="15.75" customHeight="1">
      <c r="A162" s="3">
        <v>2.00507199E8</v>
      </c>
      <c r="B162" s="9">
        <v>41884.0</v>
      </c>
      <c r="C162" s="3">
        <f>IFERROR(__xludf.DUMMYFUNCTION("split(B162,""/"")"),2.0)</f>
        <v>2</v>
      </c>
      <c r="D162" s="10">
        <f>IFERROR(__xludf.DUMMYFUNCTION("""COMPUTED_VALUE"""),9.0)</f>
        <v>9</v>
      </c>
      <c r="E162" s="11">
        <f>IFERROR(__xludf.DUMMYFUNCTION("""COMPUTED_VALUE"""),2014.0)</f>
        <v>2014</v>
      </c>
      <c r="F162" s="12">
        <f t="shared" si="1"/>
        <v>41679</v>
      </c>
      <c r="G162" s="3" t="s">
        <v>1010</v>
      </c>
      <c r="H162" s="3">
        <f>IFERROR(__xludf.DUMMYFUNCTION("split(G162,""/"")"),2.0)</f>
        <v>2</v>
      </c>
      <c r="I162" s="3">
        <f>IFERROR(__xludf.DUMMYFUNCTION("""COMPUTED_VALUE"""),25.0)</f>
        <v>25</v>
      </c>
      <c r="J162" s="3">
        <f>IFERROR(__xludf.DUMMYFUNCTION("""COMPUTED_VALUE"""),2014.0)</f>
        <v>2014</v>
      </c>
      <c r="K162" s="12">
        <f t="shared" si="2"/>
        <v>41695</v>
      </c>
      <c r="L162" s="3" t="s">
        <v>817</v>
      </c>
      <c r="M162" s="3" t="s">
        <v>142</v>
      </c>
      <c r="N162" s="3">
        <v>8681.0</v>
      </c>
      <c r="O162" s="3" t="s">
        <v>818</v>
      </c>
      <c r="P162" s="10">
        <v>3391.0</v>
      </c>
      <c r="Q162" s="13">
        <v>651.21</v>
      </c>
      <c r="R162" s="13">
        <v>524.96</v>
      </c>
      <c r="S162" s="13">
        <f t="shared" si="3"/>
        <v>2208253.11</v>
      </c>
      <c r="T162" s="13">
        <f t="shared" si="4"/>
        <v>1780139.36</v>
      </c>
      <c r="U162" s="13">
        <f t="shared" si="5"/>
        <v>428113.75</v>
      </c>
      <c r="V162" s="3" t="str">
        <f>VLOOKUP(N162,products!A:B,2,0)</f>
        <v>Office Supplies</v>
      </c>
      <c r="W162" s="3" t="s">
        <v>28</v>
      </c>
      <c r="X162" s="3" t="s">
        <v>98</v>
      </c>
      <c r="Y162" s="14">
        <f t="shared" si="6"/>
        <v>0.193869873</v>
      </c>
      <c r="Z162" s="3">
        <f t="shared" si="7"/>
        <v>16</v>
      </c>
      <c r="AA162" s="15">
        <f t="shared" si="8"/>
        <v>1</v>
      </c>
    </row>
    <row r="163" ht="15.75" customHeight="1">
      <c r="A163" s="3">
        <v>2.01294267E8</v>
      </c>
      <c r="B163" s="9">
        <v>41518.0</v>
      </c>
      <c r="C163" s="3">
        <f>IFERROR(__xludf.DUMMYFUNCTION("split(B163,""/"")"),1.0)</f>
        <v>1</v>
      </c>
      <c r="D163" s="10">
        <f>IFERROR(__xludf.DUMMYFUNCTION("""COMPUTED_VALUE"""),9.0)</f>
        <v>9</v>
      </c>
      <c r="E163" s="11">
        <f>IFERROR(__xludf.DUMMYFUNCTION("""COMPUTED_VALUE"""),2013.0)</f>
        <v>2013</v>
      </c>
      <c r="F163" s="12">
        <f t="shared" si="1"/>
        <v>41283</v>
      </c>
      <c r="G163" s="9">
        <v>41519.0</v>
      </c>
      <c r="H163" s="3">
        <f>IFERROR(__xludf.DUMMYFUNCTION("split(G163,""/"")"),2.0)</f>
        <v>2</v>
      </c>
      <c r="I163" s="3">
        <f>IFERROR(__xludf.DUMMYFUNCTION("""COMPUTED_VALUE"""),9.0)</f>
        <v>9</v>
      </c>
      <c r="J163" s="3">
        <f>IFERROR(__xludf.DUMMYFUNCTION("""COMPUTED_VALUE"""),2013.0)</f>
        <v>2013</v>
      </c>
      <c r="K163" s="12">
        <f t="shared" si="2"/>
        <v>41314</v>
      </c>
      <c r="L163" s="3" t="s">
        <v>825</v>
      </c>
      <c r="M163" s="3" t="s">
        <v>623</v>
      </c>
      <c r="N163" s="3">
        <v>8969.0</v>
      </c>
      <c r="O163" s="3" t="s">
        <v>818</v>
      </c>
      <c r="P163" s="10">
        <v>6302.0</v>
      </c>
      <c r="Q163" s="13">
        <v>152.58</v>
      </c>
      <c r="R163" s="13">
        <v>97.44</v>
      </c>
      <c r="S163" s="13">
        <f t="shared" si="3"/>
        <v>961559.16</v>
      </c>
      <c r="T163" s="13">
        <f t="shared" si="4"/>
        <v>614066.88</v>
      </c>
      <c r="U163" s="13">
        <f t="shared" si="5"/>
        <v>347492.28</v>
      </c>
      <c r="V163" s="3" t="str">
        <f>VLOOKUP(N163,products!A:B,2,0)</f>
        <v>Snacks</v>
      </c>
      <c r="W163" s="3" t="s">
        <v>28</v>
      </c>
      <c r="X163" s="3" t="s">
        <v>33</v>
      </c>
      <c r="Y163" s="14">
        <f t="shared" si="6"/>
        <v>0.3613841919</v>
      </c>
      <c r="Z163" s="3">
        <f t="shared" si="7"/>
        <v>31</v>
      </c>
      <c r="AA163" s="15">
        <f t="shared" si="8"/>
        <v>4</v>
      </c>
    </row>
    <row r="164" ht="15.75" customHeight="1">
      <c r="A164" s="3">
        <v>2.02047002E8</v>
      </c>
      <c r="B164" s="3" t="s">
        <v>1011</v>
      </c>
      <c r="C164" s="3">
        <f>IFERROR(__xludf.DUMMYFUNCTION("split(B164,""/"")"),1.0)</f>
        <v>1</v>
      </c>
      <c r="D164" s="10">
        <f>IFERROR(__xludf.DUMMYFUNCTION("""COMPUTED_VALUE"""),29.0)</f>
        <v>29</v>
      </c>
      <c r="E164" s="11">
        <f>IFERROR(__xludf.DUMMYFUNCTION("""COMPUTED_VALUE"""),2012.0)</f>
        <v>2012</v>
      </c>
      <c r="F164" s="12">
        <f t="shared" si="1"/>
        <v>40937</v>
      </c>
      <c r="G164" s="9">
        <v>41063.0</v>
      </c>
      <c r="H164" s="3">
        <f>IFERROR(__xludf.DUMMYFUNCTION("split(G164,""/"")"),3.0)</f>
        <v>3</v>
      </c>
      <c r="I164" s="3">
        <f>IFERROR(__xludf.DUMMYFUNCTION("""COMPUTED_VALUE"""),6.0)</f>
        <v>6</v>
      </c>
      <c r="J164" s="3">
        <f>IFERROR(__xludf.DUMMYFUNCTION("""COMPUTED_VALUE"""),2012.0)</f>
        <v>2012</v>
      </c>
      <c r="K164" s="12">
        <f t="shared" si="2"/>
        <v>40974</v>
      </c>
      <c r="L164" s="3" t="s">
        <v>827</v>
      </c>
      <c r="M164" s="3" t="s">
        <v>740</v>
      </c>
      <c r="N164" s="3">
        <v>8293.0</v>
      </c>
      <c r="O164" s="3" t="s">
        <v>815</v>
      </c>
      <c r="P164" s="10">
        <v>9053.0</v>
      </c>
      <c r="Q164" s="13">
        <v>437.2</v>
      </c>
      <c r="R164" s="13">
        <v>263.33</v>
      </c>
      <c r="S164" s="13">
        <f t="shared" si="3"/>
        <v>3957971.6</v>
      </c>
      <c r="T164" s="13">
        <f t="shared" si="4"/>
        <v>2383926.49</v>
      </c>
      <c r="U164" s="13">
        <f t="shared" si="5"/>
        <v>1574045.11</v>
      </c>
      <c r="V164" s="3" t="str">
        <f>VLOOKUP(N164,products!A:B,2,0)</f>
        <v>Cosmetics</v>
      </c>
      <c r="W164" s="3" t="s">
        <v>28</v>
      </c>
      <c r="X164" s="3" t="s">
        <v>98</v>
      </c>
      <c r="Y164" s="14">
        <f t="shared" si="6"/>
        <v>0.3976898445</v>
      </c>
      <c r="Z164" s="3">
        <f t="shared" si="7"/>
        <v>37</v>
      </c>
      <c r="AA164" s="15">
        <f t="shared" si="8"/>
        <v>1</v>
      </c>
    </row>
    <row r="165" ht="15.75" customHeight="1">
      <c r="A165" s="3">
        <v>2.0303663E8</v>
      </c>
      <c r="B165" s="3" t="s">
        <v>1012</v>
      </c>
      <c r="C165" s="3">
        <f>IFERROR(__xludf.DUMMYFUNCTION("split(B165,""/"")"),6.0)</f>
        <v>6</v>
      </c>
      <c r="D165" s="10">
        <f>IFERROR(__xludf.DUMMYFUNCTION("""COMPUTED_VALUE"""),24.0)</f>
        <v>24</v>
      </c>
      <c r="E165" s="11">
        <f>IFERROR(__xludf.DUMMYFUNCTION("""COMPUTED_VALUE"""),2015.0)</f>
        <v>2015</v>
      </c>
      <c r="F165" s="12">
        <f t="shared" si="1"/>
        <v>42179</v>
      </c>
      <c r="G165" s="3" t="s">
        <v>1013</v>
      </c>
      <c r="H165" s="3">
        <f>IFERROR(__xludf.DUMMYFUNCTION("split(G165,""/"")"),7.0)</f>
        <v>7</v>
      </c>
      <c r="I165" s="3">
        <f>IFERROR(__xludf.DUMMYFUNCTION("""COMPUTED_VALUE"""),28.0)</f>
        <v>28</v>
      </c>
      <c r="J165" s="3">
        <f>IFERROR(__xludf.DUMMYFUNCTION("""COMPUTED_VALUE"""),2015.0)</f>
        <v>2015</v>
      </c>
      <c r="K165" s="12">
        <f t="shared" si="2"/>
        <v>42213</v>
      </c>
      <c r="L165" s="3" t="s">
        <v>825</v>
      </c>
      <c r="M165" s="3" t="s">
        <v>288</v>
      </c>
      <c r="N165" s="3">
        <v>7331.0</v>
      </c>
      <c r="O165" s="3" t="s">
        <v>815</v>
      </c>
      <c r="P165" s="10">
        <v>1905.0</v>
      </c>
      <c r="Q165" s="13">
        <v>255.28</v>
      </c>
      <c r="R165" s="13">
        <v>159.42</v>
      </c>
      <c r="S165" s="13">
        <f t="shared" si="3"/>
        <v>486308.4</v>
      </c>
      <c r="T165" s="13">
        <f t="shared" si="4"/>
        <v>303695.1</v>
      </c>
      <c r="U165" s="13">
        <f t="shared" si="5"/>
        <v>182613.3</v>
      </c>
      <c r="V165" s="3" t="str">
        <f>VLOOKUP(N165,products!A:B,2,0)</f>
        <v>Baby Food</v>
      </c>
      <c r="W165" s="3" t="s">
        <v>23</v>
      </c>
      <c r="X165" s="3" t="s">
        <v>68</v>
      </c>
      <c r="Y165" s="14">
        <f t="shared" si="6"/>
        <v>0.3755092448</v>
      </c>
      <c r="Z165" s="3">
        <f t="shared" si="7"/>
        <v>34</v>
      </c>
      <c r="AA165" s="15">
        <f t="shared" si="8"/>
        <v>4</v>
      </c>
    </row>
    <row r="166" ht="15.75" customHeight="1">
      <c r="A166" s="3">
        <v>2.03955876E8</v>
      </c>
      <c r="B166" s="3" t="s">
        <v>1014</v>
      </c>
      <c r="C166" s="3">
        <f>IFERROR(__xludf.DUMMYFUNCTION("split(B166,""/"")"),6.0)</f>
        <v>6</v>
      </c>
      <c r="D166" s="10">
        <f>IFERROR(__xludf.DUMMYFUNCTION("""COMPUTED_VALUE"""),15.0)</f>
        <v>15</v>
      </c>
      <c r="E166" s="11">
        <f>IFERROR(__xludf.DUMMYFUNCTION("""COMPUTED_VALUE"""),2010.0)</f>
        <v>2010</v>
      </c>
      <c r="F166" s="12">
        <f t="shared" si="1"/>
        <v>40344</v>
      </c>
      <c r="G166" s="3" t="s">
        <v>1015</v>
      </c>
      <c r="H166" s="3">
        <f>IFERROR(__xludf.DUMMYFUNCTION("split(G166,""/"")"),7.0)</f>
        <v>7</v>
      </c>
      <c r="I166" s="3">
        <f>IFERROR(__xludf.DUMMYFUNCTION("""COMPUTED_VALUE"""),18.0)</f>
        <v>18</v>
      </c>
      <c r="J166" s="3">
        <f>IFERROR(__xludf.DUMMYFUNCTION("""COMPUTED_VALUE"""),2010.0)</f>
        <v>2010</v>
      </c>
      <c r="K166" s="12">
        <f t="shared" si="2"/>
        <v>40377</v>
      </c>
      <c r="L166" s="3" t="s">
        <v>814</v>
      </c>
      <c r="M166" s="3" t="s">
        <v>349</v>
      </c>
      <c r="N166" s="3">
        <v>2103.0</v>
      </c>
      <c r="O166" s="3" t="s">
        <v>815</v>
      </c>
      <c r="P166" s="10">
        <v>3931.0</v>
      </c>
      <c r="Q166" s="13">
        <v>205.7</v>
      </c>
      <c r="R166" s="13">
        <v>117.11</v>
      </c>
      <c r="S166" s="13">
        <f t="shared" si="3"/>
        <v>808606.7</v>
      </c>
      <c r="T166" s="13">
        <f t="shared" si="4"/>
        <v>460359.41</v>
      </c>
      <c r="U166" s="13">
        <f t="shared" si="5"/>
        <v>348247.29</v>
      </c>
      <c r="V166" s="3" t="str">
        <f>VLOOKUP(N166,products!A:B,2,0)</f>
        <v>Cereal</v>
      </c>
      <c r="W166" s="3" t="s">
        <v>28</v>
      </c>
      <c r="X166" s="3" t="s">
        <v>29</v>
      </c>
      <c r="Y166" s="14">
        <f t="shared" si="6"/>
        <v>0.4306757414</v>
      </c>
      <c r="Z166" s="3">
        <f t="shared" si="7"/>
        <v>33</v>
      </c>
      <c r="AA166" s="15">
        <f t="shared" si="8"/>
        <v>3</v>
      </c>
    </row>
    <row r="167" ht="15.75" customHeight="1">
      <c r="A167" s="3">
        <v>2.04392325E8</v>
      </c>
      <c r="B167" s="3" t="s">
        <v>1016</v>
      </c>
      <c r="C167" s="3">
        <f>IFERROR(__xludf.DUMMYFUNCTION("split(B167,""/"")"),8.0)</f>
        <v>8</v>
      </c>
      <c r="D167" s="10">
        <f>IFERROR(__xludf.DUMMYFUNCTION("""COMPUTED_VALUE"""),20.0)</f>
        <v>20</v>
      </c>
      <c r="E167" s="11">
        <f>IFERROR(__xludf.DUMMYFUNCTION("""COMPUTED_VALUE"""),2011.0)</f>
        <v>2011</v>
      </c>
      <c r="F167" s="12">
        <f t="shared" si="1"/>
        <v>40775</v>
      </c>
      <c r="G167" s="3" t="s">
        <v>1017</v>
      </c>
      <c r="H167" s="3">
        <f>IFERROR(__xludf.DUMMYFUNCTION("split(G167,""/"")"),9.0)</f>
        <v>9</v>
      </c>
      <c r="I167" s="3">
        <f>IFERROR(__xludf.DUMMYFUNCTION("""COMPUTED_VALUE"""),26.0)</f>
        <v>26</v>
      </c>
      <c r="J167" s="3">
        <f>IFERROR(__xludf.DUMMYFUNCTION("""COMPUTED_VALUE"""),2011.0)</f>
        <v>2011</v>
      </c>
      <c r="K167" s="12">
        <f t="shared" si="2"/>
        <v>40812</v>
      </c>
      <c r="L167" s="3" t="s">
        <v>827</v>
      </c>
      <c r="M167" s="3" t="s">
        <v>346</v>
      </c>
      <c r="N167" s="3">
        <v>8681.0</v>
      </c>
      <c r="O167" s="3" t="s">
        <v>815</v>
      </c>
      <c r="P167" s="10">
        <v>3086.0</v>
      </c>
      <c r="Q167" s="13">
        <v>651.21</v>
      </c>
      <c r="R167" s="13">
        <v>524.96</v>
      </c>
      <c r="S167" s="13">
        <f t="shared" si="3"/>
        <v>2009634.06</v>
      </c>
      <c r="T167" s="13">
        <f t="shared" si="4"/>
        <v>1620026.56</v>
      </c>
      <c r="U167" s="13">
        <f t="shared" si="5"/>
        <v>389607.5</v>
      </c>
      <c r="V167" s="3" t="str">
        <f>VLOOKUP(N167,products!A:B,2,0)</f>
        <v>Office Supplies</v>
      </c>
      <c r="W167" s="3" t="s">
        <v>28</v>
      </c>
      <c r="X167" s="3" t="s">
        <v>98</v>
      </c>
      <c r="Y167" s="14">
        <f t="shared" si="6"/>
        <v>0.193869873</v>
      </c>
      <c r="Z167" s="3">
        <f t="shared" si="7"/>
        <v>37</v>
      </c>
      <c r="AA167" s="15">
        <f t="shared" si="8"/>
        <v>7</v>
      </c>
    </row>
    <row r="168" ht="15.75" customHeight="1">
      <c r="A168" s="3">
        <v>2.04418504E8</v>
      </c>
      <c r="B168" s="9">
        <v>42193.0</v>
      </c>
      <c r="C168" s="3">
        <f>IFERROR(__xludf.DUMMYFUNCTION("split(B168,""/"")"),8.0)</f>
        <v>8</v>
      </c>
      <c r="D168" s="10">
        <f>IFERROR(__xludf.DUMMYFUNCTION("""COMPUTED_VALUE"""),7.0)</f>
        <v>7</v>
      </c>
      <c r="E168" s="11">
        <f>IFERROR(__xludf.DUMMYFUNCTION("""COMPUTED_VALUE"""),2015.0)</f>
        <v>2015</v>
      </c>
      <c r="F168" s="12">
        <f t="shared" si="1"/>
        <v>42223</v>
      </c>
      <c r="G168" s="9">
        <v>42072.0</v>
      </c>
      <c r="H168" s="3">
        <f>IFERROR(__xludf.DUMMYFUNCTION("split(G168,""/"")"),9.0)</f>
        <v>9</v>
      </c>
      <c r="I168" s="3">
        <f>IFERROR(__xludf.DUMMYFUNCTION("""COMPUTED_VALUE"""),3.0)</f>
        <v>3</v>
      </c>
      <c r="J168" s="3">
        <f>IFERROR(__xludf.DUMMYFUNCTION("""COMPUTED_VALUE"""),2015.0)</f>
        <v>2015</v>
      </c>
      <c r="K168" s="12">
        <f t="shared" si="2"/>
        <v>42250</v>
      </c>
      <c r="L168" s="3" t="s">
        <v>817</v>
      </c>
      <c r="M168" s="3" t="s">
        <v>291</v>
      </c>
      <c r="N168" s="3">
        <v>5988.0</v>
      </c>
      <c r="O168" s="3" t="s">
        <v>818</v>
      </c>
      <c r="P168" s="10">
        <v>833.0</v>
      </c>
      <c r="Q168" s="13">
        <v>154.06</v>
      </c>
      <c r="R168" s="13">
        <v>90.93</v>
      </c>
      <c r="S168" s="13">
        <f t="shared" si="3"/>
        <v>128331.98</v>
      </c>
      <c r="T168" s="13">
        <f t="shared" si="4"/>
        <v>75744.69</v>
      </c>
      <c r="U168" s="13">
        <f t="shared" si="5"/>
        <v>52587.29</v>
      </c>
      <c r="V168" s="3" t="str">
        <f>VLOOKUP(N168,products!A:B,2,0)</f>
        <v>Vegetables</v>
      </c>
      <c r="W168" s="3" t="s">
        <v>28</v>
      </c>
      <c r="X168" s="3" t="s">
        <v>79</v>
      </c>
      <c r="Y168" s="14">
        <f t="shared" si="6"/>
        <v>0.4097754122</v>
      </c>
      <c r="Z168" s="3">
        <f t="shared" si="7"/>
        <v>27</v>
      </c>
      <c r="AA168" s="15">
        <f t="shared" si="8"/>
        <v>6</v>
      </c>
    </row>
    <row r="169" ht="15.75" customHeight="1">
      <c r="A169" s="3">
        <v>2.05354487E8</v>
      </c>
      <c r="B169" s="9">
        <v>41245.0</v>
      </c>
      <c r="C169" s="3">
        <f>IFERROR(__xludf.DUMMYFUNCTION("split(B169,""/"")"),2.0)</f>
        <v>2</v>
      </c>
      <c r="D169" s="10">
        <f>IFERROR(__xludf.DUMMYFUNCTION("""COMPUTED_VALUE"""),12.0)</f>
        <v>12</v>
      </c>
      <c r="E169" s="11">
        <f>IFERROR(__xludf.DUMMYFUNCTION("""COMPUTED_VALUE"""),2012.0)</f>
        <v>2012</v>
      </c>
      <c r="F169" s="12">
        <f t="shared" si="1"/>
        <v>40951</v>
      </c>
      <c r="G169" s="3" t="s">
        <v>949</v>
      </c>
      <c r="H169" s="3">
        <f>IFERROR(__xludf.DUMMYFUNCTION("split(G169,""/"")"),2.0)</f>
        <v>2</v>
      </c>
      <c r="I169" s="3">
        <f>IFERROR(__xludf.DUMMYFUNCTION("""COMPUTED_VALUE"""),20.0)</f>
        <v>20</v>
      </c>
      <c r="J169" s="3">
        <f>IFERROR(__xludf.DUMMYFUNCTION("""COMPUTED_VALUE"""),2012.0)</f>
        <v>2012</v>
      </c>
      <c r="K169" s="12">
        <f t="shared" si="2"/>
        <v>40959</v>
      </c>
      <c r="L169" s="3" t="s">
        <v>827</v>
      </c>
      <c r="M169" s="3" t="s">
        <v>123</v>
      </c>
      <c r="N169" s="3">
        <v>8293.0</v>
      </c>
      <c r="O169" s="3" t="s">
        <v>818</v>
      </c>
      <c r="P169" s="10">
        <v>7811.0</v>
      </c>
      <c r="Q169" s="13">
        <v>437.2</v>
      </c>
      <c r="R169" s="13">
        <v>263.33</v>
      </c>
      <c r="S169" s="13">
        <f t="shared" si="3"/>
        <v>3414969.2</v>
      </c>
      <c r="T169" s="13">
        <f t="shared" si="4"/>
        <v>2056870.63</v>
      </c>
      <c r="U169" s="13">
        <f t="shared" si="5"/>
        <v>1358098.57</v>
      </c>
      <c r="V169" s="3" t="str">
        <f>VLOOKUP(N169,products!A:B,2,0)</f>
        <v>Cosmetics</v>
      </c>
      <c r="W169" s="3" t="s">
        <v>28</v>
      </c>
      <c r="X169" s="3" t="s">
        <v>33</v>
      </c>
      <c r="Y169" s="14">
        <f t="shared" si="6"/>
        <v>0.3976898445</v>
      </c>
      <c r="Z169" s="3">
        <f t="shared" si="7"/>
        <v>8</v>
      </c>
      <c r="AA169" s="15">
        <f t="shared" si="8"/>
        <v>1</v>
      </c>
    </row>
    <row r="170" ht="15.75" customHeight="1">
      <c r="A170" s="3">
        <v>2.08238399E8</v>
      </c>
      <c r="B170" s="3" t="s">
        <v>980</v>
      </c>
      <c r="C170" s="3">
        <f>IFERROR(__xludf.DUMMYFUNCTION("split(B170,""/"")"),8.0)</f>
        <v>8</v>
      </c>
      <c r="D170" s="10">
        <f>IFERROR(__xludf.DUMMYFUNCTION("""COMPUTED_VALUE"""),29.0)</f>
        <v>29</v>
      </c>
      <c r="E170" s="11">
        <f>IFERROR(__xludf.DUMMYFUNCTION("""COMPUTED_VALUE"""),2015.0)</f>
        <v>2015</v>
      </c>
      <c r="F170" s="12">
        <f t="shared" si="1"/>
        <v>42245</v>
      </c>
      <c r="G170" s="3" t="s">
        <v>1018</v>
      </c>
      <c r="H170" s="3">
        <f>IFERROR(__xludf.DUMMYFUNCTION("split(G170,""/"")"),10.0)</f>
        <v>10</v>
      </c>
      <c r="I170" s="3">
        <f>IFERROR(__xludf.DUMMYFUNCTION("""COMPUTED_VALUE"""),15.0)</f>
        <v>15</v>
      </c>
      <c r="J170" s="3">
        <f>IFERROR(__xludf.DUMMYFUNCTION("""COMPUTED_VALUE"""),2015.0)</f>
        <v>2015</v>
      </c>
      <c r="K170" s="12">
        <f t="shared" si="2"/>
        <v>42292</v>
      </c>
      <c r="L170" s="3" t="s">
        <v>825</v>
      </c>
      <c r="M170" s="3" t="s">
        <v>32</v>
      </c>
      <c r="N170" s="3">
        <v>8293.0</v>
      </c>
      <c r="O170" s="3" t="s">
        <v>818</v>
      </c>
      <c r="P170" s="10">
        <v>1224.0</v>
      </c>
      <c r="Q170" s="13">
        <v>437.2</v>
      </c>
      <c r="R170" s="13">
        <v>263.33</v>
      </c>
      <c r="S170" s="13">
        <f t="shared" si="3"/>
        <v>535132.8</v>
      </c>
      <c r="T170" s="13">
        <f t="shared" si="4"/>
        <v>322315.92</v>
      </c>
      <c r="U170" s="13">
        <f t="shared" si="5"/>
        <v>212816.88</v>
      </c>
      <c r="V170" s="3" t="str">
        <f>VLOOKUP(N170,products!A:B,2,0)</f>
        <v>Cosmetics</v>
      </c>
      <c r="W170" s="3" t="s">
        <v>28</v>
      </c>
      <c r="X170" s="3" t="s">
        <v>33</v>
      </c>
      <c r="Y170" s="14">
        <f t="shared" si="6"/>
        <v>0.3976898445</v>
      </c>
      <c r="Z170" s="3">
        <f t="shared" si="7"/>
        <v>47</v>
      </c>
      <c r="AA170" s="15">
        <f t="shared" si="8"/>
        <v>7</v>
      </c>
    </row>
    <row r="171" ht="15.75" customHeight="1">
      <c r="A171" s="3">
        <v>2.08365428E8</v>
      </c>
      <c r="B171" s="3" t="s">
        <v>1019</v>
      </c>
      <c r="C171" s="3">
        <f>IFERROR(__xludf.DUMMYFUNCTION("split(B171,""/"")"),11.0)</f>
        <v>11</v>
      </c>
      <c r="D171" s="10">
        <f>IFERROR(__xludf.DUMMYFUNCTION("""COMPUTED_VALUE"""),27.0)</f>
        <v>27</v>
      </c>
      <c r="E171" s="11">
        <f>IFERROR(__xludf.DUMMYFUNCTION("""COMPUTED_VALUE"""),2015.0)</f>
        <v>2015</v>
      </c>
      <c r="F171" s="12">
        <f t="shared" si="1"/>
        <v>42335</v>
      </c>
      <c r="G171" s="3" t="s">
        <v>1020</v>
      </c>
      <c r="H171" s="3">
        <f>IFERROR(__xludf.DUMMYFUNCTION("split(G171,""/"")"),12.0)</f>
        <v>12</v>
      </c>
      <c r="I171" s="3">
        <f>IFERROR(__xludf.DUMMYFUNCTION("""COMPUTED_VALUE"""),29.0)</f>
        <v>29</v>
      </c>
      <c r="J171" s="3">
        <f>IFERROR(__xludf.DUMMYFUNCTION("""COMPUTED_VALUE"""),2015.0)</f>
        <v>2015</v>
      </c>
      <c r="K171" s="12">
        <f t="shared" si="2"/>
        <v>42367</v>
      </c>
      <c r="L171" s="3" t="s">
        <v>814</v>
      </c>
      <c r="M171" s="3" t="s">
        <v>575</v>
      </c>
      <c r="N171" s="3">
        <v>8681.0</v>
      </c>
      <c r="O171" s="3" t="s">
        <v>818</v>
      </c>
      <c r="P171" s="10">
        <v>8815.0</v>
      </c>
      <c r="Q171" s="13">
        <v>651.21</v>
      </c>
      <c r="R171" s="13">
        <v>524.96</v>
      </c>
      <c r="S171" s="13">
        <f t="shared" si="3"/>
        <v>5740416.15</v>
      </c>
      <c r="T171" s="13">
        <f t="shared" si="4"/>
        <v>4627522.4</v>
      </c>
      <c r="U171" s="13">
        <f t="shared" si="5"/>
        <v>1112893.75</v>
      </c>
      <c r="V171" s="3" t="str">
        <f>VLOOKUP(N171,products!A:B,2,0)</f>
        <v>Office Supplies</v>
      </c>
      <c r="W171" s="3" t="s">
        <v>28</v>
      </c>
      <c r="X171" s="3" t="s">
        <v>98</v>
      </c>
      <c r="Y171" s="14">
        <f t="shared" si="6"/>
        <v>0.193869873</v>
      </c>
      <c r="Z171" s="3">
        <f t="shared" si="7"/>
        <v>32</v>
      </c>
      <c r="AA171" s="15">
        <f t="shared" si="8"/>
        <v>6</v>
      </c>
    </row>
    <row r="172" ht="15.75" customHeight="1">
      <c r="A172" s="3">
        <v>2.09357202E8</v>
      </c>
      <c r="B172" s="3" t="s">
        <v>855</v>
      </c>
      <c r="C172" s="3">
        <f>IFERROR(__xludf.DUMMYFUNCTION("split(B172,""/"")"),1.0)</f>
        <v>1</v>
      </c>
      <c r="D172" s="10">
        <f>IFERROR(__xludf.DUMMYFUNCTION("""COMPUTED_VALUE"""),14.0)</f>
        <v>14</v>
      </c>
      <c r="E172" s="11">
        <f>IFERROR(__xludf.DUMMYFUNCTION("""COMPUTED_VALUE"""),2015.0)</f>
        <v>2015</v>
      </c>
      <c r="F172" s="12">
        <f t="shared" si="1"/>
        <v>42018</v>
      </c>
      <c r="G172" s="3" t="s">
        <v>1021</v>
      </c>
      <c r="H172" s="3">
        <f>IFERROR(__xludf.DUMMYFUNCTION("split(G172,""/"")"),1.0)</f>
        <v>1</v>
      </c>
      <c r="I172" s="3">
        <f>IFERROR(__xludf.DUMMYFUNCTION("""COMPUTED_VALUE"""),22.0)</f>
        <v>22</v>
      </c>
      <c r="J172" s="3">
        <f>IFERROR(__xludf.DUMMYFUNCTION("""COMPUTED_VALUE"""),2015.0)</f>
        <v>2015</v>
      </c>
      <c r="K172" s="12">
        <f t="shared" si="2"/>
        <v>42026</v>
      </c>
      <c r="L172" s="3" t="s">
        <v>827</v>
      </c>
      <c r="M172" s="3" t="s">
        <v>650</v>
      </c>
      <c r="N172" s="3">
        <v>2103.0</v>
      </c>
      <c r="O172" s="3" t="s">
        <v>815</v>
      </c>
      <c r="P172" s="10">
        <v>2303.0</v>
      </c>
      <c r="Q172" s="13">
        <v>205.7</v>
      </c>
      <c r="R172" s="13">
        <v>117.11</v>
      </c>
      <c r="S172" s="13">
        <f t="shared" si="3"/>
        <v>473727.1</v>
      </c>
      <c r="T172" s="13">
        <f t="shared" si="4"/>
        <v>269704.33</v>
      </c>
      <c r="U172" s="13">
        <f t="shared" si="5"/>
        <v>204022.77</v>
      </c>
      <c r="V172" s="3" t="str">
        <f>VLOOKUP(N172,products!A:B,2,0)</f>
        <v>Cereal</v>
      </c>
      <c r="W172" s="3" t="s">
        <v>28</v>
      </c>
      <c r="X172" s="3" t="s">
        <v>98</v>
      </c>
      <c r="Y172" s="14">
        <f t="shared" si="6"/>
        <v>0.4306757414</v>
      </c>
      <c r="Z172" s="3">
        <f t="shared" si="7"/>
        <v>8</v>
      </c>
      <c r="AA172" s="15">
        <f t="shared" si="8"/>
        <v>4</v>
      </c>
    </row>
    <row r="173" ht="15.75" customHeight="1">
      <c r="A173" s="3">
        <v>2.09445178E8</v>
      </c>
      <c r="B173" s="3" t="s">
        <v>1022</v>
      </c>
      <c r="C173" s="3">
        <f>IFERROR(__xludf.DUMMYFUNCTION("split(B173,""/"")"),3.0)</f>
        <v>3</v>
      </c>
      <c r="D173" s="10">
        <f>IFERROR(__xludf.DUMMYFUNCTION("""COMPUTED_VALUE"""),18.0)</f>
        <v>18</v>
      </c>
      <c r="E173" s="11">
        <f>IFERROR(__xludf.DUMMYFUNCTION("""COMPUTED_VALUE"""),2014.0)</f>
        <v>2014</v>
      </c>
      <c r="F173" s="12">
        <f t="shared" si="1"/>
        <v>41716</v>
      </c>
      <c r="G173" s="3" t="s">
        <v>1023</v>
      </c>
      <c r="H173" s="3">
        <f>IFERROR(__xludf.DUMMYFUNCTION("split(G173,""/"")"),4.0)</f>
        <v>4</v>
      </c>
      <c r="I173" s="3">
        <f>IFERROR(__xludf.DUMMYFUNCTION("""COMPUTED_VALUE"""),20.0)</f>
        <v>20</v>
      </c>
      <c r="J173" s="3">
        <f>IFERROR(__xludf.DUMMYFUNCTION("""COMPUTED_VALUE"""),2014.0)</f>
        <v>2014</v>
      </c>
      <c r="K173" s="12">
        <f t="shared" si="2"/>
        <v>41749</v>
      </c>
      <c r="L173" s="3" t="s">
        <v>814</v>
      </c>
      <c r="M173" s="3" t="s">
        <v>689</v>
      </c>
      <c r="N173" s="3">
        <v>8293.0</v>
      </c>
      <c r="O173" s="3" t="s">
        <v>818</v>
      </c>
      <c r="P173" s="10">
        <v>8337.0</v>
      </c>
      <c r="Q173" s="13">
        <v>437.2</v>
      </c>
      <c r="R173" s="13">
        <v>263.33</v>
      </c>
      <c r="S173" s="13">
        <f t="shared" si="3"/>
        <v>3644936.4</v>
      </c>
      <c r="T173" s="13">
        <f t="shared" si="4"/>
        <v>2195382.21</v>
      </c>
      <c r="U173" s="13">
        <f t="shared" si="5"/>
        <v>1449554.19</v>
      </c>
      <c r="V173" s="3" t="str">
        <f>VLOOKUP(N173,products!A:B,2,0)</f>
        <v>Cosmetics</v>
      </c>
      <c r="W173" s="3" t="s">
        <v>28</v>
      </c>
      <c r="X173" s="3" t="s">
        <v>79</v>
      </c>
      <c r="Y173" s="14">
        <f t="shared" si="6"/>
        <v>0.3976898445</v>
      </c>
      <c r="Z173" s="3">
        <f t="shared" si="7"/>
        <v>33</v>
      </c>
      <c r="AA173" s="15">
        <f t="shared" si="8"/>
        <v>3</v>
      </c>
    </row>
    <row r="174" ht="15.75" customHeight="1">
      <c r="A174" s="3">
        <v>2.09598815E8</v>
      </c>
      <c r="B174" s="9">
        <v>41518.0</v>
      </c>
      <c r="C174" s="3">
        <f>IFERROR(__xludf.DUMMYFUNCTION("split(B174,""/"")"),1.0)</f>
        <v>1</v>
      </c>
      <c r="D174" s="10">
        <f>IFERROR(__xludf.DUMMYFUNCTION("""COMPUTED_VALUE"""),9.0)</f>
        <v>9</v>
      </c>
      <c r="E174" s="11">
        <f>IFERROR(__xludf.DUMMYFUNCTION("""COMPUTED_VALUE"""),2013.0)</f>
        <v>2013</v>
      </c>
      <c r="F174" s="12">
        <f t="shared" si="1"/>
        <v>41283</v>
      </c>
      <c r="G174" s="9">
        <v>41579.0</v>
      </c>
      <c r="H174" s="3">
        <f>IFERROR(__xludf.DUMMYFUNCTION("split(G174,""/"")"),1.0)</f>
        <v>1</v>
      </c>
      <c r="I174" s="3">
        <f>IFERROR(__xludf.DUMMYFUNCTION("""COMPUTED_VALUE"""),11.0)</f>
        <v>11</v>
      </c>
      <c r="J174" s="3">
        <f>IFERROR(__xludf.DUMMYFUNCTION("""COMPUTED_VALUE"""),2013.0)</f>
        <v>2013</v>
      </c>
      <c r="K174" s="12">
        <f t="shared" si="2"/>
        <v>41285</v>
      </c>
      <c r="L174" s="3" t="s">
        <v>825</v>
      </c>
      <c r="M174" s="3" t="s">
        <v>215</v>
      </c>
      <c r="N174" s="3">
        <v>2455.0</v>
      </c>
      <c r="O174" s="3" t="s">
        <v>818</v>
      </c>
      <c r="P174" s="10">
        <v>3802.0</v>
      </c>
      <c r="Q174" s="13">
        <v>109.28</v>
      </c>
      <c r="R174" s="13">
        <v>35.84</v>
      </c>
      <c r="S174" s="13">
        <f t="shared" si="3"/>
        <v>415482.56</v>
      </c>
      <c r="T174" s="13">
        <f t="shared" si="4"/>
        <v>136263.68</v>
      </c>
      <c r="U174" s="13">
        <f t="shared" si="5"/>
        <v>279218.88</v>
      </c>
      <c r="V174" s="3" t="str">
        <f>VLOOKUP(N174,products!A:B,2,0)</f>
        <v>Clothes</v>
      </c>
      <c r="W174" s="3" t="s">
        <v>23</v>
      </c>
      <c r="X174" s="3" t="s">
        <v>68</v>
      </c>
      <c r="Y174" s="14">
        <f t="shared" si="6"/>
        <v>0.6720351391</v>
      </c>
      <c r="Z174" s="3">
        <f t="shared" si="7"/>
        <v>2</v>
      </c>
      <c r="AA174" s="15">
        <f t="shared" si="8"/>
        <v>4</v>
      </c>
    </row>
    <row r="175" ht="15.75" customHeight="1">
      <c r="A175" s="3">
        <v>2.09736573E8</v>
      </c>
      <c r="B175" s="3" t="s">
        <v>1024</v>
      </c>
      <c r="C175" s="3">
        <f>IFERROR(__xludf.DUMMYFUNCTION("split(B175,""/"")"),8.0)</f>
        <v>8</v>
      </c>
      <c r="D175" s="10">
        <f>IFERROR(__xludf.DUMMYFUNCTION("""COMPUTED_VALUE"""),24.0)</f>
        <v>24</v>
      </c>
      <c r="E175" s="11">
        <f>IFERROR(__xludf.DUMMYFUNCTION("""COMPUTED_VALUE"""),2014.0)</f>
        <v>2014</v>
      </c>
      <c r="F175" s="12">
        <f t="shared" si="1"/>
        <v>41875</v>
      </c>
      <c r="G175" s="3" t="s">
        <v>1025</v>
      </c>
      <c r="H175" s="3">
        <f>IFERROR(__xludf.DUMMYFUNCTION("split(G175,""/"")"),9.0)</f>
        <v>9</v>
      </c>
      <c r="I175" s="3">
        <f>IFERROR(__xludf.DUMMYFUNCTION("""COMPUTED_VALUE"""),24.0)</f>
        <v>24</v>
      </c>
      <c r="J175" s="3">
        <f>IFERROR(__xludf.DUMMYFUNCTION("""COMPUTED_VALUE"""),2014.0)</f>
        <v>2014</v>
      </c>
      <c r="K175" s="12">
        <f t="shared" si="2"/>
        <v>41906</v>
      </c>
      <c r="L175" s="3" t="s">
        <v>817</v>
      </c>
      <c r="M175" s="3" t="s">
        <v>635</v>
      </c>
      <c r="N175" s="3">
        <v>8681.0</v>
      </c>
      <c r="O175" s="3" t="s">
        <v>818</v>
      </c>
      <c r="P175" s="10">
        <v>4568.0</v>
      </c>
      <c r="Q175" s="13">
        <v>651.21</v>
      </c>
      <c r="R175" s="13">
        <v>524.96</v>
      </c>
      <c r="S175" s="13">
        <f t="shared" si="3"/>
        <v>2974727.28</v>
      </c>
      <c r="T175" s="13">
        <f t="shared" si="4"/>
        <v>2398017.28</v>
      </c>
      <c r="U175" s="13">
        <f t="shared" si="5"/>
        <v>576710</v>
      </c>
      <c r="V175" s="3" t="str">
        <f>VLOOKUP(N175,products!A:B,2,0)</f>
        <v>Office Supplies</v>
      </c>
      <c r="W175" s="3" t="s">
        <v>28</v>
      </c>
      <c r="X175" s="3" t="s">
        <v>33</v>
      </c>
      <c r="Y175" s="14">
        <f t="shared" si="6"/>
        <v>0.193869873</v>
      </c>
      <c r="Z175" s="3">
        <f t="shared" si="7"/>
        <v>31</v>
      </c>
      <c r="AA175" s="15">
        <f t="shared" si="8"/>
        <v>1</v>
      </c>
    </row>
    <row r="176" ht="15.75" customHeight="1">
      <c r="A176" s="3">
        <v>2.11344611E8</v>
      </c>
      <c r="B176" s="9">
        <v>40181.0</v>
      </c>
      <c r="C176" s="3">
        <f>IFERROR(__xludf.DUMMYFUNCTION("split(B176,""/"")"),3.0)</f>
        <v>3</v>
      </c>
      <c r="D176" s="10">
        <f>IFERROR(__xludf.DUMMYFUNCTION("""COMPUTED_VALUE"""),1.0)</f>
        <v>1</v>
      </c>
      <c r="E176" s="11">
        <f>IFERROR(__xludf.DUMMYFUNCTION("""COMPUTED_VALUE"""),2010.0)</f>
        <v>2010</v>
      </c>
      <c r="F176" s="12">
        <f t="shared" si="1"/>
        <v>40238</v>
      </c>
      <c r="G176" s="3" t="s">
        <v>1026</v>
      </c>
      <c r="H176" s="3">
        <f>IFERROR(__xludf.DUMMYFUNCTION("split(G176,""/"")"),3.0)</f>
        <v>3</v>
      </c>
      <c r="I176" s="3">
        <f>IFERROR(__xludf.DUMMYFUNCTION("""COMPUTED_VALUE"""),23.0)</f>
        <v>23</v>
      </c>
      <c r="J176" s="3">
        <f>IFERROR(__xludf.DUMMYFUNCTION("""COMPUTED_VALUE"""),2010.0)</f>
        <v>2010</v>
      </c>
      <c r="K176" s="12">
        <f t="shared" si="2"/>
        <v>40260</v>
      </c>
      <c r="L176" s="3" t="s">
        <v>825</v>
      </c>
      <c r="M176" s="3" t="s">
        <v>142</v>
      </c>
      <c r="N176" s="3">
        <v>8969.0</v>
      </c>
      <c r="O176" s="3" t="s">
        <v>818</v>
      </c>
      <c r="P176" s="10">
        <v>422.0</v>
      </c>
      <c r="Q176" s="13">
        <v>152.58</v>
      </c>
      <c r="R176" s="13">
        <v>97.44</v>
      </c>
      <c r="S176" s="13">
        <f t="shared" si="3"/>
        <v>64388.76</v>
      </c>
      <c r="T176" s="13">
        <f t="shared" si="4"/>
        <v>41119.68</v>
      </c>
      <c r="U176" s="13">
        <f t="shared" si="5"/>
        <v>23269.08</v>
      </c>
      <c r="V176" s="3" t="str">
        <f>VLOOKUP(N176,products!A:B,2,0)</f>
        <v>Snacks</v>
      </c>
      <c r="W176" s="3" t="s">
        <v>28</v>
      </c>
      <c r="X176" s="3" t="s">
        <v>98</v>
      </c>
      <c r="Y176" s="14">
        <f t="shared" si="6"/>
        <v>0.3613841919</v>
      </c>
      <c r="Z176" s="3">
        <f t="shared" si="7"/>
        <v>22</v>
      </c>
      <c r="AA176" s="15">
        <f t="shared" si="8"/>
        <v>2</v>
      </c>
    </row>
    <row r="177" ht="15.75" customHeight="1">
      <c r="A177" s="3">
        <v>2.12106788E8</v>
      </c>
      <c r="B177" s="3" t="s">
        <v>1027</v>
      </c>
      <c r="C177" s="3">
        <f>IFERROR(__xludf.DUMMYFUNCTION("split(B177,""/"")"),8.0)</f>
        <v>8</v>
      </c>
      <c r="D177" s="10">
        <f>IFERROR(__xludf.DUMMYFUNCTION("""COMPUTED_VALUE"""),23.0)</f>
        <v>23</v>
      </c>
      <c r="E177" s="11">
        <f>IFERROR(__xludf.DUMMYFUNCTION("""COMPUTED_VALUE"""),2011.0)</f>
        <v>2011</v>
      </c>
      <c r="F177" s="12">
        <f t="shared" si="1"/>
        <v>40778</v>
      </c>
      <c r="G177" s="3" t="s">
        <v>1017</v>
      </c>
      <c r="H177" s="3">
        <f>IFERROR(__xludf.DUMMYFUNCTION("split(G177,""/"")"),9.0)</f>
        <v>9</v>
      </c>
      <c r="I177" s="3">
        <f>IFERROR(__xludf.DUMMYFUNCTION("""COMPUTED_VALUE"""),26.0)</f>
        <v>26</v>
      </c>
      <c r="J177" s="3">
        <f>IFERROR(__xludf.DUMMYFUNCTION("""COMPUTED_VALUE"""),2011.0)</f>
        <v>2011</v>
      </c>
      <c r="K177" s="12">
        <f t="shared" si="2"/>
        <v>40812</v>
      </c>
      <c r="L177" s="3" t="s">
        <v>827</v>
      </c>
      <c r="M177" s="3" t="s">
        <v>431</v>
      </c>
      <c r="N177" s="3">
        <v>8681.0</v>
      </c>
      <c r="O177" s="3" t="s">
        <v>815</v>
      </c>
      <c r="P177" s="10">
        <v>5967.0</v>
      </c>
      <c r="Q177" s="13">
        <v>651.21</v>
      </c>
      <c r="R177" s="13">
        <v>524.96</v>
      </c>
      <c r="S177" s="13">
        <f t="shared" si="3"/>
        <v>3885770.07</v>
      </c>
      <c r="T177" s="13">
        <f t="shared" si="4"/>
        <v>3132436.32</v>
      </c>
      <c r="U177" s="13">
        <f t="shared" si="5"/>
        <v>753333.75</v>
      </c>
      <c r="V177" s="3" t="str">
        <f>VLOOKUP(N177,products!A:B,2,0)</f>
        <v>Office Supplies</v>
      </c>
      <c r="W177" s="3" t="s">
        <v>28</v>
      </c>
      <c r="X177" s="3" t="s">
        <v>29</v>
      </c>
      <c r="Y177" s="14">
        <f t="shared" si="6"/>
        <v>0.193869873</v>
      </c>
      <c r="Z177" s="3">
        <f t="shared" si="7"/>
        <v>34</v>
      </c>
      <c r="AA177" s="15">
        <f t="shared" si="8"/>
        <v>3</v>
      </c>
    </row>
    <row r="178" ht="15.75" customHeight="1">
      <c r="A178" s="3">
        <v>2.12319648E8</v>
      </c>
      <c r="B178" s="3" t="s">
        <v>1028</v>
      </c>
      <c r="C178" s="3">
        <f>IFERROR(__xludf.DUMMYFUNCTION("split(B178,""/"")"),4.0)</f>
        <v>4</v>
      </c>
      <c r="D178" s="10">
        <f>IFERROR(__xludf.DUMMYFUNCTION("""COMPUTED_VALUE"""),30.0)</f>
        <v>30</v>
      </c>
      <c r="E178" s="11">
        <f>IFERROR(__xludf.DUMMYFUNCTION("""COMPUTED_VALUE"""),2015.0)</f>
        <v>2015</v>
      </c>
      <c r="F178" s="12">
        <f t="shared" si="1"/>
        <v>42124</v>
      </c>
      <c r="G178" s="3" t="s">
        <v>1029</v>
      </c>
      <c r="H178" s="3">
        <f>IFERROR(__xludf.DUMMYFUNCTION("split(G178,""/"")"),5.0)</f>
        <v>5</v>
      </c>
      <c r="I178" s="3">
        <f>IFERROR(__xludf.DUMMYFUNCTION("""COMPUTED_VALUE"""),15.0)</f>
        <v>15</v>
      </c>
      <c r="J178" s="3">
        <f>IFERROR(__xludf.DUMMYFUNCTION("""COMPUTED_VALUE"""),2015.0)</f>
        <v>2015</v>
      </c>
      <c r="K178" s="12">
        <f t="shared" si="2"/>
        <v>42139</v>
      </c>
      <c r="L178" s="3" t="s">
        <v>825</v>
      </c>
      <c r="M178" s="3" t="s">
        <v>536</v>
      </c>
      <c r="N178" s="3">
        <v>1270.0</v>
      </c>
      <c r="O178" s="3" t="s">
        <v>818</v>
      </c>
      <c r="P178" s="10">
        <v>8957.0</v>
      </c>
      <c r="Q178" s="13">
        <v>47.45</v>
      </c>
      <c r="R178" s="13">
        <v>31.79</v>
      </c>
      <c r="S178" s="13">
        <f t="shared" si="3"/>
        <v>425009.65</v>
      </c>
      <c r="T178" s="13">
        <f t="shared" si="4"/>
        <v>284743.03</v>
      </c>
      <c r="U178" s="13">
        <f t="shared" si="5"/>
        <v>140266.62</v>
      </c>
      <c r="V178" s="3" t="str">
        <f>VLOOKUP(N178,products!A:B,2,0)</f>
        <v>Beverages</v>
      </c>
      <c r="W178" s="3" t="s">
        <v>28</v>
      </c>
      <c r="X178" s="3" t="s">
        <v>33</v>
      </c>
      <c r="Y178" s="14">
        <f t="shared" si="6"/>
        <v>0.3300316122</v>
      </c>
      <c r="Z178" s="3">
        <f t="shared" si="7"/>
        <v>15</v>
      </c>
      <c r="AA178" s="15">
        <f t="shared" si="8"/>
        <v>5</v>
      </c>
    </row>
    <row r="179" ht="15.75" customHeight="1">
      <c r="A179" s="3">
        <v>2.12903726E8</v>
      </c>
      <c r="B179" s="3" t="s">
        <v>1030</v>
      </c>
      <c r="C179" s="3">
        <f>IFERROR(__xludf.DUMMYFUNCTION("split(B179,""/"")"),2.0)</f>
        <v>2</v>
      </c>
      <c r="D179" s="10">
        <f>IFERROR(__xludf.DUMMYFUNCTION("""COMPUTED_VALUE"""),26.0)</f>
        <v>26</v>
      </c>
      <c r="E179" s="11">
        <f>IFERROR(__xludf.DUMMYFUNCTION("""COMPUTED_VALUE"""),2015.0)</f>
        <v>2015</v>
      </c>
      <c r="F179" s="12">
        <f t="shared" si="1"/>
        <v>42061</v>
      </c>
      <c r="G179" s="3" t="s">
        <v>1030</v>
      </c>
      <c r="H179" s="3">
        <f>IFERROR(__xludf.DUMMYFUNCTION("split(G179,""/"")"),2.0)</f>
        <v>2</v>
      </c>
      <c r="I179" s="3">
        <f>IFERROR(__xludf.DUMMYFUNCTION("""COMPUTED_VALUE"""),26.0)</f>
        <v>26</v>
      </c>
      <c r="J179" s="3">
        <f>IFERROR(__xludf.DUMMYFUNCTION("""COMPUTED_VALUE"""),2015.0)</f>
        <v>2015</v>
      </c>
      <c r="K179" s="12">
        <f t="shared" si="2"/>
        <v>42061</v>
      </c>
      <c r="L179" s="3" t="s">
        <v>825</v>
      </c>
      <c r="M179" s="3" t="s">
        <v>46</v>
      </c>
      <c r="N179" s="3">
        <v>8875.0</v>
      </c>
      <c r="O179" s="3" t="s">
        <v>815</v>
      </c>
      <c r="P179" s="10">
        <v>1798.0</v>
      </c>
      <c r="Q179" s="13">
        <v>421.89</v>
      </c>
      <c r="R179" s="13">
        <v>364.69</v>
      </c>
      <c r="S179" s="13">
        <f t="shared" si="3"/>
        <v>758558.22</v>
      </c>
      <c r="T179" s="13">
        <f t="shared" si="4"/>
        <v>655712.62</v>
      </c>
      <c r="U179" s="13">
        <f t="shared" si="5"/>
        <v>102845.6</v>
      </c>
      <c r="V179" s="3" t="str">
        <f>VLOOKUP(N179,products!A:B,2,0)</f>
        <v>Meat</v>
      </c>
      <c r="W179" s="3" t="s">
        <v>28</v>
      </c>
      <c r="X179" s="3" t="s">
        <v>33</v>
      </c>
      <c r="Y179" s="14">
        <f t="shared" si="6"/>
        <v>0.1355803646</v>
      </c>
      <c r="Z179" s="3">
        <f t="shared" si="7"/>
        <v>0</v>
      </c>
      <c r="AA179" s="15">
        <f t="shared" si="8"/>
        <v>5</v>
      </c>
    </row>
    <row r="180" ht="15.75" customHeight="1">
      <c r="A180" s="3">
        <v>2.14033257E8</v>
      </c>
      <c r="B180" s="3" t="s">
        <v>1031</v>
      </c>
      <c r="C180" s="3">
        <f>IFERROR(__xludf.DUMMYFUNCTION("split(B180,""/"")"),11.0)</f>
        <v>11</v>
      </c>
      <c r="D180" s="10">
        <f>IFERROR(__xludf.DUMMYFUNCTION("""COMPUTED_VALUE"""),29.0)</f>
        <v>29</v>
      </c>
      <c r="E180" s="11">
        <f>IFERROR(__xludf.DUMMYFUNCTION("""COMPUTED_VALUE"""),2015.0)</f>
        <v>2015</v>
      </c>
      <c r="F180" s="12">
        <f t="shared" si="1"/>
        <v>42337</v>
      </c>
      <c r="G180" s="9">
        <v>42075.0</v>
      </c>
      <c r="H180" s="3">
        <f>IFERROR(__xludf.DUMMYFUNCTION("split(G180,""/"")"),12.0)</f>
        <v>12</v>
      </c>
      <c r="I180" s="3">
        <f>IFERROR(__xludf.DUMMYFUNCTION("""COMPUTED_VALUE"""),3.0)</f>
        <v>3</v>
      </c>
      <c r="J180" s="3">
        <f>IFERROR(__xludf.DUMMYFUNCTION("""COMPUTED_VALUE"""),2015.0)</f>
        <v>2015</v>
      </c>
      <c r="K180" s="12">
        <f t="shared" si="2"/>
        <v>42341</v>
      </c>
      <c r="L180" s="3" t="s">
        <v>825</v>
      </c>
      <c r="M180" s="3" t="s">
        <v>593</v>
      </c>
      <c r="N180" s="3">
        <v>8969.0</v>
      </c>
      <c r="O180" s="3" t="s">
        <v>818</v>
      </c>
      <c r="P180" s="10">
        <v>6052.0</v>
      </c>
      <c r="Q180" s="13">
        <v>152.58</v>
      </c>
      <c r="R180" s="13">
        <v>97.44</v>
      </c>
      <c r="S180" s="13">
        <f t="shared" si="3"/>
        <v>923414.16</v>
      </c>
      <c r="T180" s="13">
        <f t="shared" si="4"/>
        <v>589706.88</v>
      </c>
      <c r="U180" s="13">
        <f t="shared" si="5"/>
        <v>333707.28</v>
      </c>
      <c r="V180" s="3" t="str">
        <f>VLOOKUP(N180,products!A:B,2,0)</f>
        <v>Snacks</v>
      </c>
      <c r="W180" s="3" t="s">
        <v>28</v>
      </c>
      <c r="X180" s="3" t="s">
        <v>98</v>
      </c>
      <c r="Y180" s="14">
        <f t="shared" si="6"/>
        <v>0.3613841919</v>
      </c>
      <c r="Z180" s="3">
        <f t="shared" si="7"/>
        <v>4</v>
      </c>
      <c r="AA180" s="15">
        <f t="shared" si="8"/>
        <v>1</v>
      </c>
    </row>
    <row r="181" ht="15.75" customHeight="1">
      <c r="A181" s="3">
        <v>2.14292466E8</v>
      </c>
      <c r="B181" s="3" t="s">
        <v>1032</v>
      </c>
      <c r="C181" s="3">
        <f>IFERROR(__xludf.DUMMYFUNCTION("split(B181,""/"")"),3.0)</f>
        <v>3</v>
      </c>
      <c r="D181" s="10">
        <f>IFERROR(__xludf.DUMMYFUNCTION("""COMPUTED_VALUE"""),20.0)</f>
        <v>20</v>
      </c>
      <c r="E181" s="11">
        <f>IFERROR(__xludf.DUMMYFUNCTION("""COMPUTED_VALUE"""),2012.0)</f>
        <v>2012</v>
      </c>
      <c r="F181" s="12">
        <f t="shared" si="1"/>
        <v>40988</v>
      </c>
      <c r="G181" s="3" t="s">
        <v>1033</v>
      </c>
      <c r="H181" s="3">
        <f>IFERROR(__xludf.DUMMYFUNCTION("split(G181,""/"")"),4.0)</f>
        <v>4</v>
      </c>
      <c r="I181" s="3">
        <f>IFERROR(__xludf.DUMMYFUNCTION("""COMPUTED_VALUE"""),13.0)</f>
        <v>13</v>
      </c>
      <c r="J181" s="3">
        <f>IFERROR(__xludf.DUMMYFUNCTION("""COMPUTED_VALUE"""),2012.0)</f>
        <v>2012</v>
      </c>
      <c r="K181" s="12">
        <f t="shared" si="2"/>
        <v>41012</v>
      </c>
      <c r="L181" s="3" t="s">
        <v>825</v>
      </c>
      <c r="M181" s="3" t="s">
        <v>689</v>
      </c>
      <c r="N181" s="3">
        <v>8969.0</v>
      </c>
      <c r="O181" s="3" t="s">
        <v>815</v>
      </c>
      <c r="P181" s="10">
        <v>2758.0</v>
      </c>
      <c r="Q181" s="13">
        <v>152.58</v>
      </c>
      <c r="R181" s="13">
        <v>97.44</v>
      </c>
      <c r="S181" s="13">
        <f t="shared" si="3"/>
        <v>420815.64</v>
      </c>
      <c r="T181" s="13">
        <f t="shared" si="4"/>
        <v>268739.52</v>
      </c>
      <c r="U181" s="13">
        <f t="shared" si="5"/>
        <v>152076.12</v>
      </c>
      <c r="V181" s="3" t="str">
        <f>VLOOKUP(N181,products!A:B,2,0)</f>
        <v>Snacks</v>
      </c>
      <c r="W181" s="3" t="s">
        <v>28</v>
      </c>
      <c r="X181" s="3" t="s">
        <v>79</v>
      </c>
      <c r="Y181" s="14">
        <f t="shared" si="6"/>
        <v>0.3613841919</v>
      </c>
      <c r="Z181" s="3">
        <f t="shared" si="7"/>
        <v>24</v>
      </c>
      <c r="AA181" s="15">
        <f t="shared" si="8"/>
        <v>3</v>
      </c>
    </row>
    <row r="182" ht="15.75" customHeight="1">
      <c r="A182" s="3">
        <v>2.15540015E8</v>
      </c>
      <c r="B182" s="3" t="s">
        <v>1034</v>
      </c>
      <c r="C182" s="3">
        <f>IFERROR(__xludf.DUMMYFUNCTION("split(B182,""/"")"),12.0)</f>
        <v>12</v>
      </c>
      <c r="D182" s="10">
        <f>IFERROR(__xludf.DUMMYFUNCTION("""COMPUTED_VALUE"""),21.0)</f>
        <v>21</v>
      </c>
      <c r="E182" s="11">
        <f>IFERROR(__xludf.DUMMYFUNCTION("""COMPUTED_VALUE"""),2012.0)</f>
        <v>2012</v>
      </c>
      <c r="F182" s="12">
        <f t="shared" si="1"/>
        <v>41264</v>
      </c>
      <c r="G182" s="3" t="s">
        <v>970</v>
      </c>
      <c r="H182" s="3">
        <f>IFERROR(__xludf.DUMMYFUNCTION("split(G182,""/"")"),12.0)</f>
        <v>12</v>
      </c>
      <c r="I182" s="3">
        <f>IFERROR(__xludf.DUMMYFUNCTION("""COMPUTED_VALUE"""),24.0)</f>
        <v>24</v>
      </c>
      <c r="J182" s="3">
        <f>IFERROR(__xludf.DUMMYFUNCTION("""COMPUTED_VALUE"""),2012.0)</f>
        <v>2012</v>
      </c>
      <c r="K182" s="12">
        <f t="shared" si="2"/>
        <v>41267</v>
      </c>
      <c r="L182" s="3" t="s">
        <v>814</v>
      </c>
      <c r="M182" s="3" t="s">
        <v>590</v>
      </c>
      <c r="N182" s="3">
        <v>3127.0</v>
      </c>
      <c r="O182" s="3" t="s">
        <v>818</v>
      </c>
      <c r="P182" s="10">
        <v>1935.0</v>
      </c>
      <c r="Q182" s="13">
        <v>81.73</v>
      </c>
      <c r="R182" s="13">
        <v>56.67</v>
      </c>
      <c r="S182" s="13">
        <f t="shared" si="3"/>
        <v>158147.55</v>
      </c>
      <c r="T182" s="13">
        <f t="shared" si="4"/>
        <v>109656.45</v>
      </c>
      <c r="U182" s="13">
        <f t="shared" si="5"/>
        <v>48491.1</v>
      </c>
      <c r="V182" s="3" t="str">
        <f>VLOOKUP(N182,products!A:B,2,0)</f>
        <v>Personal Care</v>
      </c>
      <c r="W182" s="3" t="s">
        <v>28</v>
      </c>
      <c r="X182" s="3" t="s">
        <v>98</v>
      </c>
      <c r="Y182" s="14">
        <f t="shared" si="6"/>
        <v>0.3066193564</v>
      </c>
      <c r="Z182" s="3">
        <f t="shared" si="7"/>
        <v>3</v>
      </c>
      <c r="AA182" s="15">
        <f t="shared" si="8"/>
        <v>6</v>
      </c>
    </row>
    <row r="183" ht="15.75" customHeight="1">
      <c r="A183" s="3">
        <v>2.15584218E8</v>
      </c>
      <c r="B183" s="9">
        <v>42922.0</v>
      </c>
      <c r="C183" s="3">
        <f>IFERROR(__xludf.DUMMYFUNCTION("split(B183,""/"")"),6.0)</f>
        <v>6</v>
      </c>
      <c r="D183" s="10">
        <f>IFERROR(__xludf.DUMMYFUNCTION("""COMPUTED_VALUE"""),7.0)</f>
        <v>7</v>
      </c>
      <c r="E183" s="11">
        <f>IFERROR(__xludf.DUMMYFUNCTION("""COMPUTED_VALUE"""),2017.0)</f>
        <v>2017</v>
      </c>
      <c r="F183" s="12">
        <f t="shared" si="1"/>
        <v>42893</v>
      </c>
      <c r="G183" s="3" t="s">
        <v>1035</v>
      </c>
      <c r="H183" s="3">
        <f>IFERROR(__xludf.DUMMYFUNCTION("split(G183,""/"")"),6.0)</f>
        <v>6</v>
      </c>
      <c r="I183" s="3">
        <f>IFERROR(__xludf.DUMMYFUNCTION("""COMPUTED_VALUE"""),21.0)</f>
        <v>21</v>
      </c>
      <c r="J183" s="3">
        <f>IFERROR(__xludf.DUMMYFUNCTION("""COMPUTED_VALUE"""),2017.0)</f>
        <v>2017</v>
      </c>
      <c r="K183" s="12">
        <f t="shared" si="2"/>
        <v>42907</v>
      </c>
      <c r="L183" s="3" t="s">
        <v>814</v>
      </c>
      <c r="M183" s="3" t="s">
        <v>97</v>
      </c>
      <c r="N183" s="3">
        <v>5988.0</v>
      </c>
      <c r="O183" s="3" t="s">
        <v>818</v>
      </c>
      <c r="P183" s="10">
        <v>5016.0</v>
      </c>
      <c r="Q183" s="13">
        <v>154.06</v>
      </c>
      <c r="R183" s="13">
        <v>90.93</v>
      </c>
      <c r="S183" s="13">
        <f t="shared" si="3"/>
        <v>772764.96</v>
      </c>
      <c r="T183" s="13">
        <f t="shared" si="4"/>
        <v>456104.88</v>
      </c>
      <c r="U183" s="13">
        <f t="shared" si="5"/>
        <v>316660.08</v>
      </c>
      <c r="V183" s="3" t="str">
        <f>VLOOKUP(N183,products!A:B,2,0)</f>
        <v>Vegetables</v>
      </c>
      <c r="W183" s="3" t="s">
        <v>28</v>
      </c>
      <c r="X183" s="3" t="s">
        <v>98</v>
      </c>
      <c r="Y183" s="14">
        <f t="shared" si="6"/>
        <v>0.4097754122</v>
      </c>
      <c r="Z183" s="3">
        <f t="shared" si="7"/>
        <v>14</v>
      </c>
      <c r="AA183" s="15">
        <f t="shared" si="8"/>
        <v>4</v>
      </c>
    </row>
    <row r="184" ht="15.75" customHeight="1">
      <c r="A184" s="3">
        <v>2.16278588E8</v>
      </c>
      <c r="B184" s="3" t="s">
        <v>1036</v>
      </c>
      <c r="C184" s="3">
        <f>IFERROR(__xludf.DUMMYFUNCTION("split(B184,""/"")"),12.0)</f>
        <v>12</v>
      </c>
      <c r="D184" s="10">
        <f>IFERROR(__xludf.DUMMYFUNCTION("""COMPUTED_VALUE"""),19.0)</f>
        <v>19</v>
      </c>
      <c r="E184" s="11">
        <f>IFERROR(__xludf.DUMMYFUNCTION("""COMPUTED_VALUE"""),2015.0)</f>
        <v>2015</v>
      </c>
      <c r="F184" s="12">
        <f t="shared" si="1"/>
        <v>42357</v>
      </c>
      <c r="G184" s="3" t="s">
        <v>1036</v>
      </c>
      <c r="H184" s="3">
        <f>IFERROR(__xludf.DUMMYFUNCTION("split(G184,""/"")"),12.0)</f>
        <v>12</v>
      </c>
      <c r="I184" s="3">
        <f>IFERROR(__xludf.DUMMYFUNCTION("""COMPUTED_VALUE"""),19.0)</f>
        <v>19</v>
      </c>
      <c r="J184" s="3">
        <f>IFERROR(__xludf.DUMMYFUNCTION("""COMPUTED_VALUE"""),2015.0)</f>
        <v>2015</v>
      </c>
      <c r="K184" s="12">
        <f t="shared" si="2"/>
        <v>42357</v>
      </c>
      <c r="L184" s="3" t="s">
        <v>814</v>
      </c>
      <c r="M184" s="3" t="s">
        <v>434</v>
      </c>
      <c r="N184" s="3">
        <v>8875.0</v>
      </c>
      <c r="O184" s="3" t="s">
        <v>815</v>
      </c>
      <c r="P184" s="10">
        <v>495.0</v>
      </c>
      <c r="Q184" s="13">
        <v>421.89</v>
      </c>
      <c r="R184" s="13">
        <v>364.69</v>
      </c>
      <c r="S184" s="13">
        <f t="shared" si="3"/>
        <v>208835.55</v>
      </c>
      <c r="T184" s="13">
        <f t="shared" si="4"/>
        <v>180521.55</v>
      </c>
      <c r="U184" s="13">
        <f t="shared" si="5"/>
        <v>28314</v>
      </c>
      <c r="V184" s="3" t="str">
        <f>VLOOKUP(N184,products!A:B,2,0)</f>
        <v>Meat</v>
      </c>
      <c r="W184" s="3" t="s">
        <v>28</v>
      </c>
      <c r="X184" s="3" t="s">
        <v>79</v>
      </c>
      <c r="Y184" s="14">
        <f t="shared" si="6"/>
        <v>0.1355803646</v>
      </c>
      <c r="Z184" s="3">
        <f t="shared" si="7"/>
        <v>0</v>
      </c>
      <c r="AA184" s="15">
        <f t="shared" si="8"/>
        <v>7</v>
      </c>
    </row>
    <row r="185" ht="15.75" customHeight="1">
      <c r="A185" s="3">
        <v>2.17165648E8</v>
      </c>
      <c r="B185" s="3" t="s">
        <v>986</v>
      </c>
      <c r="C185" s="3">
        <f>IFERROR(__xludf.DUMMYFUNCTION("split(B185,""/"")"),5.0)</f>
        <v>5</v>
      </c>
      <c r="D185" s="10">
        <f>IFERROR(__xludf.DUMMYFUNCTION("""COMPUTED_VALUE"""),20.0)</f>
        <v>20</v>
      </c>
      <c r="E185" s="11">
        <f>IFERROR(__xludf.DUMMYFUNCTION("""COMPUTED_VALUE"""),2014.0)</f>
        <v>2014</v>
      </c>
      <c r="F185" s="12">
        <f t="shared" si="1"/>
        <v>41779</v>
      </c>
      <c r="G185" s="9">
        <v>41857.0</v>
      </c>
      <c r="H185" s="3">
        <f>IFERROR(__xludf.DUMMYFUNCTION("split(G185,""/"")"),6.0)</f>
        <v>6</v>
      </c>
      <c r="I185" s="3">
        <f>IFERROR(__xludf.DUMMYFUNCTION("""COMPUTED_VALUE"""),8.0)</f>
        <v>8</v>
      </c>
      <c r="J185" s="3">
        <f>IFERROR(__xludf.DUMMYFUNCTION("""COMPUTED_VALUE"""),2014.0)</f>
        <v>2014</v>
      </c>
      <c r="K185" s="12">
        <f t="shared" si="2"/>
        <v>41798</v>
      </c>
      <c r="L185" s="3" t="s">
        <v>814</v>
      </c>
      <c r="M185" s="3" t="s">
        <v>671</v>
      </c>
      <c r="N185" s="3">
        <v>8875.0</v>
      </c>
      <c r="O185" s="3" t="s">
        <v>818</v>
      </c>
      <c r="P185" s="10"/>
      <c r="Q185" s="13">
        <v>421.89</v>
      </c>
      <c r="R185" s="13">
        <v>364.69</v>
      </c>
      <c r="S185" s="13">
        <f t="shared" si="3"/>
        <v>0</v>
      </c>
      <c r="T185" s="13">
        <f t="shared" si="4"/>
        <v>0</v>
      </c>
      <c r="U185" s="13">
        <f t="shared" si="5"/>
        <v>0</v>
      </c>
      <c r="V185" s="3" t="str">
        <f>VLOOKUP(N185,products!A:B,2,0)</f>
        <v>Meat</v>
      </c>
      <c r="W185" s="3" t="s">
        <v>28</v>
      </c>
      <c r="X185" s="3" t="s">
        <v>33</v>
      </c>
      <c r="Y185" s="14">
        <v>0.0</v>
      </c>
      <c r="Z185" s="3">
        <f t="shared" si="7"/>
        <v>19</v>
      </c>
      <c r="AA185" s="15">
        <f t="shared" si="8"/>
        <v>3</v>
      </c>
    </row>
    <row r="186" ht="15.75" customHeight="1">
      <c r="A186" s="3">
        <v>2.17248904E8</v>
      </c>
      <c r="B186" s="9">
        <v>41034.0</v>
      </c>
      <c r="C186" s="3">
        <f>IFERROR(__xludf.DUMMYFUNCTION("split(B186,""/"")"),5.0)</f>
        <v>5</v>
      </c>
      <c r="D186" s="10">
        <f>IFERROR(__xludf.DUMMYFUNCTION("""COMPUTED_VALUE"""),5.0)</f>
        <v>5</v>
      </c>
      <c r="E186" s="11">
        <f>IFERROR(__xludf.DUMMYFUNCTION("""COMPUTED_VALUE"""),2012.0)</f>
        <v>2012</v>
      </c>
      <c r="F186" s="12">
        <f t="shared" si="1"/>
        <v>41034</v>
      </c>
      <c r="G186" s="3" t="s">
        <v>1037</v>
      </c>
      <c r="H186" s="3">
        <f>IFERROR(__xludf.DUMMYFUNCTION("split(G186,""/"")"),6.0)</f>
        <v>6</v>
      </c>
      <c r="I186" s="3">
        <f>IFERROR(__xludf.DUMMYFUNCTION("""COMPUTED_VALUE"""),15.0)</f>
        <v>15</v>
      </c>
      <c r="J186" s="3">
        <f>IFERROR(__xludf.DUMMYFUNCTION("""COMPUTED_VALUE"""),2012.0)</f>
        <v>2012</v>
      </c>
      <c r="K186" s="12">
        <f t="shared" si="2"/>
        <v>41075</v>
      </c>
      <c r="L186" s="3" t="s">
        <v>817</v>
      </c>
      <c r="M186" s="3" t="s">
        <v>650</v>
      </c>
      <c r="N186" s="3">
        <v>8681.0</v>
      </c>
      <c r="O186" s="3" t="s">
        <v>939</v>
      </c>
      <c r="P186" s="10">
        <v>7633.0</v>
      </c>
      <c r="Q186" s="13">
        <v>651.21</v>
      </c>
      <c r="R186" s="13">
        <v>524.96</v>
      </c>
      <c r="S186" s="13">
        <f t="shared" si="3"/>
        <v>4970685.93</v>
      </c>
      <c r="T186" s="13">
        <f t="shared" si="4"/>
        <v>4007019.68</v>
      </c>
      <c r="U186" s="13">
        <f t="shared" si="5"/>
        <v>963666.25</v>
      </c>
      <c r="V186" s="3" t="str">
        <f>VLOOKUP(N186,products!A:B,2,0)</f>
        <v>Office Supplies</v>
      </c>
      <c r="W186" s="3" t="s">
        <v>28</v>
      </c>
      <c r="X186" s="3" t="s">
        <v>98</v>
      </c>
      <c r="Y186" s="14">
        <f t="shared" ref="Y186:Y320" si="9">U186/S186</f>
        <v>0.193869873</v>
      </c>
      <c r="Z186" s="3">
        <f t="shared" si="7"/>
        <v>41</v>
      </c>
      <c r="AA186" s="15">
        <f t="shared" si="8"/>
        <v>7</v>
      </c>
    </row>
    <row r="187" ht="15.75" customHeight="1">
      <c r="A187" s="3">
        <v>2.1785916E8</v>
      </c>
      <c r="B187" s="3" t="s">
        <v>852</v>
      </c>
      <c r="C187" s="3">
        <f>IFERROR(__xludf.DUMMYFUNCTION("split(B187,""/"")"),2.0)</f>
        <v>2</v>
      </c>
      <c r="D187" s="10">
        <f>IFERROR(__xludf.DUMMYFUNCTION("""COMPUTED_VALUE"""),19.0)</f>
        <v>19</v>
      </c>
      <c r="E187" s="11">
        <f>IFERROR(__xludf.DUMMYFUNCTION("""COMPUTED_VALUE"""),2016.0)</f>
        <v>2016</v>
      </c>
      <c r="F187" s="12">
        <f t="shared" si="1"/>
        <v>42419</v>
      </c>
      <c r="G187" s="9">
        <v>42493.0</v>
      </c>
      <c r="H187" s="3">
        <f>IFERROR(__xludf.DUMMYFUNCTION("split(G187,""/"")"),3.0)</f>
        <v>3</v>
      </c>
      <c r="I187" s="3">
        <f>IFERROR(__xludf.DUMMYFUNCTION("""COMPUTED_VALUE"""),5.0)</f>
        <v>5</v>
      </c>
      <c r="J187" s="3">
        <f>IFERROR(__xludf.DUMMYFUNCTION("""COMPUTED_VALUE"""),2016.0)</f>
        <v>2016</v>
      </c>
      <c r="K187" s="12">
        <f t="shared" si="2"/>
        <v>42434</v>
      </c>
      <c r="L187" s="3" t="s">
        <v>825</v>
      </c>
      <c r="M187" s="3" t="s">
        <v>248</v>
      </c>
      <c r="N187" s="3">
        <v>1270.0</v>
      </c>
      <c r="O187" s="3" t="s">
        <v>818</v>
      </c>
      <c r="P187" s="10">
        <v>8222.0</v>
      </c>
      <c r="Q187" s="13">
        <v>47.45</v>
      </c>
      <c r="R187" s="13">
        <v>31.79</v>
      </c>
      <c r="S187" s="13">
        <f t="shared" si="3"/>
        <v>390133.9</v>
      </c>
      <c r="T187" s="13">
        <f t="shared" si="4"/>
        <v>261377.38</v>
      </c>
      <c r="U187" s="13">
        <f t="shared" si="5"/>
        <v>128756.52</v>
      </c>
      <c r="V187" s="3" t="str">
        <f>VLOOKUP(N187,products!A:B,2,0)</f>
        <v>Beverages</v>
      </c>
      <c r="W187" s="3" t="s">
        <v>28</v>
      </c>
      <c r="X187" s="3" t="s">
        <v>29</v>
      </c>
      <c r="Y187" s="14">
        <f t="shared" si="9"/>
        <v>0.3300316122</v>
      </c>
      <c r="Z187" s="3">
        <f t="shared" si="7"/>
        <v>15</v>
      </c>
      <c r="AA187" s="15">
        <f t="shared" si="8"/>
        <v>6</v>
      </c>
    </row>
    <row r="188" ht="15.75" customHeight="1">
      <c r="A188" s="3">
        <v>2.17920958E8</v>
      </c>
      <c r="B188" s="9">
        <v>40699.0</v>
      </c>
      <c r="C188" s="3">
        <f>IFERROR(__xludf.DUMMYFUNCTION("split(B188,""/"")"),5.0)</f>
        <v>5</v>
      </c>
      <c r="D188" s="10">
        <f>IFERROR(__xludf.DUMMYFUNCTION("""COMPUTED_VALUE"""),6.0)</f>
        <v>6</v>
      </c>
      <c r="E188" s="11">
        <f>IFERROR(__xludf.DUMMYFUNCTION("""COMPUTED_VALUE"""),2011.0)</f>
        <v>2011</v>
      </c>
      <c r="F188" s="12">
        <f t="shared" si="1"/>
        <v>40669</v>
      </c>
      <c r="G188" s="3" t="s">
        <v>1038</v>
      </c>
      <c r="H188" s="3">
        <f>IFERROR(__xludf.DUMMYFUNCTION("split(G188,""/"")"),6.0)</f>
        <v>6</v>
      </c>
      <c r="I188" s="3">
        <f>IFERROR(__xludf.DUMMYFUNCTION("""COMPUTED_VALUE"""),25.0)</f>
        <v>25</v>
      </c>
      <c r="J188" s="3">
        <f>IFERROR(__xludf.DUMMYFUNCTION("""COMPUTED_VALUE"""),2011.0)</f>
        <v>2011</v>
      </c>
      <c r="K188" s="12">
        <f t="shared" si="2"/>
        <v>40719</v>
      </c>
      <c r="L188" s="3" t="s">
        <v>827</v>
      </c>
      <c r="M188" s="3" t="s">
        <v>346</v>
      </c>
      <c r="N188" s="3">
        <v>7331.0</v>
      </c>
      <c r="O188" s="3" t="s">
        <v>815</v>
      </c>
      <c r="P188" s="10">
        <v>6509.0</v>
      </c>
      <c r="Q188" s="13">
        <v>255.28</v>
      </c>
      <c r="R188" s="13">
        <v>159.42</v>
      </c>
      <c r="S188" s="13">
        <f t="shared" si="3"/>
        <v>1661617.52</v>
      </c>
      <c r="T188" s="13">
        <f t="shared" si="4"/>
        <v>1037664.78</v>
      </c>
      <c r="U188" s="13">
        <f t="shared" si="5"/>
        <v>623952.74</v>
      </c>
      <c r="V188" s="3" t="str">
        <f>VLOOKUP(N188,products!A:B,2,0)</f>
        <v>Baby Food</v>
      </c>
      <c r="W188" s="3" t="s">
        <v>28</v>
      </c>
      <c r="X188" s="3" t="s">
        <v>98</v>
      </c>
      <c r="Y188" s="14">
        <f t="shared" si="9"/>
        <v>0.3755092448</v>
      </c>
      <c r="Z188" s="3">
        <f t="shared" si="7"/>
        <v>50</v>
      </c>
      <c r="AA188" s="15">
        <f t="shared" si="8"/>
        <v>6</v>
      </c>
    </row>
    <row r="189" ht="15.75" customHeight="1">
      <c r="A189" s="3">
        <v>2.1945132E8</v>
      </c>
      <c r="B189" s="3" t="s">
        <v>1039</v>
      </c>
      <c r="C189" s="3">
        <f>IFERROR(__xludf.DUMMYFUNCTION("split(B189,""/"")"),6.0)</f>
        <v>6</v>
      </c>
      <c r="D189" s="10">
        <f>IFERROR(__xludf.DUMMYFUNCTION("""COMPUTED_VALUE"""),18.0)</f>
        <v>18</v>
      </c>
      <c r="E189" s="11">
        <f>IFERROR(__xludf.DUMMYFUNCTION("""COMPUTED_VALUE"""),2014.0)</f>
        <v>2014</v>
      </c>
      <c r="F189" s="12">
        <f t="shared" si="1"/>
        <v>41808</v>
      </c>
      <c r="G189" s="9">
        <v>41677.0</v>
      </c>
      <c r="H189" s="3">
        <f>IFERROR(__xludf.DUMMYFUNCTION("split(G189,""/"")"),7.0)</f>
        <v>7</v>
      </c>
      <c r="I189" s="3">
        <f>IFERROR(__xludf.DUMMYFUNCTION("""COMPUTED_VALUE"""),2.0)</f>
        <v>2</v>
      </c>
      <c r="J189" s="3">
        <f>IFERROR(__xludf.DUMMYFUNCTION("""COMPUTED_VALUE"""),2014.0)</f>
        <v>2014</v>
      </c>
      <c r="K189" s="12">
        <f t="shared" si="2"/>
        <v>41822</v>
      </c>
      <c r="L189" s="3" t="s">
        <v>814</v>
      </c>
      <c r="M189" s="3" t="s">
        <v>740</v>
      </c>
      <c r="N189" s="3">
        <v>8875.0</v>
      </c>
      <c r="O189" s="3" t="s">
        <v>818</v>
      </c>
      <c r="P189" s="10">
        <v>9377.0</v>
      </c>
      <c r="Q189" s="13">
        <v>421.89</v>
      </c>
      <c r="R189" s="13">
        <v>364.69</v>
      </c>
      <c r="S189" s="13">
        <f t="shared" si="3"/>
        <v>3956062.53</v>
      </c>
      <c r="T189" s="13">
        <f t="shared" si="4"/>
        <v>3419698.13</v>
      </c>
      <c r="U189" s="13">
        <f t="shared" si="5"/>
        <v>536364.4</v>
      </c>
      <c r="V189" s="3" t="str">
        <f>VLOOKUP(N189,products!A:B,2,0)</f>
        <v>Meat</v>
      </c>
      <c r="W189" s="3" t="s">
        <v>28</v>
      </c>
      <c r="X189" s="3" t="s">
        <v>98</v>
      </c>
      <c r="Y189" s="14">
        <f t="shared" si="9"/>
        <v>0.1355803646</v>
      </c>
      <c r="Z189" s="3">
        <f t="shared" si="7"/>
        <v>14</v>
      </c>
      <c r="AA189" s="15">
        <f t="shared" si="8"/>
        <v>4</v>
      </c>
    </row>
    <row r="190" ht="15.75" customHeight="1">
      <c r="A190" s="3">
        <v>2.20607459E8</v>
      </c>
      <c r="B190" s="3" t="s">
        <v>1040</v>
      </c>
      <c r="C190" s="3">
        <f>IFERROR(__xludf.DUMMYFUNCTION("split(B190,""/"")"),10.0)</f>
        <v>10</v>
      </c>
      <c r="D190" s="10">
        <f>IFERROR(__xludf.DUMMYFUNCTION("""COMPUTED_VALUE"""),14.0)</f>
        <v>14</v>
      </c>
      <c r="E190" s="11">
        <f>IFERROR(__xludf.DUMMYFUNCTION("""COMPUTED_VALUE"""),2013.0)</f>
        <v>2013</v>
      </c>
      <c r="F190" s="12">
        <f t="shared" si="1"/>
        <v>41561</v>
      </c>
      <c r="G190" s="3" t="s">
        <v>1041</v>
      </c>
      <c r="H190" s="3">
        <f>IFERROR(__xludf.DUMMYFUNCTION("split(G190,""/"")"),10.0)</f>
        <v>10</v>
      </c>
      <c r="I190" s="3">
        <f>IFERROR(__xludf.DUMMYFUNCTION("""COMPUTED_VALUE"""),17.0)</f>
        <v>17</v>
      </c>
      <c r="J190" s="3">
        <f>IFERROR(__xludf.DUMMYFUNCTION("""COMPUTED_VALUE"""),2013.0)</f>
        <v>2013</v>
      </c>
      <c r="K190" s="12">
        <f t="shared" si="2"/>
        <v>41564</v>
      </c>
      <c r="L190" s="3" t="s">
        <v>817</v>
      </c>
      <c r="M190" s="3" t="s">
        <v>248</v>
      </c>
      <c r="N190" s="3">
        <v>2103.0</v>
      </c>
      <c r="O190" s="3" t="s">
        <v>815</v>
      </c>
      <c r="P190" s="10">
        <v>1504.0</v>
      </c>
      <c r="Q190" s="13">
        <v>205.7</v>
      </c>
      <c r="R190" s="13">
        <v>117.11</v>
      </c>
      <c r="S190" s="13">
        <f t="shared" si="3"/>
        <v>309372.8</v>
      </c>
      <c r="T190" s="13">
        <f t="shared" si="4"/>
        <v>176133.44</v>
      </c>
      <c r="U190" s="13">
        <f t="shared" si="5"/>
        <v>133239.36</v>
      </c>
      <c r="V190" s="3" t="str">
        <f>VLOOKUP(N190,products!A:B,2,0)</f>
        <v>Cereal</v>
      </c>
      <c r="W190" s="3" t="s">
        <v>28</v>
      </c>
      <c r="X190" s="3" t="s">
        <v>29</v>
      </c>
      <c r="Y190" s="14">
        <f t="shared" si="9"/>
        <v>0.4306757414</v>
      </c>
      <c r="Z190" s="3">
        <f t="shared" si="7"/>
        <v>3</v>
      </c>
      <c r="AA190" s="15">
        <f t="shared" si="8"/>
        <v>2</v>
      </c>
    </row>
    <row r="191" ht="15.75" customHeight="1">
      <c r="A191" s="3">
        <v>2.21628844E8</v>
      </c>
      <c r="B191" s="3" t="s">
        <v>1042</v>
      </c>
      <c r="C191" s="3">
        <f>IFERROR(__xludf.DUMMYFUNCTION("split(B191,""/"")"),7.0)</f>
        <v>7</v>
      </c>
      <c r="D191" s="10">
        <f>IFERROR(__xludf.DUMMYFUNCTION("""COMPUTED_VALUE"""),28.0)</f>
        <v>28</v>
      </c>
      <c r="E191" s="11">
        <f>IFERROR(__xludf.DUMMYFUNCTION("""COMPUTED_VALUE"""),2011.0)</f>
        <v>2011</v>
      </c>
      <c r="F191" s="12">
        <f t="shared" si="1"/>
        <v>40752</v>
      </c>
      <c r="G191" s="9">
        <v>40552.0</v>
      </c>
      <c r="H191" s="3">
        <f>IFERROR(__xludf.DUMMYFUNCTION("split(G191,""/"")"),9.0)</f>
        <v>9</v>
      </c>
      <c r="I191" s="3">
        <f>IFERROR(__xludf.DUMMYFUNCTION("""COMPUTED_VALUE"""),1.0)</f>
        <v>1</v>
      </c>
      <c r="J191" s="3">
        <f>IFERROR(__xludf.DUMMYFUNCTION("""COMPUTED_VALUE"""),2011.0)</f>
        <v>2011</v>
      </c>
      <c r="K191" s="12">
        <f t="shared" si="2"/>
        <v>40787</v>
      </c>
      <c r="L191" s="3" t="s">
        <v>814</v>
      </c>
      <c r="M191" s="3" t="s">
        <v>593</v>
      </c>
      <c r="N191" s="3">
        <v>2455.0</v>
      </c>
      <c r="O191" s="3" t="s">
        <v>818</v>
      </c>
      <c r="P191" s="10">
        <v>3755.0</v>
      </c>
      <c r="Q191" s="13">
        <v>109.28</v>
      </c>
      <c r="R191" s="13">
        <v>35.84</v>
      </c>
      <c r="S191" s="13">
        <f t="shared" si="3"/>
        <v>410346.4</v>
      </c>
      <c r="T191" s="13">
        <f t="shared" si="4"/>
        <v>134579.2</v>
      </c>
      <c r="U191" s="13">
        <f t="shared" si="5"/>
        <v>275767.2</v>
      </c>
      <c r="V191" s="3" t="str">
        <f>VLOOKUP(N191,products!A:B,2,0)</f>
        <v>Clothes</v>
      </c>
      <c r="W191" s="3" t="s">
        <v>28</v>
      </c>
      <c r="X191" s="3" t="s">
        <v>98</v>
      </c>
      <c r="Y191" s="14">
        <f t="shared" si="9"/>
        <v>0.6720351391</v>
      </c>
      <c r="Z191" s="3">
        <f t="shared" si="7"/>
        <v>35</v>
      </c>
      <c r="AA191" s="15">
        <f t="shared" si="8"/>
        <v>5</v>
      </c>
    </row>
    <row r="192" ht="15.75" customHeight="1">
      <c r="A192" s="3">
        <v>2.22720611E8</v>
      </c>
      <c r="B192" s="3" t="s">
        <v>1043</v>
      </c>
      <c r="C192" s="3">
        <f>IFERROR(__xludf.DUMMYFUNCTION("split(B192,""/"")"),3.0)</f>
        <v>3</v>
      </c>
      <c r="D192" s="10">
        <f>IFERROR(__xludf.DUMMYFUNCTION("""COMPUTED_VALUE"""),16.0)</f>
        <v>16</v>
      </c>
      <c r="E192" s="11">
        <f>IFERROR(__xludf.DUMMYFUNCTION("""COMPUTED_VALUE"""),2010.0)</f>
        <v>2010</v>
      </c>
      <c r="F192" s="12">
        <f t="shared" si="1"/>
        <v>40253</v>
      </c>
      <c r="G192" s="9">
        <v>40182.0</v>
      </c>
      <c r="H192" s="3">
        <f>IFERROR(__xludf.DUMMYFUNCTION("split(G192,""/"")"),4.0)</f>
        <v>4</v>
      </c>
      <c r="I192" s="3">
        <f>IFERROR(__xludf.DUMMYFUNCTION("""COMPUTED_VALUE"""),1.0)</f>
        <v>1</v>
      </c>
      <c r="J192" s="3">
        <f>IFERROR(__xludf.DUMMYFUNCTION("""COMPUTED_VALUE"""),2010.0)</f>
        <v>2010</v>
      </c>
      <c r="K192" s="12">
        <f t="shared" si="2"/>
        <v>40269</v>
      </c>
      <c r="L192" s="3" t="s">
        <v>825</v>
      </c>
      <c r="M192" s="3" t="s">
        <v>455</v>
      </c>
      <c r="N192" s="3">
        <v>7331.0</v>
      </c>
      <c r="O192" s="3" t="s">
        <v>818</v>
      </c>
      <c r="P192" s="10">
        <v>6833.0</v>
      </c>
      <c r="Q192" s="13">
        <v>255.28</v>
      </c>
      <c r="R192" s="13">
        <v>159.42</v>
      </c>
      <c r="S192" s="13">
        <f t="shared" si="3"/>
        <v>1744328.24</v>
      </c>
      <c r="T192" s="13">
        <f t="shared" si="4"/>
        <v>1089316.86</v>
      </c>
      <c r="U192" s="13">
        <f t="shared" si="5"/>
        <v>655011.38</v>
      </c>
      <c r="V192" s="3" t="str">
        <f>VLOOKUP(N192,products!A:B,2,0)</f>
        <v>Baby Food</v>
      </c>
      <c r="W192" s="3" t="s">
        <v>28</v>
      </c>
      <c r="X192" s="3" t="s">
        <v>33</v>
      </c>
      <c r="Y192" s="14">
        <f t="shared" si="9"/>
        <v>0.3755092448</v>
      </c>
      <c r="Z192" s="3">
        <f t="shared" si="7"/>
        <v>16</v>
      </c>
      <c r="AA192" s="15">
        <f t="shared" si="8"/>
        <v>3</v>
      </c>
    </row>
    <row r="193" ht="15.75" customHeight="1">
      <c r="A193" s="3">
        <v>2.23199975E8</v>
      </c>
      <c r="B193" s="3" t="s">
        <v>860</v>
      </c>
      <c r="C193" s="3">
        <f>IFERROR(__xludf.DUMMYFUNCTION("split(B193,""/"")"),11.0)</f>
        <v>11</v>
      </c>
      <c r="D193" s="10">
        <f>IFERROR(__xludf.DUMMYFUNCTION("""COMPUTED_VALUE"""),21.0)</f>
        <v>21</v>
      </c>
      <c r="E193" s="11">
        <f>IFERROR(__xludf.DUMMYFUNCTION("""COMPUTED_VALUE"""),2016.0)</f>
        <v>2016</v>
      </c>
      <c r="F193" s="12">
        <f t="shared" si="1"/>
        <v>42695</v>
      </c>
      <c r="G193" s="9">
        <v>42826.0</v>
      </c>
      <c r="H193" s="3">
        <f>IFERROR(__xludf.DUMMYFUNCTION("split(G193,""/"")"),1.0)</f>
        <v>1</v>
      </c>
      <c r="I193" s="3">
        <f>IFERROR(__xludf.DUMMYFUNCTION("""COMPUTED_VALUE"""),4.0)</f>
        <v>4</v>
      </c>
      <c r="J193" s="3">
        <f>IFERROR(__xludf.DUMMYFUNCTION("""COMPUTED_VALUE"""),2017.0)</f>
        <v>2017</v>
      </c>
      <c r="K193" s="12">
        <f t="shared" si="2"/>
        <v>42739</v>
      </c>
      <c r="L193" s="3" t="s">
        <v>825</v>
      </c>
      <c r="M193" s="3" t="s">
        <v>221</v>
      </c>
      <c r="N193" s="3">
        <v>1270.0</v>
      </c>
      <c r="O193" s="3" t="s">
        <v>815</v>
      </c>
      <c r="P193" s="10">
        <v>8687.0</v>
      </c>
      <c r="Q193" s="13">
        <v>47.45</v>
      </c>
      <c r="R193" s="13">
        <v>31.79</v>
      </c>
      <c r="S193" s="13">
        <f t="shared" si="3"/>
        <v>412198.15</v>
      </c>
      <c r="T193" s="13">
        <f t="shared" si="4"/>
        <v>276159.73</v>
      </c>
      <c r="U193" s="13">
        <f t="shared" si="5"/>
        <v>136038.42</v>
      </c>
      <c r="V193" s="3" t="str">
        <f>VLOOKUP(N193,products!A:B,2,0)</f>
        <v>Beverages</v>
      </c>
      <c r="W193" s="3" t="s">
        <v>28</v>
      </c>
      <c r="X193" s="3" t="s">
        <v>29</v>
      </c>
      <c r="Y193" s="14">
        <f t="shared" si="9"/>
        <v>0.3300316122</v>
      </c>
      <c r="Z193" s="3">
        <f t="shared" si="7"/>
        <v>44</v>
      </c>
      <c r="AA193" s="15">
        <f t="shared" si="8"/>
        <v>2</v>
      </c>
    </row>
    <row r="194" ht="15.75" customHeight="1">
      <c r="A194" s="3">
        <v>2.23869454E8</v>
      </c>
      <c r="B194" s="3" t="s">
        <v>1044</v>
      </c>
      <c r="C194" s="3">
        <f>IFERROR(__xludf.DUMMYFUNCTION("split(B194,""/"")"),5.0)</f>
        <v>5</v>
      </c>
      <c r="D194" s="10">
        <f>IFERROR(__xludf.DUMMYFUNCTION("""COMPUTED_VALUE"""),30.0)</f>
        <v>30</v>
      </c>
      <c r="E194" s="11">
        <f>IFERROR(__xludf.DUMMYFUNCTION("""COMPUTED_VALUE"""),2010.0)</f>
        <v>2010</v>
      </c>
      <c r="F194" s="12">
        <f t="shared" si="1"/>
        <v>40328</v>
      </c>
      <c r="G194" s="3" t="s">
        <v>1045</v>
      </c>
      <c r="H194" s="3">
        <f>IFERROR(__xludf.DUMMYFUNCTION("split(G194,""/"")"),6.0)</f>
        <v>6</v>
      </c>
      <c r="I194" s="3">
        <f>IFERROR(__xludf.DUMMYFUNCTION("""COMPUTED_VALUE"""),27.0)</f>
        <v>27</v>
      </c>
      <c r="J194" s="3">
        <f>IFERROR(__xludf.DUMMYFUNCTION("""COMPUTED_VALUE"""),2010.0)</f>
        <v>2010</v>
      </c>
      <c r="K194" s="12">
        <f t="shared" si="2"/>
        <v>40356</v>
      </c>
      <c r="L194" s="3" t="s">
        <v>825</v>
      </c>
      <c r="M194" s="3" t="s">
        <v>364</v>
      </c>
      <c r="N194" s="3">
        <v>4594.0</v>
      </c>
      <c r="O194" s="3" t="s">
        <v>815</v>
      </c>
      <c r="P194" s="10">
        <v>6801.0</v>
      </c>
      <c r="Q194" s="13">
        <v>9.33</v>
      </c>
      <c r="R194" s="13">
        <v>6.92</v>
      </c>
      <c r="S194" s="13">
        <f t="shared" si="3"/>
        <v>63453.33</v>
      </c>
      <c r="T194" s="13">
        <f t="shared" si="4"/>
        <v>47062.92</v>
      </c>
      <c r="U194" s="13">
        <f t="shared" si="5"/>
        <v>16390.41</v>
      </c>
      <c r="V194" s="3" t="str">
        <f>VLOOKUP(N194,products!A:B,2,0)</f>
        <v>Fruits</v>
      </c>
      <c r="W194" s="3" t="s">
        <v>28</v>
      </c>
      <c r="X194" s="3" t="s">
        <v>29</v>
      </c>
      <c r="Y194" s="14">
        <f t="shared" si="9"/>
        <v>0.258306538</v>
      </c>
      <c r="Z194" s="3">
        <f t="shared" si="7"/>
        <v>28</v>
      </c>
      <c r="AA194" s="15">
        <f t="shared" si="8"/>
        <v>1</v>
      </c>
    </row>
    <row r="195" ht="15.75" customHeight="1">
      <c r="A195" s="3">
        <v>2.2464708E8</v>
      </c>
      <c r="B195" s="3" t="s">
        <v>1046</v>
      </c>
      <c r="C195" s="3">
        <f>IFERROR(__xludf.DUMMYFUNCTION("split(B195,""/"")"),6.0)</f>
        <v>6</v>
      </c>
      <c r="D195" s="10">
        <f>IFERROR(__xludf.DUMMYFUNCTION("""COMPUTED_VALUE"""),23.0)</f>
        <v>23</v>
      </c>
      <c r="E195" s="11">
        <f>IFERROR(__xludf.DUMMYFUNCTION("""COMPUTED_VALUE"""),2014.0)</f>
        <v>2014</v>
      </c>
      <c r="F195" s="12">
        <f t="shared" si="1"/>
        <v>41813</v>
      </c>
      <c r="G195" s="3" t="s">
        <v>1047</v>
      </c>
      <c r="H195" s="3">
        <f>IFERROR(__xludf.DUMMYFUNCTION("split(G195,""/"")"),7.0)</f>
        <v>7</v>
      </c>
      <c r="I195" s="3">
        <f>IFERROR(__xludf.DUMMYFUNCTION("""COMPUTED_VALUE"""),30.0)</f>
        <v>30</v>
      </c>
      <c r="J195" s="3">
        <f>IFERROR(__xludf.DUMMYFUNCTION("""COMPUTED_VALUE"""),2014.0)</f>
        <v>2014</v>
      </c>
      <c r="K195" s="12">
        <f t="shared" si="2"/>
        <v>41850</v>
      </c>
      <c r="L195" s="3" t="s">
        <v>827</v>
      </c>
      <c r="M195" s="3" t="s">
        <v>650</v>
      </c>
      <c r="N195" s="3">
        <v>8681.0</v>
      </c>
      <c r="O195" s="3" t="s">
        <v>818</v>
      </c>
      <c r="P195" s="10">
        <v>6918.0</v>
      </c>
      <c r="Q195" s="13">
        <v>651.21</v>
      </c>
      <c r="R195" s="13">
        <v>524.96</v>
      </c>
      <c r="S195" s="13">
        <f t="shared" si="3"/>
        <v>4505070.78</v>
      </c>
      <c r="T195" s="13">
        <f t="shared" si="4"/>
        <v>3631673.28</v>
      </c>
      <c r="U195" s="13">
        <f t="shared" si="5"/>
        <v>873397.5</v>
      </c>
      <c r="V195" s="3" t="str">
        <f>VLOOKUP(N195,products!A:B,2,0)</f>
        <v>Office Supplies</v>
      </c>
      <c r="W195" s="3" t="s">
        <v>28</v>
      </c>
      <c r="X195" s="3" t="s">
        <v>98</v>
      </c>
      <c r="Y195" s="14">
        <f t="shared" si="9"/>
        <v>0.193869873</v>
      </c>
      <c r="Z195" s="3">
        <f t="shared" si="7"/>
        <v>37</v>
      </c>
      <c r="AA195" s="15">
        <f t="shared" si="8"/>
        <v>2</v>
      </c>
    </row>
    <row r="196" ht="15.75" customHeight="1">
      <c r="A196" s="3">
        <v>2.282112E8</v>
      </c>
      <c r="B196" s="3" t="s">
        <v>1048</v>
      </c>
      <c r="C196" s="3">
        <f>IFERROR(__xludf.DUMMYFUNCTION("split(B196,""/"")"),11.0)</f>
        <v>11</v>
      </c>
      <c r="D196" s="10">
        <f>IFERROR(__xludf.DUMMYFUNCTION("""COMPUTED_VALUE"""),30.0)</f>
        <v>30</v>
      </c>
      <c r="E196" s="11">
        <f>IFERROR(__xludf.DUMMYFUNCTION("""COMPUTED_VALUE"""),2012.0)</f>
        <v>2012</v>
      </c>
      <c r="F196" s="12">
        <f t="shared" si="1"/>
        <v>41243</v>
      </c>
      <c r="G196" s="9">
        <v>40980.0</v>
      </c>
      <c r="H196" s="3">
        <f>IFERROR(__xludf.DUMMYFUNCTION("split(G196,""/"")"),12.0)</f>
        <v>12</v>
      </c>
      <c r="I196" s="3">
        <f>IFERROR(__xludf.DUMMYFUNCTION("""COMPUTED_VALUE"""),3.0)</f>
        <v>3</v>
      </c>
      <c r="J196" s="3">
        <f>IFERROR(__xludf.DUMMYFUNCTION("""COMPUTED_VALUE"""),2012.0)</f>
        <v>2012</v>
      </c>
      <c r="K196" s="12">
        <f t="shared" si="2"/>
        <v>41246</v>
      </c>
      <c r="L196" s="3" t="s">
        <v>827</v>
      </c>
      <c r="M196" s="3" t="s">
        <v>623</v>
      </c>
      <c r="N196" s="3">
        <v>8293.0</v>
      </c>
      <c r="O196" s="3" t="s">
        <v>815</v>
      </c>
      <c r="P196" s="10">
        <v>1620.0</v>
      </c>
      <c r="Q196" s="13">
        <v>437.2</v>
      </c>
      <c r="R196" s="13">
        <v>263.33</v>
      </c>
      <c r="S196" s="13">
        <f t="shared" si="3"/>
        <v>708264</v>
      </c>
      <c r="T196" s="13">
        <f t="shared" si="4"/>
        <v>426594.6</v>
      </c>
      <c r="U196" s="13">
        <f t="shared" si="5"/>
        <v>281669.4</v>
      </c>
      <c r="V196" s="3" t="str">
        <f>VLOOKUP(N196,products!A:B,2,0)</f>
        <v>Cosmetics</v>
      </c>
      <c r="W196" s="3" t="s">
        <v>28</v>
      </c>
      <c r="X196" s="3" t="s">
        <v>33</v>
      </c>
      <c r="Y196" s="14">
        <f t="shared" si="9"/>
        <v>0.3976898445</v>
      </c>
      <c r="Z196" s="3">
        <f t="shared" si="7"/>
        <v>3</v>
      </c>
      <c r="AA196" s="15">
        <f t="shared" si="8"/>
        <v>6</v>
      </c>
    </row>
    <row r="197" ht="15.75" customHeight="1">
      <c r="A197" s="3">
        <v>2.29105556E8</v>
      </c>
      <c r="B197" s="3" t="s">
        <v>1049</v>
      </c>
      <c r="C197" s="3">
        <f>IFERROR(__xludf.DUMMYFUNCTION("split(B197,""/"")"),6.0)</f>
        <v>6</v>
      </c>
      <c r="D197" s="10">
        <f>IFERROR(__xludf.DUMMYFUNCTION("""COMPUTED_VALUE"""),14.0)</f>
        <v>14</v>
      </c>
      <c r="E197" s="11">
        <f>IFERROR(__xludf.DUMMYFUNCTION("""COMPUTED_VALUE"""),2010.0)</f>
        <v>2010</v>
      </c>
      <c r="F197" s="12">
        <f t="shared" si="1"/>
        <v>40343</v>
      </c>
      <c r="G197" s="9">
        <v>40245.0</v>
      </c>
      <c r="H197" s="3">
        <f>IFERROR(__xludf.DUMMYFUNCTION("split(G197,""/"")"),8.0)</f>
        <v>8</v>
      </c>
      <c r="I197" s="3">
        <f>IFERROR(__xludf.DUMMYFUNCTION("""COMPUTED_VALUE"""),3.0)</f>
        <v>3</v>
      </c>
      <c r="J197" s="3">
        <f>IFERROR(__xludf.DUMMYFUNCTION("""COMPUTED_VALUE"""),2010.0)</f>
        <v>2010</v>
      </c>
      <c r="K197" s="12">
        <f t="shared" si="2"/>
        <v>40393</v>
      </c>
      <c r="L197" s="3" t="s">
        <v>825</v>
      </c>
      <c r="M197" s="3" t="s">
        <v>821</v>
      </c>
      <c r="N197" s="3">
        <v>8875.0</v>
      </c>
      <c r="O197" s="3" t="s">
        <v>818</v>
      </c>
      <c r="P197" s="10">
        <v>6280.0</v>
      </c>
      <c r="Q197" s="13">
        <v>421.89</v>
      </c>
      <c r="R197" s="13">
        <v>364.69</v>
      </c>
      <c r="S197" s="13">
        <f t="shared" si="3"/>
        <v>2649469.2</v>
      </c>
      <c r="T197" s="13">
        <f t="shared" si="4"/>
        <v>2290253.2</v>
      </c>
      <c r="U197" s="13">
        <f t="shared" si="5"/>
        <v>359216</v>
      </c>
      <c r="V197" s="3" t="str">
        <f>VLOOKUP(N197,products!A:B,2,0)</f>
        <v>Meat</v>
      </c>
      <c r="W197" s="3" t="s">
        <v>821</v>
      </c>
      <c r="X197" s="3" t="s">
        <v>821</v>
      </c>
      <c r="Y197" s="14">
        <f t="shared" si="9"/>
        <v>0.1355803646</v>
      </c>
      <c r="Z197" s="3">
        <f t="shared" si="7"/>
        <v>50</v>
      </c>
      <c r="AA197" s="15">
        <f t="shared" si="8"/>
        <v>2</v>
      </c>
    </row>
    <row r="198" ht="15.75" customHeight="1">
      <c r="A198" s="3">
        <v>2.29355323E8</v>
      </c>
      <c r="B198" s="3" t="s">
        <v>1050</v>
      </c>
      <c r="C198" s="3">
        <f>IFERROR(__xludf.DUMMYFUNCTION("split(B198,""/"")"),11.0)</f>
        <v>11</v>
      </c>
      <c r="D198" s="10">
        <f>IFERROR(__xludf.DUMMYFUNCTION("""COMPUTED_VALUE"""),28.0)</f>
        <v>28</v>
      </c>
      <c r="E198" s="11">
        <f>IFERROR(__xludf.DUMMYFUNCTION("""COMPUTED_VALUE"""),2011.0)</f>
        <v>2011</v>
      </c>
      <c r="F198" s="12">
        <f t="shared" si="1"/>
        <v>40875</v>
      </c>
      <c r="G198" s="9">
        <v>40828.0</v>
      </c>
      <c r="H198" s="3">
        <f>IFERROR(__xludf.DUMMYFUNCTION("split(G198,""/"")"),12.0)</f>
        <v>12</v>
      </c>
      <c r="I198" s="3">
        <f>IFERROR(__xludf.DUMMYFUNCTION("""COMPUTED_VALUE"""),10.0)</f>
        <v>10</v>
      </c>
      <c r="J198" s="3">
        <f>IFERROR(__xludf.DUMMYFUNCTION("""COMPUTED_VALUE"""),2011.0)</f>
        <v>2011</v>
      </c>
      <c r="K198" s="12">
        <f t="shared" si="2"/>
        <v>40887</v>
      </c>
      <c r="L198" s="3" t="s">
        <v>825</v>
      </c>
      <c r="M198" s="3" t="s">
        <v>428</v>
      </c>
      <c r="N198" s="3">
        <v>5988.0</v>
      </c>
      <c r="O198" s="3" t="s">
        <v>818</v>
      </c>
      <c r="P198" s="10">
        <v>192.0</v>
      </c>
      <c r="Q198" s="13">
        <v>154.06</v>
      </c>
      <c r="R198" s="13">
        <v>90.93</v>
      </c>
      <c r="S198" s="13">
        <f t="shared" si="3"/>
        <v>29579.52</v>
      </c>
      <c r="T198" s="13">
        <f t="shared" si="4"/>
        <v>17458.56</v>
      </c>
      <c r="U198" s="13">
        <f t="shared" si="5"/>
        <v>12120.96</v>
      </c>
      <c r="V198" s="3" t="str">
        <f>VLOOKUP(N198,products!A:B,2,0)</f>
        <v>Vegetables</v>
      </c>
      <c r="W198" s="3" t="s">
        <v>28</v>
      </c>
      <c r="X198" s="3" t="s">
        <v>79</v>
      </c>
      <c r="Y198" s="14">
        <f t="shared" si="9"/>
        <v>0.4097754122</v>
      </c>
      <c r="Z198" s="3">
        <f t="shared" si="7"/>
        <v>12</v>
      </c>
      <c r="AA198" s="15">
        <f t="shared" si="8"/>
        <v>2</v>
      </c>
    </row>
    <row r="199" ht="15.75" customHeight="1">
      <c r="A199" s="3">
        <v>2.29693067E8</v>
      </c>
      <c r="B199" s="3" t="s">
        <v>1051</v>
      </c>
      <c r="C199" s="3">
        <f>IFERROR(__xludf.DUMMYFUNCTION("split(B199,""/"")"),7.0)</f>
        <v>7</v>
      </c>
      <c r="D199" s="10">
        <f>IFERROR(__xludf.DUMMYFUNCTION("""COMPUTED_VALUE"""),15.0)</f>
        <v>15</v>
      </c>
      <c r="E199" s="11">
        <f>IFERROR(__xludf.DUMMYFUNCTION("""COMPUTED_VALUE"""),2012.0)</f>
        <v>2012</v>
      </c>
      <c r="F199" s="12">
        <f t="shared" si="1"/>
        <v>41105</v>
      </c>
      <c r="G199" s="3" t="s">
        <v>1051</v>
      </c>
      <c r="H199" s="3">
        <f>IFERROR(__xludf.DUMMYFUNCTION("split(G199,""/"")"),7.0)</f>
        <v>7</v>
      </c>
      <c r="I199" s="3">
        <f>IFERROR(__xludf.DUMMYFUNCTION("""COMPUTED_VALUE"""),15.0)</f>
        <v>15</v>
      </c>
      <c r="J199" s="3">
        <f>IFERROR(__xludf.DUMMYFUNCTION("""COMPUTED_VALUE"""),2012.0)</f>
        <v>2012</v>
      </c>
      <c r="K199" s="12">
        <f t="shared" si="2"/>
        <v>41105</v>
      </c>
      <c r="L199" s="3" t="s">
        <v>825</v>
      </c>
      <c r="M199" s="3" t="s">
        <v>428</v>
      </c>
      <c r="N199" s="3">
        <v>8293.0</v>
      </c>
      <c r="O199" s="3" t="s">
        <v>815</v>
      </c>
      <c r="P199" s="10">
        <v>138.0</v>
      </c>
      <c r="Q199" s="13">
        <v>437.2</v>
      </c>
      <c r="R199" s="13">
        <v>263.33</v>
      </c>
      <c r="S199" s="13">
        <f t="shared" si="3"/>
        <v>60333.6</v>
      </c>
      <c r="T199" s="13">
        <f t="shared" si="4"/>
        <v>36339.54</v>
      </c>
      <c r="U199" s="13">
        <f t="shared" si="5"/>
        <v>23994.06</v>
      </c>
      <c r="V199" s="3" t="str">
        <f>VLOOKUP(N199,products!A:B,2,0)</f>
        <v>Cosmetics</v>
      </c>
      <c r="W199" s="3" t="s">
        <v>28</v>
      </c>
      <c r="X199" s="3" t="s">
        <v>79</v>
      </c>
      <c r="Y199" s="14">
        <f t="shared" si="9"/>
        <v>0.3976898445</v>
      </c>
      <c r="Z199" s="3">
        <f t="shared" si="7"/>
        <v>0</v>
      </c>
      <c r="AA199" s="15">
        <f t="shared" si="8"/>
        <v>1</v>
      </c>
    </row>
    <row r="200" ht="15.75" customHeight="1">
      <c r="A200" s="3">
        <v>2.31341445E8</v>
      </c>
      <c r="B200" s="3" t="s">
        <v>1052</v>
      </c>
      <c r="C200" s="3">
        <f>IFERROR(__xludf.DUMMYFUNCTION("split(B200,""/"")"),8.0)</f>
        <v>8</v>
      </c>
      <c r="D200" s="10">
        <f>IFERROR(__xludf.DUMMYFUNCTION("""COMPUTED_VALUE"""),28.0)</f>
        <v>28</v>
      </c>
      <c r="E200" s="11">
        <f>IFERROR(__xludf.DUMMYFUNCTION("""COMPUTED_VALUE"""),2015.0)</f>
        <v>2015</v>
      </c>
      <c r="F200" s="12">
        <f t="shared" si="1"/>
        <v>42244</v>
      </c>
      <c r="G200" s="9">
        <v>42195.0</v>
      </c>
      <c r="H200" s="3">
        <f>IFERROR(__xludf.DUMMYFUNCTION("split(G200,""/"")"),10.0)</f>
        <v>10</v>
      </c>
      <c r="I200" s="3">
        <f>IFERROR(__xludf.DUMMYFUNCTION("""COMPUTED_VALUE"""),7.0)</f>
        <v>7</v>
      </c>
      <c r="J200" s="3">
        <f>IFERROR(__xludf.DUMMYFUNCTION("""COMPUTED_VALUE"""),2015.0)</f>
        <v>2015</v>
      </c>
      <c r="K200" s="12">
        <f t="shared" si="2"/>
        <v>42284</v>
      </c>
      <c r="L200" s="3" t="s">
        <v>814</v>
      </c>
      <c r="M200" s="3" t="s">
        <v>123</v>
      </c>
      <c r="N200" s="3">
        <v>1270.0</v>
      </c>
      <c r="O200" s="3" t="s">
        <v>815</v>
      </c>
      <c r="P200" s="10">
        <v>7929.0</v>
      </c>
      <c r="Q200" s="13">
        <v>47.45</v>
      </c>
      <c r="R200" s="13">
        <v>31.79</v>
      </c>
      <c r="S200" s="13">
        <f t="shared" si="3"/>
        <v>376231.05</v>
      </c>
      <c r="T200" s="13">
        <f t="shared" si="4"/>
        <v>252062.91</v>
      </c>
      <c r="U200" s="13">
        <f t="shared" si="5"/>
        <v>124168.14</v>
      </c>
      <c r="V200" s="3" t="str">
        <f>VLOOKUP(N200,products!A:B,2,0)</f>
        <v>Beverages</v>
      </c>
      <c r="W200" s="3" t="s">
        <v>28</v>
      </c>
      <c r="X200" s="3" t="s">
        <v>33</v>
      </c>
      <c r="Y200" s="14">
        <f t="shared" si="9"/>
        <v>0.3300316122</v>
      </c>
      <c r="Z200" s="3">
        <f t="shared" si="7"/>
        <v>40</v>
      </c>
      <c r="AA200" s="15">
        <f t="shared" si="8"/>
        <v>6</v>
      </c>
    </row>
    <row r="201" ht="15.75" customHeight="1">
      <c r="A201" s="3">
        <v>2.31369769E8</v>
      </c>
      <c r="B201" s="9">
        <v>42252.0</v>
      </c>
      <c r="C201" s="3">
        <f>IFERROR(__xludf.DUMMYFUNCTION("split(B201,""/"")"),5.0)</f>
        <v>5</v>
      </c>
      <c r="D201" s="10">
        <f>IFERROR(__xludf.DUMMYFUNCTION("""COMPUTED_VALUE"""),9.0)</f>
        <v>9</v>
      </c>
      <c r="E201" s="11">
        <f>IFERROR(__xludf.DUMMYFUNCTION("""COMPUTED_VALUE"""),2015.0)</f>
        <v>2015</v>
      </c>
      <c r="F201" s="12">
        <f t="shared" si="1"/>
        <v>42133</v>
      </c>
      <c r="G201" s="3" t="s">
        <v>1053</v>
      </c>
      <c r="H201" s="3">
        <f>IFERROR(__xludf.DUMMYFUNCTION("split(G201,""/"")"),5.0)</f>
        <v>5</v>
      </c>
      <c r="I201" s="3">
        <f>IFERROR(__xludf.DUMMYFUNCTION("""COMPUTED_VALUE"""),16.0)</f>
        <v>16</v>
      </c>
      <c r="J201" s="3">
        <f>IFERROR(__xludf.DUMMYFUNCTION("""COMPUTED_VALUE"""),2015.0)</f>
        <v>2015</v>
      </c>
      <c r="K201" s="12">
        <f t="shared" si="2"/>
        <v>42140</v>
      </c>
      <c r="L201" s="3" t="s">
        <v>814</v>
      </c>
      <c r="M201" s="3" t="s">
        <v>650</v>
      </c>
      <c r="N201" s="3">
        <v>2455.0</v>
      </c>
      <c r="O201" s="3" t="s">
        <v>815</v>
      </c>
      <c r="P201" s="10">
        <v>6311.0</v>
      </c>
      <c r="Q201" s="13">
        <v>109.28</v>
      </c>
      <c r="R201" s="13">
        <v>35.84</v>
      </c>
      <c r="S201" s="13">
        <f t="shared" si="3"/>
        <v>689666.08</v>
      </c>
      <c r="T201" s="13">
        <f t="shared" si="4"/>
        <v>226186.24</v>
      </c>
      <c r="U201" s="13">
        <f t="shared" si="5"/>
        <v>463479.84</v>
      </c>
      <c r="V201" s="3" t="str">
        <f>VLOOKUP(N201,products!A:B,2,0)</f>
        <v>Clothes</v>
      </c>
      <c r="W201" s="3" t="s">
        <v>28</v>
      </c>
      <c r="X201" s="3" t="s">
        <v>98</v>
      </c>
      <c r="Y201" s="14">
        <f t="shared" si="9"/>
        <v>0.6720351391</v>
      </c>
      <c r="Z201" s="3">
        <f t="shared" si="7"/>
        <v>7</v>
      </c>
      <c r="AA201" s="15">
        <f t="shared" si="8"/>
        <v>7</v>
      </c>
    </row>
    <row r="202" ht="15.75" customHeight="1">
      <c r="A202" s="3">
        <v>2.31450879E8</v>
      </c>
      <c r="B202" s="9">
        <v>40238.0</v>
      </c>
      <c r="C202" s="3">
        <f>IFERROR(__xludf.DUMMYFUNCTION("split(B202,""/"")"),1.0)</f>
        <v>1</v>
      </c>
      <c r="D202" s="10">
        <f>IFERROR(__xludf.DUMMYFUNCTION("""COMPUTED_VALUE"""),3.0)</f>
        <v>3</v>
      </c>
      <c r="E202" s="11">
        <f>IFERROR(__xludf.DUMMYFUNCTION("""COMPUTED_VALUE"""),2010.0)</f>
        <v>2010</v>
      </c>
      <c r="F202" s="12">
        <f t="shared" si="1"/>
        <v>40181</v>
      </c>
      <c r="G202" s="3" t="s">
        <v>1054</v>
      </c>
      <c r="H202" s="3">
        <f>IFERROR(__xludf.DUMMYFUNCTION("split(G202,""/"")"),2.0)</f>
        <v>2</v>
      </c>
      <c r="I202" s="3">
        <f>IFERROR(__xludf.DUMMYFUNCTION("""COMPUTED_VALUE"""),22.0)</f>
        <v>22</v>
      </c>
      <c r="J202" s="3">
        <f>IFERROR(__xludf.DUMMYFUNCTION("""COMPUTED_VALUE"""),2010.0)</f>
        <v>2010</v>
      </c>
      <c r="K202" s="12">
        <f t="shared" si="2"/>
        <v>40231</v>
      </c>
      <c r="L202" s="3" t="s">
        <v>825</v>
      </c>
      <c r="M202" s="3" t="s">
        <v>67</v>
      </c>
      <c r="N202" s="3">
        <v>2455.0</v>
      </c>
      <c r="O202" s="3" t="s">
        <v>815</v>
      </c>
      <c r="P202" s="10">
        <v>313.0</v>
      </c>
      <c r="Q202" s="13">
        <v>109.28</v>
      </c>
      <c r="R202" s="13">
        <v>35.84</v>
      </c>
      <c r="S202" s="13">
        <f t="shared" si="3"/>
        <v>34204.64</v>
      </c>
      <c r="T202" s="13">
        <f t="shared" si="4"/>
        <v>11217.92</v>
      </c>
      <c r="U202" s="13">
        <f t="shared" si="5"/>
        <v>22986.72</v>
      </c>
      <c r="V202" s="3" t="str">
        <f>VLOOKUP(N202,products!A:B,2,0)</f>
        <v>Clothes</v>
      </c>
      <c r="W202" s="3" t="s">
        <v>23</v>
      </c>
      <c r="X202" s="3" t="s">
        <v>68</v>
      </c>
      <c r="Y202" s="14">
        <f t="shared" si="9"/>
        <v>0.6720351391</v>
      </c>
      <c r="Z202" s="3">
        <f t="shared" si="7"/>
        <v>50</v>
      </c>
      <c r="AA202" s="15">
        <f t="shared" si="8"/>
        <v>1</v>
      </c>
    </row>
    <row r="203" ht="15.75" customHeight="1">
      <c r="A203" s="3">
        <v>2.3186115E8</v>
      </c>
      <c r="B203" s="3" t="s">
        <v>1055</v>
      </c>
      <c r="C203" s="3">
        <f>IFERROR(__xludf.DUMMYFUNCTION("split(B203,""/"")"),10.0)</f>
        <v>10</v>
      </c>
      <c r="D203" s="10">
        <f>IFERROR(__xludf.DUMMYFUNCTION("""COMPUTED_VALUE"""),17.0)</f>
        <v>17</v>
      </c>
      <c r="E203" s="11">
        <f>IFERROR(__xludf.DUMMYFUNCTION("""COMPUTED_VALUE"""),2014.0)</f>
        <v>2014</v>
      </c>
      <c r="F203" s="12">
        <f t="shared" si="1"/>
        <v>41929</v>
      </c>
      <c r="G203" s="9">
        <v>41650.0</v>
      </c>
      <c r="H203" s="3">
        <f>IFERROR(__xludf.DUMMYFUNCTION("split(G203,""/"")"),11.0)</f>
        <v>11</v>
      </c>
      <c r="I203" s="3">
        <f>IFERROR(__xludf.DUMMYFUNCTION("""COMPUTED_VALUE"""),1.0)</f>
        <v>1</v>
      </c>
      <c r="J203" s="3">
        <f>IFERROR(__xludf.DUMMYFUNCTION("""COMPUTED_VALUE"""),2014.0)</f>
        <v>2014</v>
      </c>
      <c r="K203" s="12">
        <f t="shared" si="2"/>
        <v>41944</v>
      </c>
      <c r="L203" s="3" t="s">
        <v>825</v>
      </c>
      <c r="M203" s="3" t="s">
        <v>97</v>
      </c>
      <c r="N203" s="3">
        <v>8293.0</v>
      </c>
      <c r="O203" s="3" t="s">
        <v>815</v>
      </c>
      <c r="P203" s="10">
        <v>1722.0</v>
      </c>
      <c r="Q203" s="13">
        <v>437.2</v>
      </c>
      <c r="R203" s="13">
        <v>263.33</v>
      </c>
      <c r="S203" s="13">
        <f t="shared" si="3"/>
        <v>752858.4</v>
      </c>
      <c r="T203" s="13">
        <f t="shared" si="4"/>
        <v>453454.26</v>
      </c>
      <c r="U203" s="13">
        <f t="shared" si="5"/>
        <v>299404.14</v>
      </c>
      <c r="V203" s="3" t="str">
        <f>VLOOKUP(N203,products!A:B,2,0)</f>
        <v>Cosmetics</v>
      </c>
      <c r="W203" s="3" t="s">
        <v>28</v>
      </c>
      <c r="X203" s="3" t="s">
        <v>98</v>
      </c>
      <c r="Y203" s="14">
        <f t="shared" si="9"/>
        <v>0.3976898445</v>
      </c>
      <c r="Z203" s="3">
        <f t="shared" si="7"/>
        <v>15</v>
      </c>
      <c r="AA203" s="15">
        <f t="shared" si="8"/>
        <v>6</v>
      </c>
    </row>
    <row r="204" ht="15.75" customHeight="1">
      <c r="A204" s="3">
        <v>2.32196319E8</v>
      </c>
      <c r="B204" s="9">
        <v>42923.0</v>
      </c>
      <c r="C204" s="3">
        <f>IFERROR(__xludf.DUMMYFUNCTION("split(B204,""/"")"),7.0)</f>
        <v>7</v>
      </c>
      <c r="D204" s="10">
        <f>IFERROR(__xludf.DUMMYFUNCTION("""COMPUTED_VALUE"""),7.0)</f>
        <v>7</v>
      </c>
      <c r="E204" s="11">
        <f>IFERROR(__xludf.DUMMYFUNCTION("""COMPUTED_VALUE"""),2017.0)</f>
        <v>2017</v>
      </c>
      <c r="F204" s="12">
        <f t="shared" si="1"/>
        <v>42923</v>
      </c>
      <c r="G204" s="9">
        <v>42833.0</v>
      </c>
      <c r="H204" s="3">
        <f>IFERROR(__xludf.DUMMYFUNCTION("split(G204,""/"")"),8.0)</f>
        <v>8</v>
      </c>
      <c r="I204" s="3">
        <f>IFERROR(__xludf.DUMMYFUNCTION("""COMPUTED_VALUE"""),4.0)</f>
        <v>4</v>
      </c>
      <c r="J204" s="3">
        <f>IFERROR(__xludf.DUMMYFUNCTION("""COMPUTED_VALUE"""),2017.0)</f>
        <v>2017</v>
      </c>
      <c r="K204" s="12">
        <f t="shared" si="2"/>
        <v>42951</v>
      </c>
      <c r="L204" s="3" t="s">
        <v>825</v>
      </c>
      <c r="M204" s="3" t="s">
        <v>575</v>
      </c>
      <c r="N204" s="3">
        <v>7940.0</v>
      </c>
      <c r="O204" s="3" t="s">
        <v>818</v>
      </c>
      <c r="P204" s="10">
        <v>905.0</v>
      </c>
      <c r="Q204" s="13">
        <v>668.27</v>
      </c>
      <c r="R204" s="13">
        <v>502.54</v>
      </c>
      <c r="S204" s="13">
        <f t="shared" si="3"/>
        <v>604784.35</v>
      </c>
      <c r="T204" s="13">
        <f t="shared" si="4"/>
        <v>454798.7</v>
      </c>
      <c r="U204" s="13">
        <f t="shared" si="5"/>
        <v>149985.65</v>
      </c>
      <c r="V204" s="3" t="str">
        <f>VLOOKUP(N204,products!A:B,2,0)</f>
        <v>Household</v>
      </c>
      <c r="W204" s="3" t="s">
        <v>28</v>
      </c>
      <c r="X204" s="3" t="s">
        <v>98</v>
      </c>
      <c r="Y204" s="14">
        <f t="shared" si="9"/>
        <v>0.2479985635</v>
      </c>
      <c r="Z204" s="3">
        <f t="shared" si="7"/>
        <v>28</v>
      </c>
      <c r="AA204" s="15">
        <f t="shared" si="8"/>
        <v>6</v>
      </c>
    </row>
    <row r="205" ht="15.75" customHeight="1">
      <c r="A205" s="3">
        <v>2.33440434E8</v>
      </c>
      <c r="B205" s="9">
        <v>42491.0</v>
      </c>
      <c r="C205" s="3">
        <f>IFERROR(__xludf.DUMMYFUNCTION("split(B205,""/"")"),1.0)</f>
        <v>1</v>
      </c>
      <c r="D205" s="10">
        <f>IFERROR(__xludf.DUMMYFUNCTION("""COMPUTED_VALUE"""),5.0)</f>
        <v>5</v>
      </c>
      <c r="E205" s="11">
        <f>IFERROR(__xludf.DUMMYFUNCTION("""COMPUTED_VALUE"""),2016.0)</f>
        <v>2016</v>
      </c>
      <c r="F205" s="12">
        <f t="shared" si="1"/>
        <v>42374</v>
      </c>
      <c r="G205" s="3" t="s">
        <v>1056</v>
      </c>
      <c r="H205" s="3">
        <f>IFERROR(__xludf.DUMMYFUNCTION("split(G205,""/"")"),2.0)</f>
        <v>2</v>
      </c>
      <c r="I205" s="3">
        <f>IFERROR(__xludf.DUMMYFUNCTION("""COMPUTED_VALUE"""),17.0)</f>
        <v>17</v>
      </c>
      <c r="J205" s="3">
        <f>IFERROR(__xludf.DUMMYFUNCTION("""COMPUTED_VALUE"""),2016.0)</f>
        <v>2016</v>
      </c>
      <c r="K205" s="12">
        <f t="shared" si="2"/>
        <v>42417</v>
      </c>
      <c r="L205" s="3" t="s">
        <v>814</v>
      </c>
      <c r="M205" s="3" t="s">
        <v>101</v>
      </c>
      <c r="N205" s="3">
        <v>8681.0</v>
      </c>
      <c r="O205" s="3" t="s">
        <v>818</v>
      </c>
      <c r="P205" s="10">
        <v>9067.0</v>
      </c>
      <c r="Q205" s="13">
        <v>651.21</v>
      </c>
      <c r="R205" s="13">
        <v>524.96</v>
      </c>
      <c r="S205" s="13">
        <f t="shared" si="3"/>
        <v>5904521.07</v>
      </c>
      <c r="T205" s="13">
        <f t="shared" si="4"/>
        <v>4759812.32</v>
      </c>
      <c r="U205" s="13">
        <f t="shared" si="5"/>
        <v>1144708.75</v>
      </c>
      <c r="V205" s="3" t="str">
        <f>VLOOKUP(N205,products!A:B,2,0)</f>
        <v>Office Supplies</v>
      </c>
      <c r="W205" s="3" t="s">
        <v>28</v>
      </c>
      <c r="X205" s="3" t="s">
        <v>79</v>
      </c>
      <c r="Y205" s="14">
        <f t="shared" si="9"/>
        <v>0.193869873</v>
      </c>
      <c r="Z205" s="3">
        <f t="shared" si="7"/>
        <v>43</v>
      </c>
      <c r="AA205" s="15">
        <f t="shared" si="8"/>
        <v>3</v>
      </c>
    </row>
    <row r="206" ht="15.75" customHeight="1">
      <c r="A206" s="3">
        <v>2.33709084E8</v>
      </c>
      <c r="B206" s="3" t="s">
        <v>1057</v>
      </c>
      <c r="C206" s="3">
        <f>IFERROR(__xludf.DUMMYFUNCTION("split(B206,""/"")"),9.0)</f>
        <v>9</v>
      </c>
      <c r="D206" s="10">
        <f>IFERROR(__xludf.DUMMYFUNCTION("""COMPUTED_VALUE"""),28.0)</f>
        <v>28</v>
      </c>
      <c r="E206" s="11">
        <f>IFERROR(__xludf.DUMMYFUNCTION("""COMPUTED_VALUE"""),2014.0)</f>
        <v>2014</v>
      </c>
      <c r="F206" s="12">
        <f t="shared" si="1"/>
        <v>41910</v>
      </c>
      <c r="G206" s="3" t="s">
        <v>997</v>
      </c>
      <c r="H206" s="3">
        <f>IFERROR(__xludf.DUMMYFUNCTION("split(G206,""/"")"),10.0)</f>
        <v>10</v>
      </c>
      <c r="I206" s="3">
        <f>IFERROR(__xludf.DUMMYFUNCTION("""COMPUTED_VALUE"""),16.0)</f>
        <v>16</v>
      </c>
      <c r="J206" s="3">
        <f>IFERROR(__xludf.DUMMYFUNCTION("""COMPUTED_VALUE"""),2014.0)</f>
        <v>2014</v>
      </c>
      <c r="K206" s="12">
        <f t="shared" si="2"/>
        <v>41928</v>
      </c>
      <c r="L206" s="3" t="s">
        <v>814</v>
      </c>
      <c r="M206" s="3" t="s">
        <v>413</v>
      </c>
      <c r="N206" s="3">
        <v>2455.0</v>
      </c>
      <c r="O206" s="3" t="s">
        <v>818</v>
      </c>
      <c r="P206" s="10">
        <v>8566.0</v>
      </c>
      <c r="Q206" s="13">
        <v>109.28</v>
      </c>
      <c r="R206" s="13">
        <v>35.84</v>
      </c>
      <c r="S206" s="13">
        <f t="shared" si="3"/>
        <v>936092.48</v>
      </c>
      <c r="T206" s="13">
        <f t="shared" si="4"/>
        <v>307005.44</v>
      </c>
      <c r="U206" s="13">
        <f t="shared" si="5"/>
        <v>629087.04</v>
      </c>
      <c r="V206" s="3" t="str">
        <f>VLOOKUP(N206,products!A:B,2,0)</f>
        <v>Clothes</v>
      </c>
      <c r="W206" s="3" t="s">
        <v>28</v>
      </c>
      <c r="X206" s="3" t="s">
        <v>29</v>
      </c>
      <c r="Y206" s="14">
        <f t="shared" si="9"/>
        <v>0.6720351391</v>
      </c>
      <c r="Z206" s="3">
        <f t="shared" si="7"/>
        <v>18</v>
      </c>
      <c r="AA206" s="15">
        <f t="shared" si="8"/>
        <v>1</v>
      </c>
    </row>
    <row r="207" ht="15.75" customHeight="1">
      <c r="A207" s="3">
        <v>2.33811223E8</v>
      </c>
      <c r="B207" s="3" t="s">
        <v>892</v>
      </c>
      <c r="C207" s="3">
        <f>IFERROR(__xludf.DUMMYFUNCTION("split(B207,""/"")"),7.0)</f>
        <v>7</v>
      </c>
      <c r="D207" s="10">
        <f>IFERROR(__xludf.DUMMYFUNCTION("""COMPUTED_VALUE"""),20.0)</f>
        <v>20</v>
      </c>
      <c r="E207" s="11">
        <f>IFERROR(__xludf.DUMMYFUNCTION("""COMPUTED_VALUE"""),2017.0)</f>
        <v>2017</v>
      </c>
      <c r="F207" s="12">
        <f t="shared" si="1"/>
        <v>42936</v>
      </c>
      <c r="G207" s="3" t="s">
        <v>892</v>
      </c>
      <c r="H207" s="3">
        <f>IFERROR(__xludf.DUMMYFUNCTION("split(G207,""/"")"),7.0)</f>
        <v>7</v>
      </c>
      <c r="I207" s="3">
        <f>IFERROR(__xludf.DUMMYFUNCTION("""COMPUTED_VALUE"""),20.0)</f>
        <v>20</v>
      </c>
      <c r="J207" s="3">
        <f>IFERROR(__xludf.DUMMYFUNCTION("""COMPUTED_VALUE"""),2017.0)</f>
        <v>2017</v>
      </c>
      <c r="K207" s="12">
        <f t="shared" si="2"/>
        <v>42936</v>
      </c>
      <c r="L207" s="3" t="s">
        <v>817</v>
      </c>
      <c r="M207" s="3" t="s">
        <v>689</v>
      </c>
      <c r="N207" s="3">
        <v>8293.0</v>
      </c>
      <c r="O207" s="3" t="s">
        <v>815</v>
      </c>
      <c r="P207" s="10">
        <v>8792.0</v>
      </c>
      <c r="Q207" s="13">
        <v>437.2</v>
      </c>
      <c r="R207" s="13">
        <v>263.33</v>
      </c>
      <c r="S207" s="13">
        <f t="shared" si="3"/>
        <v>3843862.4</v>
      </c>
      <c r="T207" s="13">
        <f t="shared" si="4"/>
        <v>2315197.36</v>
      </c>
      <c r="U207" s="13">
        <f t="shared" si="5"/>
        <v>1528665.04</v>
      </c>
      <c r="V207" s="3" t="str">
        <f>VLOOKUP(N207,products!A:B,2,0)</f>
        <v>Cosmetics</v>
      </c>
      <c r="W207" s="3" t="s">
        <v>28</v>
      </c>
      <c r="X207" s="3" t="s">
        <v>79</v>
      </c>
      <c r="Y207" s="14">
        <f t="shared" si="9"/>
        <v>0.3976898445</v>
      </c>
      <c r="Z207" s="3">
        <f t="shared" si="7"/>
        <v>0</v>
      </c>
      <c r="AA207" s="15">
        <f t="shared" si="8"/>
        <v>5</v>
      </c>
    </row>
    <row r="208" ht="15.75" customHeight="1">
      <c r="A208" s="3">
        <v>2.34082448E8</v>
      </c>
      <c r="B208" s="9">
        <v>41885.0</v>
      </c>
      <c r="C208" s="3">
        <f>IFERROR(__xludf.DUMMYFUNCTION("split(B208,""/"")"),3.0)</f>
        <v>3</v>
      </c>
      <c r="D208" s="10">
        <f>IFERROR(__xludf.DUMMYFUNCTION("""COMPUTED_VALUE"""),9.0)</f>
        <v>9</v>
      </c>
      <c r="E208" s="11">
        <f>IFERROR(__xludf.DUMMYFUNCTION("""COMPUTED_VALUE"""),2014.0)</f>
        <v>2014</v>
      </c>
      <c r="F208" s="12">
        <f t="shared" si="1"/>
        <v>41707</v>
      </c>
      <c r="G208" s="9">
        <v>41885.0</v>
      </c>
      <c r="H208" s="3">
        <f>IFERROR(__xludf.DUMMYFUNCTION("split(G208,""/"")"),3.0)</f>
        <v>3</v>
      </c>
      <c r="I208" s="3">
        <f>IFERROR(__xludf.DUMMYFUNCTION("""COMPUTED_VALUE"""),9.0)</f>
        <v>9</v>
      </c>
      <c r="J208" s="3">
        <f>IFERROR(__xludf.DUMMYFUNCTION("""COMPUTED_VALUE"""),2014.0)</f>
        <v>2014</v>
      </c>
      <c r="K208" s="12">
        <f t="shared" si="2"/>
        <v>41707</v>
      </c>
      <c r="L208" s="3" t="s">
        <v>817</v>
      </c>
      <c r="M208" s="3" t="s">
        <v>488</v>
      </c>
      <c r="N208" s="3">
        <v>2455.0</v>
      </c>
      <c r="O208" s="3" t="s">
        <v>815</v>
      </c>
      <c r="P208" s="10">
        <v>9053.0</v>
      </c>
      <c r="Q208" s="13">
        <v>109.28</v>
      </c>
      <c r="R208" s="13">
        <v>35.84</v>
      </c>
      <c r="S208" s="13">
        <f t="shared" si="3"/>
        <v>989311.84</v>
      </c>
      <c r="T208" s="13">
        <f t="shared" si="4"/>
        <v>324459.52</v>
      </c>
      <c r="U208" s="13">
        <f t="shared" si="5"/>
        <v>664852.32</v>
      </c>
      <c r="V208" s="3" t="str">
        <f>VLOOKUP(N208,products!A:B,2,0)</f>
        <v>Clothes</v>
      </c>
      <c r="W208" s="3" t="s">
        <v>28</v>
      </c>
      <c r="X208" s="3" t="s">
        <v>33</v>
      </c>
      <c r="Y208" s="14">
        <f t="shared" si="9"/>
        <v>0.6720351391</v>
      </c>
      <c r="Z208" s="3">
        <f t="shared" si="7"/>
        <v>0</v>
      </c>
      <c r="AA208" s="15">
        <f t="shared" si="8"/>
        <v>1</v>
      </c>
    </row>
    <row r="209" ht="15.75" customHeight="1">
      <c r="A209" s="3">
        <v>2.36042392E8</v>
      </c>
      <c r="B209" s="3" t="s">
        <v>1058</v>
      </c>
      <c r="C209" s="3">
        <f>IFERROR(__xludf.DUMMYFUNCTION("split(B209,""/"")"),12.0)</f>
        <v>12</v>
      </c>
      <c r="D209" s="10">
        <f>IFERROR(__xludf.DUMMYFUNCTION("""COMPUTED_VALUE"""),19.0)</f>
        <v>19</v>
      </c>
      <c r="E209" s="11">
        <f>IFERROR(__xludf.DUMMYFUNCTION("""COMPUTED_VALUE"""),2013.0)</f>
        <v>2013</v>
      </c>
      <c r="F209" s="12">
        <f t="shared" si="1"/>
        <v>41627</v>
      </c>
      <c r="G209" s="3" t="s">
        <v>1059</v>
      </c>
      <c r="H209" s="3">
        <f>IFERROR(__xludf.DUMMYFUNCTION("split(G209,""/"")"),1.0)</f>
        <v>1</v>
      </c>
      <c r="I209" s="3">
        <f>IFERROR(__xludf.DUMMYFUNCTION("""COMPUTED_VALUE"""),26.0)</f>
        <v>26</v>
      </c>
      <c r="J209" s="3">
        <f>IFERROR(__xludf.DUMMYFUNCTION("""COMPUTED_VALUE"""),2014.0)</f>
        <v>2014</v>
      </c>
      <c r="K209" s="12">
        <f t="shared" si="2"/>
        <v>41665</v>
      </c>
      <c r="L209" s="3" t="s">
        <v>827</v>
      </c>
      <c r="M209" s="3" t="s">
        <v>291</v>
      </c>
      <c r="N209" s="3">
        <v>8681.0</v>
      </c>
      <c r="O209" s="3" t="s">
        <v>818</v>
      </c>
      <c r="P209" s="10">
        <v>9044.0</v>
      </c>
      <c r="Q209" s="13">
        <v>651.21</v>
      </c>
      <c r="R209" s="13">
        <v>524.96</v>
      </c>
      <c r="S209" s="13">
        <f t="shared" si="3"/>
        <v>5889543.24</v>
      </c>
      <c r="T209" s="13">
        <f t="shared" si="4"/>
        <v>4747738.24</v>
      </c>
      <c r="U209" s="13">
        <f t="shared" si="5"/>
        <v>1141805</v>
      </c>
      <c r="V209" s="3" t="str">
        <f>VLOOKUP(N209,products!A:B,2,0)</f>
        <v>Office Supplies</v>
      </c>
      <c r="W209" s="3" t="s">
        <v>28</v>
      </c>
      <c r="X209" s="3" t="s">
        <v>79</v>
      </c>
      <c r="Y209" s="14">
        <f t="shared" si="9"/>
        <v>0.193869873</v>
      </c>
      <c r="Z209" s="3">
        <f t="shared" si="7"/>
        <v>38</v>
      </c>
      <c r="AA209" s="15">
        <f t="shared" si="8"/>
        <v>5</v>
      </c>
    </row>
    <row r="210" ht="15.75" customHeight="1">
      <c r="A210" s="3">
        <v>2.38170993E8</v>
      </c>
      <c r="B210" s="3" t="s">
        <v>1060</v>
      </c>
      <c r="C210" s="3">
        <f>IFERROR(__xludf.DUMMYFUNCTION("split(B210,""/"")"),12.0)</f>
        <v>12</v>
      </c>
      <c r="D210" s="10">
        <f>IFERROR(__xludf.DUMMYFUNCTION("""COMPUTED_VALUE"""),22.0)</f>
        <v>22</v>
      </c>
      <c r="E210" s="11">
        <f>IFERROR(__xludf.DUMMYFUNCTION("""COMPUTED_VALUE"""),2012.0)</f>
        <v>2012</v>
      </c>
      <c r="F210" s="12">
        <f t="shared" si="1"/>
        <v>41265</v>
      </c>
      <c r="G210" s="9">
        <v>41457.0</v>
      </c>
      <c r="H210" s="3">
        <f>IFERROR(__xludf.DUMMYFUNCTION("split(G210,""/"")"),2.0)</f>
        <v>2</v>
      </c>
      <c r="I210" s="3">
        <f>IFERROR(__xludf.DUMMYFUNCTION("""COMPUTED_VALUE"""),7.0)</f>
        <v>7</v>
      </c>
      <c r="J210" s="3">
        <f>IFERROR(__xludf.DUMMYFUNCTION("""COMPUTED_VALUE"""),2013.0)</f>
        <v>2013</v>
      </c>
      <c r="K210" s="12">
        <f t="shared" si="2"/>
        <v>41312</v>
      </c>
      <c r="L210" s="3" t="s">
        <v>825</v>
      </c>
      <c r="M210" s="3" t="s">
        <v>542</v>
      </c>
      <c r="N210" s="3">
        <v>1270.0</v>
      </c>
      <c r="O210" s="3" t="s">
        <v>818</v>
      </c>
      <c r="P210" s="10">
        <v>8944.0</v>
      </c>
      <c r="Q210" s="13">
        <v>47.45</v>
      </c>
      <c r="R210" s="13">
        <v>31.79</v>
      </c>
      <c r="S210" s="13">
        <f t="shared" si="3"/>
        <v>424392.8</v>
      </c>
      <c r="T210" s="13">
        <f t="shared" si="4"/>
        <v>284329.76</v>
      </c>
      <c r="U210" s="13">
        <f t="shared" si="5"/>
        <v>140063.04</v>
      </c>
      <c r="V210" s="3" t="str">
        <f>VLOOKUP(N210,products!A:B,2,0)</f>
        <v>Beverages</v>
      </c>
      <c r="W210" s="3" t="s">
        <v>28</v>
      </c>
      <c r="X210" s="3" t="s">
        <v>29</v>
      </c>
      <c r="Y210" s="14">
        <f t="shared" si="9"/>
        <v>0.3300316122</v>
      </c>
      <c r="Z210" s="3">
        <f t="shared" si="7"/>
        <v>47</v>
      </c>
      <c r="AA210" s="15">
        <f t="shared" si="8"/>
        <v>7</v>
      </c>
    </row>
    <row r="211" ht="15.75" customHeight="1">
      <c r="A211" s="3">
        <v>2.39048612E8</v>
      </c>
      <c r="B211" s="3" t="s">
        <v>1061</v>
      </c>
      <c r="C211" s="3">
        <f>IFERROR(__xludf.DUMMYFUNCTION("split(B211,""/"")"),7.0)</f>
        <v>7</v>
      </c>
      <c r="D211" s="10">
        <f>IFERROR(__xludf.DUMMYFUNCTION("""COMPUTED_VALUE"""),17.0)</f>
        <v>17</v>
      </c>
      <c r="E211" s="11">
        <f>IFERROR(__xludf.DUMMYFUNCTION("""COMPUTED_VALUE"""),2016.0)</f>
        <v>2016</v>
      </c>
      <c r="F211" s="12">
        <f t="shared" si="1"/>
        <v>42568</v>
      </c>
      <c r="G211" s="3" t="s">
        <v>960</v>
      </c>
      <c r="H211" s="3">
        <f>IFERROR(__xludf.DUMMYFUNCTION("split(G211,""/"")"),7.0)</f>
        <v>7</v>
      </c>
      <c r="I211" s="3">
        <f>IFERROR(__xludf.DUMMYFUNCTION("""COMPUTED_VALUE"""),26.0)</f>
        <v>26</v>
      </c>
      <c r="J211" s="3">
        <f>IFERROR(__xludf.DUMMYFUNCTION("""COMPUTED_VALUE"""),2016.0)</f>
        <v>2016</v>
      </c>
      <c r="K211" s="12">
        <f t="shared" si="2"/>
        <v>42577</v>
      </c>
      <c r="L211" s="3" t="s">
        <v>825</v>
      </c>
      <c r="M211" s="3" t="s">
        <v>623</v>
      </c>
      <c r="N211" s="3">
        <v>3127.0</v>
      </c>
      <c r="O211" s="3" t="s">
        <v>815</v>
      </c>
      <c r="P211" s="10">
        <v>8651.0</v>
      </c>
      <c r="Q211" s="13">
        <v>81.73</v>
      </c>
      <c r="R211" s="13">
        <v>56.67</v>
      </c>
      <c r="S211" s="13">
        <f t="shared" si="3"/>
        <v>707046.23</v>
      </c>
      <c r="T211" s="13">
        <f t="shared" si="4"/>
        <v>490252.17</v>
      </c>
      <c r="U211" s="13">
        <f t="shared" si="5"/>
        <v>216794.06</v>
      </c>
      <c r="V211" s="3" t="str">
        <f>VLOOKUP(N211,products!A:B,2,0)</f>
        <v>Personal Care</v>
      </c>
      <c r="W211" s="3" t="s">
        <v>28</v>
      </c>
      <c r="X211" s="3" t="s">
        <v>33</v>
      </c>
      <c r="Y211" s="14">
        <f t="shared" si="9"/>
        <v>0.3066193564</v>
      </c>
      <c r="Z211" s="3">
        <f t="shared" si="7"/>
        <v>9</v>
      </c>
      <c r="AA211" s="15">
        <f t="shared" si="8"/>
        <v>1</v>
      </c>
    </row>
    <row r="212" ht="15.75" customHeight="1">
      <c r="A212" s="3">
        <v>2.39386355E8</v>
      </c>
      <c r="B212" s="9">
        <v>42828.0</v>
      </c>
      <c r="C212" s="3">
        <f>IFERROR(__xludf.DUMMYFUNCTION("split(B212,""/"")"),3.0)</f>
        <v>3</v>
      </c>
      <c r="D212" s="10">
        <f>IFERROR(__xludf.DUMMYFUNCTION("""COMPUTED_VALUE"""),4.0)</f>
        <v>4</v>
      </c>
      <c r="E212" s="11">
        <f>IFERROR(__xludf.DUMMYFUNCTION("""COMPUTED_VALUE"""),2017.0)</f>
        <v>2017</v>
      </c>
      <c r="F212" s="12">
        <f t="shared" si="1"/>
        <v>42798</v>
      </c>
      <c r="G212" s="3" t="s">
        <v>1062</v>
      </c>
      <c r="H212" s="3">
        <f>IFERROR(__xludf.DUMMYFUNCTION("split(G212,""/"")"),4.0)</f>
        <v>4</v>
      </c>
      <c r="I212" s="3">
        <f>IFERROR(__xludf.DUMMYFUNCTION("""COMPUTED_VALUE"""),20.0)</f>
        <v>20</v>
      </c>
      <c r="J212" s="3">
        <f>IFERROR(__xludf.DUMMYFUNCTION("""COMPUTED_VALUE"""),2017.0)</f>
        <v>2017</v>
      </c>
      <c r="K212" s="12">
        <f t="shared" si="2"/>
        <v>42845</v>
      </c>
      <c r="L212" s="3" t="s">
        <v>825</v>
      </c>
      <c r="M212" s="3" t="s">
        <v>623</v>
      </c>
      <c r="N212" s="3">
        <v>8681.0</v>
      </c>
      <c r="O212" s="3" t="s">
        <v>818</v>
      </c>
      <c r="P212" s="10">
        <v>8597.0</v>
      </c>
      <c r="Q212" s="13">
        <v>651.21</v>
      </c>
      <c r="R212" s="13">
        <v>524.96</v>
      </c>
      <c r="S212" s="13">
        <f t="shared" si="3"/>
        <v>5598452.37</v>
      </c>
      <c r="T212" s="13">
        <f t="shared" si="4"/>
        <v>4513081.12</v>
      </c>
      <c r="U212" s="13">
        <f t="shared" si="5"/>
        <v>1085371.25</v>
      </c>
      <c r="V212" s="3" t="str">
        <f>VLOOKUP(N212,products!A:B,2,0)</f>
        <v>Office Supplies</v>
      </c>
      <c r="W212" s="3" t="s">
        <v>28</v>
      </c>
      <c r="X212" s="3" t="s">
        <v>33</v>
      </c>
      <c r="Y212" s="14">
        <f t="shared" si="9"/>
        <v>0.193869873</v>
      </c>
      <c r="Z212" s="3">
        <f t="shared" si="7"/>
        <v>47</v>
      </c>
      <c r="AA212" s="15">
        <f t="shared" si="8"/>
        <v>7</v>
      </c>
    </row>
    <row r="213" ht="15.75" customHeight="1">
      <c r="A213" s="3">
        <v>2.39554154E8</v>
      </c>
      <c r="B213" s="3" t="s">
        <v>1063</v>
      </c>
      <c r="C213" s="3">
        <f>IFERROR(__xludf.DUMMYFUNCTION("split(B213,""/"")"),1.0)</f>
        <v>1</v>
      </c>
      <c r="D213" s="10">
        <f>IFERROR(__xludf.DUMMYFUNCTION("""COMPUTED_VALUE"""),18.0)</f>
        <v>18</v>
      </c>
      <c r="E213" s="11">
        <f>IFERROR(__xludf.DUMMYFUNCTION("""COMPUTED_VALUE"""),2012.0)</f>
        <v>2012</v>
      </c>
      <c r="F213" s="12">
        <f t="shared" si="1"/>
        <v>40926</v>
      </c>
      <c r="G213" s="3" t="s">
        <v>1064</v>
      </c>
      <c r="H213" s="3">
        <f>IFERROR(__xludf.DUMMYFUNCTION("split(G213,""/"")"),2.0)</f>
        <v>2</v>
      </c>
      <c r="I213" s="3">
        <f>IFERROR(__xludf.DUMMYFUNCTION("""COMPUTED_VALUE"""),13.0)</f>
        <v>13</v>
      </c>
      <c r="J213" s="3">
        <f>IFERROR(__xludf.DUMMYFUNCTION("""COMPUTED_VALUE"""),2012.0)</f>
        <v>2012</v>
      </c>
      <c r="K213" s="12">
        <f t="shared" si="2"/>
        <v>40952</v>
      </c>
      <c r="L213" s="3" t="s">
        <v>825</v>
      </c>
      <c r="M213" s="3" t="s">
        <v>349</v>
      </c>
      <c r="N213" s="3">
        <v>8681.0</v>
      </c>
      <c r="O213" s="3" t="s">
        <v>818</v>
      </c>
      <c r="P213" s="10">
        <v>8253.0</v>
      </c>
      <c r="Q213" s="13">
        <v>651.21</v>
      </c>
      <c r="R213" s="13">
        <v>524.96</v>
      </c>
      <c r="S213" s="13">
        <f t="shared" si="3"/>
        <v>5374436.13</v>
      </c>
      <c r="T213" s="13">
        <f t="shared" si="4"/>
        <v>4332494.88</v>
      </c>
      <c r="U213" s="13">
        <f t="shared" si="5"/>
        <v>1041941.25</v>
      </c>
      <c r="V213" s="3" t="str">
        <f>VLOOKUP(N213,products!A:B,2,0)</f>
        <v>Office Supplies</v>
      </c>
      <c r="W213" s="3" t="s">
        <v>28</v>
      </c>
      <c r="X213" s="3" t="s">
        <v>29</v>
      </c>
      <c r="Y213" s="14">
        <f t="shared" si="9"/>
        <v>0.193869873</v>
      </c>
      <c r="Z213" s="3">
        <f t="shared" si="7"/>
        <v>26</v>
      </c>
      <c r="AA213" s="15">
        <f t="shared" si="8"/>
        <v>4</v>
      </c>
    </row>
    <row r="214" ht="15.75" customHeight="1">
      <c r="A214" s="3">
        <v>2.41392648E8</v>
      </c>
      <c r="B214" s="3" t="s">
        <v>837</v>
      </c>
      <c r="C214" s="3">
        <f>IFERROR(__xludf.DUMMYFUNCTION("split(B214,""/"")"),2.0)</f>
        <v>2</v>
      </c>
      <c r="D214" s="10">
        <f>IFERROR(__xludf.DUMMYFUNCTION("""COMPUTED_VALUE"""),22.0)</f>
        <v>22</v>
      </c>
      <c r="E214" s="11">
        <f>IFERROR(__xludf.DUMMYFUNCTION("""COMPUTED_VALUE"""),2017.0)</f>
        <v>2017</v>
      </c>
      <c r="F214" s="12">
        <f t="shared" si="1"/>
        <v>42788</v>
      </c>
      <c r="G214" s="3" t="s">
        <v>1065</v>
      </c>
      <c r="H214" s="3">
        <f>IFERROR(__xludf.DUMMYFUNCTION("split(G214,""/"")"),3.0)</f>
        <v>3</v>
      </c>
      <c r="I214" s="3">
        <f>IFERROR(__xludf.DUMMYFUNCTION("""COMPUTED_VALUE"""),16.0)</f>
        <v>16</v>
      </c>
      <c r="J214" s="3">
        <f>IFERROR(__xludf.DUMMYFUNCTION("""COMPUTED_VALUE"""),2017.0)</f>
        <v>2017</v>
      </c>
      <c r="K214" s="12">
        <f t="shared" si="2"/>
        <v>42810</v>
      </c>
      <c r="L214" s="3" t="s">
        <v>827</v>
      </c>
      <c r="M214" s="3" t="s">
        <v>536</v>
      </c>
      <c r="N214" s="3">
        <v>7940.0</v>
      </c>
      <c r="O214" s="3" t="s">
        <v>815</v>
      </c>
      <c r="P214" s="10">
        <v>2304.0</v>
      </c>
      <c r="Q214" s="13">
        <v>668.27</v>
      </c>
      <c r="R214" s="13">
        <v>502.54</v>
      </c>
      <c r="S214" s="13">
        <f t="shared" si="3"/>
        <v>1539694.08</v>
      </c>
      <c r="T214" s="13">
        <f t="shared" si="4"/>
        <v>1157852.16</v>
      </c>
      <c r="U214" s="13">
        <f t="shared" si="5"/>
        <v>381841.92</v>
      </c>
      <c r="V214" s="3" t="str">
        <f>VLOOKUP(N214,products!A:B,2,0)</f>
        <v>Household</v>
      </c>
      <c r="W214" s="3" t="s">
        <v>28</v>
      </c>
      <c r="X214" s="3" t="s">
        <v>33</v>
      </c>
      <c r="Y214" s="14">
        <f t="shared" si="9"/>
        <v>0.2479985635</v>
      </c>
      <c r="Z214" s="3">
        <f t="shared" si="7"/>
        <v>22</v>
      </c>
      <c r="AA214" s="15">
        <f t="shared" si="8"/>
        <v>4</v>
      </c>
    </row>
    <row r="215" ht="15.75" customHeight="1">
      <c r="A215" s="3">
        <v>2.42168128E8</v>
      </c>
      <c r="B215" s="9">
        <v>40214.0</v>
      </c>
      <c r="C215" s="3">
        <f>IFERROR(__xludf.DUMMYFUNCTION("split(B215,""/"")"),5.0)</f>
        <v>5</v>
      </c>
      <c r="D215" s="10">
        <f>IFERROR(__xludf.DUMMYFUNCTION("""COMPUTED_VALUE"""),2.0)</f>
        <v>2</v>
      </c>
      <c r="E215" s="11">
        <f>IFERROR(__xludf.DUMMYFUNCTION("""COMPUTED_VALUE"""),2010.0)</f>
        <v>2010</v>
      </c>
      <c r="F215" s="12">
        <f t="shared" si="1"/>
        <v>40300</v>
      </c>
      <c r="G215" s="9">
        <v>40242.0</v>
      </c>
      <c r="H215" s="3">
        <f>IFERROR(__xludf.DUMMYFUNCTION("split(G215,""/"")"),5.0)</f>
        <v>5</v>
      </c>
      <c r="I215" s="3">
        <f>IFERROR(__xludf.DUMMYFUNCTION("""COMPUTED_VALUE"""),3.0)</f>
        <v>3</v>
      </c>
      <c r="J215" s="3">
        <f>IFERROR(__xludf.DUMMYFUNCTION("""COMPUTED_VALUE"""),2010.0)</f>
        <v>2010</v>
      </c>
      <c r="K215" s="12">
        <f t="shared" si="2"/>
        <v>40301</v>
      </c>
      <c r="L215" s="3" t="s">
        <v>814</v>
      </c>
      <c r="M215" s="3" t="s">
        <v>218</v>
      </c>
      <c r="N215" s="3">
        <v>1270.0</v>
      </c>
      <c r="O215" s="3" t="s">
        <v>815</v>
      </c>
      <c r="P215" s="10">
        <v>1785.0</v>
      </c>
      <c r="Q215" s="13">
        <v>47.45</v>
      </c>
      <c r="R215" s="13">
        <v>31.79</v>
      </c>
      <c r="S215" s="13">
        <f t="shared" si="3"/>
        <v>84698.25</v>
      </c>
      <c r="T215" s="13">
        <f t="shared" si="4"/>
        <v>56745.15</v>
      </c>
      <c r="U215" s="13">
        <f t="shared" si="5"/>
        <v>27953.1</v>
      </c>
      <c r="V215" s="3" t="str">
        <f>VLOOKUP(N215,products!A:B,2,0)</f>
        <v>Beverages</v>
      </c>
      <c r="W215" s="3" t="s">
        <v>28</v>
      </c>
      <c r="X215" s="3" t="s">
        <v>98</v>
      </c>
      <c r="Y215" s="14">
        <f t="shared" si="9"/>
        <v>0.3300316122</v>
      </c>
      <c r="Z215" s="3">
        <f t="shared" si="7"/>
        <v>1</v>
      </c>
      <c r="AA215" s="15">
        <f t="shared" si="8"/>
        <v>1</v>
      </c>
    </row>
    <row r="216" ht="15.75" customHeight="1">
      <c r="A216" s="3">
        <v>2.42265546E8</v>
      </c>
      <c r="B216" s="9">
        <v>40706.0</v>
      </c>
      <c r="C216" s="3">
        <f>IFERROR(__xludf.DUMMYFUNCTION("split(B216,""/"")"),12.0)</f>
        <v>12</v>
      </c>
      <c r="D216" s="10">
        <f>IFERROR(__xludf.DUMMYFUNCTION("""COMPUTED_VALUE"""),6.0)</f>
        <v>6</v>
      </c>
      <c r="E216" s="11">
        <f>IFERROR(__xludf.DUMMYFUNCTION("""COMPUTED_VALUE"""),2011.0)</f>
        <v>2011</v>
      </c>
      <c r="F216" s="12">
        <f t="shared" si="1"/>
        <v>40883</v>
      </c>
      <c r="G216" s="9">
        <v>41091.0</v>
      </c>
      <c r="H216" s="3">
        <f>IFERROR(__xludf.DUMMYFUNCTION("split(G216,""/"")"),1.0)</f>
        <v>1</v>
      </c>
      <c r="I216" s="3">
        <f>IFERROR(__xludf.DUMMYFUNCTION("""COMPUTED_VALUE"""),7.0)</f>
        <v>7</v>
      </c>
      <c r="J216" s="3">
        <f>IFERROR(__xludf.DUMMYFUNCTION("""COMPUTED_VALUE"""),2012.0)</f>
        <v>2012</v>
      </c>
      <c r="K216" s="12">
        <f t="shared" si="2"/>
        <v>40915</v>
      </c>
      <c r="L216" s="3" t="s">
        <v>825</v>
      </c>
      <c r="M216" s="3" t="s">
        <v>434</v>
      </c>
      <c r="N216" s="3">
        <v>4594.0</v>
      </c>
      <c r="O216" s="3" t="s">
        <v>818</v>
      </c>
      <c r="P216" s="10">
        <v>614.0</v>
      </c>
      <c r="Q216" s="13">
        <v>9.33</v>
      </c>
      <c r="R216" s="13">
        <v>6.92</v>
      </c>
      <c r="S216" s="13">
        <f t="shared" si="3"/>
        <v>5728.62</v>
      </c>
      <c r="T216" s="13">
        <f t="shared" si="4"/>
        <v>4248.88</v>
      </c>
      <c r="U216" s="13">
        <f t="shared" si="5"/>
        <v>1479.74</v>
      </c>
      <c r="V216" s="3" t="str">
        <f>VLOOKUP(N216,products!A:B,2,0)</f>
        <v>Fruits</v>
      </c>
      <c r="W216" s="3" t="s">
        <v>28</v>
      </c>
      <c r="X216" s="3" t="s">
        <v>79</v>
      </c>
      <c r="Y216" s="14">
        <f t="shared" si="9"/>
        <v>0.258306538</v>
      </c>
      <c r="Z216" s="3">
        <f t="shared" si="7"/>
        <v>32</v>
      </c>
      <c r="AA216" s="15">
        <f t="shared" si="8"/>
        <v>3</v>
      </c>
    </row>
    <row r="217" ht="15.75" customHeight="1">
      <c r="A217" s="3">
        <v>2.43070638E8</v>
      </c>
      <c r="B217" s="9">
        <v>40668.0</v>
      </c>
      <c r="C217" s="3">
        <f>IFERROR(__xludf.DUMMYFUNCTION("split(B217,""/"")"),5.0)</f>
        <v>5</v>
      </c>
      <c r="D217" s="10">
        <f>IFERROR(__xludf.DUMMYFUNCTION("""COMPUTED_VALUE"""),5.0)</f>
        <v>5</v>
      </c>
      <c r="E217" s="11">
        <f>IFERROR(__xludf.DUMMYFUNCTION("""COMPUTED_VALUE"""),2011.0)</f>
        <v>2011</v>
      </c>
      <c r="F217" s="12">
        <f t="shared" si="1"/>
        <v>40668</v>
      </c>
      <c r="G217" s="3" t="s">
        <v>1000</v>
      </c>
      <c r="H217" s="3">
        <f>IFERROR(__xludf.DUMMYFUNCTION("split(G217,""/"")"),5.0)</f>
        <v>5</v>
      </c>
      <c r="I217" s="3">
        <f>IFERROR(__xludf.DUMMYFUNCTION("""COMPUTED_VALUE"""),22.0)</f>
        <v>22</v>
      </c>
      <c r="J217" s="3">
        <f>IFERROR(__xludf.DUMMYFUNCTION("""COMPUTED_VALUE"""),2011.0)</f>
        <v>2011</v>
      </c>
      <c r="K217" s="12">
        <f t="shared" si="2"/>
        <v>40685</v>
      </c>
      <c r="L217" s="3" t="s">
        <v>814</v>
      </c>
      <c r="M217" s="3" t="s">
        <v>455</v>
      </c>
      <c r="N217" s="3">
        <v>8681.0</v>
      </c>
      <c r="O217" s="3" t="s">
        <v>818</v>
      </c>
      <c r="P217" s="10">
        <v>8858.0</v>
      </c>
      <c r="Q217" s="13">
        <v>651.21</v>
      </c>
      <c r="R217" s="13">
        <v>524.96</v>
      </c>
      <c r="S217" s="13">
        <f t="shared" si="3"/>
        <v>5768418.18</v>
      </c>
      <c r="T217" s="13">
        <f t="shared" si="4"/>
        <v>4650095.68</v>
      </c>
      <c r="U217" s="13">
        <f t="shared" si="5"/>
        <v>1118322.5</v>
      </c>
      <c r="V217" s="3" t="str">
        <f>VLOOKUP(N217,products!A:B,2,0)</f>
        <v>Office Supplies</v>
      </c>
      <c r="W217" s="3" t="s">
        <v>28</v>
      </c>
      <c r="X217" s="3" t="s">
        <v>33</v>
      </c>
      <c r="Y217" s="14">
        <f t="shared" si="9"/>
        <v>0.193869873</v>
      </c>
      <c r="Z217" s="3">
        <f t="shared" si="7"/>
        <v>17</v>
      </c>
      <c r="AA217" s="15">
        <f t="shared" si="8"/>
        <v>5</v>
      </c>
    </row>
    <row r="218" ht="15.75" customHeight="1">
      <c r="A218" s="3">
        <v>2.43144452E8</v>
      </c>
      <c r="B218" s="3" t="s">
        <v>962</v>
      </c>
      <c r="C218" s="3">
        <f>IFERROR(__xludf.DUMMYFUNCTION("split(B218,""/"")"),6.0)</f>
        <v>6</v>
      </c>
      <c r="D218" s="10">
        <f>IFERROR(__xludf.DUMMYFUNCTION("""COMPUTED_VALUE"""),14.0)</f>
        <v>14</v>
      </c>
      <c r="E218" s="11">
        <f>IFERROR(__xludf.DUMMYFUNCTION("""COMPUTED_VALUE"""),2014.0)</f>
        <v>2014</v>
      </c>
      <c r="F218" s="12">
        <f t="shared" si="1"/>
        <v>41804</v>
      </c>
      <c r="G218" s="3" t="s">
        <v>1066</v>
      </c>
      <c r="H218" s="3">
        <f>IFERROR(__xludf.DUMMYFUNCTION("split(G218,""/"")"),7.0)</f>
        <v>7</v>
      </c>
      <c r="I218" s="3">
        <f>IFERROR(__xludf.DUMMYFUNCTION("""COMPUTED_VALUE"""),16.0)</f>
        <v>16</v>
      </c>
      <c r="J218" s="3">
        <f>IFERROR(__xludf.DUMMYFUNCTION("""COMPUTED_VALUE"""),2014.0)</f>
        <v>2014</v>
      </c>
      <c r="K218" s="12">
        <f t="shared" si="2"/>
        <v>41836</v>
      </c>
      <c r="L218" s="3" t="s">
        <v>827</v>
      </c>
      <c r="M218" s="3" t="s">
        <v>288</v>
      </c>
      <c r="N218" s="3">
        <v>2103.0</v>
      </c>
      <c r="O218" s="3" t="s">
        <v>815</v>
      </c>
      <c r="P218" s="10">
        <v>701.0</v>
      </c>
      <c r="Q218" s="13">
        <v>205.7</v>
      </c>
      <c r="R218" s="13">
        <v>117.11</v>
      </c>
      <c r="S218" s="13">
        <f t="shared" si="3"/>
        <v>144195.7</v>
      </c>
      <c r="T218" s="13">
        <f t="shared" si="4"/>
        <v>82094.11</v>
      </c>
      <c r="U218" s="13">
        <f t="shared" si="5"/>
        <v>62101.59</v>
      </c>
      <c r="V218" s="3" t="str">
        <f>VLOOKUP(N218,products!A:B,2,0)</f>
        <v>Cereal</v>
      </c>
      <c r="W218" s="3" t="s">
        <v>23</v>
      </c>
      <c r="X218" s="3" t="s">
        <v>68</v>
      </c>
      <c r="Y218" s="14">
        <f t="shared" si="9"/>
        <v>0.4306757414</v>
      </c>
      <c r="Z218" s="3">
        <f t="shared" si="7"/>
        <v>32</v>
      </c>
      <c r="AA218" s="15">
        <f t="shared" si="8"/>
        <v>7</v>
      </c>
    </row>
    <row r="219" ht="15.75" customHeight="1">
      <c r="A219" s="3">
        <v>2.4322642E8</v>
      </c>
      <c r="B219" s="3" t="s">
        <v>1067</v>
      </c>
      <c r="C219" s="3">
        <f>IFERROR(__xludf.DUMMYFUNCTION("split(B219,""/"")"),6.0)</f>
        <v>6</v>
      </c>
      <c r="D219" s="10">
        <f>IFERROR(__xludf.DUMMYFUNCTION("""COMPUTED_VALUE"""),17.0)</f>
        <v>17</v>
      </c>
      <c r="E219" s="11">
        <f>IFERROR(__xludf.DUMMYFUNCTION("""COMPUTED_VALUE"""),2013.0)</f>
        <v>2013</v>
      </c>
      <c r="F219" s="12">
        <f t="shared" si="1"/>
        <v>41442</v>
      </c>
      <c r="G219" s="9">
        <v>41340.0</v>
      </c>
      <c r="H219" s="3">
        <f>IFERROR(__xludf.DUMMYFUNCTION("split(G219,""/"")"),7.0)</f>
        <v>7</v>
      </c>
      <c r="I219" s="3">
        <f>IFERROR(__xludf.DUMMYFUNCTION("""COMPUTED_VALUE"""),3.0)</f>
        <v>3</v>
      </c>
      <c r="J219" s="3">
        <f>IFERROR(__xludf.DUMMYFUNCTION("""COMPUTED_VALUE"""),2013.0)</f>
        <v>2013</v>
      </c>
      <c r="K219" s="12">
        <f t="shared" si="2"/>
        <v>41458</v>
      </c>
      <c r="L219" s="3" t="s">
        <v>827</v>
      </c>
      <c r="M219" s="3" t="s">
        <v>821</v>
      </c>
      <c r="N219" s="3">
        <v>1270.0</v>
      </c>
      <c r="O219" s="3" t="s">
        <v>818</v>
      </c>
      <c r="P219" s="10">
        <v>4958.0</v>
      </c>
      <c r="Q219" s="13">
        <v>47.45</v>
      </c>
      <c r="R219" s="13">
        <v>31.79</v>
      </c>
      <c r="S219" s="13">
        <f t="shared" si="3"/>
        <v>235257.1</v>
      </c>
      <c r="T219" s="13">
        <f t="shared" si="4"/>
        <v>157614.82</v>
      </c>
      <c r="U219" s="13">
        <f t="shared" si="5"/>
        <v>77642.28</v>
      </c>
      <c r="V219" s="3" t="str">
        <f>VLOOKUP(N219,products!A:B,2,0)</f>
        <v>Beverages</v>
      </c>
      <c r="W219" s="3" t="s">
        <v>821</v>
      </c>
      <c r="X219" s="3" t="s">
        <v>821</v>
      </c>
      <c r="Y219" s="14">
        <f t="shared" si="9"/>
        <v>0.3300316122</v>
      </c>
      <c r="Z219" s="3">
        <f t="shared" si="7"/>
        <v>16</v>
      </c>
      <c r="AA219" s="15">
        <f t="shared" si="8"/>
        <v>2</v>
      </c>
    </row>
    <row r="220" ht="15.75" customHeight="1">
      <c r="A220" s="3">
        <v>2.43340575E8</v>
      </c>
      <c r="B220" s="9">
        <v>42529.0</v>
      </c>
      <c r="C220" s="3">
        <f>IFERROR(__xludf.DUMMYFUNCTION("split(B220,""/"")"),8.0)</f>
        <v>8</v>
      </c>
      <c r="D220" s="10">
        <f>IFERROR(__xludf.DUMMYFUNCTION("""COMPUTED_VALUE"""),6.0)</f>
        <v>6</v>
      </c>
      <c r="E220" s="11">
        <f>IFERROR(__xludf.DUMMYFUNCTION("""COMPUTED_VALUE"""),2016.0)</f>
        <v>2016</v>
      </c>
      <c r="F220" s="12">
        <f t="shared" si="1"/>
        <v>42588</v>
      </c>
      <c r="G220" s="9">
        <v>42469.0</v>
      </c>
      <c r="H220" s="3">
        <f>IFERROR(__xludf.DUMMYFUNCTION("split(G220,""/"")"),9.0)</f>
        <v>9</v>
      </c>
      <c r="I220" s="3">
        <f>IFERROR(__xludf.DUMMYFUNCTION("""COMPUTED_VALUE"""),4.0)</f>
        <v>4</v>
      </c>
      <c r="J220" s="3">
        <f>IFERROR(__xludf.DUMMYFUNCTION("""COMPUTED_VALUE"""),2016.0)</f>
        <v>2016</v>
      </c>
      <c r="K220" s="12">
        <f t="shared" si="2"/>
        <v>42617</v>
      </c>
      <c r="L220" s="3" t="s">
        <v>817</v>
      </c>
      <c r="M220" s="3" t="s">
        <v>488</v>
      </c>
      <c r="N220" s="3">
        <v>1270.0</v>
      </c>
      <c r="O220" s="3" t="s">
        <v>818</v>
      </c>
      <c r="P220" s="10">
        <v>8739.0</v>
      </c>
      <c r="Q220" s="13">
        <v>47.45</v>
      </c>
      <c r="R220" s="13">
        <v>31.79</v>
      </c>
      <c r="S220" s="13">
        <f t="shared" si="3"/>
        <v>414665.55</v>
      </c>
      <c r="T220" s="13">
        <f t="shared" si="4"/>
        <v>277812.81</v>
      </c>
      <c r="U220" s="13">
        <f t="shared" si="5"/>
        <v>136852.74</v>
      </c>
      <c r="V220" s="3" t="str">
        <f>VLOOKUP(N220,products!A:B,2,0)</f>
        <v>Beverages</v>
      </c>
      <c r="W220" s="3" t="s">
        <v>28</v>
      </c>
      <c r="X220" s="3" t="s">
        <v>33</v>
      </c>
      <c r="Y220" s="14">
        <f t="shared" si="9"/>
        <v>0.3300316122</v>
      </c>
      <c r="Z220" s="3">
        <f t="shared" si="7"/>
        <v>29</v>
      </c>
      <c r="AA220" s="15">
        <f t="shared" si="8"/>
        <v>7</v>
      </c>
    </row>
    <row r="221" ht="15.75" customHeight="1">
      <c r="A221" s="3">
        <v>2.43391644E8</v>
      </c>
      <c r="B221" s="9">
        <v>40335.0</v>
      </c>
      <c r="C221" s="3">
        <f>IFERROR(__xludf.DUMMYFUNCTION("split(B221,""/"")"),6.0)</f>
        <v>6</v>
      </c>
      <c r="D221" s="10">
        <f>IFERROR(__xludf.DUMMYFUNCTION("""COMPUTED_VALUE"""),6.0)</f>
        <v>6</v>
      </c>
      <c r="E221" s="11">
        <f>IFERROR(__xludf.DUMMYFUNCTION("""COMPUTED_VALUE"""),2010.0)</f>
        <v>2010</v>
      </c>
      <c r="F221" s="12">
        <f t="shared" si="1"/>
        <v>40335</v>
      </c>
      <c r="G221" s="3" t="s">
        <v>1045</v>
      </c>
      <c r="H221" s="3">
        <f>IFERROR(__xludf.DUMMYFUNCTION("split(G221,""/"")"),6.0)</f>
        <v>6</v>
      </c>
      <c r="I221" s="3">
        <f>IFERROR(__xludf.DUMMYFUNCTION("""COMPUTED_VALUE"""),27.0)</f>
        <v>27</v>
      </c>
      <c r="J221" s="3">
        <f>IFERROR(__xludf.DUMMYFUNCTION("""COMPUTED_VALUE"""),2010.0)</f>
        <v>2010</v>
      </c>
      <c r="K221" s="12">
        <f t="shared" si="2"/>
        <v>40356</v>
      </c>
      <c r="L221" s="3" t="s">
        <v>817</v>
      </c>
      <c r="M221" s="3" t="s">
        <v>653</v>
      </c>
      <c r="N221" s="3">
        <v>3127.0</v>
      </c>
      <c r="O221" s="3" t="s">
        <v>815</v>
      </c>
      <c r="P221" s="10">
        <v>3851.0</v>
      </c>
      <c r="Q221" s="13">
        <v>81.73</v>
      </c>
      <c r="R221" s="13">
        <v>56.67</v>
      </c>
      <c r="S221" s="13">
        <f t="shared" si="3"/>
        <v>314742.23</v>
      </c>
      <c r="T221" s="13">
        <f t="shared" si="4"/>
        <v>218236.17</v>
      </c>
      <c r="U221" s="13">
        <f t="shared" si="5"/>
        <v>96506.06</v>
      </c>
      <c r="V221" s="3" t="str">
        <f>VLOOKUP(N221,products!A:B,2,0)</f>
        <v>Personal Care</v>
      </c>
      <c r="W221" s="3" t="s">
        <v>28</v>
      </c>
      <c r="X221" s="3" t="s">
        <v>33</v>
      </c>
      <c r="Y221" s="14">
        <f t="shared" si="9"/>
        <v>0.3066193564</v>
      </c>
      <c r="Z221" s="3">
        <f t="shared" si="7"/>
        <v>21</v>
      </c>
      <c r="AA221" s="15">
        <f t="shared" si="8"/>
        <v>1</v>
      </c>
    </row>
    <row r="222" ht="15.75" customHeight="1">
      <c r="A222" s="3">
        <v>2.43521249E8</v>
      </c>
      <c r="B222" s="3" t="s">
        <v>1068</v>
      </c>
      <c r="C222" s="3">
        <f>IFERROR(__xludf.DUMMYFUNCTION("split(B222,""/"")"),2.0)</f>
        <v>2</v>
      </c>
      <c r="D222" s="10">
        <f>IFERROR(__xludf.DUMMYFUNCTION("""COMPUTED_VALUE"""),26.0)</f>
        <v>26</v>
      </c>
      <c r="E222" s="11">
        <f>IFERROR(__xludf.DUMMYFUNCTION("""COMPUTED_VALUE"""),2016.0)</f>
        <v>2016</v>
      </c>
      <c r="F222" s="12">
        <f t="shared" si="1"/>
        <v>42426</v>
      </c>
      <c r="G222" s="3" t="s">
        <v>1069</v>
      </c>
      <c r="H222" s="3">
        <f>IFERROR(__xludf.DUMMYFUNCTION("split(G222,""/"")"),3.0)</f>
        <v>3</v>
      </c>
      <c r="I222" s="3">
        <f>IFERROR(__xludf.DUMMYFUNCTION("""COMPUTED_VALUE"""),28.0)</f>
        <v>28</v>
      </c>
      <c r="J222" s="3">
        <f>IFERROR(__xludf.DUMMYFUNCTION("""COMPUTED_VALUE"""),2016.0)</f>
        <v>2016</v>
      </c>
      <c r="K222" s="12">
        <f t="shared" si="2"/>
        <v>42457</v>
      </c>
      <c r="L222" s="3" t="s">
        <v>825</v>
      </c>
      <c r="M222" s="3" t="s">
        <v>689</v>
      </c>
      <c r="N222" s="3">
        <v>8293.0</v>
      </c>
      <c r="O222" s="3" t="s">
        <v>815</v>
      </c>
      <c r="P222" s="10">
        <v>2204.0</v>
      </c>
      <c r="Q222" s="13">
        <v>437.2</v>
      </c>
      <c r="R222" s="13">
        <v>263.33</v>
      </c>
      <c r="S222" s="13">
        <f t="shared" si="3"/>
        <v>963588.8</v>
      </c>
      <c r="T222" s="13">
        <f t="shared" si="4"/>
        <v>580379.32</v>
      </c>
      <c r="U222" s="13">
        <f t="shared" si="5"/>
        <v>383209.48</v>
      </c>
      <c r="V222" s="3" t="str">
        <f>VLOOKUP(N222,products!A:B,2,0)</f>
        <v>Cosmetics</v>
      </c>
      <c r="W222" s="3" t="s">
        <v>28</v>
      </c>
      <c r="X222" s="3" t="s">
        <v>79</v>
      </c>
      <c r="Y222" s="14">
        <f t="shared" si="9"/>
        <v>0.3976898445</v>
      </c>
      <c r="Z222" s="3">
        <f t="shared" si="7"/>
        <v>31</v>
      </c>
      <c r="AA222" s="15">
        <f t="shared" si="8"/>
        <v>6</v>
      </c>
    </row>
    <row r="223" ht="15.75" customHeight="1">
      <c r="A223" s="3">
        <v>2.43684327E8</v>
      </c>
      <c r="B223" s="3" t="s">
        <v>1070</v>
      </c>
      <c r="C223" s="3">
        <f>IFERROR(__xludf.DUMMYFUNCTION("split(B223,""/"")"),5.0)</f>
        <v>5</v>
      </c>
      <c r="D223" s="10">
        <f>IFERROR(__xludf.DUMMYFUNCTION("""COMPUTED_VALUE"""),23.0)</f>
        <v>23</v>
      </c>
      <c r="E223" s="11">
        <f>IFERROR(__xludf.DUMMYFUNCTION("""COMPUTED_VALUE"""),2017.0)</f>
        <v>2017</v>
      </c>
      <c r="F223" s="12">
        <f t="shared" si="1"/>
        <v>42878</v>
      </c>
      <c r="G223" s="3" t="s">
        <v>1071</v>
      </c>
      <c r="H223" s="3">
        <f>IFERROR(__xludf.DUMMYFUNCTION("split(G223,""/"")"),5.0)</f>
        <v>5</v>
      </c>
      <c r="I223" s="3">
        <f>IFERROR(__xludf.DUMMYFUNCTION("""COMPUTED_VALUE"""),30.0)</f>
        <v>30</v>
      </c>
      <c r="J223" s="3">
        <f>IFERROR(__xludf.DUMMYFUNCTION("""COMPUTED_VALUE"""),2017.0)</f>
        <v>2017</v>
      </c>
      <c r="K223" s="12">
        <f t="shared" si="2"/>
        <v>42885</v>
      </c>
      <c r="L223" s="3" t="s">
        <v>827</v>
      </c>
      <c r="M223" s="3" t="s">
        <v>364</v>
      </c>
      <c r="N223" s="3">
        <v>7331.0</v>
      </c>
      <c r="O223" s="3" t="s">
        <v>815</v>
      </c>
      <c r="P223" s="10">
        <v>462.0</v>
      </c>
      <c r="Q223" s="13">
        <v>255.28</v>
      </c>
      <c r="R223" s="13">
        <v>159.42</v>
      </c>
      <c r="S223" s="13">
        <f t="shared" si="3"/>
        <v>117939.36</v>
      </c>
      <c r="T223" s="13">
        <f t="shared" si="4"/>
        <v>73652.04</v>
      </c>
      <c r="U223" s="13">
        <f t="shared" si="5"/>
        <v>44287.32</v>
      </c>
      <c r="V223" s="3" t="str">
        <f>VLOOKUP(N223,products!A:B,2,0)</f>
        <v>Baby Food</v>
      </c>
      <c r="W223" s="3" t="s">
        <v>28</v>
      </c>
      <c r="X223" s="3" t="s">
        <v>29</v>
      </c>
      <c r="Y223" s="14">
        <f t="shared" si="9"/>
        <v>0.3755092448</v>
      </c>
      <c r="Z223" s="3">
        <f t="shared" si="7"/>
        <v>7</v>
      </c>
      <c r="AA223" s="15">
        <f t="shared" si="8"/>
        <v>3</v>
      </c>
    </row>
    <row r="224" ht="15.75" customHeight="1">
      <c r="A224" s="3">
        <v>2.44023358E8</v>
      </c>
      <c r="B224" s="3" t="s">
        <v>1072</v>
      </c>
      <c r="C224" s="3">
        <f>IFERROR(__xludf.DUMMYFUNCTION("split(B224,""/"")"),12.0)</f>
        <v>12</v>
      </c>
      <c r="D224" s="10">
        <f>IFERROR(__xludf.DUMMYFUNCTION("""COMPUTED_VALUE"""),21.0)</f>
        <v>21</v>
      </c>
      <c r="E224" s="11">
        <f>IFERROR(__xludf.DUMMYFUNCTION("""COMPUTED_VALUE"""),2016.0)</f>
        <v>2016</v>
      </c>
      <c r="F224" s="12">
        <f t="shared" si="1"/>
        <v>42725</v>
      </c>
      <c r="G224" s="3" t="s">
        <v>1073</v>
      </c>
      <c r="H224" s="3">
        <f>IFERROR(__xludf.DUMMYFUNCTION("split(G224,""/"")"),1.0)</f>
        <v>1</v>
      </c>
      <c r="I224" s="3">
        <f>IFERROR(__xludf.DUMMYFUNCTION("""COMPUTED_VALUE"""),22.0)</f>
        <v>22</v>
      </c>
      <c r="J224" s="3">
        <f>IFERROR(__xludf.DUMMYFUNCTION("""COMPUTED_VALUE"""),2017.0)</f>
        <v>2017</v>
      </c>
      <c r="K224" s="12">
        <f t="shared" si="2"/>
        <v>42757</v>
      </c>
      <c r="L224" s="3" t="s">
        <v>825</v>
      </c>
      <c r="M224" s="3" t="s">
        <v>101</v>
      </c>
      <c r="N224" s="3">
        <v>1270.0</v>
      </c>
      <c r="O224" s="3" t="s">
        <v>818</v>
      </c>
      <c r="P224" s="10">
        <v>789.0</v>
      </c>
      <c r="Q224" s="13">
        <v>47.45</v>
      </c>
      <c r="R224" s="13">
        <v>31.79</v>
      </c>
      <c r="S224" s="13">
        <f t="shared" si="3"/>
        <v>37438.05</v>
      </c>
      <c r="T224" s="13">
        <f t="shared" si="4"/>
        <v>25082.31</v>
      </c>
      <c r="U224" s="13">
        <f t="shared" si="5"/>
        <v>12355.74</v>
      </c>
      <c r="V224" s="3" t="str">
        <f>VLOOKUP(N224,products!A:B,2,0)</f>
        <v>Beverages</v>
      </c>
      <c r="W224" s="3" t="s">
        <v>28</v>
      </c>
      <c r="X224" s="3" t="s">
        <v>79</v>
      </c>
      <c r="Y224" s="14">
        <f t="shared" si="9"/>
        <v>0.3300316122</v>
      </c>
      <c r="Z224" s="3">
        <f t="shared" si="7"/>
        <v>32</v>
      </c>
      <c r="AA224" s="15">
        <f t="shared" si="8"/>
        <v>4</v>
      </c>
    </row>
    <row r="225" ht="15.75" customHeight="1">
      <c r="A225" s="3">
        <v>2.45440852E8</v>
      </c>
      <c r="B225" s="3" t="s">
        <v>1074</v>
      </c>
      <c r="C225" s="3">
        <f>IFERROR(__xludf.DUMMYFUNCTION("split(B225,""/"")"),11.0)</f>
        <v>11</v>
      </c>
      <c r="D225" s="10">
        <f>IFERROR(__xludf.DUMMYFUNCTION("""COMPUTED_VALUE"""),28.0)</f>
        <v>28</v>
      </c>
      <c r="E225" s="11">
        <f>IFERROR(__xludf.DUMMYFUNCTION("""COMPUTED_VALUE"""),2015.0)</f>
        <v>2015</v>
      </c>
      <c r="F225" s="12">
        <f t="shared" si="1"/>
        <v>42336</v>
      </c>
      <c r="G225" s="3" t="s">
        <v>1075</v>
      </c>
      <c r="H225" s="3">
        <f>IFERROR(__xludf.DUMMYFUNCTION("split(G225,""/"")"),12.0)</f>
        <v>12</v>
      </c>
      <c r="I225" s="3">
        <f>IFERROR(__xludf.DUMMYFUNCTION("""COMPUTED_VALUE"""),17.0)</f>
        <v>17</v>
      </c>
      <c r="J225" s="3">
        <f>IFERROR(__xludf.DUMMYFUNCTION("""COMPUTED_VALUE"""),2015.0)</f>
        <v>2015</v>
      </c>
      <c r="K225" s="12">
        <f t="shared" si="2"/>
        <v>42355</v>
      </c>
      <c r="L225" s="3" t="s">
        <v>825</v>
      </c>
      <c r="M225" s="3" t="s">
        <v>270</v>
      </c>
      <c r="N225" s="3">
        <v>8875.0</v>
      </c>
      <c r="O225" s="3" t="s">
        <v>815</v>
      </c>
      <c r="P225" s="10">
        <v>257.0</v>
      </c>
      <c r="Q225" s="13">
        <v>421.89</v>
      </c>
      <c r="R225" s="13">
        <v>364.69</v>
      </c>
      <c r="S225" s="13">
        <f t="shared" si="3"/>
        <v>108425.73</v>
      </c>
      <c r="T225" s="13">
        <f t="shared" si="4"/>
        <v>93725.33</v>
      </c>
      <c r="U225" s="13">
        <f t="shared" si="5"/>
        <v>14700.4</v>
      </c>
      <c r="V225" s="3" t="str">
        <f>VLOOKUP(N225,products!A:B,2,0)</f>
        <v>Meat</v>
      </c>
      <c r="W225" s="3" t="s">
        <v>28</v>
      </c>
      <c r="X225" s="3" t="s">
        <v>79</v>
      </c>
      <c r="Y225" s="14">
        <f t="shared" si="9"/>
        <v>0.1355803646</v>
      </c>
      <c r="Z225" s="3">
        <f t="shared" si="7"/>
        <v>19</v>
      </c>
      <c r="AA225" s="15">
        <f t="shared" si="8"/>
        <v>7</v>
      </c>
    </row>
    <row r="226" ht="15.75" customHeight="1">
      <c r="A226" s="3">
        <v>2.45556294E8</v>
      </c>
      <c r="B226" s="9">
        <v>40304.0</v>
      </c>
      <c r="C226" s="3">
        <f>IFERROR(__xludf.DUMMYFUNCTION("split(B226,""/"")"),6.0)</f>
        <v>6</v>
      </c>
      <c r="D226" s="10">
        <f>IFERROR(__xludf.DUMMYFUNCTION("""COMPUTED_VALUE"""),5.0)</f>
        <v>5</v>
      </c>
      <c r="E226" s="11">
        <f>IFERROR(__xludf.DUMMYFUNCTION("""COMPUTED_VALUE"""),2010.0)</f>
        <v>2010</v>
      </c>
      <c r="F226" s="12">
        <f t="shared" si="1"/>
        <v>40334</v>
      </c>
      <c r="G226" s="3" t="s">
        <v>1076</v>
      </c>
      <c r="H226" s="3">
        <f>IFERROR(__xludf.DUMMYFUNCTION("split(G226,""/"")"),6.0)</f>
        <v>6</v>
      </c>
      <c r="I226" s="3">
        <f>IFERROR(__xludf.DUMMYFUNCTION("""COMPUTED_VALUE"""),25.0)</f>
        <v>25</v>
      </c>
      <c r="J226" s="3">
        <f>IFERROR(__xludf.DUMMYFUNCTION("""COMPUTED_VALUE"""),2010.0)</f>
        <v>2010</v>
      </c>
      <c r="K226" s="12">
        <f t="shared" si="2"/>
        <v>40354</v>
      </c>
      <c r="L226" s="3" t="s">
        <v>817</v>
      </c>
      <c r="M226" s="3" t="s">
        <v>46</v>
      </c>
      <c r="N226" s="3">
        <v>3127.0</v>
      </c>
      <c r="O226" s="3" t="s">
        <v>815</v>
      </c>
      <c r="P226" s="10">
        <v>4419.0</v>
      </c>
      <c r="Q226" s="13">
        <v>81.73</v>
      </c>
      <c r="R226" s="13">
        <v>56.67</v>
      </c>
      <c r="S226" s="13">
        <f t="shared" si="3"/>
        <v>361164.87</v>
      </c>
      <c r="T226" s="13">
        <f t="shared" si="4"/>
        <v>250424.73</v>
      </c>
      <c r="U226" s="13">
        <f t="shared" si="5"/>
        <v>110740.14</v>
      </c>
      <c r="V226" s="3" t="str">
        <f>VLOOKUP(N226,products!A:B,2,0)</f>
        <v>Personal Care</v>
      </c>
      <c r="W226" s="3" t="s">
        <v>28</v>
      </c>
      <c r="X226" s="3" t="s">
        <v>33</v>
      </c>
      <c r="Y226" s="14">
        <f t="shared" si="9"/>
        <v>0.3066193564</v>
      </c>
      <c r="Z226" s="3">
        <f t="shared" si="7"/>
        <v>20</v>
      </c>
      <c r="AA226" s="15">
        <f t="shared" si="8"/>
        <v>7</v>
      </c>
    </row>
    <row r="227" ht="15.75" customHeight="1">
      <c r="A227" s="3">
        <v>2.46603858E8</v>
      </c>
      <c r="B227" s="9">
        <v>41032.0</v>
      </c>
      <c r="C227" s="3">
        <f>IFERROR(__xludf.DUMMYFUNCTION("split(B227,""/"")"),3.0)</f>
        <v>3</v>
      </c>
      <c r="D227" s="10">
        <f>IFERROR(__xludf.DUMMYFUNCTION("""COMPUTED_VALUE"""),5.0)</f>
        <v>5</v>
      </c>
      <c r="E227" s="11">
        <f>IFERROR(__xludf.DUMMYFUNCTION("""COMPUTED_VALUE"""),2012.0)</f>
        <v>2012</v>
      </c>
      <c r="F227" s="12">
        <f t="shared" si="1"/>
        <v>40973</v>
      </c>
      <c r="G227" s="3" t="s">
        <v>1077</v>
      </c>
      <c r="H227" s="3">
        <f>IFERROR(__xludf.DUMMYFUNCTION("split(G227,""/"")"),4.0)</f>
        <v>4</v>
      </c>
      <c r="I227" s="3">
        <f>IFERROR(__xludf.DUMMYFUNCTION("""COMPUTED_VALUE"""),15.0)</f>
        <v>15</v>
      </c>
      <c r="J227" s="3">
        <f>IFERROR(__xludf.DUMMYFUNCTION("""COMPUTED_VALUE"""),2012.0)</f>
        <v>2012</v>
      </c>
      <c r="K227" s="12">
        <f t="shared" si="2"/>
        <v>41014</v>
      </c>
      <c r="L227" s="3" t="s">
        <v>827</v>
      </c>
      <c r="M227" s="3" t="s">
        <v>413</v>
      </c>
      <c r="N227" s="3">
        <v>8293.0</v>
      </c>
      <c r="O227" s="3" t="s">
        <v>818</v>
      </c>
      <c r="P227" s="10">
        <v>4417.0</v>
      </c>
      <c r="Q227" s="13">
        <v>437.2</v>
      </c>
      <c r="R227" s="13">
        <v>263.33</v>
      </c>
      <c r="S227" s="13">
        <f t="shared" si="3"/>
        <v>1931112.4</v>
      </c>
      <c r="T227" s="13">
        <f t="shared" si="4"/>
        <v>1163128.61</v>
      </c>
      <c r="U227" s="13">
        <f t="shared" si="5"/>
        <v>767983.79</v>
      </c>
      <c r="V227" s="3" t="str">
        <f>VLOOKUP(N227,products!A:B,2,0)</f>
        <v>Cosmetics</v>
      </c>
      <c r="W227" s="3" t="s">
        <v>28</v>
      </c>
      <c r="X227" s="3" t="s">
        <v>29</v>
      </c>
      <c r="Y227" s="14">
        <f t="shared" si="9"/>
        <v>0.3976898445</v>
      </c>
      <c r="Z227" s="3">
        <f t="shared" si="7"/>
        <v>41</v>
      </c>
      <c r="AA227" s="15">
        <f t="shared" si="8"/>
        <v>2</v>
      </c>
    </row>
    <row r="228" ht="15.75" customHeight="1">
      <c r="A228" s="3">
        <v>2.46922719E8</v>
      </c>
      <c r="B228" s="3" t="s">
        <v>1078</v>
      </c>
      <c r="C228" s="3">
        <f>IFERROR(__xludf.DUMMYFUNCTION("split(B228,""/"")"),7.0)</f>
        <v>7</v>
      </c>
      <c r="D228" s="10">
        <f>IFERROR(__xludf.DUMMYFUNCTION("""COMPUTED_VALUE"""),13.0)</f>
        <v>13</v>
      </c>
      <c r="E228" s="11">
        <f>IFERROR(__xludf.DUMMYFUNCTION("""COMPUTED_VALUE"""),2015.0)</f>
        <v>2015</v>
      </c>
      <c r="F228" s="12">
        <f t="shared" si="1"/>
        <v>42198</v>
      </c>
      <c r="G228" s="3" t="s">
        <v>1079</v>
      </c>
      <c r="H228" s="3">
        <f>IFERROR(__xludf.DUMMYFUNCTION("split(G228,""/"")"),7.0)</f>
        <v>7</v>
      </c>
      <c r="I228" s="3">
        <f>IFERROR(__xludf.DUMMYFUNCTION("""COMPUTED_VALUE"""),29.0)</f>
        <v>29</v>
      </c>
      <c r="J228" s="3">
        <f>IFERROR(__xludf.DUMMYFUNCTION("""COMPUTED_VALUE"""),2015.0)</f>
        <v>2015</v>
      </c>
      <c r="K228" s="12">
        <f t="shared" si="2"/>
        <v>42214</v>
      </c>
      <c r="L228" s="3" t="s">
        <v>827</v>
      </c>
      <c r="M228" s="3" t="s">
        <v>32</v>
      </c>
      <c r="N228" s="3">
        <v>8681.0</v>
      </c>
      <c r="O228" s="3" t="s">
        <v>815</v>
      </c>
      <c r="P228" s="10">
        <v>8775.0</v>
      </c>
      <c r="Q228" s="13">
        <v>651.21</v>
      </c>
      <c r="R228" s="13">
        <v>524.96</v>
      </c>
      <c r="S228" s="13">
        <f t="shared" si="3"/>
        <v>5714367.75</v>
      </c>
      <c r="T228" s="13">
        <f t="shared" si="4"/>
        <v>4606524</v>
      </c>
      <c r="U228" s="13">
        <f t="shared" si="5"/>
        <v>1107843.75</v>
      </c>
      <c r="V228" s="3" t="str">
        <f>VLOOKUP(N228,products!A:B,2,0)</f>
        <v>Office Supplies</v>
      </c>
      <c r="W228" s="3" t="s">
        <v>28</v>
      </c>
      <c r="X228" s="3" t="s">
        <v>33</v>
      </c>
      <c r="Y228" s="14">
        <f t="shared" si="9"/>
        <v>0.193869873</v>
      </c>
      <c r="Z228" s="3">
        <f t="shared" si="7"/>
        <v>16</v>
      </c>
      <c r="AA228" s="15">
        <f t="shared" si="8"/>
        <v>2</v>
      </c>
    </row>
    <row r="229" ht="15.75" customHeight="1">
      <c r="A229" s="3">
        <v>2.49039304E8</v>
      </c>
      <c r="B229" s="3" t="s">
        <v>1080</v>
      </c>
      <c r="C229" s="3">
        <f>IFERROR(__xludf.DUMMYFUNCTION("split(B229,""/"")"),3.0)</f>
        <v>3</v>
      </c>
      <c r="D229" s="10">
        <f>IFERROR(__xludf.DUMMYFUNCTION("""COMPUTED_VALUE"""),17.0)</f>
        <v>17</v>
      </c>
      <c r="E229" s="11">
        <f>IFERROR(__xludf.DUMMYFUNCTION("""COMPUTED_VALUE"""),2014.0)</f>
        <v>2014</v>
      </c>
      <c r="F229" s="12">
        <f t="shared" si="1"/>
        <v>41715</v>
      </c>
      <c r="G229" s="9">
        <v>41644.0</v>
      </c>
      <c r="H229" s="3">
        <f>IFERROR(__xludf.DUMMYFUNCTION("split(G229,""/"")"),5.0)</f>
        <v>5</v>
      </c>
      <c r="I229" s="3">
        <f>IFERROR(__xludf.DUMMYFUNCTION("""COMPUTED_VALUE"""),1.0)</f>
        <v>1</v>
      </c>
      <c r="J229" s="3">
        <f>IFERROR(__xludf.DUMMYFUNCTION("""COMPUTED_VALUE"""),2014.0)</f>
        <v>2014</v>
      </c>
      <c r="K229" s="12">
        <f t="shared" si="2"/>
        <v>41760</v>
      </c>
      <c r="L229" s="3" t="s">
        <v>825</v>
      </c>
      <c r="M229" s="3" t="s">
        <v>593</v>
      </c>
      <c r="N229" s="3">
        <v>5988.0</v>
      </c>
      <c r="O229" s="3" t="s">
        <v>818</v>
      </c>
      <c r="P229" s="10">
        <v>5119.0</v>
      </c>
      <c r="Q229" s="13">
        <v>154.06</v>
      </c>
      <c r="R229" s="13">
        <v>90.93</v>
      </c>
      <c r="S229" s="13">
        <f t="shared" si="3"/>
        <v>788633.14</v>
      </c>
      <c r="T229" s="13">
        <f t="shared" si="4"/>
        <v>465470.67</v>
      </c>
      <c r="U229" s="13">
        <f t="shared" si="5"/>
        <v>323162.47</v>
      </c>
      <c r="V229" s="3" t="str">
        <f>VLOOKUP(N229,products!A:B,2,0)</f>
        <v>Vegetables</v>
      </c>
      <c r="W229" s="3" t="s">
        <v>28</v>
      </c>
      <c r="X229" s="3" t="s">
        <v>98</v>
      </c>
      <c r="Y229" s="14">
        <f t="shared" si="9"/>
        <v>0.4097754122</v>
      </c>
      <c r="Z229" s="3">
        <f t="shared" si="7"/>
        <v>45</v>
      </c>
      <c r="AA229" s="15">
        <f t="shared" si="8"/>
        <v>2</v>
      </c>
    </row>
    <row r="230" ht="15.75" customHeight="1">
      <c r="A230" s="3">
        <v>2.49606645E8</v>
      </c>
      <c r="B230" s="3" t="s">
        <v>1081</v>
      </c>
      <c r="C230" s="3">
        <f>IFERROR(__xludf.DUMMYFUNCTION("split(B230,""/"")"),6.0)</f>
        <v>6</v>
      </c>
      <c r="D230" s="10">
        <f>IFERROR(__xludf.DUMMYFUNCTION("""COMPUTED_VALUE"""),29.0)</f>
        <v>29</v>
      </c>
      <c r="E230" s="11">
        <f>IFERROR(__xludf.DUMMYFUNCTION("""COMPUTED_VALUE"""),2012.0)</f>
        <v>2012</v>
      </c>
      <c r="F230" s="12">
        <f t="shared" si="1"/>
        <v>41089</v>
      </c>
      <c r="G230" s="3" t="s">
        <v>1082</v>
      </c>
      <c r="H230" s="3">
        <f>IFERROR(__xludf.DUMMYFUNCTION("split(G230,""/"")"),8.0)</f>
        <v>8</v>
      </c>
      <c r="I230" s="3">
        <f>IFERROR(__xludf.DUMMYFUNCTION("""COMPUTED_VALUE"""),14.0)</f>
        <v>14</v>
      </c>
      <c r="J230" s="3">
        <f>IFERROR(__xludf.DUMMYFUNCTION("""COMPUTED_VALUE"""),2012.0)</f>
        <v>2012</v>
      </c>
      <c r="K230" s="12">
        <f t="shared" si="2"/>
        <v>41135</v>
      </c>
      <c r="L230" s="3" t="s">
        <v>817</v>
      </c>
      <c r="M230" s="3" t="s">
        <v>428</v>
      </c>
      <c r="N230" s="3">
        <v>4594.0</v>
      </c>
      <c r="O230" s="3" t="s">
        <v>818</v>
      </c>
      <c r="P230" s="10">
        <v>3008.0</v>
      </c>
      <c r="Q230" s="13">
        <v>9.33</v>
      </c>
      <c r="R230" s="13">
        <v>6.92</v>
      </c>
      <c r="S230" s="13">
        <f t="shared" si="3"/>
        <v>28064.64</v>
      </c>
      <c r="T230" s="13">
        <f t="shared" si="4"/>
        <v>20815.36</v>
      </c>
      <c r="U230" s="13">
        <f t="shared" si="5"/>
        <v>7249.28</v>
      </c>
      <c r="V230" s="3" t="str">
        <f>VLOOKUP(N230,products!A:B,2,0)</f>
        <v>Fruits</v>
      </c>
      <c r="W230" s="3" t="s">
        <v>28</v>
      </c>
      <c r="X230" s="3" t="s">
        <v>79</v>
      </c>
      <c r="Y230" s="14">
        <f t="shared" si="9"/>
        <v>0.258306538</v>
      </c>
      <c r="Z230" s="3">
        <f t="shared" si="7"/>
        <v>46</v>
      </c>
      <c r="AA230" s="15">
        <f t="shared" si="8"/>
        <v>6</v>
      </c>
    </row>
    <row r="231" ht="15.75" customHeight="1">
      <c r="A231" s="3">
        <v>2.49765861E8</v>
      </c>
      <c r="B231" s="3" t="s">
        <v>1083</v>
      </c>
      <c r="C231" s="3">
        <f>IFERROR(__xludf.DUMMYFUNCTION("split(B231,""/"")"),11.0)</f>
        <v>11</v>
      </c>
      <c r="D231" s="10">
        <f>IFERROR(__xludf.DUMMYFUNCTION("""COMPUTED_VALUE"""),13.0)</f>
        <v>13</v>
      </c>
      <c r="E231" s="11">
        <f>IFERROR(__xludf.DUMMYFUNCTION("""COMPUTED_VALUE"""),2016.0)</f>
        <v>2016</v>
      </c>
      <c r="F231" s="12">
        <f t="shared" si="1"/>
        <v>42687</v>
      </c>
      <c r="G231" s="3" t="s">
        <v>1084</v>
      </c>
      <c r="H231" s="3">
        <f>IFERROR(__xludf.DUMMYFUNCTION("split(G231,""/"")"),11.0)</f>
        <v>11</v>
      </c>
      <c r="I231" s="3">
        <f>IFERROR(__xludf.DUMMYFUNCTION("""COMPUTED_VALUE"""),24.0)</f>
        <v>24</v>
      </c>
      <c r="J231" s="3">
        <f>IFERROR(__xludf.DUMMYFUNCTION("""COMPUTED_VALUE"""),2016.0)</f>
        <v>2016</v>
      </c>
      <c r="K231" s="12">
        <f t="shared" si="2"/>
        <v>42698</v>
      </c>
      <c r="L231" s="3" t="s">
        <v>814</v>
      </c>
      <c r="M231" s="3" t="s">
        <v>746</v>
      </c>
      <c r="N231" s="3">
        <v>2455.0</v>
      </c>
      <c r="O231" s="3" t="s">
        <v>815</v>
      </c>
      <c r="P231" s="10">
        <v>123.0</v>
      </c>
      <c r="Q231" s="13">
        <v>109.28</v>
      </c>
      <c r="R231" s="13">
        <v>35.84</v>
      </c>
      <c r="S231" s="13">
        <f t="shared" si="3"/>
        <v>13441.44</v>
      </c>
      <c r="T231" s="13">
        <f t="shared" si="4"/>
        <v>4408.32</v>
      </c>
      <c r="U231" s="13">
        <f t="shared" si="5"/>
        <v>9033.12</v>
      </c>
      <c r="V231" s="3" t="str">
        <f>VLOOKUP(N231,products!A:B,2,0)</f>
        <v>Clothes</v>
      </c>
      <c r="W231" s="3" t="s">
        <v>28</v>
      </c>
      <c r="X231" s="3" t="s">
        <v>29</v>
      </c>
      <c r="Y231" s="14">
        <f t="shared" si="9"/>
        <v>0.6720351391</v>
      </c>
      <c r="Z231" s="3">
        <f t="shared" si="7"/>
        <v>11</v>
      </c>
      <c r="AA231" s="15">
        <f t="shared" si="8"/>
        <v>1</v>
      </c>
    </row>
    <row r="232" ht="15.75" customHeight="1">
      <c r="A232" s="3">
        <v>2.50848186E8</v>
      </c>
      <c r="B232" s="3" t="s">
        <v>1085</v>
      </c>
      <c r="C232" s="3">
        <f>IFERROR(__xludf.DUMMYFUNCTION("split(B232,""/"")"),1.0)</f>
        <v>1</v>
      </c>
      <c r="D232" s="10">
        <f>IFERROR(__xludf.DUMMYFUNCTION("""COMPUTED_VALUE"""),30.0)</f>
        <v>30</v>
      </c>
      <c r="E232" s="11">
        <f>IFERROR(__xludf.DUMMYFUNCTION("""COMPUTED_VALUE"""),2013.0)</f>
        <v>2013</v>
      </c>
      <c r="F232" s="12">
        <f t="shared" si="1"/>
        <v>41304</v>
      </c>
      <c r="G232" s="9">
        <v>41458.0</v>
      </c>
      <c r="H232" s="3">
        <f>IFERROR(__xludf.DUMMYFUNCTION("split(G232,""/"")"),3.0)</f>
        <v>3</v>
      </c>
      <c r="I232" s="3">
        <f>IFERROR(__xludf.DUMMYFUNCTION("""COMPUTED_VALUE"""),7.0)</f>
        <v>7</v>
      </c>
      <c r="J232" s="3">
        <f>IFERROR(__xludf.DUMMYFUNCTION("""COMPUTED_VALUE"""),2013.0)</f>
        <v>2013</v>
      </c>
      <c r="K232" s="12">
        <f t="shared" si="2"/>
        <v>41340</v>
      </c>
      <c r="L232" s="3" t="s">
        <v>814</v>
      </c>
      <c r="M232" s="3" t="s">
        <v>434</v>
      </c>
      <c r="N232" s="3">
        <v>2455.0</v>
      </c>
      <c r="O232" s="3" t="s">
        <v>815</v>
      </c>
      <c r="P232" s="10">
        <v>407.0</v>
      </c>
      <c r="Q232" s="13">
        <v>109.28</v>
      </c>
      <c r="R232" s="13">
        <v>35.84</v>
      </c>
      <c r="S232" s="13">
        <f t="shared" si="3"/>
        <v>44476.96</v>
      </c>
      <c r="T232" s="13">
        <f t="shared" si="4"/>
        <v>14586.88</v>
      </c>
      <c r="U232" s="13">
        <f t="shared" si="5"/>
        <v>29890.08</v>
      </c>
      <c r="V232" s="3" t="str">
        <f>VLOOKUP(N232,products!A:B,2,0)</f>
        <v>Clothes</v>
      </c>
      <c r="W232" s="3" t="s">
        <v>28</v>
      </c>
      <c r="X232" s="3" t="s">
        <v>79</v>
      </c>
      <c r="Y232" s="14">
        <f t="shared" si="9"/>
        <v>0.6720351391</v>
      </c>
      <c r="Z232" s="3">
        <f t="shared" si="7"/>
        <v>36</v>
      </c>
      <c r="AA232" s="15">
        <f t="shared" si="8"/>
        <v>4</v>
      </c>
    </row>
    <row r="233" ht="15.75" customHeight="1">
      <c r="A233" s="3">
        <v>2.51208674E8</v>
      </c>
      <c r="B233" s="9">
        <v>42041.0</v>
      </c>
      <c r="C233" s="3">
        <f>IFERROR(__xludf.DUMMYFUNCTION("split(B233,""/"")"),6.0)</f>
        <v>6</v>
      </c>
      <c r="D233" s="10">
        <f>IFERROR(__xludf.DUMMYFUNCTION("""COMPUTED_VALUE"""),2.0)</f>
        <v>2</v>
      </c>
      <c r="E233" s="11">
        <f>IFERROR(__xludf.DUMMYFUNCTION("""COMPUTED_VALUE"""),2015.0)</f>
        <v>2015</v>
      </c>
      <c r="F233" s="12">
        <f t="shared" si="1"/>
        <v>42157</v>
      </c>
      <c r="G233" s="3" t="s">
        <v>1086</v>
      </c>
      <c r="H233" s="3">
        <f>IFERROR(__xludf.DUMMYFUNCTION("split(G233,""/"")"),7.0)</f>
        <v>7</v>
      </c>
      <c r="I233" s="3">
        <f>IFERROR(__xludf.DUMMYFUNCTION("""COMPUTED_VALUE"""),19.0)</f>
        <v>19</v>
      </c>
      <c r="J233" s="3">
        <f>IFERROR(__xludf.DUMMYFUNCTION("""COMPUTED_VALUE"""),2015.0)</f>
        <v>2015</v>
      </c>
      <c r="K233" s="12">
        <f t="shared" si="2"/>
        <v>42204</v>
      </c>
      <c r="L233" s="3" t="s">
        <v>814</v>
      </c>
      <c r="M233" s="3" t="s">
        <v>67</v>
      </c>
      <c r="N233" s="3">
        <v>8875.0</v>
      </c>
      <c r="O233" s="3" t="s">
        <v>818</v>
      </c>
      <c r="P233" s="10">
        <v>7084.0</v>
      </c>
      <c r="Q233" s="13">
        <v>421.89</v>
      </c>
      <c r="R233" s="13">
        <v>364.69</v>
      </c>
      <c r="S233" s="13">
        <f t="shared" si="3"/>
        <v>2988668.76</v>
      </c>
      <c r="T233" s="13">
        <f t="shared" si="4"/>
        <v>2583463.96</v>
      </c>
      <c r="U233" s="13">
        <f t="shared" si="5"/>
        <v>405204.8</v>
      </c>
      <c r="V233" s="3" t="str">
        <f>VLOOKUP(N233,products!A:B,2,0)</f>
        <v>Meat</v>
      </c>
      <c r="W233" s="3" t="s">
        <v>23</v>
      </c>
      <c r="X233" s="3" t="s">
        <v>68</v>
      </c>
      <c r="Y233" s="14">
        <f t="shared" si="9"/>
        <v>0.1355803646</v>
      </c>
      <c r="Z233" s="3">
        <f t="shared" si="7"/>
        <v>47</v>
      </c>
      <c r="AA233" s="15">
        <f t="shared" si="8"/>
        <v>3</v>
      </c>
    </row>
    <row r="234" ht="15.75" customHeight="1">
      <c r="A234" s="3">
        <v>2.51823222E8</v>
      </c>
      <c r="B234" s="9">
        <v>40246.0</v>
      </c>
      <c r="C234" s="3">
        <f>IFERROR(__xludf.DUMMYFUNCTION("split(B234,""/"")"),9.0)</f>
        <v>9</v>
      </c>
      <c r="D234" s="10">
        <f>IFERROR(__xludf.DUMMYFUNCTION("""COMPUTED_VALUE"""),3.0)</f>
        <v>3</v>
      </c>
      <c r="E234" s="11">
        <f>IFERROR(__xludf.DUMMYFUNCTION("""COMPUTED_VALUE"""),2010.0)</f>
        <v>2010</v>
      </c>
      <c r="F234" s="12">
        <f t="shared" si="1"/>
        <v>40424</v>
      </c>
      <c r="G234" s="9">
        <v>40188.0</v>
      </c>
      <c r="H234" s="3">
        <f>IFERROR(__xludf.DUMMYFUNCTION("split(G234,""/"")"),10.0)</f>
        <v>10</v>
      </c>
      <c r="I234" s="3">
        <f>IFERROR(__xludf.DUMMYFUNCTION("""COMPUTED_VALUE"""),1.0)</f>
        <v>1</v>
      </c>
      <c r="J234" s="3">
        <f>IFERROR(__xludf.DUMMYFUNCTION("""COMPUTED_VALUE"""),2010.0)</f>
        <v>2010</v>
      </c>
      <c r="K234" s="12">
        <f t="shared" si="2"/>
        <v>40452</v>
      </c>
      <c r="L234" s="3" t="s">
        <v>825</v>
      </c>
      <c r="M234" s="3" t="s">
        <v>746</v>
      </c>
      <c r="N234" s="3">
        <v>2455.0</v>
      </c>
      <c r="O234" s="3" t="s">
        <v>815</v>
      </c>
      <c r="P234" s="10">
        <v>8942.0</v>
      </c>
      <c r="Q234" s="13">
        <v>109.28</v>
      </c>
      <c r="R234" s="13">
        <v>35.84</v>
      </c>
      <c r="S234" s="13">
        <f t="shared" si="3"/>
        <v>977181.76</v>
      </c>
      <c r="T234" s="13">
        <f t="shared" si="4"/>
        <v>320481.28</v>
      </c>
      <c r="U234" s="13">
        <f t="shared" si="5"/>
        <v>656700.48</v>
      </c>
      <c r="V234" s="3" t="str">
        <f>VLOOKUP(N234,products!A:B,2,0)</f>
        <v>Clothes</v>
      </c>
      <c r="W234" s="3" t="s">
        <v>28</v>
      </c>
      <c r="X234" s="3" t="s">
        <v>29</v>
      </c>
      <c r="Y234" s="14">
        <f t="shared" si="9"/>
        <v>0.6720351391</v>
      </c>
      <c r="Z234" s="3">
        <f t="shared" si="7"/>
        <v>28</v>
      </c>
      <c r="AA234" s="15">
        <f t="shared" si="8"/>
        <v>6</v>
      </c>
    </row>
    <row r="235" ht="15.75" customHeight="1">
      <c r="A235" s="3">
        <v>2.51907765E8</v>
      </c>
      <c r="B235" s="9">
        <v>42007.0</v>
      </c>
      <c r="C235" s="3">
        <f>IFERROR(__xludf.DUMMYFUNCTION("split(B235,""/"")"),3.0)</f>
        <v>3</v>
      </c>
      <c r="D235" s="10">
        <f>IFERROR(__xludf.DUMMYFUNCTION("""COMPUTED_VALUE"""),1.0)</f>
        <v>1</v>
      </c>
      <c r="E235" s="11">
        <f>IFERROR(__xludf.DUMMYFUNCTION("""COMPUTED_VALUE"""),2015.0)</f>
        <v>2015</v>
      </c>
      <c r="F235" s="12">
        <f t="shared" si="1"/>
        <v>42064</v>
      </c>
      <c r="G235" s="9">
        <v>42189.0</v>
      </c>
      <c r="H235" s="3">
        <f>IFERROR(__xludf.DUMMYFUNCTION("split(G235,""/"")"),4.0)</f>
        <v>4</v>
      </c>
      <c r="I235" s="3">
        <f>IFERROR(__xludf.DUMMYFUNCTION("""COMPUTED_VALUE"""),7.0)</f>
        <v>7</v>
      </c>
      <c r="J235" s="3">
        <f>IFERROR(__xludf.DUMMYFUNCTION("""COMPUTED_VALUE"""),2015.0)</f>
        <v>2015</v>
      </c>
      <c r="K235" s="12">
        <f t="shared" si="2"/>
        <v>42101</v>
      </c>
      <c r="L235" s="3" t="s">
        <v>817</v>
      </c>
      <c r="M235" s="3" t="s">
        <v>821</v>
      </c>
      <c r="N235" s="3">
        <v>8969.0</v>
      </c>
      <c r="O235" s="3" t="s">
        <v>818</v>
      </c>
      <c r="P235" s="10">
        <v>3961.0</v>
      </c>
      <c r="Q235" s="13">
        <v>152.58</v>
      </c>
      <c r="R235" s="13">
        <v>97.44</v>
      </c>
      <c r="S235" s="13">
        <f t="shared" si="3"/>
        <v>604369.38</v>
      </c>
      <c r="T235" s="13">
        <f t="shared" si="4"/>
        <v>385959.84</v>
      </c>
      <c r="U235" s="13">
        <f t="shared" si="5"/>
        <v>218409.54</v>
      </c>
      <c r="V235" s="3" t="str">
        <f>VLOOKUP(N235,products!A:B,2,0)</f>
        <v>Snacks</v>
      </c>
      <c r="W235" s="3" t="s">
        <v>821</v>
      </c>
      <c r="X235" s="3" t="s">
        <v>821</v>
      </c>
      <c r="Y235" s="14">
        <f t="shared" si="9"/>
        <v>0.3613841919</v>
      </c>
      <c r="Z235" s="3">
        <f t="shared" si="7"/>
        <v>37</v>
      </c>
      <c r="AA235" s="15">
        <f t="shared" si="8"/>
        <v>1</v>
      </c>
    </row>
    <row r="236" ht="15.75" customHeight="1">
      <c r="A236" s="3">
        <v>2.52541625E8</v>
      </c>
      <c r="B236" s="9">
        <v>42984.0</v>
      </c>
      <c r="C236" s="3">
        <f>IFERROR(__xludf.DUMMYFUNCTION("split(B236,""/"")"),6.0)</f>
        <v>6</v>
      </c>
      <c r="D236" s="10">
        <f>IFERROR(__xludf.DUMMYFUNCTION("""COMPUTED_VALUE"""),9.0)</f>
        <v>9</v>
      </c>
      <c r="E236" s="11">
        <f>IFERROR(__xludf.DUMMYFUNCTION("""COMPUTED_VALUE"""),2017.0)</f>
        <v>2017</v>
      </c>
      <c r="F236" s="12">
        <f t="shared" si="1"/>
        <v>42895</v>
      </c>
      <c r="G236" s="9">
        <v>42862.0</v>
      </c>
      <c r="H236" s="3">
        <f>IFERROR(__xludf.DUMMYFUNCTION("split(G236,""/"")"),7.0)</f>
        <v>7</v>
      </c>
      <c r="I236" s="3">
        <f>IFERROR(__xludf.DUMMYFUNCTION("""COMPUTED_VALUE"""),5.0)</f>
        <v>5</v>
      </c>
      <c r="J236" s="3">
        <f>IFERROR(__xludf.DUMMYFUNCTION("""COMPUTED_VALUE"""),2017.0)</f>
        <v>2017</v>
      </c>
      <c r="K236" s="12">
        <f t="shared" si="2"/>
        <v>42921</v>
      </c>
      <c r="L236" s="3" t="s">
        <v>817</v>
      </c>
      <c r="M236" s="3" t="s">
        <v>821</v>
      </c>
      <c r="N236" s="3">
        <v>7331.0</v>
      </c>
      <c r="O236" s="3" t="s">
        <v>818</v>
      </c>
      <c r="P236" s="10">
        <v>1534.0</v>
      </c>
      <c r="Q236" s="13">
        <v>255.28</v>
      </c>
      <c r="R236" s="13">
        <v>159.42</v>
      </c>
      <c r="S236" s="13">
        <f t="shared" si="3"/>
        <v>391599.52</v>
      </c>
      <c r="T236" s="13">
        <f t="shared" si="4"/>
        <v>244550.28</v>
      </c>
      <c r="U236" s="13">
        <f t="shared" si="5"/>
        <v>147049.24</v>
      </c>
      <c r="V236" s="3" t="str">
        <f>VLOOKUP(N236,products!A:B,2,0)</f>
        <v>Baby Food</v>
      </c>
      <c r="W236" s="3" t="s">
        <v>821</v>
      </c>
      <c r="X236" s="3" t="s">
        <v>821</v>
      </c>
      <c r="Y236" s="14">
        <f t="shared" si="9"/>
        <v>0.3755092448</v>
      </c>
      <c r="Z236" s="3">
        <f t="shared" si="7"/>
        <v>26</v>
      </c>
      <c r="AA236" s="15">
        <f t="shared" si="8"/>
        <v>6</v>
      </c>
    </row>
    <row r="237" ht="15.75" customHeight="1">
      <c r="A237" s="3">
        <v>2.53055322E8</v>
      </c>
      <c r="B237" s="3" t="s">
        <v>1087</v>
      </c>
      <c r="C237" s="3">
        <f>IFERROR(__xludf.DUMMYFUNCTION("split(B237,""/"")"),5.0)</f>
        <v>5</v>
      </c>
      <c r="D237" s="10">
        <f>IFERROR(__xludf.DUMMYFUNCTION("""COMPUTED_VALUE"""),31.0)</f>
        <v>31</v>
      </c>
      <c r="E237" s="11">
        <f>IFERROR(__xludf.DUMMYFUNCTION("""COMPUTED_VALUE"""),2016.0)</f>
        <v>2016</v>
      </c>
      <c r="F237" s="12">
        <f t="shared" si="1"/>
        <v>42521</v>
      </c>
      <c r="G237" s="9">
        <v>42710.0</v>
      </c>
      <c r="H237" s="3">
        <f>IFERROR(__xludf.DUMMYFUNCTION("split(G237,""/"")"),6.0)</f>
        <v>6</v>
      </c>
      <c r="I237" s="3">
        <f>IFERROR(__xludf.DUMMYFUNCTION("""COMPUTED_VALUE"""),12.0)</f>
        <v>12</v>
      </c>
      <c r="J237" s="3">
        <f>IFERROR(__xludf.DUMMYFUNCTION("""COMPUTED_VALUE"""),2016.0)</f>
        <v>2016</v>
      </c>
      <c r="K237" s="12">
        <f t="shared" si="2"/>
        <v>42533</v>
      </c>
      <c r="L237" s="3" t="s">
        <v>827</v>
      </c>
      <c r="M237" s="3" t="s">
        <v>590</v>
      </c>
      <c r="N237" s="3">
        <v>1270.0</v>
      </c>
      <c r="O237" s="3" t="s">
        <v>815</v>
      </c>
      <c r="P237" s="10">
        <v>3548.0</v>
      </c>
      <c r="Q237" s="13">
        <v>47.45</v>
      </c>
      <c r="R237" s="13">
        <v>31.79</v>
      </c>
      <c r="S237" s="13">
        <f t="shared" si="3"/>
        <v>168352.6</v>
      </c>
      <c r="T237" s="13">
        <f t="shared" si="4"/>
        <v>112790.92</v>
      </c>
      <c r="U237" s="13">
        <f t="shared" si="5"/>
        <v>55561.68</v>
      </c>
      <c r="V237" s="3" t="str">
        <f>VLOOKUP(N237,products!A:B,2,0)</f>
        <v>Beverages</v>
      </c>
      <c r="W237" s="3" t="s">
        <v>28</v>
      </c>
      <c r="X237" s="3" t="s">
        <v>98</v>
      </c>
      <c r="Y237" s="14">
        <f t="shared" si="9"/>
        <v>0.3300316122</v>
      </c>
      <c r="Z237" s="3">
        <f t="shared" si="7"/>
        <v>12</v>
      </c>
      <c r="AA237" s="15">
        <f t="shared" si="8"/>
        <v>3</v>
      </c>
    </row>
    <row r="238" ht="15.75" customHeight="1">
      <c r="A238" s="3">
        <v>2.53211104E8</v>
      </c>
      <c r="B238" s="3" t="s">
        <v>1088</v>
      </c>
      <c r="C238" s="3">
        <f>IFERROR(__xludf.DUMMYFUNCTION("split(B238,""/"")"),12.0)</f>
        <v>12</v>
      </c>
      <c r="D238" s="10">
        <f>IFERROR(__xludf.DUMMYFUNCTION("""COMPUTED_VALUE"""),16.0)</f>
        <v>16</v>
      </c>
      <c r="E238" s="11">
        <f>IFERROR(__xludf.DUMMYFUNCTION("""COMPUTED_VALUE"""),2010.0)</f>
        <v>2010</v>
      </c>
      <c r="F238" s="12">
        <f t="shared" si="1"/>
        <v>40528</v>
      </c>
      <c r="G238" s="3" t="s">
        <v>1089</v>
      </c>
      <c r="H238" s="3">
        <f>IFERROR(__xludf.DUMMYFUNCTION("split(G238,""/"")"),12.0)</f>
        <v>12</v>
      </c>
      <c r="I238" s="3">
        <f>IFERROR(__xludf.DUMMYFUNCTION("""COMPUTED_VALUE"""),27.0)</f>
        <v>27</v>
      </c>
      <c r="J238" s="3">
        <f>IFERROR(__xludf.DUMMYFUNCTION("""COMPUTED_VALUE"""),2010.0)</f>
        <v>2010</v>
      </c>
      <c r="K238" s="12">
        <f t="shared" si="2"/>
        <v>40539</v>
      </c>
      <c r="L238" s="3" t="s">
        <v>817</v>
      </c>
      <c r="M238" s="3" t="s">
        <v>593</v>
      </c>
      <c r="N238" s="3">
        <v>8681.0</v>
      </c>
      <c r="O238" s="3" t="s">
        <v>815</v>
      </c>
      <c r="P238" s="10">
        <v>9648.0</v>
      </c>
      <c r="Q238" s="13">
        <v>651.21</v>
      </c>
      <c r="R238" s="13">
        <v>524.96</v>
      </c>
      <c r="S238" s="13">
        <f t="shared" si="3"/>
        <v>6282874.08</v>
      </c>
      <c r="T238" s="13">
        <f t="shared" si="4"/>
        <v>5064814.08</v>
      </c>
      <c r="U238" s="13">
        <f t="shared" si="5"/>
        <v>1218060</v>
      </c>
      <c r="V238" s="3" t="str">
        <f>VLOOKUP(N238,products!A:B,2,0)</f>
        <v>Office Supplies</v>
      </c>
      <c r="W238" s="3" t="s">
        <v>28</v>
      </c>
      <c r="X238" s="3" t="s">
        <v>98</v>
      </c>
      <c r="Y238" s="14">
        <f t="shared" si="9"/>
        <v>0.193869873</v>
      </c>
      <c r="Z238" s="3">
        <f t="shared" si="7"/>
        <v>11</v>
      </c>
      <c r="AA238" s="15">
        <f t="shared" si="8"/>
        <v>5</v>
      </c>
    </row>
    <row r="239" ht="15.75" customHeight="1">
      <c r="A239" s="3">
        <v>2.55047452E8</v>
      </c>
      <c r="B239" s="9">
        <v>40918.0</v>
      </c>
      <c r="C239" s="3">
        <f>IFERROR(__xludf.DUMMYFUNCTION("split(B239,""/"")"),10.0)</f>
        <v>10</v>
      </c>
      <c r="D239" s="10">
        <f>IFERROR(__xludf.DUMMYFUNCTION("""COMPUTED_VALUE"""),1.0)</f>
        <v>1</v>
      </c>
      <c r="E239" s="11">
        <f>IFERROR(__xludf.DUMMYFUNCTION("""COMPUTED_VALUE"""),2012.0)</f>
        <v>2012</v>
      </c>
      <c r="F239" s="12">
        <f t="shared" si="1"/>
        <v>41183</v>
      </c>
      <c r="G239" s="3" t="s">
        <v>1090</v>
      </c>
      <c r="H239" s="3">
        <f>IFERROR(__xludf.DUMMYFUNCTION("split(G239,""/"")"),10.0)</f>
        <v>10</v>
      </c>
      <c r="I239" s="3">
        <f>IFERROR(__xludf.DUMMYFUNCTION("""COMPUTED_VALUE"""),30.0)</f>
        <v>30</v>
      </c>
      <c r="J239" s="3">
        <f>IFERROR(__xludf.DUMMYFUNCTION("""COMPUTED_VALUE"""),2012.0)</f>
        <v>2012</v>
      </c>
      <c r="K239" s="12">
        <f t="shared" si="2"/>
        <v>41212</v>
      </c>
      <c r="L239" s="3" t="s">
        <v>827</v>
      </c>
      <c r="M239" s="3" t="s">
        <v>215</v>
      </c>
      <c r="N239" s="3">
        <v>8969.0</v>
      </c>
      <c r="O239" s="3" t="s">
        <v>815</v>
      </c>
      <c r="P239" s="10">
        <v>3064.0</v>
      </c>
      <c r="Q239" s="13">
        <v>152.58</v>
      </c>
      <c r="R239" s="13">
        <v>97.44</v>
      </c>
      <c r="S239" s="13">
        <f t="shared" si="3"/>
        <v>467505.12</v>
      </c>
      <c r="T239" s="13">
        <f t="shared" si="4"/>
        <v>298556.16</v>
      </c>
      <c r="U239" s="13">
        <f t="shared" si="5"/>
        <v>168948.96</v>
      </c>
      <c r="V239" s="3" t="str">
        <f>VLOOKUP(N239,products!A:B,2,0)</f>
        <v>Snacks</v>
      </c>
      <c r="W239" s="3" t="s">
        <v>23</v>
      </c>
      <c r="X239" s="3" t="s">
        <v>68</v>
      </c>
      <c r="Y239" s="14">
        <f t="shared" si="9"/>
        <v>0.3613841919</v>
      </c>
      <c r="Z239" s="3">
        <f t="shared" si="7"/>
        <v>29</v>
      </c>
      <c r="AA239" s="15">
        <f t="shared" si="8"/>
        <v>2</v>
      </c>
    </row>
    <row r="240" ht="15.75" customHeight="1">
      <c r="A240" s="3">
        <v>2.56095016E8</v>
      </c>
      <c r="B240" s="9">
        <v>41677.0</v>
      </c>
      <c r="C240" s="3">
        <f>IFERROR(__xludf.DUMMYFUNCTION("split(B240,""/"")"),7.0)</f>
        <v>7</v>
      </c>
      <c r="D240" s="10">
        <f>IFERROR(__xludf.DUMMYFUNCTION("""COMPUTED_VALUE"""),2.0)</f>
        <v>2</v>
      </c>
      <c r="E240" s="11">
        <f>IFERROR(__xludf.DUMMYFUNCTION("""COMPUTED_VALUE"""),2014.0)</f>
        <v>2014</v>
      </c>
      <c r="F240" s="12">
        <f t="shared" si="1"/>
        <v>41822</v>
      </c>
      <c r="G240" s="3" t="s">
        <v>1091</v>
      </c>
      <c r="H240" s="3">
        <f>IFERROR(__xludf.DUMMYFUNCTION("split(G240,""/"")"),8.0)</f>
        <v>8</v>
      </c>
      <c r="I240" s="3">
        <f>IFERROR(__xludf.DUMMYFUNCTION("""COMPUTED_VALUE"""),21.0)</f>
        <v>21</v>
      </c>
      <c r="J240" s="3">
        <f>IFERROR(__xludf.DUMMYFUNCTION("""COMPUTED_VALUE"""),2014.0)</f>
        <v>2014</v>
      </c>
      <c r="K240" s="12">
        <f t="shared" si="2"/>
        <v>41872</v>
      </c>
      <c r="L240" s="3" t="s">
        <v>827</v>
      </c>
      <c r="M240" s="3" t="s">
        <v>488</v>
      </c>
      <c r="N240" s="3">
        <v>8681.0</v>
      </c>
      <c r="O240" s="3" t="s">
        <v>818</v>
      </c>
      <c r="P240" s="10">
        <v>3061.0</v>
      </c>
      <c r="Q240" s="13">
        <v>651.21</v>
      </c>
      <c r="R240" s="13">
        <v>524.96</v>
      </c>
      <c r="S240" s="13">
        <f t="shared" si="3"/>
        <v>1993353.81</v>
      </c>
      <c r="T240" s="13">
        <f t="shared" si="4"/>
        <v>1606902.56</v>
      </c>
      <c r="U240" s="13">
        <f t="shared" si="5"/>
        <v>386451.25</v>
      </c>
      <c r="V240" s="3" t="str">
        <f>VLOOKUP(N240,products!A:B,2,0)</f>
        <v>Office Supplies</v>
      </c>
      <c r="W240" s="3" t="s">
        <v>28</v>
      </c>
      <c r="X240" s="3" t="s">
        <v>33</v>
      </c>
      <c r="Y240" s="14">
        <f t="shared" si="9"/>
        <v>0.193869873</v>
      </c>
      <c r="Z240" s="3">
        <f t="shared" si="7"/>
        <v>50</v>
      </c>
      <c r="AA240" s="15">
        <f t="shared" si="8"/>
        <v>4</v>
      </c>
    </row>
    <row r="241" ht="15.75" customHeight="1">
      <c r="A241" s="3">
        <v>2.59006392E8</v>
      </c>
      <c r="B241" s="3" t="s">
        <v>1092</v>
      </c>
      <c r="C241" s="3">
        <f>IFERROR(__xludf.DUMMYFUNCTION("split(B241,""/"")"),5.0)</f>
        <v>5</v>
      </c>
      <c r="D241" s="10">
        <f>IFERROR(__xludf.DUMMYFUNCTION("""COMPUTED_VALUE"""),22.0)</f>
        <v>22</v>
      </c>
      <c r="E241" s="11">
        <f>IFERROR(__xludf.DUMMYFUNCTION("""COMPUTED_VALUE"""),2013.0)</f>
        <v>2013</v>
      </c>
      <c r="F241" s="12">
        <f t="shared" si="1"/>
        <v>41416</v>
      </c>
      <c r="G241" s="9">
        <v>41431.0</v>
      </c>
      <c r="H241" s="3">
        <f>IFERROR(__xludf.DUMMYFUNCTION("split(G241,""/"")"),6.0)</f>
        <v>6</v>
      </c>
      <c r="I241" s="3">
        <f>IFERROR(__xludf.DUMMYFUNCTION("""COMPUTED_VALUE"""),6.0)</f>
        <v>6</v>
      </c>
      <c r="J241" s="3">
        <f>IFERROR(__xludf.DUMMYFUNCTION("""COMPUTED_VALUE"""),2013.0)</f>
        <v>2013</v>
      </c>
      <c r="K241" s="12">
        <f t="shared" si="2"/>
        <v>41431</v>
      </c>
      <c r="L241" s="3" t="s">
        <v>817</v>
      </c>
      <c r="M241" s="3" t="s">
        <v>206</v>
      </c>
      <c r="N241" s="3">
        <v>8681.0</v>
      </c>
      <c r="O241" s="3" t="s">
        <v>815</v>
      </c>
      <c r="P241" s="10">
        <v>4602.0</v>
      </c>
      <c r="Q241" s="13">
        <v>651.21</v>
      </c>
      <c r="R241" s="13">
        <v>524.96</v>
      </c>
      <c r="S241" s="13">
        <f t="shared" si="3"/>
        <v>2996868.42</v>
      </c>
      <c r="T241" s="13">
        <f t="shared" si="4"/>
        <v>2415865.92</v>
      </c>
      <c r="U241" s="13">
        <f t="shared" si="5"/>
        <v>581002.5</v>
      </c>
      <c r="V241" s="3" t="str">
        <f>VLOOKUP(N241,products!A:B,2,0)</f>
        <v>Office Supplies</v>
      </c>
      <c r="W241" s="3" t="s">
        <v>28</v>
      </c>
      <c r="X241" s="3" t="s">
        <v>33</v>
      </c>
      <c r="Y241" s="14">
        <f t="shared" si="9"/>
        <v>0.193869873</v>
      </c>
      <c r="Z241" s="3">
        <f t="shared" si="7"/>
        <v>15</v>
      </c>
      <c r="AA241" s="15">
        <f t="shared" si="8"/>
        <v>4</v>
      </c>
    </row>
    <row r="242" ht="15.75" customHeight="1">
      <c r="A242" s="3">
        <v>2.59032571E8</v>
      </c>
      <c r="B242" s="9">
        <v>42983.0</v>
      </c>
      <c r="C242" s="3">
        <f>IFERROR(__xludf.DUMMYFUNCTION("split(B242,""/"")"),5.0)</f>
        <v>5</v>
      </c>
      <c r="D242" s="10">
        <f>IFERROR(__xludf.DUMMYFUNCTION("""COMPUTED_VALUE"""),9.0)</f>
        <v>9</v>
      </c>
      <c r="E242" s="11">
        <f>IFERROR(__xludf.DUMMYFUNCTION("""COMPUTED_VALUE"""),2017.0)</f>
        <v>2017</v>
      </c>
      <c r="F242" s="12">
        <f t="shared" si="1"/>
        <v>42864</v>
      </c>
      <c r="G242" s="3" t="s">
        <v>823</v>
      </c>
      <c r="H242" s="3">
        <f>IFERROR(__xludf.DUMMYFUNCTION("split(G242,""/"")"),5.0)</f>
        <v>5</v>
      </c>
      <c r="I242" s="3">
        <f>IFERROR(__xludf.DUMMYFUNCTION("""COMPUTED_VALUE"""),13.0)</f>
        <v>13</v>
      </c>
      <c r="J242" s="3">
        <f>IFERROR(__xludf.DUMMYFUNCTION("""COMPUTED_VALUE"""),2017.0)</f>
        <v>2017</v>
      </c>
      <c r="K242" s="12">
        <f t="shared" si="2"/>
        <v>42868</v>
      </c>
      <c r="L242" s="3" t="s">
        <v>825</v>
      </c>
      <c r="M242" s="3" t="s">
        <v>101</v>
      </c>
      <c r="N242" s="3">
        <v>5988.0</v>
      </c>
      <c r="O242" s="3" t="s">
        <v>815</v>
      </c>
      <c r="P242" s="10">
        <v>2349.0</v>
      </c>
      <c r="Q242" s="13">
        <v>154.06</v>
      </c>
      <c r="R242" s="13">
        <v>90.93</v>
      </c>
      <c r="S242" s="13">
        <f t="shared" si="3"/>
        <v>361886.94</v>
      </c>
      <c r="T242" s="13">
        <f t="shared" si="4"/>
        <v>213594.57</v>
      </c>
      <c r="U242" s="13">
        <f t="shared" si="5"/>
        <v>148292.37</v>
      </c>
      <c r="V242" s="3" t="str">
        <f>VLOOKUP(N242,products!A:B,2,0)</f>
        <v>Vegetables</v>
      </c>
      <c r="W242" s="3" t="s">
        <v>28</v>
      </c>
      <c r="X242" s="3" t="s">
        <v>79</v>
      </c>
      <c r="Y242" s="14">
        <f t="shared" si="9"/>
        <v>0.4097754122</v>
      </c>
      <c r="Z242" s="3">
        <f t="shared" si="7"/>
        <v>4</v>
      </c>
      <c r="AA242" s="15">
        <f t="shared" si="8"/>
        <v>3</v>
      </c>
    </row>
    <row r="243" ht="15.75" customHeight="1">
      <c r="A243" s="3">
        <v>2.60630738E8</v>
      </c>
      <c r="B243" s="9">
        <v>42135.0</v>
      </c>
      <c r="C243" s="3">
        <f>IFERROR(__xludf.DUMMYFUNCTION("split(B243,""/"")"),11.0)</f>
        <v>11</v>
      </c>
      <c r="D243" s="10">
        <f>IFERROR(__xludf.DUMMYFUNCTION("""COMPUTED_VALUE"""),5.0)</f>
        <v>5</v>
      </c>
      <c r="E243" s="11">
        <f>IFERROR(__xludf.DUMMYFUNCTION("""COMPUTED_VALUE"""),2015.0)</f>
        <v>2015</v>
      </c>
      <c r="F243" s="12">
        <f t="shared" si="1"/>
        <v>42313</v>
      </c>
      <c r="G243" s="3" t="s">
        <v>1036</v>
      </c>
      <c r="H243" s="3">
        <f>IFERROR(__xludf.DUMMYFUNCTION("split(G243,""/"")"),12.0)</f>
        <v>12</v>
      </c>
      <c r="I243" s="3">
        <f>IFERROR(__xludf.DUMMYFUNCTION("""COMPUTED_VALUE"""),19.0)</f>
        <v>19</v>
      </c>
      <c r="J243" s="3">
        <f>IFERROR(__xludf.DUMMYFUNCTION("""COMPUTED_VALUE"""),2015.0)</f>
        <v>2015</v>
      </c>
      <c r="K243" s="12">
        <f t="shared" si="2"/>
        <v>42357</v>
      </c>
      <c r="L243" s="3" t="s">
        <v>814</v>
      </c>
      <c r="M243" s="3" t="s">
        <v>821</v>
      </c>
      <c r="N243" s="3">
        <v>8293.0</v>
      </c>
      <c r="O243" s="3" t="s">
        <v>815</v>
      </c>
      <c r="P243" s="10">
        <v>5282.0</v>
      </c>
      <c r="Q243" s="13">
        <v>437.2</v>
      </c>
      <c r="R243" s="13">
        <v>263.33</v>
      </c>
      <c r="S243" s="13">
        <f t="shared" si="3"/>
        <v>2309290.4</v>
      </c>
      <c r="T243" s="13">
        <f t="shared" si="4"/>
        <v>1390909.06</v>
      </c>
      <c r="U243" s="13">
        <f t="shared" si="5"/>
        <v>918381.34</v>
      </c>
      <c r="V243" s="3" t="str">
        <f>VLOOKUP(N243,products!A:B,2,0)</f>
        <v>Cosmetics</v>
      </c>
      <c r="W243" s="3" t="s">
        <v>821</v>
      </c>
      <c r="X243" s="3" t="s">
        <v>821</v>
      </c>
      <c r="Y243" s="14">
        <f t="shared" si="9"/>
        <v>0.3976898445</v>
      </c>
      <c r="Z243" s="3">
        <f t="shared" si="7"/>
        <v>44</v>
      </c>
      <c r="AA243" s="15">
        <f t="shared" si="8"/>
        <v>5</v>
      </c>
    </row>
    <row r="244" ht="15.75" customHeight="1">
      <c r="A244" s="3">
        <v>2.6118735E8</v>
      </c>
      <c r="B244" s="9">
        <v>40949.0</v>
      </c>
      <c r="C244" s="3">
        <f>IFERROR(__xludf.DUMMYFUNCTION("split(B244,""/"")"),10.0)</f>
        <v>10</v>
      </c>
      <c r="D244" s="10">
        <f>IFERROR(__xludf.DUMMYFUNCTION("""COMPUTED_VALUE"""),2.0)</f>
        <v>2</v>
      </c>
      <c r="E244" s="11">
        <f>IFERROR(__xludf.DUMMYFUNCTION("""COMPUTED_VALUE"""),2012.0)</f>
        <v>2012</v>
      </c>
      <c r="F244" s="12">
        <f t="shared" si="1"/>
        <v>41184</v>
      </c>
      <c r="G244" s="9">
        <v>40978.0</v>
      </c>
      <c r="H244" s="3">
        <f>IFERROR(__xludf.DUMMYFUNCTION("split(G244,""/"")"),10.0)</f>
        <v>10</v>
      </c>
      <c r="I244" s="3">
        <f>IFERROR(__xludf.DUMMYFUNCTION("""COMPUTED_VALUE"""),3.0)</f>
        <v>3</v>
      </c>
      <c r="J244" s="3">
        <f>IFERROR(__xludf.DUMMYFUNCTION("""COMPUTED_VALUE"""),2012.0)</f>
        <v>2012</v>
      </c>
      <c r="K244" s="12">
        <f t="shared" si="2"/>
        <v>41185</v>
      </c>
      <c r="L244" s="3" t="s">
        <v>817</v>
      </c>
      <c r="M244" s="3" t="s">
        <v>364</v>
      </c>
      <c r="N244" s="3">
        <v>2455.0</v>
      </c>
      <c r="O244" s="3" t="s">
        <v>815</v>
      </c>
      <c r="P244" s="10">
        <v>9996.0</v>
      </c>
      <c r="Q244" s="13">
        <v>109.28</v>
      </c>
      <c r="R244" s="13">
        <v>35.84</v>
      </c>
      <c r="S244" s="13">
        <f t="shared" si="3"/>
        <v>1092362.88</v>
      </c>
      <c r="T244" s="13">
        <f t="shared" si="4"/>
        <v>358256.64</v>
      </c>
      <c r="U244" s="13">
        <f t="shared" si="5"/>
        <v>734106.24</v>
      </c>
      <c r="V244" s="3" t="str">
        <f>VLOOKUP(N244,products!A:B,2,0)</f>
        <v>Clothes</v>
      </c>
      <c r="W244" s="3" t="s">
        <v>28</v>
      </c>
      <c r="X244" s="3" t="s">
        <v>29</v>
      </c>
      <c r="Y244" s="14">
        <f t="shared" si="9"/>
        <v>0.6720351391</v>
      </c>
      <c r="Z244" s="3">
        <f t="shared" si="7"/>
        <v>1</v>
      </c>
      <c r="AA244" s="15">
        <f t="shared" si="8"/>
        <v>3</v>
      </c>
    </row>
    <row r="245" ht="15.75" customHeight="1">
      <c r="A245" s="3">
        <v>2.61640536E8</v>
      </c>
      <c r="B245" s="3" t="s">
        <v>1093</v>
      </c>
      <c r="C245" s="3">
        <f>IFERROR(__xludf.DUMMYFUNCTION("split(B245,""/"")"),6.0)</f>
        <v>6</v>
      </c>
      <c r="D245" s="10">
        <f>IFERROR(__xludf.DUMMYFUNCTION("""COMPUTED_VALUE"""),22.0)</f>
        <v>22</v>
      </c>
      <c r="E245" s="11">
        <f>IFERROR(__xludf.DUMMYFUNCTION("""COMPUTED_VALUE"""),2015.0)</f>
        <v>2015</v>
      </c>
      <c r="F245" s="12">
        <f t="shared" si="1"/>
        <v>42177</v>
      </c>
      <c r="G245" s="9">
        <v>42012.0</v>
      </c>
      <c r="H245" s="3">
        <f>IFERROR(__xludf.DUMMYFUNCTION("split(G245,""/"")"),8.0)</f>
        <v>8</v>
      </c>
      <c r="I245" s="3">
        <f>IFERROR(__xludf.DUMMYFUNCTION("""COMPUTED_VALUE"""),1.0)</f>
        <v>1</v>
      </c>
      <c r="J245" s="3">
        <f>IFERROR(__xludf.DUMMYFUNCTION("""COMPUTED_VALUE"""),2015.0)</f>
        <v>2015</v>
      </c>
      <c r="K245" s="12">
        <f t="shared" si="2"/>
        <v>42217</v>
      </c>
      <c r="L245" s="3" t="s">
        <v>814</v>
      </c>
      <c r="M245" s="3" t="s">
        <v>123</v>
      </c>
      <c r="N245" s="3">
        <v>7940.0</v>
      </c>
      <c r="O245" s="3" t="s">
        <v>818</v>
      </c>
      <c r="P245" s="10">
        <v>4104.0</v>
      </c>
      <c r="Q245" s="13">
        <v>668.27</v>
      </c>
      <c r="R245" s="13">
        <v>502.54</v>
      </c>
      <c r="S245" s="13">
        <f t="shared" si="3"/>
        <v>2742580.08</v>
      </c>
      <c r="T245" s="13">
        <f t="shared" si="4"/>
        <v>2062424.16</v>
      </c>
      <c r="U245" s="13">
        <f t="shared" si="5"/>
        <v>680155.92</v>
      </c>
      <c r="V245" s="3" t="str">
        <f>VLOOKUP(N245,products!A:B,2,0)</f>
        <v>Household</v>
      </c>
      <c r="W245" s="3" t="s">
        <v>28</v>
      </c>
      <c r="X245" s="3" t="s">
        <v>33</v>
      </c>
      <c r="Y245" s="14">
        <f t="shared" si="9"/>
        <v>0.2479985635</v>
      </c>
      <c r="Z245" s="3">
        <f t="shared" si="7"/>
        <v>40</v>
      </c>
      <c r="AA245" s="15">
        <f t="shared" si="8"/>
        <v>2</v>
      </c>
    </row>
    <row r="246" ht="15.75" customHeight="1">
      <c r="A246" s="3">
        <v>2.62177836E8</v>
      </c>
      <c r="B246" s="9">
        <v>41072.0</v>
      </c>
      <c r="C246" s="3">
        <f>IFERROR(__xludf.DUMMYFUNCTION("split(B246,""/"")"),12.0)</f>
        <v>12</v>
      </c>
      <c r="D246" s="10">
        <f>IFERROR(__xludf.DUMMYFUNCTION("""COMPUTED_VALUE"""),6.0)</f>
        <v>6</v>
      </c>
      <c r="E246" s="11">
        <f>IFERROR(__xludf.DUMMYFUNCTION("""COMPUTED_VALUE"""),2012.0)</f>
        <v>2012</v>
      </c>
      <c r="F246" s="12">
        <f t="shared" si="1"/>
        <v>41249</v>
      </c>
      <c r="G246" s="3" t="s">
        <v>1094</v>
      </c>
      <c r="H246" s="3">
        <f>IFERROR(__xludf.DUMMYFUNCTION("split(G246,""/"")"),1.0)</f>
        <v>1</v>
      </c>
      <c r="I246" s="3">
        <f>IFERROR(__xludf.DUMMYFUNCTION("""COMPUTED_VALUE"""),16.0)</f>
        <v>16</v>
      </c>
      <c r="J246" s="3">
        <f>IFERROR(__xludf.DUMMYFUNCTION("""COMPUTED_VALUE"""),2013.0)</f>
        <v>2013</v>
      </c>
      <c r="K246" s="12">
        <f t="shared" si="2"/>
        <v>41290</v>
      </c>
      <c r="L246" s="3" t="s">
        <v>827</v>
      </c>
      <c r="M246" s="3" t="s">
        <v>671</v>
      </c>
      <c r="N246" s="3">
        <v>4594.0</v>
      </c>
      <c r="O246" s="3" t="s">
        <v>818</v>
      </c>
      <c r="P246" s="10">
        <v>3103.0</v>
      </c>
      <c r="Q246" s="13">
        <v>9.33</v>
      </c>
      <c r="R246" s="13">
        <v>6.92</v>
      </c>
      <c r="S246" s="13">
        <f t="shared" si="3"/>
        <v>28950.99</v>
      </c>
      <c r="T246" s="13">
        <f t="shared" si="4"/>
        <v>21472.76</v>
      </c>
      <c r="U246" s="13">
        <f t="shared" si="5"/>
        <v>7478.23</v>
      </c>
      <c r="V246" s="3" t="str">
        <f>VLOOKUP(N246,products!A:B,2,0)</f>
        <v>Fruits</v>
      </c>
      <c r="W246" s="3" t="s">
        <v>28</v>
      </c>
      <c r="X246" s="3" t="s">
        <v>33</v>
      </c>
      <c r="Y246" s="14">
        <f t="shared" si="9"/>
        <v>0.258306538</v>
      </c>
      <c r="Z246" s="3">
        <f t="shared" si="7"/>
        <v>41</v>
      </c>
      <c r="AA246" s="15">
        <f t="shared" si="8"/>
        <v>5</v>
      </c>
    </row>
    <row r="247" ht="15.75" customHeight="1">
      <c r="A247" s="3">
        <v>2.63098371E8</v>
      </c>
      <c r="B247" s="9">
        <v>41857.0</v>
      </c>
      <c r="C247" s="3">
        <f>IFERROR(__xludf.DUMMYFUNCTION("split(B247,""/"")"),6.0)</f>
        <v>6</v>
      </c>
      <c r="D247" s="10">
        <f>IFERROR(__xludf.DUMMYFUNCTION("""COMPUTED_VALUE"""),8.0)</f>
        <v>8</v>
      </c>
      <c r="E247" s="11">
        <f>IFERROR(__xludf.DUMMYFUNCTION("""COMPUTED_VALUE"""),2014.0)</f>
        <v>2014</v>
      </c>
      <c r="F247" s="12">
        <f t="shared" si="1"/>
        <v>41798</v>
      </c>
      <c r="G247" s="9">
        <v>41736.0</v>
      </c>
      <c r="H247" s="3">
        <f>IFERROR(__xludf.DUMMYFUNCTION("split(G247,""/"")"),7.0)</f>
        <v>7</v>
      </c>
      <c r="I247" s="3">
        <f>IFERROR(__xludf.DUMMYFUNCTION("""COMPUTED_VALUE"""),4.0)</f>
        <v>4</v>
      </c>
      <c r="J247" s="3">
        <f>IFERROR(__xludf.DUMMYFUNCTION("""COMPUTED_VALUE"""),2014.0)</f>
        <v>2014</v>
      </c>
      <c r="K247" s="12">
        <f t="shared" si="2"/>
        <v>41824</v>
      </c>
      <c r="L247" s="3" t="s">
        <v>825</v>
      </c>
      <c r="M247" s="3" t="s">
        <v>482</v>
      </c>
      <c r="N247" s="3">
        <v>3127.0</v>
      </c>
      <c r="O247" s="3" t="s">
        <v>815</v>
      </c>
      <c r="P247" s="10">
        <v>5509.0</v>
      </c>
      <c r="Q247" s="13">
        <v>81.73</v>
      </c>
      <c r="R247" s="13">
        <v>56.67</v>
      </c>
      <c r="S247" s="13">
        <f t="shared" si="3"/>
        <v>450250.57</v>
      </c>
      <c r="T247" s="13">
        <f t="shared" si="4"/>
        <v>312195.03</v>
      </c>
      <c r="U247" s="13">
        <f t="shared" si="5"/>
        <v>138055.54</v>
      </c>
      <c r="V247" s="3" t="str">
        <f>VLOOKUP(N247,products!A:B,2,0)</f>
        <v>Personal Care</v>
      </c>
      <c r="W247" s="3" t="s">
        <v>28</v>
      </c>
      <c r="X247" s="3" t="s">
        <v>79</v>
      </c>
      <c r="Y247" s="14">
        <f t="shared" si="9"/>
        <v>0.3066193564</v>
      </c>
      <c r="Z247" s="3">
        <f t="shared" si="7"/>
        <v>26</v>
      </c>
      <c r="AA247" s="15">
        <f t="shared" si="8"/>
        <v>1</v>
      </c>
    </row>
    <row r="248" ht="15.75" customHeight="1">
      <c r="A248" s="3">
        <v>2.6342796E8</v>
      </c>
      <c r="B248" s="9">
        <v>40702.0</v>
      </c>
      <c r="C248" s="3">
        <f>IFERROR(__xludf.DUMMYFUNCTION("split(B248,""/"")"),8.0)</f>
        <v>8</v>
      </c>
      <c r="D248" s="10">
        <f>IFERROR(__xludf.DUMMYFUNCTION("""COMPUTED_VALUE"""),6.0)</f>
        <v>6</v>
      </c>
      <c r="E248" s="11">
        <f>IFERROR(__xludf.DUMMYFUNCTION("""COMPUTED_VALUE"""),2011.0)</f>
        <v>2011</v>
      </c>
      <c r="F248" s="12">
        <f t="shared" si="1"/>
        <v>40761</v>
      </c>
      <c r="G248" s="3" t="s">
        <v>926</v>
      </c>
      <c r="H248" s="3">
        <f>IFERROR(__xludf.DUMMYFUNCTION("split(G248,""/"")"),9.0)</f>
        <v>9</v>
      </c>
      <c r="I248" s="3">
        <f>IFERROR(__xludf.DUMMYFUNCTION("""COMPUTED_VALUE"""),20.0)</f>
        <v>20</v>
      </c>
      <c r="J248" s="3">
        <f>IFERROR(__xludf.DUMMYFUNCTION("""COMPUTED_VALUE"""),2011.0)</f>
        <v>2011</v>
      </c>
      <c r="K248" s="12">
        <f t="shared" si="2"/>
        <v>40806</v>
      </c>
      <c r="L248" s="3" t="s">
        <v>827</v>
      </c>
      <c r="M248" s="3" t="s">
        <v>78</v>
      </c>
      <c r="N248" s="3">
        <v>4594.0</v>
      </c>
      <c r="O248" s="3" t="s">
        <v>818</v>
      </c>
      <c r="P248" s="10">
        <v>3042.0</v>
      </c>
      <c r="Q248" s="13">
        <v>9.33</v>
      </c>
      <c r="R248" s="13">
        <v>6.92</v>
      </c>
      <c r="S248" s="13">
        <f t="shared" si="3"/>
        <v>28381.86</v>
      </c>
      <c r="T248" s="13">
        <f t="shared" si="4"/>
        <v>21050.64</v>
      </c>
      <c r="U248" s="13">
        <f t="shared" si="5"/>
        <v>7331.22</v>
      </c>
      <c r="V248" s="3" t="str">
        <f>VLOOKUP(N248,products!A:B,2,0)</f>
        <v>Fruits</v>
      </c>
      <c r="W248" s="3" t="s">
        <v>28</v>
      </c>
      <c r="X248" s="3" t="s">
        <v>79</v>
      </c>
      <c r="Y248" s="14">
        <f t="shared" si="9"/>
        <v>0.258306538</v>
      </c>
      <c r="Z248" s="3">
        <f t="shared" si="7"/>
        <v>45</v>
      </c>
      <c r="AA248" s="15">
        <f t="shared" si="8"/>
        <v>7</v>
      </c>
    </row>
    <row r="249" ht="15.75" customHeight="1">
      <c r="A249" s="3">
        <v>2.63647687E8</v>
      </c>
      <c r="B249" s="3" t="s">
        <v>1095</v>
      </c>
      <c r="C249" s="3">
        <f>IFERROR(__xludf.DUMMYFUNCTION("split(B249,""/"")"),3.0)</f>
        <v>3</v>
      </c>
      <c r="D249" s="10">
        <f>IFERROR(__xludf.DUMMYFUNCTION("""COMPUTED_VALUE"""),23.0)</f>
        <v>23</v>
      </c>
      <c r="E249" s="11">
        <f>IFERROR(__xludf.DUMMYFUNCTION("""COMPUTED_VALUE"""),2012.0)</f>
        <v>2012</v>
      </c>
      <c r="F249" s="12">
        <f t="shared" si="1"/>
        <v>40991</v>
      </c>
      <c r="G249" s="3" t="s">
        <v>1096</v>
      </c>
      <c r="H249" s="3">
        <f>IFERROR(__xludf.DUMMYFUNCTION("split(G249,""/"")"),3.0)</f>
        <v>3</v>
      </c>
      <c r="I249" s="3">
        <f>IFERROR(__xludf.DUMMYFUNCTION("""COMPUTED_VALUE"""),30.0)</f>
        <v>30</v>
      </c>
      <c r="J249" s="3">
        <f>IFERROR(__xludf.DUMMYFUNCTION("""COMPUTED_VALUE"""),2012.0)</f>
        <v>2012</v>
      </c>
      <c r="K249" s="12">
        <f t="shared" si="2"/>
        <v>40998</v>
      </c>
      <c r="L249" s="3" t="s">
        <v>814</v>
      </c>
      <c r="M249" s="3" t="s">
        <v>821</v>
      </c>
      <c r="N249" s="3">
        <v>2455.0</v>
      </c>
      <c r="O249" s="3" t="s">
        <v>815</v>
      </c>
      <c r="P249" s="10">
        <v>8064.0</v>
      </c>
      <c r="Q249" s="13">
        <v>109.28</v>
      </c>
      <c r="R249" s="13">
        <v>35.84</v>
      </c>
      <c r="S249" s="13">
        <f t="shared" si="3"/>
        <v>881233.92</v>
      </c>
      <c r="T249" s="13">
        <f t="shared" si="4"/>
        <v>289013.76</v>
      </c>
      <c r="U249" s="13">
        <f t="shared" si="5"/>
        <v>592220.16</v>
      </c>
      <c r="V249" s="3" t="str">
        <f>VLOOKUP(N249,products!A:B,2,0)</f>
        <v>Clothes</v>
      </c>
      <c r="W249" s="3" t="s">
        <v>821</v>
      </c>
      <c r="X249" s="3" t="s">
        <v>821</v>
      </c>
      <c r="Y249" s="14">
        <f t="shared" si="9"/>
        <v>0.6720351391</v>
      </c>
      <c r="Z249" s="3">
        <f t="shared" si="7"/>
        <v>7</v>
      </c>
      <c r="AA249" s="15">
        <f t="shared" si="8"/>
        <v>6</v>
      </c>
    </row>
    <row r="250" ht="15.75" customHeight="1">
      <c r="A250" s="3">
        <v>2.63852393E8</v>
      </c>
      <c r="B250" s="9">
        <v>41188.0</v>
      </c>
      <c r="C250" s="3">
        <f>IFERROR(__xludf.DUMMYFUNCTION("split(B250,""/"")"),6.0)</f>
        <v>6</v>
      </c>
      <c r="D250" s="10">
        <f>IFERROR(__xludf.DUMMYFUNCTION("""COMPUTED_VALUE"""),10.0)</f>
        <v>10</v>
      </c>
      <c r="E250" s="11">
        <f>IFERROR(__xludf.DUMMYFUNCTION("""COMPUTED_VALUE"""),2012.0)</f>
        <v>2012</v>
      </c>
      <c r="F250" s="12">
        <f t="shared" si="1"/>
        <v>41070</v>
      </c>
      <c r="G250" s="3" t="s">
        <v>1081</v>
      </c>
      <c r="H250" s="3">
        <f>IFERROR(__xludf.DUMMYFUNCTION("split(G250,""/"")"),6.0)</f>
        <v>6</v>
      </c>
      <c r="I250" s="3">
        <f>IFERROR(__xludf.DUMMYFUNCTION("""COMPUTED_VALUE"""),29.0)</f>
        <v>29</v>
      </c>
      <c r="J250" s="3">
        <f>IFERROR(__xludf.DUMMYFUNCTION("""COMPUTED_VALUE"""),2012.0)</f>
        <v>2012</v>
      </c>
      <c r="K250" s="12">
        <f t="shared" si="2"/>
        <v>41089</v>
      </c>
      <c r="L250" s="3" t="s">
        <v>825</v>
      </c>
      <c r="M250" s="3" t="s">
        <v>821</v>
      </c>
      <c r="N250" s="3">
        <v>7331.0</v>
      </c>
      <c r="O250" s="3" t="s">
        <v>818</v>
      </c>
      <c r="P250" s="10">
        <v>8641.0</v>
      </c>
      <c r="Q250" s="13">
        <v>255.28</v>
      </c>
      <c r="R250" s="13">
        <v>159.42</v>
      </c>
      <c r="S250" s="13">
        <f t="shared" si="3"/>
        <v>2205874.48</v>
      </c>
      <c r="T250" s="13">
        <f t="shared" si="4"/>
        <v>1377548.22</v>
      </c>
      <c r="U250" s="13">
        <f t="shared" si="5"/>
        <v>828326.26</v>
      </c>
      <c r="V250" s="3" t="str">
        <f>VLOOKUP(N250,products!A:B,2,0)</f>
        <v>Baby Food</v>
      </c>
      <c r="W250" s="3" t="s">
        <v>821</v>
      </c>
      <c r="X250" s="3" t="s">
        <v>821</v>
      </c>
      <c r="Y250" s="14">
        <f t="shared" si="9"/>
        <v>0.3755092448</v>
      </c>
      <c r="Z250" s="3">
        <f t="shared" si="7"/>
        <v>19</v>
      </c>
      <c r="AA250" s="15">
        <f t="shared" si="8"/>
        <v>1</v>
      </c>
    </row>
    <row r="251" ht="15.75" customHeight="1">
      <c r="A251" s="3">
        <v>2.63882005E8</v>
      </c>
      <c r="B251" s="9">
        <v>40604.0</v>
      </c>
      <c r="C251" s="3">
        <f>IFERROR(__xludf.DUMMYFUNCTION("split(B251,""/"")"),2.0)</f>
        <v>2</v>
      </c>
      <c r="D251" s="10">
        <f>IFERROR(__xludf.DUMMYFUNCTION("""COMPUTED_VALUE"""),3.0)</f>
        <v>3</v>
      </c>
      <c r="E251" s="11">
        <f>IFERROR(__xludf.DUMMYFUNCTION("""COMPUTED_VALUE"""),2011.0)</f>
        <v>2011</v>
      </c>
      <c r="F251" s="12">
        <f t="shared" si="1"/>
        <v>40577</v>
      </c>
      <c r="G251" s="3" t="s">
        <v>1097</v>
      </c>
      <c r="H251" s="3">
        <f>IFERROR(__xludf.DUMMYFUNCTION("split(G251,""/"")"),2.0)</f>
        <v>2</v>
      </c>
      <c r="I251" s="3">
        <f>IFERROR(__xludf.DUMMYFUNCTION("""COMPUTED_VALUE"""),27.0)</f>
        <v>27</v>
      </c>
      <c r="J251" s="3">
        <f>IFERROR(__xludf.DUMMYFUNCTION("""COMPUTED_VALUE"""),2011.0)</f>
        <v>2011</v>
      </c>
      <c r="K251" s="12">
        <f t="shared" si="2"/>
        <v>40601</v>
      </c>
      <c r="L251" s="3" t="s">
        <v>814</v>
      </c>
      <c r="M251" s="3" t="s">
        <v>653</v>
      </c>
      <c r="N251" s="3">
        <v>1270.0</v>
      </c>
      <c r="O251" s="3" t="s">
        <v>815</v>
      </c>
      <c r="P251" s="10">
        <v>7404.0</v>
      </c>
      <c r="Q251" s="13">
        <v>47.45</v>
      </c>
      <c r="R251" s="13">
        <v>31.79</v>
      </c>
      <c r="S251" s="13">
        <f t="shared" si="3"/>
        <v>351319.8</v>
      </c>
      <c r="T251" s="13">
        <f t="shared" si="4"/>
        <v>235373.16</v>
      </c>
      <c r="U251" s="13">
        <f t="shared" si="5"/>
        <v>115946.64</v>
      </c>
      <c r="V251" s="3" t="str">
        <f>VLOOKUP(N251,products!A:B,2,0)</f>
        <v>Beverages</v>
      </c>
      <c r="W251" s="3" t="s">
        <v>28</v>
      </c>
      <c r="X251" s="3" t="s">
        <v>33</v>
      </c>
      <c r="Y251" s="14">
        <f t="shared" si="9"/>
        <v>0.3300316122</v>
      </c>
      <c r="Z251" s="3">
        <f t="shared" si="7"/>
        <v>24</v>
      </c>
      <c r="AA251" s="15">
        <f t="shared" si="8"/>
        <v>5</v>
      </c>
    </row>
    <row r="252" ht="15.75" customHeight="1">
      <c r="A252" s="3">
        <v>2.63977277E8</v>
      </c>
      <c r="B252" s="3" t="s">
        <v>849</v>
      </c>
      <c r="C252" s="3">
        <f>IFERROR(__xludf.DUMMYFUNCTION("split(B252,""/"")"),12.0)</f>
        <v>12</v>
      </c>
      <c r="D252" s="10">
        <f>IFERROR(__xludf.DUMMYFUNCTION("""COMPUTED_VALUE"""),15.0)</f>
        <v>15</v>
      </c>
      <c r="E252" s="11">
        <f>IFERROR(__xludf.DUMMYFUNCTION("""COMPUTED_VALUE"""),2016.0)</f>
        <v>2016</v>
      </c>
      <c r="F252" s="12">
        <f t="shared" si="1"/>
        <v>42719</v>
      </c>
      <c r="G252" s="9">
        <v>43009.0</v>
      </c>
      <c r="H252" s="3">
        <f>IFERROR(__xludf.DUMMYFUNCTION("split(G252,""/"")"),1.0)</f>
        <v>1</v>
      </c>
      <c r="I252" s="3">
        <f>IFERROR(__xludf.DUMMYFUNCTION("""COMPUTED_VALUE"""),10.0)</f>
        <v>10</v>
      </c>
      <c r="J252" s="3">
        <f>IFERROR(__xludf.DUMMYFUNCTION("""COMPUTED_VALUE"""),2017.0)</f>
        <v>2017</v>
      </c>
      <c r="K252" s="12">
        <f t="shared" si="2"/>
        <v>42745</v>
      </c>
      <c r="L252" s="3" t="s">
        <v>827</v>
      </c>
      <c r="M252" s="3" t="s">
        <v>364</v>
      </c>
      <c r="N252" s="3">
        <v>8681.0</v>
      </c>
      <c r="O252" s="3" t="s">
        <v>818</v>
      </c>
      <c r="P252" s="10">
        <v>5597.0</v>
      </c>
      <c r="Q252" s="13">
        <v>651.21</v>
      </c>
      <c r="R252" s="13">
        <v>524.96</v>
      </c>
      <c r="S252" s="13">
        <f t="shared" si="3"/>
        <v>3644822.37</v>
      </c>
      <c r="T252" s="13">
        <f t="shared" si="4"/>
        <v>2938201.12</v>
      </c>
      <c r="U252" s="13">
        <f t="shared" si="5"/>
        <v>706621.25</v>
      </c>
      <c r="V252" s="3" t="str">
        <f>VLOOKUP(N252,products!A:B,2,0)</f>
        <v>Office Supplies</v>
      </c>
      <c r="W252" s="3" t="s">
        <v>28</v>
      </c>
      <c r="X252" s="3" t="s">
        <v>29</v>
      </c>
      <c r="Y252" s="14">
        <f t="shared" si="9"/>
        <v>0.193869873</v>
      </c>
      <c r="Z252" s="3">
        <f t="shared" si="7"/>
        <v>26</v>
      </c>
      <c r="AA252" s="15">
        <f t="shared" si="8"/>
        <v>5</v>
      </c>
    </row>
    <row r="253" ht="15.75" customHeight="1">
      <c r="A253" s="3">
        <v>2.64163959E8</v>
      </c>
      <c r="B253" s="9">
        <v>42499.0</v>
      </c>
      <c r="C253" s="3">
        <f>IFERROR(__xludf.DUMMYFUNCTION("split(B253,""/"")"),9.0)</f>
        <v>9</v>
      </c>
      <c r="D253" s="10">
        <f>IFERROR(__xludf.DUMMYFUNCTION("""COMPUTED_VALUE"""),5.0)</f>
        <v>5</v>
      </c>
      <c r="E253" s="11">
        <f>IFERROR(__xludf.DUMMYFUNCTION("""COMPUTED_VALUE"""),2016.0)</f>
        <v>2016</v>
      </c>
      <c r="F253" s="12">
        <f t="shared" si="1"/>
        <v>42618</v>
      </c>
      <c r="G253" s="3" t="s">
        <v>1098</v>
      </c>
      <c r="H253" s="3">
        <f>IFERROR(__xludf.DUMMYFUNCTION("split(G253,""/"")"),9.0)</f>
        <v>9</v>
      </c>
      <c r="I253" s="3">
        <f>IFERROR(__xludf.DUMMYFUNCTION("""COMPUTED_VALUE"""),22.0)</f>
        <v>22</v>
      </c>
      <c r="J253" s="3">
        <f>IFERROR(__xludf.DUMMYFUNCTION("""COMPUTED_VALUE"""),2016.0)</f>
        <v>2016</v>
      </c>
      <c r="K253" s="12">
        <f t="shared" si="2"/>
        <v>42635</v>
      </c>
      <c r="L253" s="3" t="s">
        <v>817</v>
      </c>
      <c r="M253" s="3" t="s">
        <v>428</v>
      </c>
      <c r="N253" s="3">
        <v>1270.0</v>
      </c>
      <c r="O253" s="3" t="s">
        <v>815</v>
      </c>
      <c r="P253" s="10">
        <v>840.0</v>
      </c>
      <c r="Q253" s="13">
        <v>47.45</v>
      </c>
      <c r="R253" s="13">
        <v>31.79</v>
      </c>
      <c r="S253" s="13">
        <f t="shared" si="3"/>
        <v>39858</v>
      </c>
      <c r="T253" s="13">
        <f t="shared" si="4"/>
        <v>26703.6</v>
      </c>
      <c r="U253" s="13">
        <f t="shared" si="5"/>
        <v>13154.4</v>
      </c>
      <c r="V253" s="3" t="str">
        <f>VLOOKUP(N253,products!A:B,2,0)</f>
        <v>Beverages</v>
      </c>
      <c r="W253" s="3" t="s">
        <v>28</v>
      </c>
      <c r="X253" s="3" t="s">
        <v>79</v>
      </c>
      <c r="Y253" s="14">
        <f t="shared" si="9"/>
        <v>0.3300316122</v>
      </c>
      <c r="Z253" s="3">
        <f t="shared" si="7"/>
        <v>17</v>
      </c>
      <c r="AA253" s="15">
        <f t="shared" si="8"/>
        <v>2</v>
      </c>
    </row>
    <row r="254" ht="15.75" customHeight="1">
      <c r="A254" s="3">
        <v>2.64526593E8</v>
      </c>
      <c r="B254" s="3" t="s">
        <v>1099</v>
      </c>
      <c r="C254" s="3">
        <f>IFERROR(__xludf.DUMMYFUNCTION("split(B254,""/"")"),9.0)</f>
        <v>9</v>
      </c>
      <c r="D254" s="10">
        <f>IFERROR(__xludf.DUMMYFUNCTION("""COMPUTED_VALUE"""),30.0)</f>
        <v>30</v>
      </c>
      <c r="E254" s="11">
        <f>IFERROR(__xludf.DUMMYFUNCTION("""COMPUTED_VALUE"""),2014.0)</f>
        <v>2014</v>
      </c>
      <c r="F254" s="12">
        <f t="shared" si="1"/>
        <v>41912</v>
      </c>
      <c r="G254" s="9">
        <v>41830.0</v>
      </c>
      <c r="H254" s="3">
        <f>IFERROR(__xludf.DUMMYFUNCTION("split(G254,""/"")"),10.0)</f>
        <v>10</v>
      </c>
      <c r="I254" s="3">
        <f>IFERROR(__xludf.DUMMYFUNCTION("""COMPUTED_VALUE"""),7.0)</f>
        <v>7</v>
      </c>
      <c r="J254" s="3">
        <f>IFERROR(__xludf.DUMMYFUNCTION("""COMPUTED_VALUE"""),2014.0)</f>
        <v>2014</v>
      </c>
      <c r="K254" s="12">
        <f t="shared" si="2"/>
        <v>41919</v>
      </c>
      <c r="L254" s="3" t="s">
        <v>827</v>
      </c>
      <c r="M254" s="3" t="s">
        <v>590</v>
      </c>
      <c r="N254" s="3">
        <v>3127.0</v>
      </c>
      <c r="O254" s="3" t="s">
        <v>818</v>
      </c>
      <c r="P254" s="10">
        <v>8152.0</v>
      </c>
      <c r="Q254" s="13">
        <v>81.73</v>
      </c>
      <c r="R254" s="13">
        <v>56.67</v>
      </c>
      <c r="S254" s="13">
        <f t="shared" si="3"/>
        <v>666262.96</v>
      </c>
      <c r="T254" s="13">
        <f t="shared" si="4"/>
        <v>461973.84</v>
      </c>
      <c r="U254" s="13">
        <f t="shared" si="5"/>
        <v>204289.12</v>
      </c>
      <c r="V254" s="3" t="str">
        <f>VLOOKUP(N254,products!A:B,2,0)</f>
        <v>Personal Care</v>
      </c>
      <c r="W254" s="3" t="s">
        <v>28</v>
      </c>
      <c r="X254" s="3" t="s">
        <v>98</v>
      </c>
      <c r="Y254" s="14">
        <f t="shared" si="9"/>
        <v>0.3066193564</v>
      </c>
      <c r="Z254" s="3">
        <f t="shared" si="7"/>
        <v>7</v>
      </c>
      <c r="AA254" s="15">
        <f t="shared" si="8"/>
        <v>3</v>
      </c>
    </row>
    <row r="255" ht="15.75" customHeight="1">
      <c r="A255" s="3">
        <v>2.64856183E8</v>
      </c>
      <c r="B255" s="3" t="s">
        <v>914</v>
      </c>
      <c r="C255" s="3">
        <f>IFERROR(__xludf.DUMMYFUNCTION("split(B255,""/"")"),11.0)</f>
        <v>11</v>
      </c>
      <c r="D255" s="10">
        <f>IFERROR(__xludf.DUMMYFUNCTION("""COMPUTED_VALUE"""),27.0)</f>
        <v>27</v>
      </c>
      <c r="E255" s="11">
        <f>IFERROR(__xludf.DUMMYFUNCTION("""COMPUTED_VALUE"""),2011.0)</f>
        <v>2011</v>
      </c>
      <c r="F255" s="12">
        <f t="shared" si="1"/>
        <v>40874</v>
      </c>
      <c r="G255" s="3" t="s">
        <v>1100</v>
      </c>
      <c r="H255" s="3">
        <f>IFERROR(__xludf.DUMMYFUNCTION("split(G255,""/"")"),12.0)</f>
        <v>12</v>
      </c>
      <c r="I255" s="3">
        <f>IFERROR(__xludf.DUMMYFUNCTION("""COMPUTED_VALUE"""),23.0)</f>
        <v>23</v>
      </c>
      <c r="J255" s="3">
        <f>IFERROR(__xludf.DUMMYFUNCTION("""COMPUTED_VALUE"""),2011.0)</f>
        <v>2011</v>
      </c>
      <c r="K255" s="12">
        <f t="shared" si="2"/>
        <v>40900</v>
      </c>
      <c r="L255" s="3" t="s">
        <v>825</v>
      </c>
      <c r="M255" s="3" t="s">
        <v>215</v>
      </c>
      <c r="N255" s="3">
        <v>4594.0</v>
      </c>
      <c r="O255" s="3" t="s">
        <v>815</v>
      </c>
      <c r="P255" s="10">
        <v>5685.0</v>
      </c>
      <c r="Q255" s="13">
        <v>9.33</v>
      </c>
      <c r="R255" s="13">
        <v>6.92</v>
      </c>
      <c r="S255" s="13">
        <f t="shared" si="3"/>
        <v>53041.05</v>
      </c>
      <c r="T255" s="13">
        <f t="shared" si="4"/>
        <v>39340.2</v>
      </c>
      <c r="U255" s="13">
        <f t="shared" si="5"/>
        <v>13700.85</v>
      </c>
      <c r="V255" s="3" t="str">
        <f>VLOOKUP(N255,products!A:B,2,0)</f>
        <v>Fruits</v>
      </c>
      <c r="W255" s="3" t="s">
        <v>23</v>
      </c>
      <c r="X255" s="3" t="s">
        <v>68</v>
      </c>
      <c r="Y255" s="14">
        <f t="shared" si="9"/>
        <v>0.258306538</v>
      </c>
      <c r="Z255" s="3">
        <f t="shared" si="7"/>
        <v>26</v>
      </c>
      <c r="AA255" s="15">
        <f t="shared" si="8"/>
        <v>1</v>
      </c>
    </row>
    <row r="256" ht="15.75" customHeight="1">
      <c r="A256" s="3">
        <v>2.6492871E8</v>
      </c>
      <c r="B256" s="3" t="s">
        <v>1101</v>
      </c>
      <c r="C256" s="3">
        <f>IFERROR(__xludf.DUMMYFUNCTION("split(B256,""/"")"),1.0)</f>
        <v>1</v>
      </c>
      <c r="D256" s="10">
        <f>IFERROR(__xludf.DUMMYFUNCTION("""COMPUTED_VALUE"""),24.0)</f>
        <v>24</v>
      </c>
      <c r="E256" s="11">
        <f>IFERROR(__xludf.DUMMYFUNCTION("""COMPUTED_VALUE"""),2016.0)</f>
        <v>2016</v>
      </c>
      <c r="F256" s="12">
        <f t="shared" si="1"/>
        <v>42393</v>
      </c>
      <c r="G256" s="3" t="s">
        <v>894</v>
      </c>
      <c r="H256" s="3">
        <f>IFERROR(__xludf.DUMMYFUNCTION("split(G256,""/"")"),1.0)</f>
        <v>1</v>
      </c>
      <c r="I256" s="3">
        <f>IFERROR(__xludf.DUMMYFUNCTION("""COMPUTED_VALUE"""),27.0)</f>
        <v>27</v>
      </c>
      <c r="J256" s="3">
        <f>IFERROR(__xludf.DUMMYFUNCTION("""COMPUTED_VALUE"""),2016.0)</f>
        <v>2016</v>
      </c>
      <c r="K256" s="12">
        <f t="shared" si="2"/>
        <v>42396</v>
      </c>
      <c r="L256" s="3" t="s">
        <v>825</v>
      </c>
      <c r="M256" s="3" t="s">
        <v>248</v>
      </c>
      <c r="N256" s="3">
        <v>2455.0</v>
      </c>
      <c r="O256" s="3" t="s">
        <v>818</v>
      </c>
      <c r="P256" s="10">
        <v>7147.0</v>
      </c>
      <c r="Q256" s="13">
        <v>109.28</v>
      </c>
      <c r="R256" s="13">
        <v>35.84</v>
      </c>
      <c r="S256" s="13">
        <f t="shared" si="3"/>
        <v>781024.16</v>
      </c>
      <c r="T256" s="13">
        <f t="shared" si="4"/>
        <v>256148.48</v>
      </c>
      <c r="U256" s="13">
        <f t="shared" si="5"/>
        <v>524875.68</v>
      </c>
      <c r="V256" s="3" t="str">
        <f>VLOOKUP(N256,products!A:B,2,0)</f>
        <v>Clothes</v>
      </c>
      <c r="W256" s="3" t="s">
        <v>28</v>
      </c>
      <c r="X256" s="3" t="s">
        <v>29</v>
      </c>
      <c r="Y256" s="14">
        <f t="shared" si="9"/>
        <v>0.6720351391</v>
      </c>
      <c r="Z256" s="3">
        <f t="shared" si="7"/>
        <v>3</v>
      </c>
      <c r="AA256" s="15">
        <f t="shared" si="8"/>
        <v>1</v>
      </c>
    </row>
    <row r="257" ht="15.75" customHeight="1">
      <c r="A257" s="3">
        <v>2.64959609E8</v>
      </c>
      <c r="B257" s="9">
        <v>41283.0</v>
      </c>
      <c r="C257" s="3">
        <f>IFERROR(__xludf.DUMMYFUNCTION("split(B257,""/"")"),9.0)</f>
        <v>9</v>
      </c>
      <c r="D257" s="10">
        <f>IFERROR(__xludf.DUMMYFUNCTION("""COMPUTED_VALUE"""),1.0)</f>
        <v>1</v>
      </c>
      <c r="E257" s="11">
        <f>IFERROR(__xludf.DUMMYFUNCTION("""COMPUTED_VALUE"""),2013.0)</f>
        <v>2013</v>
      </c>
      <c r="F257" s="12">
        <f t="shared" si="1"/>
        <v>41518</v>
      </c>
      <c r="G257" s="3" t="s">
        <v>1102</v>
      </c>
      <c r="H257" s="3">
        <f>IFERROR(__xludf.DUMMYFUNCTION("split(G257,""/"")"),10.0)</f>
        <v>10</v>
      </c>
      <c r="I257" s="3">
        <f>IFERROR(__xludf.DUMMYFUNCTION("""COMPUTED_VALUE"""),18.0)</f>
        <v>18</v>
      </c>
      <c r="J257" s="3">
        <f>IFERROR(__xludf.DUMMYFUNCTION("""COMPUTED_VALUE"""),2013.0)</f>
        <v>2013</v>
      </c>
      <c r="K257" s="12">
        <f t="shared" si="2"/>
        <v>41565</v>
      </c>
      <c r="L257" s="3" t="s">
        <v>817</v>
      </c>
      <c r="M257" s="3" t="s">
        <v>288</v>
      </c>
      <c r="N257" s="3">
        <v>8969.0</v>
      </c>
      <c r="O257" s="3" t="s">
        <v>815</v>
      </c>
      <c r="P257" s="10">
        <v>6291.0</v>
      </c>
      <c r="Q257" s="13">
        <v>152.58</v>
      </c>
      <c r="R257" s="13">
        <v>97.44</v>
      </c>
      <c r="S257" s="13">
        <f t="shared" si="3"/>
        <v>959880.78</v>
      </c>
      <c r="T257" s="13">
        <f t="shared" si="4"/>
        <v>612995.04</v>
      </c>
      <c r="U257" s="13">
        <f t="shared" si="5"/>
        <v>346885.74</v>
      </c>
      <c r="V257" s="3" t="str">
        <f>VLOOKUP(N257,products!A:B,2,0)</f>
        <v>Snacks</v>
      </c>
      <c r="W257" s="3" t="s">
        <v>23</v>
      </c>
      <c r="X257" s="3" t="s">
        <v>68</v>
      </c>
      <c r="Y257" s="14">
        <f t="shared" si="9"/>
        <v>0.3613841919</v>
      </c>
      <c r="Z257" s="3">
        <f t="shared" si="7"/>
        <v>47</v>
      </c>
      <c r="AA257" s="15">
        <f t="shared" si="8"/>
        <v>1</v>
      </c>
    </row>
    <row r="258" ht="15.75" customHeight="1">
      <c r="A258" s="3">
        <v>2.65191352E8</v>
      </c>
      <c r="B258" s="3" t="s">
        <v>1103</v>
      </c>
      <c r="C258" s="3">
        <f>IFERROR(__xludf.DUMMYFUNCTION("split(B258,""/"")"),8.0)</f>
        <v>8</v>
      </c>
      <c r="D258" s="10">
        <f>IFERROR(__xludf.DUMMYFUNCTION("""COMPUTED_VALUE"""),18.0)</f>
        <v>18</v>
      </c>
      <c r="E258" s="11">
        <f>IFERROR(__xludf.DUMMYFUNCTION("""COMPUTED_VALUE"""),2014.0)</f>
        <v>2014</v>
      </c>
      <c r="F258" s="12">
        <f t="shared" si="1"/>
        <v>41869</v>
      </c>
      <c r="G258" s="3" t="s">
        <v>1104</v>
      </c>
      <c r="H258" s="3">
        <f>IFERROR(__xludf.DUMMYFUNCTION("split(G258,""/"")"),9.0)</f>
        <v>9</v>
      </c>
      <c r="I258" s="3">
        <f>IFERROR(__xludf.DUMMYFUNCTION("""COMPUTED_VALUE"""),26.0)</f>
        <v>26</v>
      </c>
      <c r="J258" s="3">
        <f>IFERROR(__xludf.DUMMYFUNCTION("""COMPUTED_VALUE"""),2014.0)</f>
        <v>2014</v>
      </c>
      <c r="K258" s="12">
        <f t="shared" si="2"/>
        <v>41908</v>
      </c>
      <c r="L258" s="3" t="s">
        <v>814</v>
      </c>
      <c r="M258" s="3" t="s">
        <v>635</v>
      </c>
      <c r="N258" s="3">
        <v>8969.0</v>
      </c>
      <c r="O258" s="3" t="s">
        <v>818</v>
      </c>
      <c r="P258" s="10">
        <v>4869.0</v>
      </c>
      <c r="Q258" s="13">
        <v>152.58</v>
      </c>
      <c r="R258" s="13">
        <v>97.44</v>
      </c>
      <c r="S258" s="13">
        <f t="shared" si="3"/>
        <v>742912.02</v>
      </c>
      <c r="T258" s="13">
        <f t="shared" si="4"/>
        <v>474435.36</v>
      </c>
      <c r="U258" s="13">
        <f t="shared" si="5"/>
        <v>268476.66</v>
      </c>
      <c r="V258" s="3" t="str">
        <f>VLOOKUP(N258,products!A:B,2,0)</f>
        <v>Snacks</v>
      </c>
      <c r="W258" s="3" t="s">
        <v>28</v>
      </c>
      <c r="X258" s="3" t="s">
        <v>33</v>
      </c>
      <c r="Y258" s="14">
        <f t="shared" si="9"/>
        <v>0.3613841919</v>
      </c>
      <c r="Z258" s="3">
        <f t="shared" si="7"/>
        <v>39</v>
      </c>
      <c r="AA258" s="15">
        <f t="shared" si="8"/>
        <v>2</v>
      </c>
    </row>
    <row r="259" ht="15.75" customHeight="1">
      <c r="A259" s="3">
        <v>2.65914475E8</v>
      </c>
      <c r="B259" s="9">
        <v>42339.0</v>
      </c>
      <c r="C259" s="3">
        <f>IFERROR(__xludf.DUMMYFUNCTION("split(B259,""/"")"),1.0)</f>
        <v>1</v>
      </c>
      <c r="D259" s="10">
        <f>IFERROR(__xludf.DUMMYFUNCTION("""COMPUTED_VALUE"""),12.0)</f>
        <v>12</v>
      </c>
      <c r="E259" s="11">
        <f>IFERROR(__xludf.DUMMYFUNCTION("""COMPUTED_VALUE"""),2015.0)</f>
        <v>2015</v>
      </c>
      <c r="F259" s="12">
        <f t="shared" si="1"/>
        <v>42016</v>
      </c>
      <c r="G259" s="3" t="s">
        <v>1105</v>
      </c>
      <c r="H259" s="3">
        <f>IFERROR(__xludf.DUMMYFUNCTION("split(G259,""/"")"),2.0)</f>
        <v>2</v>
      </c>
      <c r="I259" s="3">
        <f>IFERROR(__xludf.DUMMYFUNCTION("""COMPUTED_VALUE"""),21.0)</f>
        <v>21</v>
      </c>
      <c r="J259" s="3">
        <f>IFERROR(__xludf.DUMMYFUNCTION("""COMPUTED_VALUE"""),2015.0)</f>
        <v>2015</v>
      </c>
      <c r="K259" s="12">
        <f t="shared" si="2"/>
        <v>42056</v>
      </c>
      <c r="L259" s="3" t="s">
        <v>814</v>
      </c>
      <c r="M259" s="3" t="s">
        <v>455</v>
      </c>
      <c r="N259" s="3">
        <v>8293.0</v>
      </c>
      <c r="O259" s="3" t="s">
        <v>815</v>
      </c>
      <c r="P259" s="10">
        <v>8857.0</v>
      </c>
      <c r="Q259" s="13">
        <v>437.2</v>
      </c>
      <c r="R259" s="13">
        <v>263.33</v>
      </c>
      <c r="S259" s="13">
        <f t="shared" si="3"/>
        <v>3872280.4</v>
      </c>
      <c r="T259" s="13">
        <f t="shared" si="4"/>
        <v>2332313.81</v>
      </c>
      <c r="U259" s="13">
        <f t="shared" si="5"/>
        <v>1539966.59</v>
      </c>
      <c r="V259" s="3" t="str">
        <f>VLOOKUP(N259,products!A:B,2,0)</f>
        <v>Cosmetics</v>
      </c>
      <c r="W259" s="3" t="s">
        <v>28</v>
      </c>
      <c r="X259" s="3" t="s">
        <v>33</v>
      </c>
      <c r="Y259" s="14">
        <f t="shared" si="9"/>
        <v>0.3976898445</v>
      </c>
      <c r="Z259" s="3">
        <f t="shared" si="7"/>
        <v>40</v>
      </c>
      <c r="AA259" s="15">
        <f t="shared" si="8"/>
        <v>2</v>
      </c>
    </row>
    <row r="260" ht="15.75" customHeight="1">
      <c r="A260" s="3">
        <v>2.66614854E8</v>
      </c>
      <c r="B260" s="3" t="s">
        <v>1106</v>
      </c>
      <c r="C260" s="3">
        <f>IFERROR(__xludf.DUMMYFUNCTION("split(B260,""/"")"),9.0)</f>
        <v>9</v>
      </c>
      <c r="D260" s="10">
        <f>IFERROR(__xludf.DUMMYFUNCTION("""COMPUTED_VALUE"""),23.0)</f>
        <v>23</v>
      </c>
      <c r="E260" s="11">
        <f>IFERROR(__xludf.DUMMYFUNCTION("""COMPUTED_VALUE"""),2013.0)</f>
        <v>2013</v>
      </c>
      <c r="F260" s="12">
        <f t="shared" si="1"/>
        <v>41540</v>
      </c>
      <c r="G260" s="9">
        <v>41557.0</v>
      </c>
      <c r="H260" s="3">
        <f>IFERROR(__xludf.DUMMYFUNCTION("split(G260,""/"")"),10.0)</f>
        <v>10</v>
      </c>
      <c r="I260" s="3">
        <f>IFERROR(__xludf.DUMMYFUNCTION("""COMPUTED_VALUE"""),10.0)</f>
        <v>10</v>
      </c>
      <c r="J260" s="3">
        <f>IFERROR(__xludf.DUMMYFUNCTION("""COMPUTED_VALUE"""),2013.0)</f>
        <v>2013</v>
      </c>
      <c r="K260" s="12">
        <f t="shared" si="2"/>
        <v>41557</v>
      </c>
      <c r="L260" s="3" t="s">
        <v>814</v>
      </c>
      <c r="M260" s="3" t="s">
        <v>635</v>
      </c>
      <c r="N260" s="3">
        <v>7940.0</v>
      </c>
      <c r="O260" s="3" t="s">
        <v>815</v>
      </c>
      <c r="P260" s="10">
        <v>6115.0</v>
      </c>
      <c r="Q260" s="13">
        <v>668.27</v>
      </c>
      <c r="R260" s="13">
        <v>502.54</v>
      </c>
      <c r="S260" s="13">
        <f t="shared" si="3"/>
        <v>4086471.05</v>
      </c>
      <c r="T260" s="13">
        <f t="shared" si="4"/>
        <v>3073032.1</v>
      </c>
      <c r="U260" s="13">
        <f t="shared" si="5"/>
        <v>1013438.95</v>
      </c>
      <c r="V260" s="3" t="str">
        <f>VLOOKUP(N260,products!A:B,2,0)</f>
        <v>Household</v>
      </c>
      <c r="W260" s="3" t="s">
        <v>28</v>
      </c>
      <c r="X260" s="3" t="s">
        <v>33</v>
      </c>
      <c r="Y260" s="14">
        <f t="shared" si="9"/>
        <v>0.2479985635</v>
      </c>
      <c r="Z260" s="3">
        <f t="shared" si="7"/>
        <v>17</v>
      </c>
      <c r="AA260" s="15">
        <f t="shared" si="8"/>
        <v>2</v>
      </c>
    </row>
    <row r="261" ht="15.75" customHeight="1">
      <c r="A261" s="3">
        <v>2.66638886E8</v>
      </c>
      <c r="B261" s="3" t="s">
        <v>1107</v>
      </c>
      <c r="C261" s="3">
        <f>IFERROR(__xludf.DUMMYFUNCTION("split(B261,""/"")"),5.0)</f>
        <v>5</v>
      </c>
      <c r="D261" s="10">
        <f>IFERROR(__xludf.DUMMYFUNCTION("""COMPUTED_VALUE"""),22.0)</f>
        <v>22</v>
      </c>
      <c r="E261" s="11">
        <f>IFERROR(__xludf.DUMMYFUNCTION("""COMPUTED_VALUE"""),2014.0)</f>
        <v>2014</v>
      </c>
      <c r="F261" s="12">
        <f t="shared" si="1"/>
        <v>41781</v>
      </c>
      <c r="G261" s="3" t="s">
        <v>1108</v>
      </c>
      <c r="H261" s="3">
        <f>IFERROR(__xludf.DUMMYFUNCTION("split(G261,""/"")"),6.0)</f>
        <v>6</v>
      </c>
      <c r="I261" s="3">
        <f>IFERROR(__xludf.DUMMYFUNCTION("""COMPUTED_VALUE"""),19.0)</f>
        <v>19</v>
      </c>
      <c r="J261" s="3">
        <f>IFERROR(__xludf.DUMMYFUNCTION("""COMPUTED_VALUE"""),2014.0)</f>
        <v>2014</v>
      </c>
      <c r="K261" s="12">
        <f t="shared" si="2"/>
        <v>41809</v>
      </c>
      <c r="L261" s="3" t="s">
        <v>817</v>
      </c>
      <c r="M261" s="3" t="s">
        <v>46</v>
      </c>
      <c r="N261" s="3">
        <v>7940.0</v>
      </c>
      <c r="O261" s="3" t="s">
        <v>815</v>
      </c>
      <c r="P261" s="10">
        <v>3227.0</v>
      </c>
      <c r="Q261" s="13">
        <v>668.27</v>
      </c>
      <c r="R261" s="13">
        <v>502.54</v>
      </c>
      <c r="S261" s="13">
        <f t="shared" si="3"/>
        <v>2156507.29</v>
      </c>
      <c r="T261" s="13">
        <f t="shared" si="4"/>
        <v>1621696.58</v>
      </c>
      <c r="U261" s="13">
        <f t="shared" si="5"/>
        <v>534810.71</v>
      </c>
      <c r="V261" s="3" t="str">
        <f>VLOOKUP(N261,products!A:B,2,0)</f>
        <v>Household</v>
      </c>
      <c r="W261" s="3" t="s">
        <v>28</v>
      </c>
      <c r="X261" s="3" t="s">
        <v>33</v>
      </c>
      <c r="Y261" s="14">
        <f t="shared" si="9"/>
        <v>0.2479985635</v>
      </c>
      <c r="Z261" s="3">
        <f t="shared" si="7"/>
        <v>28</v>
      </c>
      <c r="AA261" s="15">
        <f t="shared" si="8"/>
        <v>5</v>
      </c>
    </row>
    <row r="262" ht="15.75" customHeight="1">
      <c r="A262" s="3">
        <v>2.68373954E8</v>
      </c>
      <c r="B262" s="3" t="s">
        <v>1109</v>
      </c>
      <c r="C262" s="3">
        <f>IFERROR(__xludf.DUMMYFUNCTION("split(B262,""/"")"),2.0)</f>
        <v>2</v>
      </c>
      <c r="D262" s="10">
        <f>IFERROR(__xludf.DUMMYFUNCTION("""COMPUTED_VALUE"""),25.0)</f>
        <v>25</v>
      </c>
      <c r="E262" s="11">
        <f>IFERROR(__xludf.DUMMYFUNCTION("""COMPUTED_VALUE"""),2010.0)</f>
        <v>2010</v>
      </c>
      <c r="F262" s="12">
        <f t="shared" si="1"/>
        <v>40234</v>
      </c>
      <c r="G262" s="3" t="s">
        <v>1110</v>
      </c>
      <c r="H262" s="3">
        <f>IFERROR(__xludf.DUMMYFUNCTION("split(G262,""/"")"),2.0)</f>
        <v>2</v>
      </c>
      <c r="I262" s="3">
        <f>IFERROR(__xludf.DUMMYFUNCTION("""COMPUTED_VALUE"""),28.0)</f>
        <v>28</v>
      </c>
      <c r="J262" s="3">
        <f>IFERROR(__xludf.DUMMYFUNCTION("""COMPUTED_VALUE"""),2010.0)</f>
        <v>2010</v>
      </c>
      <c r="K262" s="12">
        <f t="shared" si="2"/>
        <v>40237</v>
      </c>
      <c r="L262" s="3" t="s">
        <v>827</v>
      </c>
      <c r="M262" s="3" t="s">
        <v>78</v>
      </c>
      <c r="N262" s="3">
        <v>8681.0</v>
      </c>
      <c r="O262" s="3" t="s">
        <v>815</v>
      </c>
      <c r="P262" s="10">
        <v>6672.0</v>
      </c>
      <c r="Q262" s="13">
        <v>651.21</v>
      </c>
      <c r="R262" s="13">
        <v>524.96</v>
      </c>
      <c r="S262" s="13">
        <f t="shared" si="3"/>
        <v>4344873.12</v>
      </c>
      <c r="T262" s="13">
        <f t="shared" si="4"/>
        <v>3502533.12</v>
      </c>
      <c r="U262" s="13">
        <f t="shared" si="5"/>
        <v>842340</v>
      </c>
      <c r="V262" s="3" t="str">
        <f>VLOOKUP(N262,products!A:B,2,0)</f>
        <v>Office Supplies</v>
      </c>
      <c r="W262" s="3" t="s">
        <v>28</v>
      </c>
      <c r="X262" s="3" t="s">
        <v>79</v>
      </c>
      <c r="Y262" s="14">
        <f t="shared" si="9"/>
        <v>0.193869873</v>
      </c>
      <c r="Z262" s="3">
        <f t="shared" si="7"/>
        <v>3</v>
      </c>
      <c r="AA262" s="15">
        <f t="shared" si="8"/>
        <v>5</v>
      </c>
    </row>
    <row r="263" ht="15.75" customHeight="1">
      <c r="A263" s="3">
        <v>2.70358788E8</v>
      </c>
      <c r="B263" s="9">
        <v>41955.0</v>
      </c>
      <c r="C263" s="3">
        <f>IFERROR(__xludf.DUMMYFUNCTION("split(B263,""/"")"),12.0)</f>
        <v>12</v>
      </c>
      <c r="D263" s="10">
        <f>IFERROR(__xludf.DUMMYFUNCTION("""COMPUTED_VALUE"""),11.0)</f>
        <v>11</v>
      </c>
      <c r="E263" s="11">
        <f>IFERROR(__xludf.DUMMYFUNCTION("""COMPUTED_VALUE"""),2014.0)</f>
        <v>2014</v>
      </c>
      <c r="F263" s="12">
        <f t="shared" si="1"/>
        <v>41984</v>
      </c>
      <c r="G263" s="3" t="s">
        <v>851</v>
      </c>
      <c r="H263" s="3">
        <f>IFERROR(__xludf.DUMMYFUNCTION("split(G263,""/"")"),1.0)</f>
        <v>1</v>
      </c>
      <c r="I263" s="3">
        <f>IFERROR(__xludf.DUMMYFUNCTION("""COMPUTED_VALUE"""),24.0)</f>
        <v>24</v>
      </c>
      <c r="J263" s="3">
        <f>IFERROR(__xludf.DUMMYFUNCTION("""COMPUTED_VALUE"""),2015.0)</f>
        <v>2015</v>
      </c>
      <c r="K263" s="12">
        <f t="shared" si="2"/>
        <v>42028</v>
      </c>
      <c r="L263" s="3" t="s">
        <v>814</v>
      </c>
      <c r="M263" s="3" t="s">
        <v>32</v>
      </c>
      <c r="N263" s="3">
        <v>1270.0</v>
      </c>
      <c r="O263" s="3" t="s">
        <v>818</v>
      </c>
      <c r="P263" s="10">
        <v>4028.0</v>
      </c>
      <c r="Q263" s="13">
        <v>47.45</v>
      </c>
      <c r="R263" s="13">
        <v>31.79</v>
      </c>
      <c r="S263" s="13">
        <f t="shared" si="3"/>
        <v>191128.6</v>
      </c>
      <c r="T263" s="13">
        <f t="shared" si="4"/>
        <v>128050.12</v>
      </c>
      <c r="U263" s="13">
        <f t="shared" si="5"/>
        <v>63078.48</v>
      </c>
      <c r="V263" s="3" t="str">
        <f>VLOOKUP(N263,products!A:B,2,0)</f>
        <v>Beverages</v>
      </c>
      <c r="W263" s="3" t="s">
        <v>28</v>
      </c>
      <c r="X263" s="3" t="s">
        <v>33</v>
      </c>
      <c r="Y263" s="14">
        <f t="shared" si="9"/>
        <v>0.3300316122</v>
      </c>
      <c r="Z263" s="3">
        <f t="shared" si="7"/>
        <v>44</v>
      </c>
      <c r="AA263" s="15">
        <f t="shared" si="8"/>
        <v>5</v>
      </c>
    </row>
    <row r="264" ht="15.75" customHeight="1">
      <c r="A264" s="3">
        <v>2.72361218E8</v>
      </c>
      <c r="B264" s="3" t="s">
        <v>1111</v>
      </c>
      <c r="C264" s="3">
        <f>IFERROR(__xludf.DUMMYFUNCTION("split(B264,""/"")"),6.0)</f>
        <v>6</v>
      </c>
      <c r="D264" s="10">
        <f>IFERROR(__xludf.DUMMYFUNCTION("""COMPUTED_VALUE"""),26.0)</f>
        <v>26</v>
      </c>
      <c r="E264" s="11">
        <f>IFERROR(__xludf.DUMMYFUNCTION("""COMPUTED_VALUE"""),2010.0)</f>
        <v>2010</v>
      </c>
      <c r="F264" s="12">
        <f t="shared" si="1"/>
        <v>40355</v>
      </c>
      <c r="G264" s="9">
        <v>40244.0</v>
      </c>
      <c r="H264" s="3">
        <f>IFERROR(__xludf.DUMMYFUNCTION("split(G264,""/"")"),7.0)</f>
        <v>7</v>
      </c>
      <c r="I264" s="3">
        <f>IFERROR(__xludf.DUMMYFUNCTION("""COMPUTED_VALUE"""),3.0)</f>
        <v>3</v>
      </c>
      <c r="J264" s="3">
        <f>IFERROR(__xludf.DUMMYFUNCTION("""COMPUTED_VALUE"""),2010.0)</f>
        <v>2010</v>
      </c>
      <c r="K264" s="12">
        <f t="shared" si="2"/>
        <v>40362</v>
      </c>
      <c r="L264" s="3" t="s">
        <v>817</v>
      </c>
      <c r="M264" s="3" t="s">
        <v>578</v>
      </c>
      <c r="N264" s="3">
        <v>8969.0</v>
      </c>
      <c r="O264" s="3" t="s">
        <v>818</v>
      </c>
      <c r="P264" s="10">
        <v>6592.0</v>
      </c>
      <c r="Q264" s="13">
        <v>152.58</v>
      </c>
      <c r="R264" s="13">
        <v>97.44</v>
      </c>
      <c r="S264" s="13">
        <f t="shared" si="3"/>
        <v>1005807.36</v>
      </c>
      <c r="T264" s="13">
        <f t="shared" si="4"/>
        <v>642324.48</v>
      </c>
      <c r="U264" s="13">
        <f t="shared" si="5"/>
        <v>363482.88</v>
      </c>
      <c r="V264" s="3" t="str">
        <f>VLOOKUP(N264,products!A:B,2,0)</f>
        <v>Snacks</v>
      </c>
      <c r="W264" s="3" t="s">
        <v>28</v>
      </c>
      <c r="X264" s="3" t="s">
        <v>33</v>
      </c>
      <c r="Y264" s="14">
        <f t="shared" si="9"/>
        <v>0.3613841919</v>
      </c>
      <c r="Z264" s="3">
        <f t="shared" si="7"/>
        <v>7</v>
      </c>
      <c r="AA264" s="15">
        <f t="shared" si="8"/>
        <v>7</v>
      </c>
    </row>
    <row r="265" ht="15.75" customHeight="1">
      <c r="A265" s="3">
        <v>2.72425591E8</v>
      </c>
      <c r="B265" s="9">
        <v>40636.0</v>
      </c>
      <c r="C265" s="3">
        <f>IFERROR(__xludf.DUMMYFUNCTION("split(B265,""/"")"),3.0)</f>
        <v>3</v>
      </c>
      <c r="D265" s="10">
        <f>IFERROR(__xludf.DUMMYFUNCTION("""COMPUTED_VALUE"""),4.0)</f>
        <v>4</v>
      </c>
      <c r="E265" s="11">
        <f>IFERROR(__xludf.DUMMYFUNCTION("""COMPUTED_VALUE"""),2011.0)</f>
        <v>2011</v>
      </c>
      <c r="F265" s="12">
        <f t="shared" si="1"/>
        <v>40606</v>
      </c>
      <c r="G265" s="3" t="s">
        <v>1112</v>
      </c>
      <c r="H265" s="3">
        <f>IFERROR(__xludf.DUMMYFUNCTION("split(G265,""/"")"),3.0)</f>
        <v>3</v>
      </c>
      <c r="I265" s="3">
        <f>IFERROR(__xludf.DUMMYFUNCTION("""COMPUTED_VALUE"""),21.0)</f>
        <v>21</v>
      </c>
      <c r="J265" s="3">
        <f>IFERROR(__xludf.DUMMYFUNCTION("""COMPUTED_VALUE"""),2011.0)</f>
        <v>2011</v>
      </c>
      <c r="K265" s="12">
        <f t="shared" si="2"/>
        <v>40623</v>
      </c>
      <c r="L265" s="3" t="s">
        <v>825</v>
      </c>
      <c r="M265" s="3" t="s">
        <v>221</v>
      </c>
      <c r="N265" s="3">
        <v>4594.0</v>
      </c>
      <c r="O265" s="3" t="s">
        <v>815</v>
      </c>
      <c r="P265" s="10">
        <v>5641.0</v>
      </c>
      <c r="Q265" s="13">
        <v>9.33</v>
      </c>
      <c r="R265" s="13">
        <v>6.92</v>
      </c>
      <c r="S265" s="13">
        <f t="shared" si="3"/>
        <v>52630.53</v>
      </c>
      <c r="T265" s="13">
        <f t="shared" si="4"/>
        <v>39035.72</v>
      </c>
      <c r="U265" s="13">
        <f t="shared" si="5"/>
        <v>13594.81</v>
      </c>
      <c r="V265" s="3" t="str">
        <f>VLOOKUP(N265,products!A:B,2,0)</f>
        <v>Fruits</v>
      </c>
      <c r="W265" s="3" t="s">
        <v>28</v>
      </c>
      <c r="X265" s="3" t="s">
        <v>29</v>
      </c>
      <c r="Y265" s="14">
        <f t="shared" si="9"/>
        <v>0.258306538</v>
      </c>
      <c r="Z265" s="3">
        <f t="shared" si="7"/>
        <v>17</v>
      </c>
      <c r="AA265" s="15">
        <f t="shared" si="8"/>
        <v>6</v>
      </c>
    </row>
    <row r="266" ht="15.75" customHeight="1">
      <c r="A266" s="3">
        <v>2.73662412E8</v>
      </c>
      <c r="B266" s="3" t="s">
        <v>1113</v>
      </c>
      <c r="C266" s="3">
        <f>IFERROR(__xludf.DUMMYFUNCTION("split(B266,""/"")"),7.0)</f>
        <v>7</v>
      </c>
      <c r="D266" s="10">
        <f>IFERROR(__xludf.DUMMYFUNCTION("""COMPUTED_VALUE"""),20.0)</f>
        <v>20</v>
      </c>
      <c r="E266" s="11">
        <f>IFERROR(__xludf.DUMMYFUNCTION("""COMPUTED_VALUE"""),2010.0)</f>
        <v>2010</v>
      </c>
      <c r="F266" s="12">
        <f t="shared" si="1"/>
        <v>40379</v>
      </c>
      <c r="G266" s="3" t="s">
        <v>1114</v>
      </c>
      <c r="H266" s="3">
        <f>IFERROR(__xludf.DUMMYFUNCTION("split(G266,""/"")"),7.0)</f>
        <v>7</v>
      </c>
      <c r="I266" s="3">
        <f>IFERROR(__xludf.DUMMYFUNCTION("""COMPUTED_VALUE"""),23.0)</f>
        <v>23</v>
      </c>
      <c r="J266" s="3">
        <f>IFERROR(__xludf.DUMMYFUNCTION("""COMPUTED_VALUE"""),2010.0)</f>
        <v>2010</v>
      </c>
      <c r="K266" s="12">
        <f t="shared" si="2"/>
        <v>40382</v>
      </c>
      <c r="L266" s="3" t="s">
        <v>817</v>
      </c>
      <c r="M266" s="3" t="s">
        <v>142</v>
      </c>
      <c r="N266" s="3">
        <v>8875.0</v>
      </c>
      <c r="O266" s="3" t="s">
        <v>815</v>
      </c>
      <c r="P266" s="10">
        <v>1644.0</v>
      </c>
      <c r="Q266" s="13">
        <v>421.89</v>
      </c>
      <c r="R266" s="13">
        <v>364.69</v>
      </c>
      <c r="S266" s="13">
        <f t="shared" si="3"/>
        <v>693587.16</v>
      </c>
      <c r="T266" s="13">
        <f t="shared" si="4"/>
        <v>599550.36</v>
      </c>
      <c r="U266" s="13">
        <f t="shared" si="5"/>
        <v>94036.8</v>
      </c>
      <c r="V266" s="3" t="str">
        <f>VLOOKUP(N266,products!A:B,2,0)</f>
        <v>Meat</v>
      </c>
      <c r="W266" s="3" t="s">
        <v>28</v>
      </c>
      <c r="X266" s="3" t="s">
        <v>98</v>
      </c>
      <c r="Y266" s="14">
        <f t="shared" si="9"/>
        <v>0.1355803646</v>
      </c>
      <c r="Z266" s="3">
        <f t="shared" si="7"/>
        <v>3</v>
      </c>
      <c r="AA266" s="15">
        <f t="shared" si="8"/>
        <v>3</v>
      </c>
    </row>
    <row r="267" ht="15.75" customHeight="1">
      <c r="A267" s="3">
        <v>2.73940503E8</v>
      </c>
      <c r="B267" s="3" t="s">
        <v>1115</v>
      </c>
      <c r="C267" s="3">
        <f>IFERROR(__xludf.DUMMYFUNCTION("split(B267,""/"")"),9.0)</f>
        <v>9</v>
      </c>
      <c r="D267" s="10">
        <f>IFERROR(__xludf.DUMMYFUNCTION("""COMPUTED_VALUE"""),14.0)</f>
        <v>14</v>
      </c>
      <c r="E267" s="11">
        <f>IFERROR(__xludf.DUMMYFUNCTION("""COMPUTED_VALUE"""),2011.0)</f>
        <v>2011</v>
      </c>
      <c r="F267" s="12">
        <f t="shared" si="1"/>
        <v>40800</v>
      </c>
      <c r="G267" s="3" t="s">
        <v>942</v>
      </c>
      <c r="H267" s="3">
        <f>IFERROR(__xludf.DUMMYFUNCTION("split(G267,""/"")"),10.0)</f>
        <v>10</v>
      </c>
      <c r="I267" s="3">
        <f>IFERROR(__xludf.DUMMYFUNCTION("""COMPUTED_VALUE"""),19.0)</f>
        <v>19</v>
      </c>
      <c r="J267" s="3">
        <f>IFERROR(__xludf.DUMMYFUNCTION("""COMPUTED_VALUE"""),2011.0)</f>
        <v>2011</v>
      </c>
      <c r="K267" s="12">
        <f t="shared" si="2"/>
        <v>40835</v>
      </c>
      <c r="L267" s="3" t="s">
        <v>825</v>
      </c>
      <c r="M267" s="3" t="s">
        <v>590</v>
      </c>
      <c r="N267" s="3">
        <v>2103.0</v>
      </c>
      <c r="O267" s="3" t="s">
        <v>815</v>
      </c>
      <c r="P267" s="10">
        <v>3937.0</v>
      </c>
      <c r="Q267" s="13">
        <v>205.7</v>
      </c>
      <c r="R267" s="13">
        <v>117.11</v>
      </c>
      <c r="S267" s="13">
        <f t="shared" si="3"/>
        <v>809840.9</v>
      </c>
      <c r="T267" s="13">
        <f t="shared" si="4"/>
        <v>461062.07</v>
      </c>
      <c r="U267" s="13">
        <f t="shared" si="5"/>
        <v>348778.83</v>
      </c>
      <c r="V267" s="3" t="str">
        <f>VLOOKUP(N267,products!A:B,2,0)</f>
        <v>Cereal</v>
      </c>
      <c r="W267" s="3" t="s">
        <v>28</v>
      </c>
      <c r="X267" s="3" t="s">
        <v>98</v>
      </c>
      <c r="Y267" s="14">
        <f t="shared" si="9"/>
        <v>0.4306757414</v>
      </c>
      <c r="Z267" s="3">
        <f t="shared" si="7"/>
        <v>35</v>
      </c>
      <c r="AA267" s="15">
        <f t="shared" si="8"/>
        <v>4</v>
      </c>
    </row>
    <row r="268" ht="15.75" customHeight="1">
      <c r="A268" s="3">
        <v>2.74694526E8</v>
      </c>
      <c r="B268" s="3" t="s">
        <v>891</v>
      </c>
      <c r="C268" s="3">
        <f>IFERROR(__xludf.DUMMYFUNCTION("split(B268,""/"")"),4.0)</f>
        <v>4</v>
      </c>
      <c r="D268" s="10">
        <f>IFERROR(__xludf.DUMMYFUNCTION("""COMPUTED_VALUE"""),13.0)</f>
        <v>13</v>
      </c>
      <c r="E268" s="11">
        <f>IFERROR(__xludf.DUMMYFUNCTION("""COMPUTED_VALUE"""),2017.0)</f>
        <v>2017</v>
      </c>
      <c r="F268" s="12">
        <f t="shared" si="1"/>
        <v>42838</v>
      </c>
      <c r="G268" s="9">
        <v>43044.0</v>
      </c>
      <c r="H268" s="3">
        <f>IFERROR(__xludf.DUMMYFUNCTION("split(G268,""/"")"),5.0)</f>
        <v>5</v>
      </c>
      <c r="I268" s="3">
        <f>IFERROR(__xludf.DUMMYFUNCTION("""COMPUTED_VALUE"""),11.0)</f>
        <v>11</v>
      </c>
      <c r="J268" s="3">
        <f>IFERROR(__xludf.DUMMYFUNCTION("""COMPUTED_VALUE"""),2017.0)</f>
        <v>2017</v>
      </c>
      <c r="K268" s="12">
        <f t="shared" si="2"/>
        <v>42866</v>
      </c>
      <c r="L268" s="3" t="s">
        <v>817</v>
      </c>
      <c r="M268" s="3" t="s">
        <v>455</v>
      </c>
      <c r="N268" s="3">
        <v>3127.0</v>
      </c>
      <c r="O268" s="3" t="s">
        <v>818</v>
      </c>
      <c r="P268" s="10">
        <v>7069.0</v>
      </c>
      <c r="Q268" s="13">
        <v>81.73</v>
      </c>
      <c r="R268" s="13">
        <v>56.67</v>
      </c>
      <c r="S268" s="13">
        <f t="shared" si="3"/>
        <v>577749.37</v>
      </c>
      <c r="T268" s="13">
        <f t="shared" si="4"/>
        <v>400600.23</v>
      </c>
      <c r="U268" s="13">
        <f t="shared" si="5"/>
        <v>177149.14</v>
      </c>
      <c r="V268" s="3" t="str">
        <f>VLOOKUP(N268,products!A:B,2,0)</f>
        <v>Personal Care</v>
      </c>
      <c r="W268" s="3" t="s">
        <v>28</v>
      </c>
      <c r="X268" s="3" t="s">
        <v>33</v>
      </c>
      <c r="Y268" s="14">
        <f t="shared" si="9"/>
        <v>0.3066193564</v>
      </c>
      <c r="Z268" s="3">
        <f t="shared" si="7"/>
        <v>28</v>
      </c>
      <c r="AA268" s="15">
        <f t="shared" si="8"/>
        <v>5</v>
      </c>
    </row>
    <row r="269" ht="15.75" customHeight="1">
      <c r="A269" s="3">
        <v>2.74989354E8</v>
      </c>
      <c r="B269" s="3" t="s">
        <v>1116</v>
      </c>
      <c r="C269" s="3">
        <f>IFERROR(__xludf.DUMMYFUNCTION("split(B269,""/"")"),5.0)</f>
        <v>5</v>
      </c>
      <c r="D269" s="10">
        <f>IFERROR(__xludf.DUMMYFUNCTION("""COMPUTED_VALUE"""),28.0)</f>
        <v>28</v>
      </c>
      <c r="E269" s="11">
        <f>IFERROR(__xludf.DUMMYFUNCTION("""COMPUTED_VALUE"""),2012.0)</f>
        <v>2012</v>
      </c>
      <c r="F269" s="12">
        <f t="shared" si="1"/>
        <v>41057</v>
      </c>
      <c r="G269" s="9">
        <v>41189.0</v>
      </c>
      <c r="H269" s="3">
        <f>IFERROR(__xludf.DUMMYFUNCTION("split(G269,""/"")"),7.0)</f>
        <v>7</v>
      </c>
      <c r="I269" s="3">
        <f>IFERROR(__xludf.DUMMYFUNCTION("""COMPUTED_VALUE"""),10.0)</f>
        <v>10</v>
      </c>
      <c r="J269" s="3">
        <f>IFERROR(__xludf.DUMMYFUNCTION("""COMPUTED_VALUE"""),2012.0)</f>
        <v>2012</v>
      </c>
      <c r="K269" s="12">
        <f t="shared" si="2"/>
        <v>41100</v>
      </c>
      <c r="L269" s="3" t="s">
        <v>814</v>
      </c>
      <c r="M269" s="3" t="s">
        <v>686</v>
      </c>
      <c r="N269" s="3">
        <v>8969.0</v>
      </c>
      <c r="O269" s="3" t="s">
        <v>815</v>
      </c>
      <c r="P269" s="10">
        <v>4316.0</v>
      </c>
      <c r="Q269" s="13">
        <v>152.58</v>
      </c>
      <c r="R269" s="13">
        <v>97.44</v>
      </c>
      <c r="S269" s="13">
        <f t="shared" si="3"/>
        <v>658535.28</v>
      </c>
      <c r="T269" s="13">
        <f t="shared" si="4"/>
        <v>420551.04</v>
      </c>
      <c r="U269" s="13">
        <f t="shared" si="5"/>
        <v>237984.24</v>
      </c>
      <c r="V269" s="3" t="str">
        <f>VLOOKUP(N269,products!A:B,2,0)</f>
        <v>Snacks</v>
      </c>
      <c r="W269" s="3" t="s">
        <v>28</v>
      </c>
      <c r="X269" s="3" t="s">
        <v>29</v>
      </c>
      <c r="Y269" s="14">
        <f t="shared" si="9"/>
        <v>0.3613841919</v>
      </c>
      <c r="Z269" s="3">
        <f t="shared" si="7"/>
        <v>43</v>
      </c>
      <c r="AA269" s="15">
        <f t="shared" si="8"/>
        <v>2</v>
      </c>
    </row>
    <row r="270" ht="15.75" customHeight="1">
      <c r="A270" s="3">
        <v>2.76784074E8</v>
      </c>
      <c r="B270" s="3" t="s">
        <v>1117</v>
      </c>
      <c r="C270" s="3">
        <f>IFERROR(__xludf.DUMMYFUNCTION("split(B270,""/"")"),3.0)</f>
        <v>3</v>
      </c>
      <c r="D270" s="10">
        <f>IFERROR(__xludf.DUMMYFUNCTION("""COMPUTED_VALUE"""),21.0)</f>
        <v>21</v>
      </c>
      <c r="E270" s="11">
        <f>IFERROR(__xludf.DUMMYFUNCTION("""COMPUTED_VALUE"""),2015.0)</f>
        <v>2015</v>
      </c>
      <c r="F270" s="12">
        <f t="shared" si="1"/>
        <v>42084</v>
      </c>
      <c r="G270" s="3" t="s">
        <v>1118</v>
      </c>
      <c r="H270" s="3">
        <f>IFERROR(__xludf.DUMMYFUNCTION("split(G270,""/"")"),4.0)</f>
        <v>4</v>
      </c>
      <c r="I270" s="3">
        <f>IFERROR(__xludf.DUMMYFUNCTION("""COMPUTED_VALUE"""),15.0)</f>
        <v>15</v>
      </c>
      <c r="J270" s="3">
        <f>IFERROR(__xludf.DUMMYFUNCTION("""COMPUTED_VALUE"""),2015.0)</f>
        <v>2015</v>
      </c>
      <c r="K270" s="12">
        <f t="shared" si="2"/>
        <v>42109</v>
      </c>
      <c r="L270" s="3" t="s">
        <v>817</v>
      </c>
      <c r="M270" s="3" t="s">
        <v>291</v>
      </c>
      <c r="N270" s="3">
        <v>2455.0</v>
      </c>
      <c r="O270" s="3" t="s">
        <v>815</v>
      </c>
      <c r="P270" s="10">
        <v>5413.0</v>
      </c>
      <c r="Q270" s="13">
        <v>109.28</v>
      </c>
      <c r="R270" s="13">
        <v>35.84</v>
      </c>
      <c r="S270" s="13">
        <f t="shared" si="3"/>
        <v>591532.64</v>
      </c>
      <c r="T270" s="13">
        <f t="shared" si="4"/>
        <v>194001.92</v>
      </c>
      <c r="U270" s="13">
        <f t="shared" si="5"/>
        <v>397530.72</v>
      </c>
      <c r="V270" s="3" t="str">
        <f>VLOOKUP(N270,products!A:B,2,0)</f>
        <v>Clothes</v>
      </c>
      <c r="W270" s="3" t="s">
        <v>28</v>
      </c>
      <c r="X270" s="3" t="s">
        <v>79</v>
      </c>
      <c r="Y270" s="14">
        <f t="shared" si="9"/>
        <v>0.6720351391</v>
      </c>
      <c r="Z270" s="3">
        <f t="shared" si="7"/>
        <v>25</v>
      </c>
      <c r="AA270" s="15">
        <f t="shared" si="8"/>
        <v>7</v>
      </c>
    </row>
    <row r="271" ht="15.75" customHeight="1">
      <c r="A271" s="3">
        <v>2.76850593E8</v>
      </c>
      <c r="B271" s="3" t="s">
        <v>1119</v>
      </c>
      <c r="C271" s="3">
        <f>IFERROR(__xludf.DUMMYFUNCTION("split(B271,""/"")"),8.0)</f>
        <v>8</v>
      </c>
      <c r="D271" s="10">
        <f>IFERROR(__xludf.DUMMYFUNCTION("""COMPUTED_VALUE"""),21.0)</f>
        <v>21</v>
      </c>
      <c r="E271" s="11">
        <f>IFERROR(__xludf.DUMMYFUNCTION("""COMPUTED_VALUE"""),2011.0)</f>
        <v>2011</v>
      </c>
      <c r="F271" s="12">
        <f t="shared" si="1"/>
        <v>40776</v>
      </c>
      <c r="G271" s="9">
        <v>40611.0</v>
      </c>
      <c r="H271" s="3">
        <f>IFERROR(__xludf.DUMMYFUNCTION("split(G271,""/"")"),9.0)</f>
        <v>9</v>
      </c>
      <c r="I271" s="3">
        <f>IFERROR(__xludf.DUMMYFUNCTION("""COMPUTED_VALUE"""),3.0)</f>
        <v>3</v>
      </c>
      <c r="J271" s="3">
        <f>IFERROR(__xludf.DUMMYFUNCTION("""COMPUTED_VALUE"""),2011.0)</f>
        <v>2011</v>
      </c>
      <c r="K271" s="12">
        <f t="shared" si="2"/>
        <v>40789</v>
      </c>
      <c r="L271" s="3" t="s">
        <v>825</v>
      </c>
      <c r="M271" s="3" t="s">
        <v>455</v>
      </c>
      <c r="N271" s="3">
        <v>7331.0</v>
      </c>
      <c r="O271" s="3" t="s">
        <v>818</v>
      </c>
      <c r="P271" s="10">
        <v>5097.0</v>
      </c>
      <c r="Q271" s="13">
        <v>255.28</v>
      </c>
      <c r="R271" s="13">
        <v>159.42</v>
      </c>
      <c r="S271" s="13">
        <f t="shared" si="3"/>
        <v>1301162.16</v>
      </c>
      <c r="T271" s="13">
        <f t="shared" si="4"/>
        <v>812563.74</v>
      </c>
      <c r="U271" s="13">
        <f t="shared" si="5"/>
        <v>488598.42</v>
      </c>
      <c r="V271" s="3" t="str">
        <f>VLOOKUP(N271,products!A:B,2,0)</f>
        <v>Baby Food</v>
      </c>
      <c r="W271" s="3" t="s">
        <v>28</v>
      </c>
      <c r="X271" s="3" t="s">
        <v>33</v>
      </c>
      <c r="Y271" s="14">
        <f t="shared" si="9"/>
        <v>0.3755092448</v>
      </c>
      <c r="Z271" s="3">
        <f t="shared" si="7"/>
        <v>13</v>
      </c>
      <c r="AA271" s="15">
        <f t="shared" si="8"/>
        <v>1</v>
      </c>
    </row>
    <row r="272" ht="15.75" customHeight="1">
      <c r="A272" s="3">
        <v>2.78513133E8</v>
      </c>
      <c r="B272" s="3" t="s">
        <v>1120</v>
      </c>
      <c r="C272" s="3">
        <f>IFERROR(__xludf.DUMMYFUNCTION("split(B272,""/"")"),10.0)</f>
        <v>10</v>
      </c>
      <c r="D272" s="10">
        <f>IFERROR(__xludf.DUMMYFUNCTION("""COMPUTED_VALUE"""),25.0)</f>
        <v>25</v>
      </c>
      <c r="E272" s="11">
        <f>IFERROR(__xludf.DUMMYFUNCTION("""COMPUTED_VALUE"""),2010.0)</f>
        <v>2010</v>
      </c>
      <c r="F272" s="12">
        <f t="shared" si="1"/>
        <v>40476</v>
      </c>
      <c r="G272" s="9">
        <v>40309.0</v>
      </c>
      <c r="H272" s="3">
        <f>IFERROR(__xludf.DUMMYFUNCTION("split(G272,""/"")"),11.0)</f>
        <v>11</v>
      </c>
      <c r="I272" s="3">
        <f>IFERROR(__xludf.DUMMYFUNCTION("""COMPUTED_VALUE"""),5.0)</f>
        <v>5</v>
      </c>
      <c r="J272" s="3">
        <f>IFERROR(__xludf.DUMMYFUNCTION("""COMPUTED_VALUE"""),2010.0)</f>
        <v>2010</v>
      </c>
      <c r="K272" s="12">
        <f t="shared" si="2"/>
        <v>40487</v>
      </c>
      <c r="L272" s="3" t="s">
        <v>827</v>
      </c>
      <c r="M272" s="3" t="s">
        <v>536</v>
      </c>
      <c r="N272" s="3">
        <v>4594.0</v>
      </c>
      <c r="O272" s="3" t="s">
        <v>815</v>
      </c>
      <c r="P272" s="10">
        <v>7080.0</v>
      </c>
      <c r="Q272" s="13">
        <v>9.33</v>
      </c>
      <c r="R272" s="13">
        <v>6.92</v>
      </c>
      <c r="S272" s="13">
        <f t="shared" si="3"/>
        <v>66056.4</v>
      </c>
      <c r="T272" s="13">
        <f t="shared" si="4"/>
        <v>48993.6</v>
      </c>
      <c r="U272" s="13">
        <f t="shared" si="5"/>
        <v>17062.8</v>
      </c>
      <c r="V272" s="3" t="str">
        <f>VLOOKUP(N272,products!A:B,2,0)</f>
        <v>Fruits</v>
      </c>
      <c r="W272" s="3" t="s">
        <v>28</v>
      </c>
      <c r="X272" s="3" t="s">
        <v>33</v>
      </c>
      <c r="Y272" s="14">
        <f t="shared" si="9"/>
        <v>0.258306538</v>
      </c>
      <c r="Z272" s="3">
        <f t="shared" si="7"/>
        <v>11</v>
      </c>
      <c r="AA272" s="15">
        <f t="shared" si="8"/>
        <v>2</v>
      </c>
    </row>
    <row r="273" ht="15.75" customHeight="1">
      <c r="A273" s="3">
        <v>2.79338395E8</v>
      </c>
      <c r="B273" s="9">
        <v>41913.0</v>
      </c>
      <c r="C273" s="3">
        <f>IFERROR(__xludf.DUMMYFUNCTION("split(B273,""/"")"),1.0)</f>
        <v>1</v>
      </c>
      <c r="D273" s="10">
        <f>IFERROR(__xludf.DUMMYFUNCTION("""COMPUTED_VALUE"""),10.0)</f>
        <v>10</v>
      </c>
      <c r="E273" s="11">
        <f>IFERROR(__xludf.DUMMYFUNCTION("""COMPUTED_VALUE"""),2014.0)</f>
        <v>2014</v>
      </c>
      <c r="F273" s="12">
        <f t="shared" si="1"/>
        <v>41649</v>
      </c>
      <c r="G273" s="3" t="s">
        <v>1121</v>
      </c>
      <c r="H273" s="3">
        <f>IFERROR(__xludf.DUMMYFUNCTION("split(G273,""/"")"),2.0)</f>
        <v>2</v>
      </c>
      <c r="I273" s="3">
        <f>IFERROR(__xludf.DUMMYFUNCTION("""COMPUTED_VALUE"""),24.0)</f>
        <v>24</v>
      </c>
      <c r="J273" s="3">
        <f>IFERROR(__xludf.DUMMYFUNCTION("""COMPUTED_VALUE"""),2014.0)</f>
        <v>2014</v>
      </c>
      <c r="K273" s="12">
        <f t="shared" si="2"/>
        <v>41694</v>
      </c>
      <c r="L273" s="3" t="s">
        <v>825</v>
      </c>
      <c r="M273" s="3" t="s">
        <v>593</v>
      </c>
      <c r="N273" s="3">
        <v>2103.0</v>
      </c>
      <c r="O273" s="3" t="s">
        <v>815</v>
      </c>
      <c r="P273" s="10">
        <v>1293.0</v>
      </c>
      <c r="Q273" s="13">
        <v>205.7</v>
      </c>
      <c r="R273" s="13">
        <v>117.11</v>
      </c>
      <c r="S273" s="13">
        <f t="shared" si="3"/>
        <v>265970.1</v>
      </c>
      <c r="T273" s="13">
        <f t="shared" si="4"/>
        <v>151423.23</v>
      </c>
      <c r="U273" s="13">
        <f t="shared" si="5"/>
        <v>114546.87</v>
      </c>
      <c r="V273" s="3" t="str">
        <f>VLOOKUP(N273,products!A:B,2,0)</f>
        <v>Cereal</v>
      </c>
      <c r="W273" s="3" t="s">
        <v>28</v>
      </c>
      <c r="X273" s="3" t="s">
        <v>98</v>
      </c>
      <c r="Y273" s="14">
        <f t="shared" si="9"/>
        <v>0.4306757414</v>
      </c>
      <c r="Z273" s="3">
        <f t="shared" si="7"/>
        <v>45</v>
      </c>
      <c r="AA273" s="15">
        <f t="shared" si="8"/>
        <v>6</v>
      </c>
    </row>
    <row r="274" ht="15.75" customHeight="1">
      <c r="A274" s="3">
        <v>2.79703605E8</v>
      </c>
      <c r="B274" s="9">
        <v>40179.0</v>
      </c>
      <c r="C274" s="3">
        <f>IFERROR(__xludf.DUMMYFUNCTION("split(B274,""/"")"),1.0)</f>
        <v>1</v>
      </c>
      <c r="D274" s="10">
        <f>IFERROR(__xludf.DUMMYFUNCTION("""COMPUTED_VALUE"""),1.0)</f>
        <v>1</v>
      </c>
      <c r="E274" s="11">
        <f>IFERROR(__xludf.DUMMYFUNCTION("""COMPUTED_VALUE"""),2010.0)</f>
        <v>2010</v>
      </c>
      <c r="F274" s="12">
        <f t="shared" si="1"/>
        <v>40179</v>
      </c>
      <c r="G274" s="9">
        <v>40452.0</v>
      </c>
      <c r="H274" s="3">
        <f>IFERROR(__xludf.DUMMYFUNCTION("split(G274,""/"")"),1.0)</f>
        <v>1</v>
      </c>
      <c r="I274" s="3">
        <f>IFERROR(__xludf.DUMMYFUNCTION("""COMPUTED_VALUE"""),10.0)</f>
        <v>10</v>
      </c>
      <c r="J274" s="3">
        <f>IFERROR(__xludf.DUMMYFUNCTION("""COMPUTED_VALUE"""),2010.0)</f>
        <v>2010</v>
      </c>
      <c r="K274" s="12">
        <f t="shared" si="2"/>
        <v>40188</v>
      </c>
      <c r="L274" s="3" t="s">
        <v>817</v>
      </c>
      <c r="M274" s="3" t="s">
        <v>346</v>
      </c>
      <c r="N274" s="3">
        <v>7331.0</v>
      </c>
      <c r="O274" s="3" t="s">
        <v>818</v>
      </c>
      <c r="P274" s="10">
        <v>9367.0</v>
      </c>
      <c r="Q274" s="13">
        <v>255.28</v>
      </c>
      <c r="R274" s="13">
        <v>159.42</v>
      </c>
      <c r="S274" s="13">
        <f t="shared" si="3"/>
        <v>2391207.76</v>
      </c>
      <c r="T274" s="13">
        <f t="shared" si="4"/>
        <v>1493287.14</v>
      </c>
      <c r="U274" s="13">
        <f t="shared" si="5"/>
        <v>897920.62</v>
      </c>
      <c r="V274" s="3" t="str">
        <f>VLOOKUP(N274,products!A:B,2,0)</f>
        <v>Baby Food</v>
      </c>
      <c r="W274" s="3" t="s">
        <v>28</v>
      </c>
      <c r="X274" s="3" t="s">
        <v>98</v>
      </c>
      <c r="Y274" s="14">
        <f t="shared" si="9"/>
        <v>0.3755092448</v>
      </c>
      <c r="Z274" s="3">
        <f t="shared" si="7"/>
        <v>9</v>
      </c>
      <c r="AA274" s="15">
        <f t="shared" si="8"/>
        <v>6</v>
      </c>
    </row>
    <row r="275" ht="15.75" customHeight="1">
      <c r="A275" s="3">
        <v>2.79816472E8</v>
      </c>
      <c r="B275" s="9">
        <v>41885.0</v>
      </c>
      <c r="C275" s="3">
        <f>IFERROR(__xludf.DUMMYFUNCTION("split(B275,""/"")"),3.0)</f>
        <v>3</v>
      </c>
      <c r="D275" s="10">
        <f>IFERROR(__xludf.DUMMYFUNCTION("""COMPUTED_VALUE"""),9.0)</f>
        <v>9</v>
      </c>
      <c r="E275" s="11">
        <f>IFERROR(__xludf.DUMMYFUNCTION("""COMPUTED_VALUE"""),2014.0)</f>
        <v>2014</v>
      </c>
      <c r="F275" s="12">
        <f t="shared" si="1"/>
        <v>41707</v>
      </c>
      <c r="G275" s="3" t="s">
        <v>1122</v>
      </c>
      <c r="H275" s="3">
        <f>IFERROR(__xludf.DUMMYFUNCTION("split(G275,""/"")"),4.0)</f>
        <v>4</v>
      </c>
      <c r="I275" s="3">
        <f>IFERROR(__xludf.DUMMYFUNCTION("""COMPUTED_VALUE"""),14.0)</f>
        <v>14</v>
      </c>
      <c r="J275" s="3">
        <f>IFERROR(__xludf.DUMMYFUNCTION("""COMPUTED_VALUE"""),2014.0)</f>
        <v>2014</v>
      </c>
      <c r="K275" s="12">
        <f t="shared" si="2"/>
        <v>41743</v>
      </c>
      <c r="L275" s="3" t="s">
        <v>827</v>
      </c>
      <c r="M275" s="3" t="s">
        <v>578</v>
      </c>
      <c r="N275" s="3">
        <v>8969.0</v>
      </c>
      <c r="O275" s="3" t="s">
        <v>818</v>
      </c>
      <c r="P275" s="10">
        <v>2767.0</v>
      </c>
      <c r="Q275" s="13">
        <v>152.58</v>
      </c>
      <c r="R275" s="13">
        <v>97.44</v>
      </c>
      <c r="S275" s="13">
        <f t="shared" si="3"/>
        <v>422188.86</v>
      </c>
      <c r="T275" s="13">
        <f t="shared" si="4"/>
        <v>269616.48</v>
      </c>
      <c r="U275" s="13">
        <f t="shared" si="5"/>
        <v>152572.38</v>
      </c>
      <c r="V275" s="3" t="str">
        <f>VLOOKUP(N275,products!A:B,2,0)</f>
        <v>Snacks</v>
      </c>
      <c r="W275" s="3" t="s">
        <v>28</v>
      </c>
      <c r="X275" s="3" t="s">
        <v>33</v>
      </c>
      <c r="Y275" s="14">
        <f t="shared" si="9"/>
        <v>0.3613841919</v>
      </c>
      <c r="Z275" s="3">
        <f t="shared" si="7"/>
        <v>36</v>
      </c>
      <c r="AA275" s="15">
        <f t="shared" si="8"/>
        <v>1</v>
      </c>
    </row>
    <row r="276" ht="15.75" customHeight="1">
      <c r="A276" s="3">
        <v>2.8019241E8</v>
      </c>
      <c r="B276" s="3" t="s">
        <v>1123</v>
      </c>
      <c r="C276" s="3">
        <f>IFERROR(__xludf.DUMMYFUNCTION("split(B276,""/"")"),7.0)</f>
        <v>7</v>
      </c>
      <c r="D276" s="10">
        <f>IFERROR(__xludf.DUMMYFUNCTION("""COMPUTED_VALUE"""),16.0)</f>
        <v>16</v>
      </c>
      <c r="E276" s="11">
        <f>IFERROR(__xludf.DUMMYFUNCTION("""COMPUTED_VALUE"""),2011.0)</f>
        <v>2011</v>
      </c>
      <c r="F276" s="12">
        <f t="shared" si="1"/>
        <v>40740</v>
      </c>
      <c r="G276" s="3" t="s">
        <v>1124</v>
      </c>
      <c r="H276" s="3">
        <f>IFERROR(__xludf.DUMMYFUNCTION("split(G276,""/"")"),8.0)</f>
        <v>8</v>
      </c>
      <c r="I276" s="3">
        <f>IFERROR(__xludf.DUMMYFUNCTION("""COMPUTED_VALUE"""),28.0)</f>
        <v>28</v>
      </c>
      <c r="J276" s="3">
        <f>IFERROR(__xludf.DUMMYFUNCTION("""COMPUTED_VALUE"""),2011.0)</f>
        <v>2011</v>
      </c>
      <c r="K276" s="12">
        <f t="shared" si="2"/>
        <v>40783</v>
      </c>
      <c r="L276" s="3" t="s">
        <v>827</v>
      </c>
      <c r="M276" s="3" t="s">
        <v>267</v>
      </c>
      <c r="N276" s="3">
        <v>2103.0</v>
      </c>
      <c r="O276" s="3" t="s">
        <v>815</v>
      </c>
      <c r="P276" s="10">
        <v>4016.0</v>
      </c>
      <c r="Q276" s="13">
        <v>205.7</v>
      </c>
      <c r="R276" s="13">
        <v>117.11</v>
      </c>
      <c r="S276" s="13">
        <f t="shared" si="3"/>
        <v>826091.2</v>
      </c>
      <c r="T276" s="13">
        <f t="shared" si="4"/>
        <v>470313.76</v>
      </c>
      <c r="U276" s="13">
        <f t="shared" si="5"/>
        <v>355777.44</v>
      </c>
      <c r="V276" s="3" t="str">
        <f>VLOOKUP(N276,products!A:B,2,0)</f>
        <v>Cereal</v>
      </c>
      <c r="W276" s="3" t="s">
        <v>28</v>
      </c>
      <c r="X276" s="3" t="s">
        <v>29</v>
      </c>
      <c r="Y276" s="14">
        <f t="shared" si="9"/>
        <v>0.4306757414</v>
      </c>
      <c r="Z276" s="3">
        <f t="shared" si="7"/>
        <v>43</v>
      </c>
      <c r="AA276" s="15">
        <f t="shared" si="8"/>
        <v>7</v>
      </c>
    </row>
    <row r="277" ht="15.75" customHeight="1">
      <c r="A277" s="3">
        <v>2.80477797E8</v>
      </c>
      <c r="B277" s="3" t="s">
        <v>1125</v>
      </c>
      <c r="C277" s="3">
        <f>IFERROR(__xludf.DUMMYFUNCTION("split(B277,""/"")"),10.0)</f>
        <v>10</v>
      </c>
      <c r="D277" s="10">
        <f>IFERROR(__xludf.DUMMYFUNCTION("""COMPUTED_VALUE"""),23.0)</f>
        <v>23</v>
      </c>
      <c r="E277" s="11">
        <f>IFERROR(__xludf.DUMMYFUNCTION("""COMPUTED_VALUE"""),2011.0)</f>
        <v>2011</v>
      </c>
      <c r="F277" s="12">
        <f t="shared" si="1"/>
        <v>40839</v>
      </c>
      <c r="G277" s="3" t="s">
        <v>1126</v>
      </c>
      <c r="H277" s="3">
        <f>IFERROR(__xludf.DUMMYFUNCTION("split(G277,""/"")"),10.0)</f>
        <v>10</v>
      </c>
      <c r="I277" s="3">
        <f>IFERROR(__xludf.DUMMYFUNCTION("""COMPUTED_VALUE"""),24.0)</f>
        <v>24</v>
      </c>
      <c r="J277" s="3">
        <f>IFERROR(__xludf.DUMMYFUNCTION("""COMPUTED_VALUE"""),2011.0)</f>
        <v>2011</v>
      </c>
      <c r="K277" s="12">
        <f t="shared" si="2"/>
        <v>40840</v>
      </c>
      <c r="L277" s="3" t="s">
        <v>825</v>
      </c>
      <c r="M277" s="3" t="s">
        <v>300</v>
      </c>
      <c r="N277" s="3">
        <v>2103.0</v>
      </c>
      <c r="O277" s="3" t="s">
        <v>818</v>
      </c>
      <c r="P277" s="10">
        <v>8468.0</v>
      </c>
      <c r="Q277" s="13">
        <v>205.7</v>
      </c>
      <c r="R277" s="13">
        <v>117.11</v>
      </c>
      <c r="S277" s="13">
        <f t="shared" si="3"/>
        <v>1741867.6</v>
      </c>
      <c r="T277" s="13">
        <f t="shared" si="4"/>
        <v>991687.48</v>
      </c>
      <c r="U277" s="13">
        <f t="shared" si="5"/>
        <v>750180.12</v>
      </c>
      <c r="V277" s="3" t="str">
        <f>VLOOKUP(N277,products!A:B,2,0)</f>
        <v>Cereal</v>
      </c>
      <c r="W277" s="3" t="s">
        <v>28</v>
      </c>
      <c r="X277" s="3" t="s">
        <v>33</v>
      </c>
      <c r="Y277" s="14">
        <f t="shared" si="9"/>
        <v>0.4306757414</v>
      </c>
      <c r="Z277" s="3">
        <f t="shared" si="7"/>
        <v>1</v>
      </c>
      <c r="AA277" s="15">
        <f t="shared" si="8"/>
        <v>1</v>
      </c>
    </row>
    <row r="278" ht="15.75" customHeight="1">
      <c r="A278" s="3">
        <v>2.81100928E8</v>
      </c>
      <c r="B278" s="3" t="s">
        <v>963</v>
      </c>
      <c r="C278" s="3">
        <f>IFERROR(__xludf.DUMMYFUNCTION("split(B278,""/"")"),9.0)</f>
        <v>9</v>
      </c>
      <c r="D278" s="10">
        <f>IFERROR(__xludf.DUMMYFUNCTION("""COMPUTED_VALUE"""),16.0)</f>
        <v>16</v>
      </c>
      <c r="E278" s="11">
        <f>IFERROR(__xludf.DUMMYFUNCTION("""COMPUTED_VALUE"""),2012.0)</f>
        <v>2012</v>
      </c>
      <c r="F278" s="12">
        <f t="shared" si="1"/>
        <v>41168</v>
      </c>
      <c r="G278" s="9">
        <v>40979.0</v>
      </c>
      <c r="H278" s="3">
        <f>IFERROR(__xludf.DUMMYFUNCTION("split(G278,""/"")"),11.0)</f>
        <v>11</v>
      </c>
      <c r="I278" s="3">
        <f>IFERROR(__xludf.DUMMYFUNCTION("""COMPUTED_VALUE"""),3.0)</f>
        <v>3</v>
      </c>
      <c r="J278" s="3">
        <f>IFERROR(__xludf.DUMMYFUNCTION("""COMPUTED_VALUE"""),2012.0)</f>
        <v>2012</v>
      </c>
      <c r="K278" s="12">
        <f t="shared" si="2"/>
        <v>41216</v>
      </c>
      <c r="L278" s="3" t="s">
        <v>827</v>
      </c>
      <c r="M278" s="3" t="s">
        <v>373</v>
      </c>
      <c r="N278" s="3">
        <v>8969.0</v>
      </c>
      <c r="O278" s="3" t="s">
        <v>815</v>
      </c>
      <c r="P278" s="10">
        <v>2866.0</v>
      </c>
      <c r="Q278" s="13">
        <v>152.58</v>
      </c>
      <c r="R278" s="13">
        <v>97.44</v>
      </c>
      <c r="S278" s="13">
        <f t="shared" si="3"/>
        <v>437294.28</v>
      </c>
      <c r="T278" s="13">
        <f t="shared" si="4"/>
        <v>279263.04</v>
      </c>
      <c r="U278" s="13">
        <f t="shared" si="5"/>
        <v>158031.24</v>
      </c>
      <c r="V278" s="3" t="str">
        <f>VLOOKUP(N278,products!A:B,2,0)</f>
        <v>Snacks</v>
      </c>
      <c r="W278" s="3" t="s">
        <v>28</v>
      </c>
      <c r="X278" s="3" t="s">
        <v>33</v>
      </c>
      <c r="Y278" s="14">
        <f t="shared" si="9"/>
        <v>0.3613841919</v>
      </c>
      <c r="Z278" s="3">
        <f t="shared" si="7"/>
        <v>48</v>
      </c>
      <c r="AA278" s="15">
        <f t="shared" si="8"/>
        <v>1</v>
      </c>
    </row>
    <row r="279" ht="15.75" customHeight="1">
      <c r="A279" s="3">
        <v>2.82917964E8</v>
      </c>
      <c r="B279" s="3" t="s">
        <v>1127</v>
      </c>
      <c r="C279" s="3">
        <f>IFERROR(__xludf.DUMMYFUNCTION("split(B279,""/"")"),1.0)</f>
        <v>1</v>
      </c>
      <c r="D279" s="10">
        <f>IFERROR(__xludf.DUMMYFUNCTION("""COMPUTED_VALUE"""),20.0)</f>
        <v>20</v>
      </c>
      <c r="E279" s="11">
        <f>IFERROR(__xludf.DUMMYFUNCTION("""COMPUTED_VALUE"""),2015.0)</f>
        <v>2015</v>
      </c>
      <c r="F279" s="12">
        <f t="shared" si="1"/>
        <v>42024</v>
      </c>
      <c r="G279" s="3" t="s">
        <v>856</v>
      </c>
      <c r="H279" s="3">
        <f>IFERROR(__xludf.DUMMYFUNCTION("split(G279,""/"")"),1.0)</f>
        <v>1</v>
      </c>
      <c r="I279" s="3">
        <f>IFERROR(__xludf.DUMMYFUNCTION("""COMPUTED_VALUE"""),27.0)</f>
        <v>27</v>
      </c>
      <c r="J279" s="3">
        <f>IFERROR(__xludf.DUMMYFUNCTION("""COMPUTED_VALUE"""),2015.0)</f>
        <v>2015</v>
      </c>
      <c r="K279" s="12">
        <f t="shared" si="2"/>
        <v>42031</v>
      </c>
      <c r="L279" s="3" t="s">
        <v>825</v>
      </c>
      <c r="M279" s="3" t="s">
        <v>593</v>
      </c>
      <c r="N279" s="3">
        <v>8681.0</v>
      </c>
      <c r="O279" s="3" t="s">
        <v>818</v>
      </c>
      <c r="P279" s="10">
        <v>567.0</v>
      </c>
      <c r="Q279" s="13">
        <v>651.21</v>
      </c>
      <c r="R279" s="13">
        <v>524.96</v>
      </c>
      <c r="S279" s="13">
        <f t="shared" si="3"/>
        <v>369236.07</v>
      </c>
      <c r="T279" s="13">
        <f t="shared" si="4"/>
        <v>297652.32</v>
      </c>
      <c r="U279" s="13">
        <f t="shared" si="5"/>
        <v>71583.75</v>
      </c>
      <c r="V279" s="3" t="str">
        <f>VLOOKUP(N279,products!A:B,2,0)</f>
        <v>Office Supplies</v>
      </c>
      <c r="W279" s="3" t="s">
        <v>28</v>
      </c>
      <c r="X279" s="3" t="s">
        <v>98</v>
      </c>
      <c r="Y279" s="14">
        <f t="shared" si="9"/>
        <v>0.193869873</v>
      </c>
      <c r="Z279" s="3">
        <f t="shared" si="7"/>
        <v>7</v>
      </c>
      <c r="AA279" s="15">
        <f t="shared" si="8"/>
        <v>3</v>
      </c>
    </row>
    <row r="280" ht="15.75" customHeight="1">
      <c r="A280" s="3">
        <v>2.84108436E8</v>
      </c>
      <c r="B280" s="3" t="s">
        <v>1128</v>
      </c>
      <c r="C280" s="3">
        <f>IFERROR(__xludf.DUMMYFUNCTION("split(B280,""/"")"),3.0)</f>
        <v>3</v>
      </c>
      <c r="D280" s="10">
        <f>IFERROR(__xludf.DUMMYFUNCTION("""COMPUTED_VALUE"""),29.0)</f>
        <v>29</v>
      </c>
      <c r="E280" s="11">
        <f>IFERROR(__xludf.DUMMYFUNCTION("""COMPUTED_VALUE"""),2014.0)</f>
        <v>2014</v>
      </c>
      <c r="F280" s="12">
        <f t="shared" si="1"/>
        <v>41727</v>
      </c>
      <c r="G280" s="9">
        <v>41702.0</v>
      </c>
      <c r="H280" s="3">
        <f>IFERROR(__xludf.DUMMYFUNCTION("split(G280,""/"")"),4.0)</f>
        <v>4</v>
      </c>
      <c r="I280" s="3">
        <f>IFERROR(__xludf.DUMMYFUNCTION("""COMPUTED_VALUE"""),3.0)</f>
        <v>3</v>
      </c>
      <c r="J280" s="3">
        <f>IFERROR(__xludf.DUMMYFUNCTION("""COMPUTED_VALUE"""),2014.0)</f>
        <v>2014</v>
      </c>
      <c r="K280" s="12">
        <f t="shared" si="2"/>
        <v>41732</v>
      </c>
      <c r="L280" s="3" t="s">
        <v>814</v>
      </c>
      <c r="M280" s="3" t="s">
        <v>455</v>
      </c>
      <c r="N280" s="3">
        <v>8293.0</v>
      </c>
      <c r="O280" s="3" t="s">
        <v>815</v>
      </c>
      <c r="P280" s="10">
        <v>2854.0</v>
      </c>
      <c r="Q280" s="13">
        <v>437.2</v>
      </c>
      <c r="R280" s="13">
        <v>263.33</v>
      </c>
      <c r="S280" s="13">
        <f t="shared" si="3"/>
        <v>1247768.8</v>
      </c>
      <c r="T280" s="13">
        <f t="shared" si="4"/>
        <v>751543.82</v>
      </c>
      <c r="U280" s="13">
        <f t="shared" si="5"/>
        <v>496224.98</v>
      </c>
      <c r="V280" s="3" t="str">
        <f>VLOOKUP(N280,products!A:B,2,0)</f>
        <v>Cosmetics</v>
      </c>
      <c r="W280" s="3" t="s">
        <v>28</v>
      </c>
      <c r="X280" s="3" t="s">
        <v>33</v>
      </c>
      <c r="Y280" s="14">
        <f t="shared" si="9"/>
        <v>0.3976898445</v>
      </c>
      <c r="Z280" s="3">
        <f t="shared" si="7"/>
        <v>5</v>
      </c>
      <c r="AA280" s="15">
        <f t="shared" si="8"/>
        <v>7</v>
      </c>
    </row>
    <row r="281" ht="15.75" customHeight="1">
      <c r="A281" s="3">
        <v>2.84310567E8</v>
      </c>
      <c r="B281" s="3" t="s">
        <v>1129</v>
      </c>
      <c r="C281" s="3">
        <f>IFERROR(__xludf.DUMMYFUNCTION("split(B281,""/"")"),7.0)</f>
        <v>7</v>
      </c>
      <c r="D281" s="10">
        <f>IFERROR(__xludf.DUMMYFUNCTION("""COMPUTED_VALUE"""),20.0)</f>
        <v>20</v>
      </c>
      <c r="E281" s="11">
        <f>IFERROR(__xludf.DUMMYFUNCTION("""COMPUTED_VALUE"""),2016.0)</f>
        <v>2016</v>
      </c>
      <c r="F281" s="12">
        <f t="shared" si="1"/>
        <v>42571</v>
      </c>
      <c r="G281" s="9">
        <v>42409.0</v>
      </c>
      <c r="H281" s="3">
        <f>IFERROR(__xludf.DUMMYFUNCTION("split(G281,""/"")"),9.0)</f>
        <v>9</v>
      </c>
      <c r="I281" s="3">
        <f>IFERROR(__xludf.DUMMYFUNCTION("""COMPUTED_VALUE"""),2.0)</f>
        <v>2</v>
      </c>
      <c r="J281" s="3">
        <f>IFERROR(__xludf.DUMMYFUNCTION("""COMPUTED_VALUE"""),2016.0)</f>
        <v>2016</v>
      </c>
      <c r="K281" s="12">
        <f t="shared" si="2"/>
        <v>42615</v>
      </c>
      <c r="L281" s="3" t="s">
        <v>814</v>
      </c>
      <c r="M281" s="3" t="s">
        <v>575</v>
      </c>
      <c r="N281" s="3">
        <v>8293.0</v>
      </c>
      <c r="O281" s="3" t="s">
        <v>818</v>
      </c>
      <c r="P281" s="10">
        <v>2670.0</v>
      </c>
      <c r="Q281" s="13">
        <v>437.2</v>
      </c>
      <c r="R281" s="13">
        <v>263.33</v>
      </c>
      <c r="S281" s="13">
        <f t="shared" si="3"/>
        <v>1167324</v>
      </c>
      <c r="T281" s="13">
        <f t="shared" si="4"/>
        <v>703091.1</v>
      </c>
      <c r="U281" s="13">
        <f t="shared" si="5"/>
        <v>464232.9</v>
      </c>
      <c r="V281" s="3" t="str">
        <f>VLOOKUP(N281,products!A:B,2,0)</f>
        <v>Cosmetics</v>
      </c>
      <c r="W281" s="3" t="s">
        <v>28</v>
      </c>
      <c r="X281" s="3" t="s">
        <v>98</v>
      </c>
      <c r="Y281" s="14">
        <f t="shared" si="9"/>
        <v>0.3976898445</v>
      </c>
      <c r="Z281" s="3">
        <f t="shared" si="7"/>
        <v>44</v>
      </c>
      <c r="AA281" s="15">
        <f t="shared" si="8"/>
        <v>4</v>
      </c>
    </row>
    <row r="282" ht="15.75" customHeight="1">
      <c r="A282" s="3">
        <v>2.84403264E8</v>
      </c>
      <c r="B282" s="9">
        <v>42563.0</v>
      </c>
      <c r="C282" s="3">
        <f>IFERROR(__xludf.DUMMYFUNCTION("split(B282,""/"")"),12.0)</f>
        <v>12</v>
      </c>
      <c r="D282" s="10">
        <f>IFERROR(__xludf.DUMMYFUNCTION("""COMPUTED_VALUE"""),7.0)</f>
        <v>7</v>
      </c>
      <c r="E282" s="11">
        <f>IFERROR(__xludf.DUMMYFUNCTION("""COMPUTED_VALUE"""),2016.0)</f>
        <v>2016</v>
      </c>
      <c r="F282" s="12">
        <f t="shared" si="1"/>
        <v>42711</v>
      </c>
      <c r="G282" s="3" t="s">
        <v>1130</v>
      </c>
      <c r="H282" s="3">
        <f>IFERROR(__xludf.DUMMYFUNCTION("split(G282,""/"")"),12.0)</f>
        <v>12</v>
      </c>
      <c r="I282" s="3">
        <f>IFERROR(__xludf.DUMMYFUNCTION("""COMPUTED_VALUE"""),27.0)</f>
        <v>27</v>
      </c>
      <c r="J282" s="3">
        <f>IFERROR(__xludf.DUMMYFUNCTION("""COMPUTED_VALUE"""),2016.0)</f>
        <v>2016</v>
      </c>
      <c r="K282" s="12">
        <f t="shared" si="2"/>
        <v>42731</v>
      </c>
      <c r="L282" s="3" t="s">
        <v>817</v>
      </c>
      <c r="M282" s="3" t="s">
        <v>686</v>
      </c>
      <c r="N282" s="3">
        <v>5988.0</v>
      </c>
      <c r="O282" s="3" t="s">
        <v>818</v>
      </c>
      <c r="P282" s="10">
        <v>101.0</v>
      </c>
      <c r="Q282" s="13">
        <v>154.06</v>
      </c>
      <c r="R282" s="13">
        <v>90.93</v>
      </c>
      <c r="S282" s="13">
        <f t="shared" si="3"/>
        <v>15560.06</v>
      </c>
      <c r="T282" s="13">
        <f t="shared" si="4"/>
        <v>9183.93</v>
      </c>
      <c r="U282" s="13">
        <f t="shared" si="5"/>
        <v>6376.13</v>
      </c>
      <c r="V282" s="3" t="str">
        <f>VLOOKUP(N282,products!A:B,2,0)</f>
        <v>Vegetables</v>
      </c>
      <c r="W282" s="3" t="s">
        <v>28</v>
      </c>
      <c r="X282" s="3" t="s">
        <v>29</v>
      </c>
      <c r="Y282" s="14">
        <f t="shared" si="9"/>
        <v>0.4097754122</v>
      </c>
      <c r="Z282" s="3">
        <f t="shared" si="7"/>
        <v>20</v>
      </c>
      <c r="AA282" s="15">
        <f t="shared" si="8"/>
        <v>4</v>
      </c>
    </row>
    <row r="283" ht="15.75" customHeight="1">
      <c r="A283" s="3">
        <v>2.84435451E8</v>
      </c>
      <c r="B283" s="3" t="s">
        <v>1131</v>
      </c>
      <c r="C283" s="3">
        <f>IFERROR(__xludf.DUMMYFUNCTION("split(B283,""/"")"),6.0)</f>
        <v>6</v>
      </c>
      <c r="D283" s="10">
        <f>IFERROR(__xludf.DUMMYFUNCTION("""COMPUTED_VALUE"""),29.0)</f>
        <v>29</v>
      </c>
      <c r="E283" s="11">
        <f>IFERROR(__xludf.DUMMYFUNCTION("""COMPUTED_VALUE"""),2013.0)</f>
        <v>2013</v>
      </c>
      <c r="F283" s="12">
        <f t="shared" si="1"/>
        <v>41454</v>
      </c>
      <c r="G283" s="3" t="s">
        <v>1131</v>
      </c>
      <c r="H283" s="3">
        <f>IFERROR(__xludf.DUMMYFUNCTION("split(G283,""/"")"),6.0)</f>
        <v>6</v>
      </c>
      <c r="I283" s="3">
        <f>IFERROR(__xludf.DUMMYFUNCTION("""COMPUTED_VALUE"""),29.0)</f>
        <v>29</v>
      </c>
      <c r="J283" s="3">
        <f>IFERROR(__xludf.DUMMYFUNCTION("""COMPUTED_VALUE"""),2013.0)</f>
        <v>2013</v>
      </c>
      <c r="K283" s="12">
        <f t="shared" si="2"/>
        <v>41454</v>
      </c>
      <c r="L283" s="3" t="s">
        <v>817</v>
      </c>
      <c r="M283" s="3" t="s">
        <v>488</v>
      </c>
      <c r="N283" s="3">
        <v>3127.0</v>
      </c>
      <c r="O283" s="3" t="s">
        <v>818</v>
      </c>
      <c r="P283" s="10">
        <v>9625.0</v>
      </c>
      <c r="Q283" s="13">
        <v>81.73</v>
      </c>
      <c r="R283" s="13">
        <v>56.67</v>
      </c>
      <c r="S283" s="13">
        <f t="shared" si="3"/>
        <v>786651.25</v>
      </c>
      <c r="T283" s="13">
        <f t="shared" si="4"/>
        <v>545448.75</v>
      </c>
      <c r="U283" s="13">
        <f t="shared" si="5"/>
        <v>241202.5</v>
      </c>
      <c r="V283" s="3" t="str">
        <f>VLOOKUP(N283,products!A:B,2,0)</f>
        <v>Personal Care</v>
      </c>
      <c r="W283" s="3" t="s">
        <v>28</v>
      </c>
      <c r="X283" s="3" t="s">
        <v>33</v>
      </c>
      <c r="Y283" s="14">
        <f t="shared" si="9"/>
        <v>0.3066193564</v>
      </c>
      <c r="Z283" s="3">
        <f t="shared" si="7"/>
        <v>0</v>
      </c>
      <c r="AA283" s="15">
        <f t="shared" si="8"/>
        <v>7</v>
      </c>
    </row>
    <row r="284" ht="15.75" customHeight="1">
      <c r="A284" s="3">
        <v>2.84595954E8</v>
      </c>
      <c r="B284" s="3" t="s">
        <v>1132</v>
      </c>
      <c r="C284" s="3">
        <f>IFERROR(__xludf.DUMMYFUNCTION("split(B284,""/"")"),10.0)</f>
        <v>10</v>
      </c>
      <c r="D284" s="10">
        <f>IFERROR(__xludf.DUMMYFUNCTION("""COMPUTED_VALUE"""),27.0)</f>
        <v>27</v>
      </c>
      <c r="E284" s="11">
        <f>IFERROR(__xludf.DUMMYFUNCTION("""COMPUTED_VALUE"""),2016.0)</f>
        <v>2016</v>
      </c>
      <c r="F284" s="12">
        <f t="shared" si="1"/>
        <v>42670</v>
      </c>
      <c r="G284" s="3" t="s">
        <v>1133</v>
      </c>
      <c r="H284" s="3">
        <f>IFERROR(__xludf.DUMMYFUNCTION("split(G284,""/"")"),10.0)</f>
        <v>10</v>
      </c>
      <c r="I284" s="3">
        <f>IFERROR(__xludf.DUMMYFUNCTION("""COMPUTED_VALUE"""),29.0)</f>
        <v>29</v>
      </c>
      <c r="J284" s="3">
        <f>IFERROR(__xludf.DUMMYFUNCTION("""COMPUTED_VALUE"""),2016.0)</f>
        <v>2016</v>
      </c>
      <c r="K284" s="12">
        <f t="shared" si="2"/>
        <v>42672</v>
      </c>
      <c r="L284" s="3" t="s">
        <v>817</v>
      </c>
      <c r="M284" s="3" t="s">
        <v>623</v>
      </c>
      <c r="N284" s="3">
        <v>8293.0</v>
      </c>
      <c r="O284" s="3" t="s">
        <v>818</v>
      </c>
      <c r="P284" s="10">
        <v>7122.0</v>
      </c>
      <c r="Q284" s="13">
        <v>437.2</v>
      </c>
      <c r="R284" s="13">
        <v>263.33</v>
      </c>
      <c r="S284" s="13">
        <f t="shared" si="3"/>
        <v>3113738.4</v>
      </c>
      <c r="T284" s="13">
        <f t="shared" si="4"/>
        <v>1875436.26</v>
      </c>
      <c r="U284" s="13">
        <f t="shared" si="5"/>
        <v>1238302.14</v>
      </c>
      <c r="V284" s="3" t="str">
        <f>VLOOKUP(N284,products!A:B,2,0)</f>
        <v>Cosmetics</v>
      </c>
      <c r="W284" s="3" t="s">
        <v>28</v>
      </c>
      <c r="X284" s="3" t="s">
        <v>33</v>
      </c>
      <c r="Y284" s="14">
        <f t="shared" si="9"/>
        <v>0.3976898445</v>
      </c>
      <c r="Z284" s="3">
        <f t="shared" si="7"/>
        <v>2</v>
      </c>
      <c r="AA284" s="15">
        <f t="shared" si="8"/>
        <v>5</v>
      </c>
    </row>
    <row r="285" ht="15.75" customHeight="1">
      <c r="A285" s="3">
        <v>2.85343968E8</v>
      </c>
      <c r="B285" s="3" t="s">
        <v>1134</v>
      </c>
      <c r="C285" s="3">
        <f>IFERROR(__xludf.DUMMYFUNCTION("split(B285,""/"")"),8.0)</f>
        <v>8</v>
      </c>
      <c r="D285" s="10">
        <f>IFERROR(__xludf.DUMMYFUNCTION("""COMPUTED_VALUE"""),31.0)</f>
        <v>31</v>
      </c>
      <c r="E285" s="11">
        <f>IFERROR(__xludf.DUMMYFUNCTION("""COMPUTED_VALUE"""),2014.0)</f>
        <v>2014</v>
      </c>
      <c r="F285" s="12">
        <f t="shared" si="1"/>
        <v>41882</v>
      </c>
      <c r="G285" s="9">
        <v>41768.0</v>
      </c>
      <c r="H285" s="3">
        <f>IFERROR(__xludf.DUMMYFUNCTION("split(G285,""/"")"),9.0)</f>
        <v>9</v>
      </c>
      <c r="I285" s="3">
        <f>IFERROR(__xludf.DUMMYFUNCTION("""COMPUTED_VALUE"""),5.0)</f>
        <v>5</v>
      </c>
      <c r="J285" s="3">
        <f>IFERROR(__xludf.DUMMYFUNCTION("""COMPUTED_VALUE"""),2014.0)</f>
        <v>2014</v>
      </c>
      <c r="K285" s="12">
        <f t="shared" si="2"/>
        <v>41887</v>
      </c>
      <c r="L285" s="3" t="s">
        <v>817</v>
      </c>
      <c r="M285" s="3" t="s">
        <v>635</v>
      </c>
      <c r="N285" s="3">
        <v>5988.0</v>
      </c>
      <c r="O285" s="3" t="s">
        <v>815</v>
      </c>
      <c r="P285" s="10">
        <v>8476.0</v>
      </c>
      <c r="Q285" s="13">
        <v>154.06</v>
      </c>
      <c r="R285" s="13">
        <v>90.93</v>
      </c>
      <c r="S285" s="13">
        <f t="shared" si="3"/>
        <v>1305812.56</v>
      </c>
      <c r="T285" s="13">
        <f t="shared" si="4"/>
        <v>770722.68</v>
      </c>
      <c r="U285" s="13">
        <f t="shared" si="5"/>
        <v>535089.88</v>
      </c>
      <c r="V285" s="3" t="str">
        <f>VLOOKUP(N285,products!A:B,2,0)</f>
        <v>Vegetables</v>
      </c>
      <c r="W285" s="3" t="s">
        <v>28</v>
      </c>
      <c r="X285" s="3" t="s">
        <v>33</v>
      </c>
      <c r="Y285" s="14">
        <f t="shared" si="9"/>
        <v>0.4097754122</v>
      </c>
      <c r="Z285" s="3">
        <f t="shared" si="7"/>
        <v>5</v>
      </c>
      <c r="AA285" s="15">
        <f t="shared" si="8"/>
        <v>1</v>
      </c>
    </row>
    <row r="286" ht="15.75" customHeight="1">
      <c r="A286" s="3">
        <v>2.87151563E8</v>
      </c>
      <c r="B286" s="9">
        <v>41678.0</v>
      </c>
      <c r="C286" s="3">
        <f>IFERROR(__xludf.DUMMYFUNCTION("split(B286,""/"")"),8.0)</f>
        <v>8</v>
      </c>
      <c r="D286" s="10">
        <f>IFERROR(__xludf.DUMMYFUNCTION("""COMPUTED_VALUE"""),2.0)</f>
        <v>2</v>
      </c>
      <c r="E286" s="11">
        <f>IFERROR(__xludf.DUMMYFUNCTION("""COMPUTED_VALUE"""),2014.0)</f>
        <v>2014</v>
      </c>
      <c r="F286" s="12">
        <f t="shared" si="1"/>
        <v>41853</v>
      </c>
      <c r="G286" s="9">
        <v>41951.0</v>
      </c>
      <c r="H286" s="3">
        <f>IFERROR(__xludf.DUMMYFUNCTION("split(G286,""/"")"),8.0)</f>
        <v>8</v>
      </c>
      <c r="I286" s="3">
        <f>IFERROR(__xludf.DUMMYFUNCTION("""COMPUTED_VALUE"""),11.0)</f>
        <v>11</v>
      </c>
      <c r="J286" s="3">
        <f>IFERROR(__xludf.DUMMYFUNCTION("""COMPUTED_VALUE"""),2014.0)</f>
        <v>2014</v>
      </c>
      <c r="K286" s="12">
        <f t="shared" si="2"/>
        <v>41862</v>
      </c>
      <c r="L286" s="3" t="s">
        <v>814</v>
      </c>
      <c r="M286" s="3" t="s">
        <v>689</v>
      </c>
      <c r="N286" s="3">
        <v>3127.0</v>
      </c>
      <c r="O286" s="3" t="s">
        <v>818</v>
      </c>
      <c r="P286" s="10">
        <v>3383.0</v>
      </c>
      <c r="Q286" s="13">
        <v>81.73</v>
      </c>
      <c r="R286" s="13">
        <v>56.67</v>
      </c>
      <c r="S286" s="13">
        <f t="shared" si="3"/>
        <v>276492.59</v>
      </c>
      <c r="T286" s="13">
        <f t="shared" si="4"/>
        <v>191714.61</v>
      </c>
      <c r="U286" s="13">
        <f t="shared" si="5"/>
        <v>84777.98</v>
      </c>
      <c r="V286" s="3" t="str">
        <f>VLOOKUP(N286,products!A:B,2,0)</f>
        <v>Personal Care</v>
      </c>
      <c r="W286" s="3" t="s">
        <v>28</v>
      </c>
      <c r="X286" s="3" t="s">
        <v>79</v>
      </c>
      <c r="Y286" s="14">
        <f t="shared" si="9"/>
        <v>0.3066193564</v>
      </c>
      <c r="Z286" s="3">
        <f t="shared" si="7"/>
        <v>9</v>
      </c>
      <c r="AA286" s="15">
        <f t="shared" si="8"/>
        <v>7</v>
      </c>
    </row>
    <row r="287" ht="15.75" customHeight="1">
      <c r="A287" s="3">
        <v>2.87917602E8</v>
      </c>
      <c r="B287" s="9">
        <v>40980.0</v>
      </c>
      <c r="C287" s="3">
        <f>IFERROR(__xludf.DUMMYFUNCTION("split(B287,""/"")"),12.0)</f>
        <v>12</v>
      </c>
      <c r="D287" s="10">
        <f>IFERROR(__xludf.DUMMYFUNCTION("""COMPUTED_VALUE"""),3.0)</f>
        <v>3</v>
      </c>
      <c r="E287" s="11">
        <f>IFERROR(__xludf.DUMMYFUNCTION("""COMPUTED_VALUE"""),2012.0)</f>
        <v>2012</v>
      </c>
      <c r="F287" s="12">
        <f t="shared" si="1"/>
        <v>41246</v>
      </c>
      <c r="G287" s="9">
        <v>41395.0</v>
      </c>
      <c r="H287" s="3">
        <f>IFERROR(__xludf.DUMMYFUNCTION("split(G287,""/"")"),1.0)</f>
        <v>1</v>
      </c>
      <c r="I287" s="3">
        <f>IFERROR(__xludf.DUMMYFUNCTION("""COMPUTED_VALUE"""),5.0)</f>
        <v>5</v>
      </c>
      <c r="J287" s="3">
        <f>IFERROR(__xludf.DUMMYFUNCTION("""COMPUTED_VALUE"""),2013.0)</f>
        <v>2013</v>
      </c>
      <c r="K287" s="12">
        <f t="shared" si="2"/>
        <v>41279</v>
      </c>
      <c r="L287" s="3" t="s">
        <v>825</v>
      </c>
      <c r="M287" s="3" t="s">
        <v>291</v>
      </c>
      <c r="N287" s="3">
        <v>3127.0</v>
      </c>
      <c r="O287" s="3" t="s">
        <v>815</v>
      </c>
      <c r="P287" s="10">
        <v>71.0</v>
      </c>
      <c r="Q287" s="13">
        <v>81.73</v>
      </c>
      <c r="R287" s="13">
        <v>56.67</v>
      </c>
      <c r="S287" s="13">
        <f t="shared" si="3"/>
        <v>5802.83</v>
      </c>
      <c r="T287" s="13">
        <f t="shared" si="4"/>
        <v>4023.57</v>
      </c>
      <c r="U287" s="13">
        <f t="shared" si="5"/>
        <v>1779.26</v>
      </c>
      <c r="V287" s="3" t="str">
        <f>VLOOKUP(N287,products!A:B,2,0)</f>
        <v>Personal Care</v>
      </c>
      <c r="W287" s="3" t="s">
        <v>28</v>
      </c>
      <c r="X287" s="3" t="s">
        <v>79</v>
      </c>
      <c r="Y287" s="14">
        <f t="shared" si="9"/>
        <v>0.3066193564</v>
      </c>
      <c r="Z287" s="3">
        <f t="shared" si="7"/>
        <v>33</v>
      </c>
      <c r="AA287" s="15">
        <f t="shared" si="8"/>
        <v>2</v>
      </c>
    </row>
    <row r="288" ht="15.75" customHeight="1">
      <c r="A288" s="3">
        <v>2.88073384E8</v>
      </c>
      <c r="B288" s="3" t="s">
        <v>1135</v>
      </c>
      <c r="C288" s="3">
        <f>IFERROR(__xludf.DUMMYFUNCTION("split(B288,""/"")"),1.0)</f>
        <v>1</v>
      </c>
      <c r="D288" s="10">
        <f>IFERROR(__xludf.DUMMYFUNCTION("""COMPUTED_VALUE"""),15.0)</f>
        <v>15</v>
      </c>
      <c r="E288" s="11">
        <f>IFERROR(__xludf.DUMMYFUNCTION("""COMPUTED_VALUE"""),2015.0)</f>
        <v>2015</v>
      </c>
      <c r="F288" s="12">
        <f t="shared" si="1"/>
        <v>42019</v>
      </c>
      <c r="G288" s="3" t="s">
        <v>1136</v>
      </c>
      <c r="H288" s="3">
        <f>IFERROR(__xludf.DUMMYFUNCTION("split(G288,""/"")"),2.0)</f>
        <v>2</v>
      </c>
      <c r="I288" s="3">
        <f>IFERROR(__xludf.DUMMYFUNCTION("""COMPUTED_VALUE"""),16.0)</f>
        <v>16</v>
      </c>
      <c r="J288" s="3">
        <f>IFERROR(__xludf.DUMMYFUNCTION("""COMPUTED_VALUE"""),2015.0)</f>
        <v>2015</v>
      </c>
      <c r="K288" s="12">
        <f t="shared" si="2"/>
        <v>42051</v>
      </c>
      <c r="L288" s="3" t="s">
        <v>827</v>
      </c>
      <c r="M288" s="3" t="s">
        <v>300</v>
      </c>
      <c r="N288" s="3">
        <v>7331.0</v>
      </c>
      <c r="O288" s="3" t="s">
        <v>818</v>
      </c>
      <c r="P288" s="10">
        <v>6171.0</v>
      </c>
      <c r="Q288" s="13">
        <v>255.28</v>
      </c>
      <c r="R288" s="13">
        <v>159.42</v>
      </c>
      <c r="S288" s="13">
        <f t="shared" si="3"/>
        <v>1575332.88</v>
      </c>
      <c r="T288" s="13">
        <f t="shared" si="4"/>
        <v>983780.82</v>
      </c>
      <c r="U288" s="13">
        <f t="shared" si="5"/>
        <v>591552.06</v>
      </c>
      <c r="V288" s="3" t="str">
        <f>VLOOKUP(N288,products!A:B,2,0)</f>
        <v>Baby Food</v>
      </c>
      <c r="W288" s="3" t="s">
        <v>28</v>
      </c>
      <c r="X288" s="3" t="s">
        <v>33</v>
      </c>
      <c r="Y288" s="14">
        <f t="shared" si="9"/>
        <v>0.3755092448</v>
      </c>
      <c r="Z288" s="3">
        <f t="shared" si="7"/>
        <v>32</v>
      </c>
      <c r="AA288" s="15">
        <f t="shared" si="8"/>
        <v>5</v>
      </c>
    </row>
    <row r="289" ht="15.75" customHeight="1">
      <c r="A289" s="3">
        <v>2.88656175E8</v>
      </c>
      <c r="B289" s="3" t="s">
        <v>1137</v>
      </c>
      <c r="C289" s="3">
        <f>IFERROR(__xludf.DUMMYFUNCTION("split(B289,""/"")"),11.0)</f>
        <v>11</v>
      </c>
      <c r="D289" s="10">
        <f>IFERROR(__xludf.DUMMYFUNCTION("""COMPUTED_VALUE"""),30.0)</f>
        <v>30</v>
      </c>
      <c r="E289" s="11">
        <f>IFERROR(__xludf.DUMMYFUNCTION("""COMPUTED_VALUE"""),2015.0)</f>
        <v>2015</v>
      </c>
      <c r="F289" s="12">
        <f t="shared" si="1"/>
        <v>42338</v>
      </c>
      <c r="G289" s="3" t="s">
        <v>1138</v>
      </c>
      <c r="H289" s="3">
        <f>IFERROR(__xludf.DUMMYFUNCTION("split(G289,""/"")"),12.0)</f>
        <v>12</v>
      </c>
      <c r="I289" s="3">
        <f>IFERROR(__xludf.DUMMYFUNCTION("""COMPUTED_VALUE"""),30.0)</f>
        <v>30</v>
      </c>
      <c r="J289" s="3">
        <f>IFERROR(__xludf.DUMMYFUNCTION("""COMPUTED_VALUE"""),2015.0)</f>
        <v>2015</v>
      </c>
      <c r="K289" s="12">
        <f t="shared" si="2"/>
        <v>42368</v>
      </c>
      <c r="L289" s="3" t="s">
        <v>825</v>
      </c>
      <c r="M289" s="3" t="s">
        <v>123</v>
      </c>
      <c r="N289" s="3">
        <v>8681.0</v>
      </c>
      <c r="O289" s="3" t="s">
        <v>818</v>
      </c>
      <c r="P289" s="10">
        <v>8632.0</v>
      </c>
      <c r="Q289" s="13">
        <v>651.21</v>
      </c>
      <c r="R289" s="13">
        <v>524.96</v>
      </c>
      <c r="S289" s="13">
        <f t="shared" si="3"/>
        <v>5621244.72</v>
      </c>
      <c r="T289" s="13">
        <f t="shared" si="4"/>
        <v>4531454.72</v>
      </c>
      <c r="U289" s="13">
        <f t="shared" si="5"/>
        <v>1089790</v>
      </c>
      <c r="V289" s="3" t="str">
        <f>VLOOKUP(N289,products!A:B,2,0)</f>
        <v>Office Supplies</v>
      </c>
      <c r="W289" s="3" t="s">
        <v>28</v>
      </c>
      <c r="X289" s="3" t="s">
        <v>33</v>
      </c>
      <c r="Y289" s="14">
        <f t="shared" si="9"/>
        <v>0.193869873</v>
      </c>
      <c r="Z289" s="3">
        <f t="shared" si="7"/>
        <v>30</v>
      </c>
      <c r="AA289" s="15">
        <f t="shared" si="8"/>
        <v>2</v>
      </c>
    </row>
    <row r="290" ht="15.75" customHeight="1">
      <c r="A290" s="3">
        <v>2.90317428E8</v>
      </c>
      <c r="B290" s="3" t="s">
        <v>1139</v>
      </c>
      <c r="C290" s="3">
        <f>IFERROR(__xludf.DUMMYFUNCTION("split(B290,""/"")"),2.0)</f>
        <v>2</v>
      </c>
      <c r="D290" s="10">
        <f>IFERROR(__xludf.DUMMYFUNCTION("""COMPUTED_VALUE"""),21.0)</f>
        <v>21</v>
      </c>
      <c r="E290" s="11">
        <f>IFERROR(__xludf.DUMMYFUNCTION("""COMPUTED_VALUE"""),2016.0)</f>
        <v>2016</v>
      </c>
      <c r="F290" s="12">
        <f t="shared" si="1"/>
        <v>42421</v>
      </c>
      <c r="G290" s="9">
        <v>42404.0</v>
      </c>
      <c r="H290" s="3">
        <f>IFERROR(__xludf.DUMMYFUNCTION("split(G290,""/"")"),4.0)</f>
        <v>4</v>
      </c>
      <c r="I290" s="3">
        <f>IFERROR(__xludf.DUMMYFUNCTION("""COMPUTED_VALUE"""),2.0)</f>
        <v>2</v>
      </c>
      <c r="J290" s="3">
        <f>IFERROR(__xludf.DUMMYFUNCTION("""COMPUTED_VALUE"""),2016.0)</f>
        <v>2016</v>
      </c>
      <c r="K290" s="12">
        <f t="shared" si="2"/>
        <v>42462</v>
      </c>
      <c r="L290" s="3" t="s">
        <v>814</v>
      </c>
      <c r="M290" s="3" t="s">
        <v>373</v>
      </c>
      <c r="N290" s="3">
        <v>8875.0</v>
      </c>
      <c r="O290" s="3" t="s">
        <v>815</v>
      </c>
      <c r="P290" s="10">
        <v>233.0</v>
      </c>
      <c r="Q290" s="13">
        <v>421.89</v>
      </c>
      <c r="R290" s="13">
        <v>364.69</v>
      </c>
      <c r="S290" s="13">
        <f t="shared" si="3"/>
        <v>98300.37</v>
      </c>
      <c r="T290" s="13">
        <f t="shared" si="4"/>
        <v>84972.77</v>
      </c>
      <c r="U290" s="13">
        <f t="shared" si="5"/>
        <v>13327.6</v>
      </c>
      <c r="V290" s="3" t="str">
        <f>VLOOKUP(N290,products!A:B,2,0)</f>
        <v>Meat</v>
      </c>
      <c r="W290" s="3" t="s">
        <v>28</v>
      </c>
      <c r="X290" s="3" t="s">
        <v>33</v>
      </c>
      <c r="Y290" s="14">
        <f t="shared" si="9"/>
        <v>0.1355803646</v>
      </c>
      <c r="Z290" s="3">
        <f t="shared" si="7"/>
        <v>41</v>
      </c>
      <c r="AA290" s="15">
        <f t="shared" si="8"/>
        <v>1</v>
      </c>
    </row>
    <row r="291" ht="15.75" customHeight="1">
      <c r="A291" s="3">
        <v>2.91160714E8</v>
      </c>
      <c r="B291" s="9">
        <v>41186.0</v>
      </c>
      <c r="C291" s="3">
        <f>IFERROR(__xludf.DUMMYFUNCTION("split(B291,""/"")"),4.0)</f>
        <v>4</v>
      </c>
      <c r="D291" s="10">
        <f>IFERROR(__xludf.DUMMYFUNCTION("""COMPUTED_VALUE"""),10.0)</f>
        <v>10</v>
      </c>
      <c r="E291" s="11">
        <f>IFERROR(__xludf.DUMMYFUNCTION("""COMPUTED_VALUE"""),2012.0)</f>
        <v>2012</v>
      </c>
      <c r="F291" s="12">
        <f t="shared" si="1"/>
        <v>41009</v>
      </c>
      <c r="G291" s="3" t="s">
        <v>845</v>
      </c>
      <c r="H291" s="3">
        <f>IFERROR(__xludf.DUMMYFUNCTION("split(G291,""/"")"),5.0)</f>
        <v>5</v>
      </c>
      <c r="I291" s="3">
        <f>IFERROR(__xludf.DUMMYFUNCTION("""COMPUTED_VALUE"""),26.0)</f>
        <v>26</v>
      </c>
      <c r="J291" s="3">
        <f>IFERROR(__xludf.DUMMYFUNCTION("""COMPUTED_VALUE"""),2012.0)</f>
        <v>2012</v>
      </c>
      <c r="K291" s="12">
        <f t="shared" si="2"/>
        <v>41055</v>
      </c>
      <c r="L291" s="3" t="s">
        <v>827</v>
      </c>
      <c r="M291" s="3" t="s">
        <v>46</v>
      </c>
      <c r="N291" s="3">
        <v>8293.0</v>
      </c>
      <c r="O291" s="3" t="s">
        <v>815</v>
      </c>
      <c r="P291" s="10">
        <v>9780.0</v>
      </c>
      <c r="Q291" s="13">
        <v>437.2</v>
      </c>
      <c r="R291" s="13">
        <v>263.33</v>
      </c>
      <c r="S291" s="13">
        <f t="shared" si="3"/>
        <v>4275816</v>
      </c>
      <c r="T291" s="13">
        <f t="shared" si="4"/>
        <v>2575367.4</v>
      </c>
      <c r="U291" s="13">
        <f t="shared" si="5"/>
        <v>1700448.6</v>
      </c>
      <c r="V291" s="3" t="str">
        <f>VLOOKUP(N291,products!A:B,2,0)</f>
        <v>Cosmetics</v>
      </c>
      <c r="W291" s="3" t="s">
        <v>28</v>
      </c>
      <c r="X291" s="3" t="s">
        <v>33</v>
      </c>
      <c r="Y291" s="14">
        <f t="shared" si="9"/>
        <v>0.3976898445</v>
      </c>
      <c r="Z291" s="3">
        <f t="shared" si="7"/>
        <v>46</v>
      </c>
      <c r="AA291" s="15">
        <f t="shared" si="8"/>
        <v>3</v>
      </c>
    </row>
    <row r="292" ht="15.75" customHeight="1">
      <c r="A292" s="3">
        <v>2.91179597E8</v>
      </c>
      <c r="B292" s="3" t="s">
        <v>1140</v>
      </c>
      <c r="C292" s="3">
        <f>IFERROR(__xludf.DUMMYFUNCTION("split(B292,""/"")"),2.0)</f>
        <v>2</v>
      </c>
      <c r="D292" s="10">
        <f>IFERROR(__xludf.DUMMYFUNCTION("""COMPUTED_VALUE"""),13.0)</f>
        <v>13</v>
      </c>
      <c r="E292" s="11">
        <f>IFERROR(__xludf.DUMMYFUNCTION("""COMPUTED_VALUE"""),2017.0)</f>
        <v>2017</v>
      </c>
      <c r="F292" s="12">
        <f t="shared" si="1"/>
        <v>42779</v>
      </c>
      <c r="G292" s="3" t="s">
        <v>1141</v>
      </c>
      <c r="H292" s="3">
        <f>IFERROR(__xludf.DUMMYFUNCTION("split(G292,""/"")"),2.0)</f>
        <v>2</v>
      </c>
      <c r="I292" s="3">
        <f>IFERROR(__xludf.DUMMYFUNCTION("""COMPUTED_VALUE"""),20.0)</f>
        <v>20</v>
      </c>
      <c r="J292" s="3">
        <f>IFERROR(__xludf.DUMMYFUNCTION("""COMPUTED_VALUE"""),2017.0)</f>
        <v>2017</v>
      </c>
      <c r="K292" s="12">
        <f t="shared" si="2"/>
        <v>42786</v>
      </c>
      <c r="L292" s="3" t="s">
        <v>827</v>
      </c>
      <c r="M292" s="3" t="s">
        <v>428</v>
      </c>
      <c r="N292" s="3">
        <v>7940.0</v>
      </c>
      <c r="O292" s="3" t="s">
        <v>815</v>
      </c>
      <c r="P292" s="10">
        <v>5368.0</v>
      </c>
      <c r="Q292" s="13">
        <v>668.27</v>
      </c>
      <c r="R292" s="13">
        <v>502.54</v>
      </c>
      <c r="S292" s="13">
        <f t="shared" si="3"/>
        <v>3587273.36</v>
      </c>
      <c r="T292" s="13">
        <f t="shared" si="4"/>
        <v>2697634.72</v>
      </c>
      <c r="U292" s="13">
        <f t="shared" si="5"/>
        <v>889638.64</v>
      </c>
      <c r="V292" s="3" t="str">
        <f>VLOOKUP(N292,products!A:B,2,0)</f>
        <v>Household</v>
      </c>
      <c r="W292" s="3" t="s">
        <v>28</v>
      </c>
      <c r="X292" s="3" t="s">
        <v>79</v>
      </c>
      <c r="Y292" s="14">
        <f t="shared" si="9"/>
        <v>0.2479985635</v>
      </c>
      <c r="Z292" s="3">
        <f t="shared" si="7"/>
        <v>7</v>
      </c>
      <c r="AA292" s="15">
        <f t="shared" si="8"/>
        <v>2</v>
      </c>
    </row>
    <row r="293" ht="15.75" customHeight="1">
      <c r="A293" s="3">
        <v>2.91305768E8</v>
      </c>
      <c r="B293" s="9">
        <v>41395.0</v>
      </c>
      <c r="C293" s="3">
        <f>IFERROR(__xludf.DUMMYFUNCTION("split(B293,""/"")"),1.0)</f>
        <v>1</v>
      </c>
      <c r="D293" s="10">
        <f>IFERROR(__xludf.DUMMYFUNCTION("""COMPUTED_VALUE"""),5.0)</f>
        <v>5</v>
      </c>
      <c r="E293" s="11">
        <f>IFERROR(__xludf.DUMMYFUNCTION("""COMPUTED_VALUE"""),2013.0)</f>
        <v>2013</v>
      </c>
      <c r="F293" s="12">
        <f t="shared" si="1"/>
        <v>41279</v>
      </c>
      <c r="G293" s="9">
        <v>41426.0</v>
      </c>
      <c r="H293" s="3">
        <f>IFERROR(__xludf.DUMMYFUNCTION("split(G293,""/"")"),1.0)</f>
        <v>1</v>
      </c>
      <c r="I293" s="3">
        <f>IFERROR(__xludf.DUMMYFUNCTION("""COMPUTED_VALUE"""),6.0)</f>
        <v>6</v>
      </c>
      <c r="J293" s="3">
        <f>IFERROR(__xludf.DUMMYFUNCTION("""COMPUTED_VALUE"""),2013.0)</f>
        <v>2013</v>
      </c>
      <c r="K293" s="12">
        <f t="shared" si="2"/>
        <v>41280</v>
      </c>
      <c r="L293" s="3" t="s">
        <v>827</v>
      </c>
      <c r="M293" s="3" t="s">
        <v>123</v>
      </c>
      <c r="N293" s="3">
        <v>4594.0</v>
      </c>
      <c r="O293" s="3" t="s">
        <v>815</v>
      </c>
      <c r="P293" s="10">
        <v>2705.0</v>
      </c>
      <c r="Q293" s="13">
        <v>9.33</v>
      </c>
      <c r="R293" s="13">
        <v>6.92</v>
      </c>
      <c r="S293" s="13">
        <f t="shared" si="3"/>
        <v>25237.65</v>
      </c>
      <c r="T293" s="13">
        <f t="shared" si="4"/>
        <v>18718.6</v>
      </c>
      <c r="U293" s="13">
        <f t="shared" si="5"/>
        <v>6519.05</v>
      </c>
      <c r="V293" s="3" t="str">
        <f>VLOOKUP(N293,products!A:B,2,0)</f>
        <v>Fruits</v>
      </c>
      <c r="W293" s="3" t="s">
        <v>28</v>
      </c>
      <c r="X293" s="3" t="s">
        <v>33</v>
      </c>
      <c r="Y293" s="14">
        <f t="shared" si="9"/>
        <v>0.258306538</v>
      </c>
      <c r="Z293" s="3">
        <f t="shared" si="7"/>
        <v>1</v>
      </c>
      <c r="AA293" s="15">
        <f t="shared" si="8"/>
        <v>7</v>
      </c>
    </row>
    <row r="294" ht="15.75" customHeight="1">
      <c r="A294" s="3">
        <v>2.91531503E8</v>
      </c>
      <c r="B294" s="3" t="s">
        <v>1142</v>
      </c>
      <c r="C294" s="3">
        <f>IFERROR(__xludf.DUMMYFUNCTION("split(B294,""/"")"),10.0)</f>
        <v>10</v>
      </c>
      <c r="D294" s="10">
        <f>IFERROR(__xludf.DUMMYFUNCTION("""COMPUTED_VALUE"""),23.0)</f>
        <v>23</v>
      </c>
      <c r="E294" s="11">
        <f>IFERROR(__xludf.DUMMYFUNCTION("""COMPUTED_VALUE"""),2013.0)</f>
        <v>2013</v>
      </c>
      <c r="F294" s="12">
        <f t="shared" si="1"/>
        <v>41570</v>
      </c>
      <c r="G294" s="3" t="s">
        <v>1143</v>
      </c>
      <c r="H294" s="3">
        <f>IFERROR(__xludf.DUMMYFUNCTION("split(G294,""/"")"),10.0)</f>
        <v>10</v>
      </c>
      <c r="I294" s="3">
        <f>IFERROR(__xludf.DUMMYFUNCTION("""COMPUTED_VALUE"""),26.0)</f>
        <v>26</v>
      </c>
      <c r="J294" s="3">
        <f>IFERROR(__xludf.DUMMYFUNCTION("""COMPUTED_VALUE"""),2013.0)</f>
        <v>2013</v>
      </c>
      <c r="K294" s="12">
        <f t="shared" si="2"/>
        <v>41573</v>
      </c>
      <c r="L294" s="3" t="s">
        <v>825</v>
      </c>
      <c r="M294" s="3" t="s">
        <v>650</v>
      </c>
      <c r="N294" s="3">
        <v>1270.0</v>
      </c>
      <c r="O294" s="3" t="s">
        <v>815</v>
      </c>
      <c r="P294" s="10">
        <v>9505.0</v>
      </c>
      <c r="Q294" s="13">
        <v>47.45</v>
      </c>
      <c r="R294" s="13">
        <v>31.79</v>
      </c>
      <c r="S294" s="13">
        <f t="shared" si="3"/>
        <v>451012.25</v>
      </c>
      <c r="T294" s="13">
        <f t="shared" si="4"/>
        <v>302163.95</v>
      </c>
      <c r="U294" s="13">
        <f t="shared" si="5"/>
        <v>148848.3</v>
      </c>
      <c r="V294" s="3" t="str">
        <f>VLOOKUP(N294,products!A:B,2,0)</f>
        <v>Beverages</v>
      </c>
      <c r="W294" s="3" t="s">
        <v>28</v>
      </c>
      <c r="X294" s="3" t="s">
        <v>98</v>
      </c>
      <c r="Y294" s="14">
        <f t="shared" si="9"/>
        <v>0.3300316122</v>
      </c>
      <c r="Z294" s="3">
        <f t="shared" si="7"/>
        <v>3</v>
      </c>
      <c r="AA294" s="15">
        <f t="shared" si="8"/>
        <v>4</v>
      </c>
    </row>
    <row r="295" ht="15.75" customHeight="1">
      <c r="A295" s="3">
        <v>2.91611325E8</v>
      </c>
      <c r="B295" s="9">
        <v>42737.0</v>
      </c>
      <c r="C295" s="3">
        <f>IFERROR(__xludf.DUMMYFUNCTION("split(B295,""/"")"),2.0)</f>
        <v>2</v>
      </c>
      <c r="D295" s="10">
        <f>IFERROR(__xludf.DUMMYFUNCTION("""COMPUTED_VALUE"""),1.0)</f>
        <v>1</v>
      </c>
      <c r="E295" s="11">
        <f>IFERROR(__xludf.DUMMYFUNCTION("""COMPUTED_VALUE"""),2017.0)</f>
        <v>2017</v>
      </c>
      <c r="F295" s="12">
        <f t="shared" si="1"/>
        <v>42767</v>
      </c>
      <c r="G295" s="9">
        <v>43010.0</v>
      </c>
      <c r="H295" s="3">
        <f>IFERROR(__xludf.DUMMYFUNCTION("split(G295,""/"")"),2.0)</f>
        <v>2</v>
      </c>
      <c r="I295" s="3">
        <f>IFERROR(__xludf.DUMMYFUNCTION("""COMPUTED_VALUE"""),10.0)</f>
        <v>10</v>
      </c>
      <c r="J295" s="3">
        <f>IFERROR(__xludf.DUMMYFUNCTION("""COMPUTED_VALUE"""),2017.0)</f>
        <v>2017</v>
      </c>
      <c r="K295" s="12">
        <f t="shared" si="2"/>
        <v>42776</v>
      </c>
      <c r="L295" s="3" t="s">
        <v>814</v>
      </c>
      <c r="M295" s="3" t="s">
        <v>346</v>
      </c>
      <c r="N295" s="3">
        <v>8969.0</v>
      </c>
      <c r="O295" s="3" t="s">
        <v>818</v>
      </c>
      <c r="P295" s="10">
        <v>3126.0</v>
      </c>
      <c r="Q295" s="13">
        <v>152.58</v>
      </c>
      <c r="R295" s="13">
        <v>97.44</v>
      </c>
      <c r="S295" s="13">
        <f t="shared" si="3"/>
        <v>476965.08</v>
      </c>
      <c r="T295" s="13">
        <f t="shared" si="4"/>
        <v>304597.44</v>
      </c>
      <c r="U295" s="13">
        <f t="shared" si="5"/>
        <v>172367.64</v>
      </c>
      <c r="V295" s="3" t="str">
        <f>VLOOKUP(N295,products!A:B,2,0)</f>
        <v>Snacks</v>
      </c>
      <c r="W295" s="3" t="s">
        <v>28</v>
      </c>
      <c r="X295" s="3" t="s">
        <v>98</v>
      </c>
      <c r="Y295" s="14">
        <f t="shared" si="9"/>
        <v>0.3613841919</v>
      </c>
      <c r="Z295" s="3">
        <f t="shared" si="7"/>
        <v>9</v>
      </c>
      <c r="AA295" s="15">
        <f t="shared" si="8"/>
        <v>4</v>
      </c>
    </row>
    <row r="296" ht="15.75" customHeight="1">
      <c r="A296" s="3">
        <v>2.91995418E8</v>
      </c>
      <c r="B296" s="9">
        <v>40214.0</v>
      </c>
      <c r="C296" s="3">
        <f>IFERROR(__xludf.DUMMYFUNCTION("split(B296,""/"")"),5.0)</f>
        <v>5</v>
      </c>
      <c r="D296" s="10">
        <f>IFERROR(__xludf.DUMMYFUNCTION("""COMPUTED_VALUE"""),2.0)</f>
        <v>2</v>
      </c>
      <c r="E296" s="11">
        <f>IFERROR(__xludf.DUMMYFUNCTION("""COMPUTED_VALUE"""),2010.0)</f>
        <v>2010</v>
      </c>
      <c r="F296" s="12">
        <f t="shared" si="1"/>
        <v>40300</v>
      </c>
      <c r="G296" s="9">
        <v>40335.0</v>
      </c>
      <c r="H296" s="3">
        <f>IFERROR(__xludf.DUMMYFUNCTION("split(G296,""/"")"),6.0)</f>
        <v>6</v>
      </c>
      <c r="I296" s="3">
        <f>IFERROR(__xludf.DUMMYFUNCTION("""COMPUTED_VALUE"""),6.0)</f>
        <v>6</v>
      </c>
      <c r="J296" s="3">
        <f>IFERROR(__xludf.DUMMYFUNCTION("""COMPUTED_VALUE"""),2010.0)</f>
        <v>2010</v>
      </c>
      <c r="K296" s="12">
        <f t="shared" si="2"/>
        <v>40335</v>
      </c>
      <c r="L296" s="3" t="s">
        <v>825</v>
      </c>
      <c r="M296" s="3" t="s">
        <v>821</v>
      </c>
      <c r="N296" s="3">
        <v>4594.0</v>
      </c>
      <c r="O296" s="3" t="s">
        <v>815</v>
      </c>
      <c r="P296" s="10">
        <v>6788.0</v>
      </c>
      <c r="Q296" s="13">
        <v>9.33</v>
      </c>
      <c r="R296" s="13">
        <v>6.92</v>
      </c>
      <c r="S296" s="13">
        <f t="shared" si="3"/>
        <v>63332.04</v>
      </c>
      <c r="T296" s="13">
        <f t="shared" si="4"/>
        <v>46972.96</v>
      </c>
      <c r="U296" s="13">
        <f t="shared" si="5"/>
        <v>16359.08</v>
      </c>
      <c r="V296" s="3" t="str">
        <f>VLOOKUP(N296,products!A:B,2,0)</f>
        <v>Fruits</v>
      </c>
      <c r="W296" s="3" t="s">
        <v>821</v>
      </c>
      <c r="X296" s="3" t="s">
        <v>821</v>
      </c>
      <c r="Y296" s="14">
        <f t="shared" si="9"/>
        <v>0.258306538</v>
      </c>
      <c r="Z296" s="3">
        <f t="shared" si="7"/>
        <v>35</v>
      </c>
      <c r="AA296" s="15">
        <f t="shared" si="8"/>
        <v>1</v>
      </c>
    </row>
    <row r="297" ht="15.75" customHeight="1">
      <c r="A297" s="3">
        <v>2.92424571E8</v>
      </c>
      <c r="B297" s="3" t="s">
        <v>1144</v>
      </c>
      <c r="C297" s="3">
        <f>IFERROR(__xludf.DUMMYFUNCTION("split(B297,""/"")"),5.0)</f>
        <v>5</v>
      </c>
      <c r="D297" s="10">
        <f>IFERROR(__xludf.DUMMYFUNCTION("""COMPUTED_VALUE"""),24.0)</f>
        <v>24</v>
      </c>
      <c r="E297" s="11">
        <f>IFERROR(__xludf.DUMMYFUNCTION("""COMPUTED_VALUE"""),2012.0)</f>
        <v>2012</v>
      </c>
      <c r="F297" s="12">
        <f t="shared" si="1"/>
        <v>41053</v>
      </c>
      <c r="G297" s="9">
        <v>41035.0</v>
      </c>
      <c r="H297" s="3">
        <f>IFERROR(__xludf.DUMMYFUNCTION("split(G297,""/"")"),6.0)</f>
        <v>6</v>
      </c>
      <c r="I297" s="3">
        <f>IFERROR(__xludf.DUMMYFUNCTION("""COMPUTED_VALUE"""),5.0)</f>
        <v>5</v>
      </c>
      <c r="J297" s="3">
        <f>IFERROR(__xludf.DUMMYFUNCTION("""COMPUTED_VALUE"""),2012.0)</f>
        <v>2012</v>
      </c>
      <c r="K297" s="12">
        <f t="shared" si="2"/>
        <v>41065</v>
      </c>
      <c r="L297" s="3" t="s">
        <v>817</v>
      </c>
      <c r="M297" s="3" t="s">
        <v>821</v>
      </c>
      <c r="N297" s="3">
        <v>8293.0</v>
      </c>
      <c r="O297" s="3" t="s">
        <v>818</v>
      </c>
      <c r="P297" s="10">
        <v>3784.0</v>
      </c>
      <c r="Q297" s="13">
        <v>437.2</v>
      </c>
      <c r="R297" s="13">
        <v>263.33</v>
      </c>
      <c r="S297" s="13">
        <f t="shared" si="3"/>
        <v>1654364.8</v>
      </c>
      <c r="T297" s="13">
        <f t="shared" si="4"/>
        <v>996440.72</v>
      </c>
      <c r="U297" s="13">
        <f t="shared" si="5"/>
        <v>657924.08</v>
      </c>
      <c r="V297" s="3" t="str">
        <f>VLOOKUP(N297,products!A:B,2,0)</f>
        <v>Cosmetics</v>
      </c>
      <c r="W297" s="3" t="s">
        <v>821</v>
      </c>
      <c r="X297" s="3" t="s">
        <v>821</v>
      </c>
      <c r="Y297" s="14">
        <f t="shared" si="9"/>
        <v>0.3976898445</v>
      </c>
      <c r="Z297" s="3">
        <f t="shared" si="7"/>
        <v>12</v>
      </c>
      <c r="AA297" s="15">
        <f t="shared" si="8"/>
        <v>5</v>
      </c>
    </row>
    <row r="298" ht="15.75" customHeight="1">
      <c r="A298" s="3">
        <v>2.93178594E8</v>
      </c>
      <c r="B298" s="3" t="s">
        <v>1145</v>
      </c>
      <c r="C298" s="3">
        <f>IFERROR(__xludf.DUMMYFUNCTION("split(B298,""/"")"),5.0)</f>
        <v>5</v>
      </c>
      <c r="D298" s="10">
        <f>IFERROR(__xludf.DUMMYFUNCTION("""COMPUTED_VALUE"""),27.0)</f>
        <v>27</v>
      </c>
      <c r="E298" s="11">
        <f>IFERROR(__xludf.DUMMYFUNCTION("""COMPUTED_VALUE"""),2010.0)</f>
        <v>2010</v>
      </c>
      <c r="F298" s="12">
        <f t="shared" si="1"/>
        <v>40325</v>
      </c>
      <c r="G298" s="9">
        <v>40184.0</v>
      </c>
      <c r="H298" s="3">
        <f>IFERROR(__xludf.DUMMYFUNCTION("split(G298,""/"")"),6.0)</f>
        <v>6</v>
      </c>
      <c r="I298" s="3">
        <f>IFERROR(__xludf.DUMMYFUNCTION("""COMPUTED_VALUE"""),1.0)</f>
        <v>1</v>
      </c>
      <c r="J298" s="3">
        <f>IFERROR(__xludf.DUMMYFUNCTION("""COMPUTED_VALUE"""),2010.0)</f>
        <v>2010</v>
      </c>
      <c r="K298" s="12">
        <f t="shared" si="2"/>
        <v>40330</v>
      </c>
      <c r="L298" s="3" t="s">
        <v>817</v>
      </c>
      <c r="M298" s="3" t="s">
        <v>623</v>
      </c>
      <c r="N298" s="3">
        <v>3127.0</v>
      </c>
      <c r="O298" s="3" t="s">
        <v>815</v>
      </c>
      <c r="P298" s="10">
        <v>6916.0</v>
      </c>
      <c r="Q298" s="13">
        <v>81.73</v>
      </c>
      <c r="R298" s="13">
        <v>56.67</v>
      </c>
      <c r="S298" s="13">
        <f t="shared" si="3"/>
        <v>565244.68</v>
      </c>
      <c r="T298" s="13">
        <f t="shared" si="4"/>
        <v>391929.72</v>
      </c>
      <c r="U298" s="13">
        <f t="shared" si="5"/>
        <v>173314.96</v>
      </c>
      <c r="V298" s="3" t="str">
        <f>VLOOKUP(N298,products!A:B,2,0)</f>
        <v>Personal Care</v>
      </c>
      <c r="W298" s="3" t="s">
        <v>28</v>
      </c>
      <c r="X298" s="3" t="s">
        <v>33</v>
      </c>
      <c r="Y298" s="14">
        <f t="shared" si="9"/>
        <v>0.3066193564</v>
      </c>
      <c r="Z298" s="3">
        <f t="shared" si="7"/>
        <v>5</v>
      </c>
      <c r="AA298" s="15">
        <f t="shared" si="8"/>
        <v>5</v>
      </c>
    </row>
    <row r="299" ht="15.75" customHeight="1">
      <c r="A299" s="3">
        <v>2.95168149E8</v>
      </c>
      <c r="B299" s="3" t="s">
        <v>1146</v>
      </c>
      <c r="C299" s="3">
        <f>IFERROR(__xludf.DUMMYFUNCTION("split(B299,""/"")"),5.0)</f>
        <v>5</v>
      </c>
      <c r="D299" s="10">
        <f>IFERROR(__xludf.DUMMYFUNCTION("""COMPUTED_VALUE"""),28.0)</f>
        <v>28</v>
      </c>
      <c r="E299" s="11">
        <f>IFERROR(__xludf.DUMMYFUNCTION("""COMPUTED_VALUE"""),2016.0)</f>
        <v>2016</v>
      </c>
      <c r="F299" s="12">
        <f t="shared" si="1"/>
        <v>42518</v>
      </c>
      <c r="G299" s="3" t="s">
        <v>1147</v>
      </c>
      <c r="H299" s="3">
        <f>IFERROR(__xludf.DUMMYFUNCTION("split(G299,""/"")"),7.0)</f>
        <v>7</v>
      </c>
      <c r="I299" s="3">
        <f>IFERROR(__xludf.DUMMYFUNCTION("""COMPUTED_VALUE"""),16.0)</f>
        <v>16</v>
      </c>
      <c r="J299" s="3">
        <f>IFERROR(__xludf.DUMMYFUNCTION("""COMPUTED_VALUE"""),2016.0)</f>
        <v>2016</v>
      </c>
      <c r="K299" s="12">
        <f t="shared" si="2"/>
        <v>42567</v>
      </c>
      <c r="L299" s="3" t="s">
        <v>825</v>
      </c>
      <c r="M299" s="3" t="s">
        <v>653</v>
      </c>
      <c r="N299" s="3">
        <v>4594.0</v>
      </c>
      <c r="O299" s="3" t="s">
        <v>818</v>
      </c>
      <c r="P299" s="10">
        <v>5669.0</v>
      </c>
      <c r="Q299" s="13">
        <v>9.33</v>
      </c>
      <c r="R299" s="13">
        <v>6.92</v>
      </c>
      <c r="S299" s="13">
        <f t="shared" si="3"/>
        <v>52891.77</v>
      </c>
      <c r="T299" s="13">
        <f t="shared" si="4"/>
        <v>39229.48</v>
      </c>
      <c r="U299" s="13">
        <f t="shared" si="5"/>
        <v>13662.29</v>
      </c>
      <c r="V299" s="3" t="str">
        <f>VLOOKUP(N299,products!A:B,2,0)</f>
        <v>Fruits</v>
      </c>
      <c r="W299" s="3" t="s">
        <v>28</v>
      </c>
      <c r="X299" s="3" t="s">
        <v>33</v>
      </c>
      <c r="Y299" s="14">
        <f t="shared" si="9"/>
        <v>0.258306538</v>
      </c>
      <c r="Z299" s="3">
        <f t="shared" si="7"/>
        <v>49</v>
      </c>
      <c r="AA299" s="15">
        <f t="shared" si="8"/>
        <v>7</v>
      </c>
    </row>
    <row r="300" ht="15.75" customHeight="1">
      <c r="A300" s="3">
        <v>2.95787847E8</v>
      </c>
      <c r="B300" s="3" t="s">
        <v>1148</v>
      </c>
      <c r="C300" s="3">
        <f>IFERROR(__xludf.DUMMYFUNCTION("split(B300,""/"")"),1.0)</f>
        <v>1</v>
      </c>
      <c r="D300" s="10">
        <f>IFERROR(__xludf.DUMMYFUNCTION("""COMPUTED_VALUE"""),18.0)</f>
        <v>18</v>
      </c>
      <c r="E300" s="11">
        <f>IFERROR(__xludf.DUMMYFUNCTION("""COMPUTED_VALUE"""),2015.0)</f>
        <v>2015</v>
      </c>
      <c r="F300" s="12">
        <f t="shared" si="1"/>
        <v>42022</v>
      </c>
      <c r="G300" s="3" t="s">
        <v>1136</v>
      </c>
      <c r="H300" s="3">
        <f>IFERROR(__xludf.DUMMYFUNCTION("split(G300,""/"")"),2.0)</f>
        <v>2</v>
      </c>
      <c r="I300" s="3">
        <f>IFERROR(__xludf.DUMMYFUNCTION("""COMPUTED_VALUE"""),16.0)</f>
        <v>16</v>
      </c>
      <c r="J300" s="3">
        <f>IFERROR(__xludf.DUMMYFUNCTION("""COMPUTED_VALUE"""),2015.0)</f>
        <v>2015</v>
      </c>
      <c r="K300" s="12">
        <f t="shared" si="2"/>
        <v>42051</v>
      </c>
      <c r="L300" s="3" t="s">
        <v>827</v>
      </c>
      <c r="M300" s="3" t="s">
        <v>428</v>
      </c>
      <c r="N300" s="3">
        <v>7331.0</v>
      </c>
      <c r="O300" s="3" t="s">
        <v>815</v>
      </c>
      <c r="P300" s="10">
        <v>9052.0</v>
      </c>
      <c r="Q300" s="13">
        <v>255.28</v>
      </c>
      <c r="R300" s="13">
        <v>159.42</v>
      </c>
      <c r="S300" s="13">
        <f t="shared" si="3"/>
        <v>2310794.56</v>
      </c>
      <c r="T300" s="13">
        <f t="shared" si="4"/>
        <v>1443069.84</v>
      </c>
      <c r="U300" s="13">
        <f t="shared" si="5"/>
        <v>867724.72</v>
      </c>
      <c r="V300" s="3" t="str">
        <f>VLOOKUP(N300,products!A:B,2,0)</f>
        <v>Baby Food</v>
      </c>
      <c r="W300" s="3" t="s">
        <v>28</v>
      </c>
      <c r="X300" s="3" t="s">
        <v>79</v>
      </c>
      <c r="Y300" s="14">
        <f t="shared" si="9"/>
        <v>0.3755092448</v>
      </c>
      <c r="Z300" s="3">
        <f t="shared" si="7"/>
        <v>29</v>
      </c>
      <c r="AA300" s="15">
        <f t="shared" si="8"/>
        <v>1</v>
      </c>
    </row>
    <row r="301" ht="15.75" customHeight="1">
      <c r="A301" s="3">
        <v>2.96073234E8</v>
      </c>
      <c r="B301" s="3" t="s">
        <v>1149</v>
      </c>
      <c r="C301" s="3">
        <f>IFERROR(__xludf.DUMMYFUNCTION("split(B301,""/"")"),4.0)</f>
        <v>4</v>
      </c>
      <c r="D301" s="10">
        <f>IFERROR(__xludf.DUMMYFUNCTION("""COMPUTED_VALUE"""),27.0)</f>
        <v>27</v>
      </c>
      <c r="E301" s="11">
        <f>IFERROR(__xludf.DUMMYFUNCTION("""COMPUTED_VALUE"""),2015.0)</f>
        <v>2015</v>
      </c>
      <c r="F301" s="12">
        <f t="shared" si="1"/>
        <v>42121</v>
      </c>
      <c r="G301" s="9">
        <v>42100.0</v>
      </c>
      <c r="H301" s="3">
        <f>IFERROR(__xludf.DUMMYFUNCTION("split(G301,""/"")"),6.0)</f>
        <v>6</v>
      </c>
      <c r="I301" s="3">
        <f>IFERROR(__xludf.DUMMYFUNCTION("""COMPUTED_VALUE"""),4.0)</f>
        <v>4</v>
      </c>
      <c r="J301" s="3">
        <f>IFERROR(__xludf.DUMMYFUNCTION("""COMPUTED_VALUE"""),2015.0)</f>
        <v>2015</v>
      </c>
      <c r="K301" s="12">
        <f t="shared" si="2"/>
        <v>42159</v>
      </c>
      <c r="L301" s="3" t="s">
        <v>817</v>
      </c>
      <c r="M301" s="3" t="s">
        <v>455</v>
      </c>
      <c r="N301" s="3">
        <v>7331.0</v>
      </c>
      <c r="O301" s="3" t="s">
        <v>818</v>
      </c>
      <c r="P301" s="10">
        <v>3504.0</v>
      </c>
      <c r="Q301" s="13">
        <v>255.28</v>
      </c>
      <c r="R301" s="13">
        <v>159.42</v>
      </c>
      <c r="S301" s="13">
        <f t="shared" si="3"/>
        <v>894501.12</v>
      </c>
      <c r="T301" s="13">
        <f t="shared" si="4"/>
        <v>558607.68</v>
      </c>
      <c r="U301" s="13">
        <f t="shared" si="5"/>
        <v>335893.44</v>
      </c>
      <c r="V301" s="3" t="str">
        <f>VLOOKUP(N301,products!A:B,2,0)</f>
        <v>Baby Food</v>
      </c>
      <c r="W301" s="3" t="s">
        <v>28</v>
      </c>
      <c r="X301" s="3" t="s">
        <v>33</v>
      </c>
      <c r="Y301" s="14">
        <f t="shared" si="9"/>
        <v>0.3755092448</v>
      </c>
      <c r="Z301" s="3">
        <f t="shared" si="7"/>
        <v>38</v>
      </c>
      <c r="AA301" s="15">
        <f t="shared" si="8"/>
        <v>2</v>
      </c>
    </row>
    <row r="302" ht="15.75" customHeight="1">
      <c r="A302" s="3">
        <v>2.98228013E8</v>
      </c>
      <c r="B302" s="3" t="s">
        <v>1150</v>
      </c>
      <c r="C302" s="3">
        <f>IFERROR(__xludf.DUMMYFUNCTION("split(B302,""/"")"),9.0)</f>
        <v>9</v>
      </c>
      <c r="D302" s="10">
        <f>IFERROR(__xludf.DUMMYFUNCTION("""COMPUTED_VALUE"""),20.0)</f>
        <v>20</v>
      </c>
      <c r="E302" s="11">
        <f>IFERROR(__xludf.DUMMYFUNCTION("""COMPUTED_VALUE"""),2010.0)</f>
        <v>2010</v>
      </c>
      <c r="F302" s="12">
        <f t="shared" si="1"/>
        <v>40441</v>
      </c>
      <c r="G302" s="3" t="s">
        <v>1120</v>
      </c>
      <c r="H302" s="3">
        <f>IFERROR(__xludf.DUMMYFUNCTION("split(G302,""/"")"),10.0)</f>
        <v>10</v>
      </c>
      <c r="I302" s="3">
        <f>IFERROR(__xludf.DUMMYFUNCTION("""COMPUTED_VALUE"""),25.0)</f>
        <v>25</v>
      </c>
      <c r="J302" s="3">
        <f>IFERROR(__xludf.DUMMYFUNCTION("""COMPUTED_VALUE"""),2010.0)</f>
        <v>2010</v>
      </c>
      <c r="K302" s="12">
        <f t="shared" si="2"/>
        <v>40476</v>
      </c>
      <c r="L302" s="3" t="s">
        <v>827</v>
      </c>
      <c r="M302" s="3" t="s">
        <v>686</v>
      </c>
      <c r="N302" s="3">
        <v>5988.0</v>
      </c>
      <c r="O302" s="3" t="s">
        <v>815</v>
      </c>
      <c r="P302" s="10">
        <v>1151.0</v>
      </c>
      <c r="Q302" s="13">
        <v>154.06</v>
      </c>
      <c r="R302" s="13">
        <v>90.93</v>
      </c>
      <c r="S302" s="13">
        <f t="shared" si="3"/>
        <v>177323.06</v>
      </c>
      <c r="T302" s="13">
        <f t="shared" si="4"/>
        <v>104660.43</v>
      </c>
      <c r="U302" s="13">
        <f t="shared" si="5"/>
        <v>72662.63</v>
      </c>
      <c r="V302" s="3" t="str">
        <f>VLOOKUP(N302,products!A:B,2,0)</f>
        <v>Vegetables</v>
      </c>
      <c r="W302" s="3" t="s">
        <v>28</v>
      </c>
      <c r="X302" s="3" t="s">
        <v>29</v>
      </c>
      <c r="Y302" s="14">
        <f t="shared" si="9"/>
        <v>0.4097754122</v>
      </c>
      <c r="Z302" s="3">
        <f t="shared" si="7"/>
        <v>35</v>
      </c>
      <c r="AA302" s="15">
        <f t="shared" si="8"/>
        <v>2</v>
      </c>
    </row>
    <row r="303" ht="15.75" customHeight="1">
      <c r="A303" s="3">
        <v>2.98978602E8</v>
      </c>
      <c r="B303" s="3" t="s">
        <v>1151</v>
      </c>
      <c r="C303" s="3">
        <f>IFERROR(__xludf.DUMMYFUNCTION("split(B303,""/"")"),1.0)</f>
        <v>1</v>
      </c>
      <c r="D303" s="10">
        <f>IFERROR(__xludf.DUMMYFUNCTION("""COMPUTED_VALUE"""),16.0)</f>
        <v>16</v>
      </c>
      <c r="E303" s="11">
        <f>IFERROR(__xludf.DUMMYFUNCTION("""COMPUTED_VALUE"""),2014.0)</f>
        <v>2014</v>
      </c>
      <c r="F303" s="12">
        <f t="shared" si="1"/>
        <v>41655</v>
      </c>
      <c r="G303" s="3" t="s">
        <v>927</v>
      </c>
      <c r="H303" s="3">
        <f>IFERROR(__xludf.DUMMYFUNCTION("split(G303,""/"")"),1.0)</f>
        <v>1</v>
      </c>
      <c r="I303" s="3">
        <f>IFERROR(__xludf.DUMMYFUNCTION("""COMPUTED_VALUE"""),28.0)</f>
        <v>28</v>
      </c>
      <c r="J303" s="3">
        <f>IFERROR(__xludf.DUMMYFUNCTION("""COMPUTED_VALUE"""),2014.0)</f>
        <v>2014</v>
      </c>
      <c r="K303" s="12">
        <f t="shared" si="2"/>
        <v>41667</v>
      </c>
      <c r="L303" s="3" t="s">
        <v>814</v>
      </c>
      <c r="M303" s="3" t="s">
        <v>270</v>
      </c>
      <c r="N303" s="3">
        <v>2455.0</v>
      </c>
      <c r="O303" s="3" t="s">
        <v>818</v>
      </c>
      <c r="P303" s="10">
        <v>3267.0</v>
      </c>
      <c r="Q303" s="13">
        <v>109.28</v>
      </c>
      <c r="R303" s="13">
        <v>35.84</v>
      </c>
      <c r="S303" s="13">
        <f t="shared" si="3"/>
        <v>357017.76</v>
      </c>
      <c r="T303" s="13">
        <f t="shared" si="4"/>
        <v>117089.28</v>
      </c>
      <c r="U303" s="13">
        <f t="shared" si="5"/>
        <v>239928.48</v>
      </c>
      <c r="V303" s="3" t="str">
        <f>VLOOKUP(N303,products!A:B,2,0)</f>
        <v>Clothes</v>
      </c>
      <c r="W303" s="3" t="s">
        <v>28</v>
      </c>
      <c r="X303" s="3" t="s">
        <v>79</v>
      </c>
      <c r="Y303" s="14">
        <f t="shared" si="9"/>
        <v>0.6720351391</v>
      </c>
      <c r="Z303" s="3">
        <f t="shared" si="7"/>
        <v>12</v>
      </c>
      <c r="AA303" s="15">
        <f t="shared" si="8"/>
        <v>5</v>
      </c>
    </row>
    <row r="304" ht="15.75" customHeight="1">
      <c r="A304" s="3">
        <v>2.99335229E8</v>
      </c>
      <c r="B304" s="9">
        <v>40889.0</v>
      </c>
      <c r="C304" s="3">
        <f>IFERROR(__xludf.DUMMYFUNCTION("split(B304,""/"")"),12.0)</f>
        <v>12</v>
      </c>
      <c r="D304" s="10">
        <f>IFERROR(__xludf.DUMMYFUNCTION("""COMPUTED_VALUE"""),12.0)</f>
        <v>12</v>
      </c>
      <c r="E304" s="11">
        <f>IFERROR(__xludf.DUMMYFUNCTION("""COMPUTED_VALUE"""),2011.0)</f>
        <v>2011</v>
      </c>
      <c r="F304" s="12">
        <f t="shared" si="1"/>
        <v>40889</v>
      </c>
      <c r="G304" s="3" t="s">
        <v>1152</v>
      </c>
      <c r="H304" s="3">
        <f>IFERROR(__xludf.DUMMYFUNCTION("split(G304,""/"")"),12.0)</f>
        <v>12</v>
      </c>
      <c r="I304" s="3">
        <f>IFERROR(__xludf.DUMMYFUNCTION("""COMPUTED_VALUE"""),24.0)</f>
        <v>24</v>
      </c>
      <c r="J304" s="3">
        <f>IFERROR(__xludf.DUMMYFUNCTION("""COMPUTED_VALUE"""),2011.0)</f>
        <v>2011</v>
      </c>
      <c r="K304" s="12">
        <f t="shared" si="2"/>
        <v>40901</v>
      </c>
      <c r="L304" s="3" t="s">
        <v>814</v>
      </c>
      <c r="M304" s="3" t="s">
        <v>590</v>
      </c>
      <c r="N304" s="3">
        <v>8293.0</v>
      </c>
      <c r="O304" s="3" t="s">
        <v>818</v>
      </c>
      <c r="P304" s="10">
        <v>8801.0</v>
      </c>
      <c r="Q304" s="13">
        <v>437.2</v>
      </c>
      <c r="R304" s="13">
        <v>263.33</v>
      </c>
      <c r="S304" s="13">
        <f t="shared" si="3"/>
        <v>3847797.2</v>
      </c>
      <c r="T304" s="13">
        <f t="shared" si="4"/>
        <v>2317567.33</v>
      </c>
      <c r="U304" s="13">
        <f t="shared" si="5"/>
        <v>1530229.87</v>
      </c>
      <c r="V304" s="3" t="str">
        <f>VLOOKUP(N304,products!A:B,2,0)</f>
        <v>Cosmetics</v>
      </c>
      <c r="W304" s="3" t="s">
        <v>28</v>
      </c>
      <c r="X304" s="3" t="s">
        <v>98</v>
      </c>
      <c r="Y304" s="14">
        <f t="shared" si="9"/>
        <v>0.3976898445</v>
      </c>
      <c r="Z304" s="3">
        <f t="shared" si="7"/>
        <v>12</v>
      </c>
      <c r="AA304" s="15">
        <f t="shared" si="8"/>
        <v>2</v>
      </c>
    </row>
    <row r="305" ht="15.75" customHeight="1">
      <c r="A305" s="3">
        <v>2.99739491E8</v>
      </c>
      <c r="B305" s="3" t="s">
        <v>1153</v>
      </c>
      <c r="C305" s="3">
        <f>IFERROR(__xludf.DUMMYFUNCTION("split(B305,""/"")"),7.0)</f>
        <v>7</v>
      </c>
      <c r="D305" s="10">
        <f>IFERROR(__xludf.DUMMYFUNCTION("""COMPUTED_VALUE"""),25.0)</f>
        <v>25</v>
      </c>
      <c r="E305" s="11">
        <f>IFERROR(__xludf.DUMMYFUNCTION("""COMPUTED_VALUE"""),2016.0)</f>
        <v>2016</v>
      </c>
      <c r="F305" s="12">
        <f t="shared" si="1"/>
        <v>42576</v>
      </c>
      <c r="G305" s="9">
        <v>42378.0</v>
      </c>
      <c r="H305" s="3">
        <f>IFERROR(__xludf.DUMMYFUNCTION("split(G305,""/"")"),9.0)</f>
        <v>9</v>
      </c>
      <c r="I305" s="3">
        <f>IFERROR(__xludf.DUMMYFUNCTION("""COMPUTED_VALUE"""),1.0)</f>
        <v>1</v>
      </c>
      <c r="J305" s="3">
        <f>IFERROR(__xludf.DUMMYFUNCTION("""COMPUTED_VALUE"""),2016.0)</f>
        <v>2016</v>
      </c>
      <c r="K305" s="12">
        <f t="shared" si="2"/>
        <v>42614</v>
      </c>
      <c r="L305" s="3" t="s">
        <v>814</v>
      </c>
      <c r="M305" s="3" t="s">
        <v>821</v>
      </c>
      <c r="N305" s="3">
        <v>4594.0</v>
      </c>
      <c r="O305" s="3" t="s">
        <v>818</v>
      </c>
      <c r="P305" s="10">
        <v>8431.0</v>
      </c>
      <c r="Q305" s="13">
        <v>9.33</v>
      </c>
      <c r="R305" s="13">
        <v>6.92</v>
      </c>
      <c r="S305" s="13">
        <f t="shared" si="3"/>
        <v>78661.23</v>
      </c>
      <c r="T305" s="13">
        <f t="shared" si="4"/>
        <v>58342.52</v>
      </c>
      <c r="U305" s="13">
        <f t="shared" si="5"/>
        <v>20318.71</v>
      </c>
      <c r="V305" s="3" t="str">
        <f>VLOOKUP(N305,products!A:B,2,0)</f>
        <v>Fruits</v>
      </c>
      <c r="W305" s="3" t="s">
        <v>821</v>
      </c>
      <c r="X305" s="3" t="s">
        <v>821</v>
      </c>
      <c r="Y305" s="14">
        <f t="shared" si="9"/>
        <v>0.258306538</v>
      </c>
      <c r="Z305" s="3">
        <f t="shared" si="7"/>
        <v>38</v>
      </c>
      <c r="AA305" s="15">
        <f t="shared" si="8"/>
        <v>2</v>
      </c>
    </row>
    <row r="306" ht="15.75" customHeight="1">
      <c r="A306" s="3">
        <v>3.02015721E8</v>
      </c>
      <c r="B306" s="3" t="s">
        <v>931</v>
      </c>
      <c r="C306" s="3">
        <f>IFERROR(__xludf.DUMMYFUNCTION("split(B306,""/"")"),3.0)</f>
        <v>3</v>
      </c>
      <c r="D306" s="10">
        <f>IFERROR(__xludf.DUMMYFUNCTION("""COMPUTED_VALUE"""),22.0)</f>
        <v>22</v>
      </c>
      <c r="E306" s="11">
        <f>IFERROR(__xludf.DUMMYFUNCTION("""COMPUTED_VALUE"""),2014.0)</f>
        <v>2014</v>
      </c>
      <c r="F306" s="12">
        <f t="shared" si="1"/>
        <v>41720</v>
      </c>
      <c r="G306" s="3" t="s">
        <v>1154</v>
      </c>
      <c r="H306" s="3">
        <f>IFERROR(__xludf.DUMMYFUNCTION("split(G306,""/"")"),4.0)</f>
        <v>4</v>
      </c>
      <c r="I306" s="3">
        <f>IFERROR(__xludf.DUMMYFUNCTION("""COMPUTED_VALUE"""),17.0)</f>
        <v>17</v>
      </c>
      <c r="J306" s="3">
        <f>IFERROR(__xludf.DUMMYFUNCTION("""COMPUTED_VALUE"""),2014.0)</f>
        <v>2014</v>
      </c>
      <c r="K306" s="12">
        <f t="shared" si="2"/>
        <v>41746</v>
      </c>
      <c r="L306" s="3" t="s">
        <v>827</v>
      </c>
      <c r="M306" s="3" t="s">
        <v>635</v>
      </c>
      <c r="N306" s="3">
        <v>7331.0</v>
      </c>
      <c r="O306" s="3" t="s">
        <v>815</v>
      </c>
      <c r="P306" s="10">
        <v>2018.0</v>
      </c>
      <c r="Q306" s="13">
        <v>255.28</v>
      </c>
      <c r="R306" s="13">
        <v>159.42</v>
      </c>
      <c r="S306" s="13">
        <f t="shared" si="3"/>
        <v>515155.04</v>
      </c>
      <c r="T306" s="13">
        <f t="shared" si="4"/>
        <v>321709.56</v>
      </c>
      <c r="U306" s="13">
        <f t="shared" si="5"/>
        <v>193445.48</v>
      </c>
      <c r="V306" s="3" t="str">
        <f>VLOOKUP(N306,products!A:B,2,0)</f>
        <v>Baby Food</v>
      </c>
      <c r="W306" s="3" t="s">
        <v>28</v>
      </c>
      <c r="X306" s="3" t="s">
        <v>33</v>
      </c>
      <c r="Y306" s="14">
        <f t="shared" si="9"/>
        <v>0.3755092448</v>
      </c>
      <c r="Z306" s="3">
        <f t="shared" si="7"/>
        <v>26</v>
      </c>
      <c r="AA306" s="15">
        <f t="shared" si="8"/>
        <v>7</v>
      </c>
    </row>
    <row r="307" ht="15.75" customHeight="1">
      <c r="A307" s="3">
        <v>3.02442729E8</v>
      </c>
      <c r="B307" s="3" t="s">
        <v>1155</v>
      </c>
      <c r="C307" s="3">
        <f>IFERROR(__xludf.DUMMYFUNCTION("split(B307,""/"")"),12.0)</f>
        <v>12</v>
      </c>
      <c r="D307" s="10">
        <f>IFERROR(__xludf.DUMMYFUNCTION("""COMPUTED_VALUE"""),23.0)</f>
        <v>23</v>
      </c>
      <c r="E307" s="11">
        <f>IFERROR(__xludf.DUMMYFUNCTION("""COMPUTED_VALUE"""),2012.0)</f>
        <v>2012</v>
      </c>
      <c r="F307" s="12">
        <f t="shared" si="1"/>
        <v>41266</v>
      </c>
      <c r="G307" s="3" t="s">
        <v>1156</v>
      </c>
      <c r="H307" s="3">
        <f>IFERROR(__xludf.DUMMYFUNCTION("split(G307,""/"")"),1.0)</f>
        <v>1</v>
      </c>
      <c r="I307" s="3">
        <f>IFERROR(__xludf.DUMMYFUNCTION("""COMPUTED_VALUE"""),17.0)</f>
        <v>17</v>
      </c>
      <c r="J307" s="3">
        <f>IFERROR(__xludf.DUMMYFUNCTION("""COMPUTED_VALUE"""),2013.0)</f>
        <v>2013</v>
      </c>
      <c r="K307" s="12">
        <f t="shared" si="2"/>
        <v>41291</v>
      </c>
      <c r="L307" s="3" t="s">
        <v>817</v>
      </c>
      <c r="M307" s="3" t="s">
        <v>455</v>
      </c>
      <c r="N307" s="3">
        <v>7331.0</v>
      </c>
      <c r="O307" s="3" t="s">
        <v>818</v>
      </c>
      <c r="P307" s="10">
        <v>8379.0</v>
      </c>
      <c r="Q307" s="13">
        <v>255.28</v>
      </c>
      <c r="R307" s="13">
        <v>159.42</v>
      </c>
      <c r="S307" s="13">
        <f t="shared" si="3"/>
        <v>2138991.12</v>
      </c>
      <c r="T307" s="13">
        <f t="shared" si="4"/>
        <v>1335780.18</v>
      </c>
      <c r="U307" s="13">
        <f t="shared" si="5"/>
        <v>803210.94</v>
      </c>
      <c r="V307" s="3" t="str">
        <f>VLOOKUP(N307,products!A:B,2,0)</f>
        <v>Baby Food</v>
      </c>
      <c r="W307" s="3" t="s">
        <v>28</v>
      </c>
      <c r="X307" s="3" t="s">
        <v>33</v>
      </c>
      <c r="Y307" s="14">
        <f t="shared" si="9"/>
        <v>0.3755092448</v>
      </c>
      <c r="Z307" s="3">
        <f t="shared" si="7"/>
        <v>25</v>
      </c>
      <c r="AA307" s="15">
        <f t="shared" si="8"/>
        <v>1</v>
      </c>
    </row>
    <row r="308" ht="15.75" customHeight="1">
      <c r="A308" s="3">
        <v>3.02744853E8</v>
      </c>
      <c r="B308" s="3" t="s">
        <v>997</v>
      </c>
      <c r="C308" s="3">
        <f>IFERROR(__xludf.DUMMYFUNCTION("split(B308,""/"")"),10.0)</f>
        <v>10</v>
      </c>
      <c r="D308" s="10">
        <f>IFERROR(__xludf.DUMMYFUNCTION("""COMPUTED_VALUE"""),16.0)</f>
        <v>16</v>
      </c>
      <c r="E308" s="11">
        <f>IFERROR(__xludf.DUMMYFUNCTION("""COMPUTED_VALUE"""),2014.0)</f>
        <v>2014</v>
      </c>
      <c r="F308" s="12">
        <f t="shared" si="1"/>
        <v>41928</v>
      </c>
      <c r="G308" s="9">
        <v>41681.0</v>
      </c>
      <c r="H308" s="3">
        <f>IFERROR(__xludf.DUMMYFUNCTION("split(G308,""/"")"),11.0)</f>
        <v>11</v>
      </c>
      <c r="I308" s="3">
        <f>IFERROR(__xludf.DUMMYFUNCTION("""COMPUTED_VALUE"""),2.0)</f>
        <v>2</v>
      </c>
      <c r="J308" s="3">
        <f>IFERROR(__xludf.DUMMYFUNCTION("""COMPUTED_VALUE"""),2014.0)</f>
        <v>2014</v>
      </c>
      <c r="K308" s="12">
        <f t="shared" si="2"/>
        <v>41945</v>
      </c>
      <c r="L308" s="3" t="s">
        <v>827</v>
      </c>
      <c r="M308" s="3" t="s">
        <v>346</v>
      </c>
      <c r="N308" s="3">
        <v>3127.0</v>
      </c>
      <c r="O308" s="3" t="s">
        <v>818</v>
      </c>
      <c r="P308" s="10">
        <v>7785.0</v>
      </c>
      <c r="Q308" s="13">
        <v>81.73</v>
      </c>
      <c r="R308" s="13">
        <v>56.67</v>
      </c>
      <c r="S308" s="13">
        <f t="shared" si="3"/>
        <v>636268.05</v>
      </c>
      <c r="T308" s="13">
        <f t="shared" si="4"/>
        <v>441175.95</v>
      </c>
      <c r="U308" s="13">
        <f t="shared" si="5"/>
        <v>195092.1</v>
      </c>
      <c r="V308" s="3" t="str">
        <f>VLOOKUP(N308,products!A:B,2,0)</f>
        <v>Personal Care</v>
      </c>
      <c r="W308" s="3" t="s">
        <v>28</v>
      </c>
      <c r="X308" s="3" t="s">
        <v>98</v>
      </c>
      <c r="Y308" s="14">
        <f t="shared" si="9"/>
        <v>0.3066193564</v>
      </c>
      <c r="Z308" s="3">
        <f t="shared" si="7"/>
        <v>17</v>
      </c>
      <c r="AA308" s="15">
        <f t="shared" si="8"/>
        <v>5</v>
      </c>
    </row>
    <row r="309" ht="15.75" customHeight="1">
      <c r="A309" s="3">
        <v>3.03534495E8</v>
      </c>
      <c r="B309" s="3" t="s">
        <v>1157</v>
      </c>
      <c r="C309" s="3">
        <f>IFERROR(__xludf.DUMMYFUNCTION("split(B309,""/"")"),8.0)</f>
        <v>8</v>
      </c>
      <c r="D309" s="10">
        <f>IFERROR(__xludf.DUMMYFUNCTION("""COMPUTED_VALUE"""),13.0)</f>
        <v>13</v>
      </c>
      <c r="E309" s="11">
        <f>IFERROR(__xludf.DUMMYFUNCTION("""COMPUTED_VALUE"""),2011.0)</f>
        <v>2011</v>
      </c>
      <c r="F309" s="12">
        <f t="shared" si="1"/>
        <v>40768</v>
      </c>
      <c r="G309" s="3" t="s">
        <v>1158</v>
      </c>
      <c r="H309" s="3">
        <f>IFERROR(__xludf.DUMMYFUNCTION("split(G309,""/"")"),8.0)</f>
        <v>8</v>
      </c>
      <c r="I309" s="3">
        <f>IFERROR(__xludf.DUMMYFUNCTION("""COMPUTED_VALUE"""),18.0)</f>
        <v>18</v>
      </c>
      <c r="J309" s="3">
        <f>IFERROR(__xludf.DUMMYFUNCTION("""COMPUTED_VALUE"""),2011.0)</f>
        <v>2011</v>
      </c>
      <c r="K309" s="12">
        <f t="shared" si="2"/>
        <v>40773</v>
      </c>
      <c r="L309" s="3" t="s">
        <v>827</v>
      </c>
      <c r="M309" s="3" t="s">
        <v>349</v>
      </c>
      <c r="N309" s="3">
        <v>4594.0</v>
      </c>
      <c r="O309" s="3" t="s">
        <v>818</v>
      </c>
      <c r="P309" s="10">
        <v>1457.0</v>
      </c>
      <c r="Q309" s="13">
        <v>9.33</v>
      </c>
      <c r="R309" s="13">
        <v>6.92</v>
      </c>
      <c r="S309" s="13">
        <f t="shared" si="3"/>
        <v>13593.81</v>
      </c>
      <c r="T309" s="13">
        <f t="shared" si="4"/>
        <v>10082.44</v>
      </c>
      <c r="U309" s="13">
        <f t="shared" si="5"/>
        <v>3511.37</v>
      </c>
      <c r="V309" s="3" t="str">
        <f>VLOOKUP(N309,products!A:B,2,0)</f>
        <v>Fruits</v>
      </c>
      <c r="W309" s="3" t="s">
        <v>28</v>
      </c>
      <c r="X309" s="3" t="s">
        <v>29</v>
      </c>
      <c r="Y309" s="14">
        <f t="shared" si="9"/>
        <v>0.258306538</v>
      </c>
      <c r="Z309" s="3">
        <f t="shared" si="7"/>
        <v>5</v>
      </c>
      <c r="AA309" s="15">
        <f t="shared" si="8"/>
        <v>7</v>
      </c>
    </row>
    <row r="310" ht="15.75" customHeight="1">
      <c r="A310" s="3">
        <v>3.05569112E8</v>
      </c>
      <c r="B310" s="3" t="s">
        <v>1159</v>
      </c>
      <c r="C310" s="3">
        <f>IFERROR(__xludf.DUMMYFUNCTION("split(B310,""/"")"),4.0)</f>
        <v>4</v>
      </c>
      <c r="D310" s="10">
        <f>IFERROR(__xludf.DUMMYFUNCTION("""COMPUTED_VALUE"""),14.0)</f>
        <v>14</v>
      </c>
      <c r="E310" s="11">
        <f>IFERROR(__xludf.DUMMYFUNCTION("""COMPUTED_VALUE"""),2011.0)</f>
        <v>2011</v>
      </c>
      <c r="F310" s="12">
        <f t="shared" si="1"/>
        <v>40647</v>
      </c>
      <c r="G310" s="9">
        <v>40608.0</v>
      </c>
      <c r="H310" s="3">
        <f>IFERROR(__xludf.DUMMYFUNCTION("split(G310,""/"")"),6.0)</f>
        <v>6</v>
      </c>
      <c r="I310" s="3">
        <f>IFERROR(__xludf.DUMMYFUNCTION("""COMPUTED_VALUE"""),3.0)</f>
        <v>3</v>
      </c>
      <c r="J310" s="3">
        <f>IFERROR(__xludf.DUMMYFUNCTION("""COMPUTED_VALUE"""),2011.0)</f>
        <v>2011</v>
      </c>
      <c r="K310" s="12">
        <f t="shared" si="2"/>
        <v>40697</v>
      </c>
      <c r="L310" s="3" t="s">
        <v>814</v>
      </c>
      <c r="M310" s="3" t="s">
        <v>671</v>
      </c>
      <c r="N310" s="3">
        <v>5988.0</v>
      </c>
      <c r="O310" s="3" t="s">
        <v>818</v>
      </c>
      <c r="P310" s="10">
        <v>3545.0</v>
      </c>
      <c r="Q310" s="13">
        <v>154.06</v>
      </c>
      <c r="R310" s="13">
        <v>90.93</v>
      </c>
      <c r="S310" s="13">
        <f t="shared" si="3"/>
        <v>546142.7</v>
      </c>
      <c r="T310" s="13">
        <f t="shared" si="4"/>
        <v>322346.85</v>
      </c>
      <c r="U310" s="13">
        <f t="shared" si="5"/>
        <v>223795.85</v>
      </c>
      <c r="V310" s="3" t="str">
        <f>VLOOKUP(N310,products!A:B,2,0)</f>
        <v>Vegetables</v>
      </c>
      <c r="W310" s="3" t="s">
        <v>28</v>
      </c>
      <c r="X310" s="3" t="s">
        <v>33</v>
      </c>
      <c r="Y310" s="14">
        <f t="shared" si="9"/>
        <v>0.4097754122</v>
      </c>
      <c r="Z310" s="3">
        <f t="shared" si="7"/>
        <v>50</v>
      </c>
      <c r="AA310" s="15">
        <f t="shared" si="8"/>
        <v>5</v>
      </c>
    </row>
    <row r="311" ht="15.75" customHeight="1">
      <c r="A311" s="3">
        <v>3.05616748E8</v>
      </c>
      <c r="B311" s="9">
        <v>40335.0</v>
      </c>
      <c r="C311" s="3">
        <f>IFERROR(__xludf.DUMMYFUNCTION("split(B311,""/"")"),6.0)</f>
        <v>6</v>
      </c>
      <c r="D311" s="10">
        <f>IFERROR(__xludf.DUMMYFUNCTION("""COMPUTED_VALUE"""),6.0)</f>
        <v>6</v>
      </c>
      <c r="E311" s="11">
        <f>IFERROR(__xludf.DUMMYFUNCTION("""COMPUTED_VALUE"""),2010.0)</f>
        <v>2010</v>
      </c>
      <c r="F311" s="12">
        <f t="shared" si="1"/>
        <v>40335</v>
      </c>
      <c r="G311" s="9">
        <v>40185.0</v>
      </c>
      <c r="H311" s="3">
        <f>IFERROR(__xludf.DUMMYFUNCTION("split(G311,""/"")"),7.0)</f>
        <v>7</v>
      </c>
      <c r="I311" s="3">
        <f>IFERROR(__xludf.DUMMYFUNCTION("""COMPUTED_VALUE"""),1.0)</f>
        <v>1</v>
      </c>
      <c r="J311" s="3">
        <f>IFERROR(__xludf.DUMMYFUNCTION("""COMPUTED_VALUE"""),2010.0)</f>
        <v>2010</v>
      </c>
      <c r="K311" s="12">
        <f t="shared" si="2"/>
        <v>40360</v>
      </c>
      <c r="L311" s="3" t="s">
        <v>814</v>
      </c>
      <c r="M311" s="3" t="s">
        <v>488</v>
      </c>
      <c r="N311" s="3">
        <v>2103.0</v>
      </c>
      <c r="O311" s="3" t="s">
        <v>818</v>
      </c>
      <c r="P311" s="10">
        <v>7642.0</v>
      </c>
      <c r="Q311" s="13">
        <v>205.7</v>
      </c>
      <c r="R311" s="13">
        <v>117.11</v>
      </c>
      <c r="S311" s="13">
        <f t="shared" si="3"/>
        <v>1571959.4</v>
      </c>
      <c r="T311" s="13">
        <f t="shared" si="4"/>
        <v>894954.62</v>
      </c>
      <c r="U311" s="13">
        <f t="shared" si="5"/>
        <v>677004.78</v>
      </c>
      <c r="V311" s="3" t="str">
        <f>VLOOKUP(N311,products!A:B,2,0)</f>
        <v>Cereal</v>
      </c>
      <c r="W311" s="3" t="s">
        <v>28</v>
      </c>
      <c r="X311" s="3" t="s">
        <v>33</v>
      </c>
      <c r="Y311" s="14">
        <f t="shared" si="9"/>
        <v>0.4306757414</v>
      </c>
      <c r="Z311" s="3">
        <f t="shared" si="7"/>
        <v>25</v>
      </c>
      <c r="AA311" s="15">
        <f t="shared" si="8"/>
        <v>1</v>
      </c>
    </row>
    <row r="312" ht="15.75" customHeight="1">
      <c r="A312" s="3">
        <v>3.06256616E8</v>
      </c>
      <c r="B312" s="3" t="s">
        <v>1160</v>
      </c>
      <c r="C312" s="3">
        <f>IFERROR(__xludf.DUMMYFUNCTION("split(B312,""/"")"),11.0)</f>
        <v>11</v>
      </c>
      <c r="D312" s="10">
        <f>IFERROR(__xludf.DUMMYFUNCTION("""COMPUTED_VALUE"""),14.0)</f>
        <v>14</v>
      </c>
      <c r="E312" s="11">
        <f>IFERROR(__xludf.DUMMYFUNCTION("""COMPUTED_VALUE"""),2012.0)</f>
        <v>2012</v>
      </c>
      <c r="F312" s="12">
        <f t="shared" si="1"/>
        <v>41227</v>
      </c>
      <c r="G312" s="3" t="s">
        <v>1161</v>
      </c>
      <c r="H312" s="3">
        <f>IFERROR(__xludf.DUMMYFUNCTION("split(G312,""/"")"),11.0)</f>
        <v>11</v>
      </c>
      <c r="I312" s="3">
        <f>IFERROR(__xludf.DUMMYFUNCTION("""COMPUTED_VALUE"""),18.0)</f>
        <v>18</v>
      </c>
      <c r="J312" s="3">
        <f>IFERROR(__xludf.DUMMYFUNCTION("""COMPUTED_VALUE"""),2012.0)</f>
        <v>2012</v>
      </c>
      <c r="K312" s="12">
        <f t="shared" si="2"/>
        <v>41231</v>
      </c>
      <c r="L312" s="3" t="s">
        <v>825</v>
      </c>
      <c r="M312" s="3" t="s">
        <v>373</v>
      </c>
      <c r="N312" s="3">
        <v>3127.0</v>
      </c>
      <c r="O312" s="3" t="s">
        <v>818</v>
      </c>
      <c r="P312" s="10">
        <v>6993.0</v>
      </c>
      <c r="Q312" s="13">
        <v>81.73</v>
      </c>
      <c r="R312" s="13">
        <v>56.67</v>
      </c>
      <c r="S312" s="13">
        <f t="shared" si="3"/>
        <v>571537.89</v>
      </c>
      <c r="T312" s="13">
        <f t="shared" si="4"/>
        <v>396293.31</v>
      </c>
      <c r="U312" s="13">
        <f t="shared" si="5"/>
        <v>175244.58</v>
      </c>
      <c r="V312" s="3" t="str">
        <f>VLOOKUP(N312,products!A:B,2,0)</f>
        <v>Personal Care</v>
      </c>
      <c r="W312" s="3" t="s">
        <v>28</v>
      </c>
      <c r="X312" s="3" t="s">
        <v>33</v>
      </c>
      <c r="Y312" s="14">
        <f t="shared" si="9"/>
        <v>0.3066193564</v>
      </c>
      <c r="Z312" s="3">
        <f t="shared" si="7"/>
        <v>4</v>
      </c>
      <c r="AA312" s="15">
        <f t="shared" si="8"/>
        <v>4</v>
      </c>
    </row>
    <row r="313" ht="15.75" customHeight="1">
      <c r="A313" s="3">
        <v>3.06839406E8</v>
      </c>
      <c r="B313" s="3" t="s">
        <v>1162</v>
      </c>
      <c r="C313" s="3">
        <f>IFERROR(__xludf.DUMMYFUNCTION("split(B313,""/"")"),9.0)</f>
        <v>9</v>
      </c>
      <c r="D313" s="10">
        <f>IFERROR(__xludf.DUMMYFUNCTION("""COMPUTED_VALUE"""),29.0)</f>
        <v>29</v>
      </c>
      <c r="E313" s="11">
        <f>IFERROR(__xludf.DUMMYFUNCTION("""COMPUTED_VALUE"""),2013.0)</f>
        <v>2013</v>
      </c>
      <c r="F313" s="12">
        <f t="shared" si="1"/>
        <v>41546</v>
      </c>
      <c r="G313" s="9">
        <v>41284.0</v>
      </c>
      <c r="H313" s="3">
        <f>IFERROR(__xludf.DUMMYFUNCTION("split(G313,""/"")"),10.0)</f>
        <v>10</v>
      </c>
      <c r="I313" s="3">
        <f>IFERROR(__xludf.DUMMYFUNCTION("""COMPUTED_VALUE"""),1.0)</f>
        <v>1</v>
      </c>
      <c r="J313" s="3">
        <f>IFERROR(__xludf.DUMMYFUNCTION("""COMPUTED_VALUE"""),2013.0)</f>
        <v>2013</v>
      </c>
      <c r="K313" s="12">
        <f t="shared" si="2"/>
        <v>41548</v>
      </c>
      <c r="L313" s="3" t="s">
        <v>827</v>
      </c>
      <c r="M313" s="3" t="s">
        <v>221</v>
      </c>
      <c r="N313" s="3">
        <v>7331.0</v>
      </c>
      <c r="O313" s="3" t="s">
        <v>818</v>
      </c>
      <c r="P313" s="10">
        <v>9454.0</v>
      </c>
      <c r="Q313" s="13">
        <v>255.28</v>
      </c>
      <c r="R313" s="13">
        <v>159.42</v>
      </c>
      <c r="S313" s="13">
        <f t="shared" si="3"/>
        <v>2413417.12</v>
      </c>
      <c r="T313" s="13">
        <f t="shared" si="4"/>
        <v>1507156.68</v>
      </c>
      <c r="U313" s="13">
        <f t="shared" si="5"/>
        <v>906260.44</v>
      </c>
      <c r="V313" s="3" t="str">
        <f>VLOOKUP(N313,products!A:B,2,0)</f>
        <v>Baby Food</v>
      </c>
      <c r="W313" s="3" t="s">
        <v>28</v>
      </c>
      <c r="X313" s="3" t="s">
        <v>29</v>
      </c>
      <c r="Y313" s="14">
        <f t="shared" si="9"/>
        <v>0.3755092448</v>
      </c>
      <c r="Z313" s="3">
        <f t="shared" si="7"/>
        <v>2</v>
      </c>
      <c r="AA313" s="15">
        <f t="shared" si="8"/>
        <v>1</v>
      </c>
    </row>
    <row r="314" ht="15.75" customHeight="1">
      <c r="A314" s="3">
        <v>3.07305467E8</v>
      </c>
      <c r="B314" s="3" t="s">
        <v>1163</v>
      </c>
      <c r="C314" s="3">
        <f>IFERROR(__xludf.DUMMYFUNCTION("split(B314,""/"")"),7.0)</f>
        <v>7</v>
      </c>
      <c r="D314" s="10">
        <f>IFERROR(__xludf.DUMMYFUNCTION("""COMPUTED_VALUE"""),29.0)</f>
        <v>29</v>
      </c>
      <c r="E314" s="11">
        <f>IFERROR(__xludf.DUMMYFUNCTION("""COMPUTED_VALUE"""),2013.0)</f>
        <v>2013</v>
      </c>
      <c r="F314" s="12">
        <f t="shared" si="1"/>
        <v>41484</v>
      </c>
      <c r="G314" s="9">
        <v>41555.0</v>
      </c>
      <c r="H314" s="3">
        <f>IFERROR(__xludf.DUMMYFUNCTION("split(G314,""/"")"),8.0)</f>
        <v>8</v>
      </c>
      <c r="I314" s="3">
        <f>IFERROR(__xludf.DUMMYFUNCTION("""COMPUTED_VALUE"""),10.0)</f>
        <v>10</v>
      </c>
      <c r="J314" s="3">
        <f>IFERROR(__xludf.DUMMYFUNCTION("""COMPUTED_VALUE"""),2013.0)</f>
        <v>2013</v>
      </c>
      <c r="K314" s="12">
        <f t="shared" si="2"/>
        <v>41496</v>
      </c>
      <c r="L314" s="3" t="s">
        <v>814</v>
      </c>
      <c r="M314" s="3" t="s">
        <v>821</v>
      </c>
      <c r="N314" s="3">
        <v>4594.0</v>
      </c>
      <c r="O314" s="3" t="s">
        <v>815</v>
      </c>
      <c r="P314" s="10">
        <v>7371.0</v>
      </c>
      <c r="Q314" s="13">
        <v>9.33</v>
      </c>
      <c r="R314" s="13">
        <v>6.92</v>
      </c>
      <c r="S314" s="13">
        <f t="shared" si="3"/>
        <v>68771.43</v>
      </c>
      <c r="T314" s="13">
        <f t="shared" si="4"/>
        <v>51007.32</v>
      </c>
      <c r="U314" s="13">
        <f t="shared" si="5"/>
        <v>17764.11</v>
      </c>
      <c r="V314" s="3" t="str">
        <f>VLOOKUP(N314,products!A:B,2,0)</f>
        <v>Fruits</v>
      </c>
      <c r="W314" s="3" t="s">
        <v>821</v>
      </c>
      <c r="X314" s="3" t="s">
        <v>821</v>
      </c>
      <c r="Y314" s="14">
        <f t="shared" si="9"/>
        <v>0.258306538</v>
      </c>
      <c r="Z314" s="3">
        <f t="shared" si="7"/>
        <v>12</v>
      </c>
      <c r="AA314" s="15">
        <f t="shared" si="8"/>
        <v>2</v>
      </c>
    </row>
    <row r="315" ht="15.75" customHeight="1">
      <c r="A315" s="3">
        <v>3.07721745E8</v>
      </c>
      <c r="B315" s="3" t="s">
        <v>1164</v>
      </c>
      <c r="C315" s="3">
        <f>IFERROR(__xludf.DUMMYFUNCTION("split(B315,""/"")"),12.0)</f>
        <v>12</v>
      </c>
      <c r="D315" s="10">
        <f>IFERROR(__xludf.DUMMYFUNCTION("""COMPUTED_VALUE"""),14.0)</f>
        <v>14</v>
      </c>
      <c r="E315" s="11">
        <f>IFERROR(__xludf.DUMMYFUNCTION("""COMPUTED_VALUE"""),2010.0)</f>
        <v>2010</v>
      </c>
      <c r="F315" s="12">
        <f t="shared" si="1"/>
        <v>40526</v>
      </c>
      <c r="G315" s="9">
        <v>40544.0</v>
      </c>
      <c r="H315" s="3">
        <f>IFERROR(__xludf.DUMMYFUNCTION("split(G315,""/"")"),1.0)</f>
        <v>1</v>
      </c>
      <c r="I315" s="3">
        <f>IFERROR(__xludf.DUMMYFUNCTION("""COMPUTED_VALUE"""),1.0)</f>
        <v>1</v>
      </c>
      <c r="J315" s="3">
        <f>IFERROR(__xludf.DUMMYFUNCTION("""COMPUTED_VALUE"""),2011.0)</f>
        <v>2011</v>
      </c>
      <c r="K315" s="12">
        <f t="shared" si="2"/>
        <v>40544</v>
      </c>
      <c r="L315" s="3" t="s">
        <v>814</v>
      </c>
      <c r="M315" s="3" t="s">
        <v>373</v>
      </c>
      <c r="N315" s="3">
        <v>8969.0</v>
      </c>
      <c r="O315" s="3" t="s">
        <v>815</v>
      </c>
      <c r="P315" s="10">
        <v>558.0</v>
      </c>
      <c r="Q315" s="13">
        <v>152.58</v>
      </c>
      <c r="R315" s="13">
        <v>97.44</v>
      </c>
      <c r="S315" s="13">
        <f t="shared" si="3"/>
        <v>85139.64</v>
      </c>
      <c r="T315" s="13">
        <f t="shared" si="4"/>
        <v>54371.52</v>
      </c>
      <c r="U315" s="13">
        <f t="shared" si="5"/>
        <v>30768.12</v>
      </c>
      <c r="V315" s="3" t="str">
        <f>VLOOKUP(N315,products!A:B,2,0)</f>
        <v>Snacks</v>
      </c>
      <c r="W315" s="3" t="s">
        <v>28</v>
      </c>
      <c r="X315" s="3" t="s">
        <v>33</v>
      </c>
      <c r="Y315" s="14">
        <f t="shared" si="9"/>
        <v>0.3613841919</v>
      </c>
      <c r="Z315" s="3">
        <f t="shared" si="7"/>
        <v>18</v>
      </c>
      <c r="AA315" s="15">
        <f t="shared" si="8"/>
        <v>3</v>
      </c>
    </row>
    <row r="316" ht="15.75" customHeight="1">
      <c r="A316" s="3">
        <v>3.08582627E8</v>
      </c>
      <c r="B316" s="3" t="s">
        <v>1155</v>
      </c>
      <c r="C316" s="3">
        <f>IFERROR(__xludf.DUMMYFUNCTION("split(B316,""/"")"),12.0)</f>
        <v>12</v>
      </c>
      <c r="D316" s="10">
        <f>IFERROR(__xludf.DUMMYFUNCTION("""COMPUTED_VALUE"""),23.0)</f>
        <v>23</v>
      </c>
      <c r="E316" s="11">
        <f>IFERROR(__xludf.DUMMYFUNCTION("""COMPUTED_VALUE"""),2012.0)</f>
        <v>2012</v>
      </c>
      <c r="F316" s="12">
        <f t="shared" si="1"/>
        <v>41266</v>
      </c>
      <c r="G316" s="9">
        <v>41519.0</v>
      </c>
      <c r="H316" s="3">
        <f>IFERROR(__xludf.DUMMYFUNCTION("split(G316,""/"")"),2.0)</f>
        <v>2</v>
      </c>
      <c r="I316" s="3">
        <f>IFERROR(__xludf.DUMMYFUNCTION("""COMPUTED_VALUE"""),9.0)</f>
        <v>9</v>
      </c>
      <c r="J316" s="3">
        <f>IFERROR(__xludf.DUMMYFUNCTION("""COMPUTED_VALUE"""),2013.0)</f>
        <v>2013</v>
      </c>
      <c r="K316" s="12">
        <f t="shared" si="2"/>
        <v>41314</v>
      </c>
      <c r="L316" s="3" t="s">
        <v>817</v>
      </c>
      <c r="M316" s="3" t="s">
        <v>635</v>
      </c>
      <c r="N316" s="3">
        <v>1270.0</v>
      </c>
      <c r="O316" s="3" t="s">
        <v>818</v>
      </c>
      <c r="P316" s="10">
        <v>5312.0</v>
      </c>
      <c r="Q316" s="13">
        <v>47.45</v>
      </c>
      <c r="R316" s="13">
        <v>31.79</v>
      </c>
      <c r="S316" s="13">
        <f t="shared" si="3"/>
        <v>252054.4</v>
      </c>
      <c r="T316" s="13">
        <f t="shared" si="4"/>
        <v>168868.48</v>
      </c>
      <c r="U316" s="13">
        <f t="shared" si="5"/>
        <v>83185.92</v>
      </c>
      <c r="V316" s="3" t="str">
        <f>VLOOKUP(N316,products!A:B,2,0)</f>
        <v>Beverages</v>
      </c>
      <c r="W316" s="3" t="s">
        <v>28</v>
      </c>
      <c r="X316" s="3" t="s">
        <v>33</v>
      </c>
      <c r="Y316" s="14">
        <f t="shared" si="9"/>
        <v>0.3300316122</v>
      </c>
      <c r="Z316" s="3">
        <f t="shared" si="7"/>
        <v>48</v>
      </c>
      <c r="AA316" s="15">
        <f t="shared" si="8"/>
        <v>1</v>
      </c>
    </row>
    <row r="317" ht="15.75" customHeight="1">
      <c r="A317" s="3">
        <v>3.09148681E8</v>
      </c>
      <c r="B317" s="3" t="s">
        <v>1165</v>
      </c>
      <c r="C317" s="3">
        <f>IFERROR(__xludf.DUMMYFUNCTION("split(B317,""/"")"),4.0)</f>
        <v>4</v>
      </c>
      <c r="D317" s="10">
        <f>IFERROR(__xludf.DUMMYFUNCTION("""COMPUTED_VALUE"""),23.0)</f>
        <v>23</v>
      </c>
      <c r="E317" s="11">
        <f>IFERROR(__xludf.DUMMYFUNCTION("""COMPUTED_VALUE"""),2012.0)</f>
        <v>2012</v>
      </c>
      <c r="F317" s="12">
        <f t="shared" si="1"/>
        <v>41022</v>
      </c>
      <c r="G317" s="9">
        <v>41034.0</v>
      </c>
      <c r="H317" s="3">
        <f>IFERROR(__xludf.DUMMYFUNCTION("split(G317,""/"")"),5.0)</f>
        <v>5</v>
      </c>
      <c r="I317" s="3">
        <f>IFERROR(__xludf.DUMMYFUNCTION("""COMPUTED_VALUE"""),5.0)</f>
        <v>5</v>
      </c>
      <c r="J317" s="3">
        <f>IFERROR(__xludf.DUMMYFUNCTION("""COMPUTED_VALUE"""),2012.0)</f>
        <v>2012</v>
      </c>
      <c r="K317" s="12">
        <f t="shared" si="2"/>
        <v>41034</v>
      </c>
      <c r="L317" s="3" t="s">
        <v>814</v>
      </c>
      <c r="M317" s="3" t="s">
        <v>671</v>
      </c>
      <c r="N317" s="3">
        <v>7940.0</v>
      </c>
      <c r="O317" s="3" t="s">
        <v>818</v>
      </c>
      <c r="P317" s="10">
        <v>2819.0</v>
      </c>
      <c r="Q317" s="13">
        <v>668.27</v>
      </c>
      <c r="R317" s="13">
        <v>502.54</v>
      </c>
      <c r="S317" s="13">
        <f t="shared" si="3"/>
        <v>1883853.13</v>
      </c>
      <c r="T317" s="13">
        <f t="shared" si="4"/>
        <v>1416660.26</v>
      </c>
      <c r="U317" s="13">
        <f t="shared" si="5"/>
        <v>467192.87</v>
      </c>
      <c r="V317" s="3" t="str">
        <f>VLOOKUP(N317,products!A:B,2,0)</f>
        <v>Household</v>
      </c>
      <c r="W317" s="3" t="s">
        <v>28</v>
      </c>
      <c r="X317" s="3" t="s">
        <v>33</v>
      </c>
      <c r="Y317" s="14">
        <f t="shared" si="9"/>
        <v>0.2479985635</v>
      </c>
      <c r="Z317" s="3">
        <f t="shared" si="7"/>
        <v>12</v>
      </c>
      <c r="AA317" s="15">
        <f t="shared" si="8"/>
        <v>2</v>
      </c>
    </row>
    <row r="318" ht="15.75" customHeight="1">
      <c r="A318" s="3">
        <v>3.09188163E8</v>
      </c>
      <c r="B318" s="3" t="s">
        <v>1166</v>
      </c>
      <c r="C318" s="3">
        <f>IFERROR(__xludf.DUMMYFUNCTION("split(B318,""/"")"),7.0)</f>
        <v>7</v>
      </c>
      <c r="D318" s="10">
        <f>IFERROR(__xludf.DUMMYFUNCTION("""COMPUTED_VALUE"""),24.0)</f>
        <v>24</v>
      </c>
      <c r="E318" s="11">
        <f>IFERROR(__xludf.DUMMYFUNCTION("""COMPUTED_VALUE"""),2015.0)</f>
        <v>2015</v>
      </c>
      <c r="F318" s="12">
        <f t="shared" si="1"/>
        <v>42209</v>
      </c>
      <c r="G318" s="9">
        <v>42346.0</v>
      </c>
      <c r="H318" s="3">
        <f>IFERROR(__xludf.DUMMYFUNCTION("split(G318,""/"")"),8.0)</f>
        <v>8</v>
      </c>
      <c r="I318" s="3">
        <f>IFERROR(__xludf.DUMMYFUNCTION("""COMPUTED_VALUE"""),12.0)</f>
        <v>12</v>
      </c>
      <c r="J318" s="3">
        <f>IFERROR(__xludf.DUMMYFUNCTION("""COMPUTED_VALUE"""),2015.0)</f>
        <v>2015</v>
      </c>
      <c r="K318" s="12">
        <f t="shared" si="2"/>
        <v>42228</v>
      </c>
      <c r="L318" s="3" t="s">
        <v>817</v>
      </c>
      <c r="M318" s="3" t="s">
        <v>101</v>
      </c>
      <c r="N318" s="3">
        <v>4594.0</v>
      </c>
      <c r="O318" s="3" t="s">
        <v>815</v>
      </c>
      <c r="P318" s="10">
        <v>4503.0</v>
      </c>
      <c r="Q318" s="13">
        <v>9.33</v>
      </c>
      <c r="R318" s="13">
        <v>6.92</v>
      </c>
      <c r="S318" s="13">
        <f t="shared" si="3"/>
        <v>42012.99</v>
      </c>
      <c r="T318" s="13">
        <f t="shared" si="4"/>
        <v>31160.76</v>
      </c>
      <c r="U318" s="13">
        <f t="shared" si="5"/>
        <v>10852.23</v>
      </c>
      <c r="V318" s="3" t="str">
        <f>VLOOKUP(N318,products!A:B,2,0)</f>
        <v>Fruits</v>
      </c>
      <c r="W318" s="3" t="s">
        <v>28</v>
      </c>
      <c r="X318" s="3" t="s">
        <v>79</v>
      </c>
      <c r="Y318" s="14">
        <f t="shared" si="9"/>
        <v>0.258306538</v>
      </c>
      <c r="Z318" s="3">
        <f t="shared" si="7"/>
        <v>19</v>
      </c>
      <c r="AA318" s="15">
        <f t="shared" si="8"/>
        <v>6</v>
      </c>
    </row>
    <row r="319" ht="15.75" customHeight="1">
      <c r="A319" s="3">
        <v>3.09285581E8</v>
      </c>
      <c r="B319" s="3" t="s">
        <v>1167</v>
      </c>
      <c r="C319" s="3">
        <f>IFERROR(__xludf.DUMMYFUNCTION("split(B319,""/"")"),2.0)</f>
        <v>2</v>
      </c>
      <c r="D319" s="10">
        <f>IFERROR(__xludf.DUMMYFUNCTION("""COMPUTED_VALUE"""),26.0)</f>
        <v>26</v>
      </c>
      <c r="E319" s="11">
        <f>IFERROR(__xludf.DUMMYFUNCTION("""COMPUTED_VALUE"""),2017.0)</f>
        <v>2017</v>
      </c>
      <c r="F319" s="12">
        <f t="shared" si="1"/>
        <v>42792</v>
      </c>
      <c r="G319" s="3" t="s">
        <v>945</v>
      </c>
      <c r="H319" s="3">
        <f>IFERROR(__xludf.DUMMYFUNCTION("split(G319,""/"")"),4.0)</f>
        <v>4</v>
      </c>
      <c r="I319" s="3">
        <f>IFERROR(__xludf.DUMMYFUNCTION("""COMPUTED_VALUE"""),17.0)</f>
        <v>17</v>
      </c>
      <c r="J319" s="3">
        <f>IFERROR(__xludf.DUMMYFUNCTION("""COMPUTED_VALUE"""),2017.0)</f>
        <v>2017</v>
      </c>
      <c r="K319" s="12">
        <f t="shared" si="2"/>
        <v>42842</v>
      </c>
      <c r="L319" s="3" t="s">
        <v>827</v>
      </c>
      <c r="M319" s="3" t="s">
        <v>364</v>
      </c>
      <c r="N319" s="3">
        <v>3127.0</v>
      </c>
      <c r="O319" s="3" t="s">
        <v>818</v>
      </c>
      <c r="P319" s="10">
        <v>3331.0</v>
      </c>
      <c r="Q319" s="13">
        <v>81.73</v>
      </c>
      <c r="R319" s="13">
        <v>56.67</v>
      </c>
      <c r="S319" s="13">
        <f t="shared" si="3"/>
        <v>272242.63</v>
      </c>
      <c r="T319" s="13">
        <f t="shared" si="4"/>
        <v>188767.77</v>
      </c>
      <c r="U319" s="13">
        <f t="shared" si="5"/>
        <v>83474.86</v>
      </c>
      <c r="V319" s="3" t="str">
        <f>VLOOKUP(N319,products!A:B,2,0)</f>
        <v>Personal Care</v>
      </c>
      <c r="W319" s="3" t="s">
        <v>28</v>
      </c>
      <c r="X319" s="3" t="s">
        <v>29</v>
      </c>
      <c r="Y319" s="14">
        <f t="shared" si="9"/>
        <v>0.3066193564</v>
      </c>
      <c r="Z319" s="3">
        <f t="shared" si="7"/>
        <v>50</v>
      </c>
      <c r="AA319" s="15">
        <f t="shared" si="8"/>
        <v>1</v>
      </c>
    </row>
    <row r="320" ht="15.75" customHeight="1">
      <c r="A320" s="3">
        <v>3.09342658E8</v>
      </c>
      <c r="B320" s="3" t="s">
        <v>1168</v>
      </c>
      <c r="C320" s="3">
        <f>IFERROR(__xludf.DUMMYFUNCTION("split(B320,""/"")"),2.0)</f>
        <v>2</v>
      </c>
      <c r="D320" s="10">
        <f>IFERROR(__xludf.DUMMYFUNCTION("""COMPUTED_VALUE"""),25.0)</f>
        <v>25</v>
      </c>
      <c r="E320" s="11">
        <f>IFERROR(__xludf.DUMMYFUNCTION("""COMPUTED_VALUE"""),2011.0)</f>
        <v>2011</v>
      </c>
      <c r="F320" s="12">
        <f t="shared" si="1"/>
        <v>40599</v>
      </c>
      <c r="G320" s="3" t="s">
        <v>880</v>
      </c>
      <c r="H320" s="3">
        <f>IFERROR(__xludf.DUMMYFUNCTION("split(G320,""/"")"),3.0)</f>
        <v>3</v>
      </c>
      <c r="I320" s="3">
        <f>IFERROR(__xludf.DUMMYFUNCTION("""COMPUTED_VALUE"""),28.0)</f>
        <v>28</v>
      </c>
      <c r="J320" s="3">
        <f>IFERROR(__xludf.DUMMYFUNCTION("""COMPUTED_VALUE"""),2011.0)</f>
        <v>2011</v>
      </c>
      <c r="K320" s="12">
        <f t="shared" si="2"/>
        <v>40630</v>
      </c>
      <c r="L320" s="3" t="s">
        <v>817</v>
      </c>
      <c r="M320" s="3" t="s">
        <v>373</v>
      </c>
      <c r="N320" s="3">
        <v>3127.0</v>
      </c>
      <c r="O320" s="3" t="s">
        <v>815</v>
      </c>
      <c r="P320" s="10">
        <v>222.0</v>
      </c>
      <c r="Q320" s="13">
        <v>81.73</v>
      </c>
      <c r="R320" s="13">
        <v>56.67</v>
      </c>
      <c r="S320" s="13">
        <f t="shared" si="3"/>
        <v>18144.06</v>
      </c>
      <c r="T320" s="13">
        <f t="shared" si="4"/>
        <v>12580.74</v>
      </c>
      <c r="U320" s="13">
        <f t="shared" si="5"/>
        <v>5563.32</v>
      </c>
      <c r="V320" s="3" t="str">
        <f>VLOOKUP(N320,products!A:B,2,0)</f>
        <v>Personal Care</v>
      </c>
      <c r="W320" s="3" t="s">
        <v>28</v>
      </c>
      <c r="X320" s="3" t="s">
        <v>33</v>
      </c>
      <c r="Y320" s="14">
        <f t="shared" si="9"/>
        <v>0.3066193564</v>
      </c>
      <c r="Z320" s="3">
        <f t="shared" si="7"/>
        <v>31</v>
      </c>
      <c r="AA320" s="15">
        <f t="shared" si="8"/>
        <v>6</v>
      </c>
    </row>
    <row r="321" ht="15.75" customHeight="1">
      <c r="A321" s="3">
        <v>3.09655511E8</v>
      </c>
      <c r="B321" s="9">
        <v>41764.0</v>
      </c>
      <c r="C321" s="3">
        <f>IFERROR(__xludf.DUMMYFUNCTION("split(B321,""/"")"),5.0)</f>
        <v>5</v>
      </c>
      <c r="D321" s="10">
        <f>IFERROR(__xludf.DUMMYFUNCTION("""COMPUTED_VALUE"""),5.0)</f>
        <v>5</v>
      </c>
      <c r="E321" s="11">
        <f>IFERROR(__xludf.DUMMYFUNCTION("""COMPUTED_VALUE"""),2014.0)</f>
        <v>2014</v>
      </c>
      <c r="F321" s="12">
        <f t="shared" si="1"/>
        <v>41764</v>
      </c>
      <c r="G321" s="3" t="s">
        <v>1169</v>
      </c>
      <c r="H321" s="3">
        <f>IFERROR(__xludf.DUMMYFUNCTION("split(G321,""/"")"),5.0)</f>
        <v>5</v>
      </c>
      <c r="I321" s="3">
        <f>IFERROR(__xludf.DUMMYFUNCTION("""COMPUTED_VALUE"""),21.0)</f>
        <v>21</v>
      </c>
      <c r="J321" s="3">
        <f>IFERROR(__xludf.DUMMYFUNCTION("""COMPUTED_VALUE"""),2014.0)</f>
        <v>2014</v>
      </c>
      <c r="K321" s="12">
        <f t="shared" si="2"/>
        <v>41780</v>
      </c>
      <c r="L321" s="3" t="s">
        <v>817</v>
      </c>
      <c r="M321" s="3" t="s">
        <v>206</v>
      </c>
      <c r="N321" s="3">
        <v>3127.0</v>
      </c>
      <c r="O321" s="3" t="s">
        <v>818</v>
      </c>
      <c r="P321" s="10"/>
      <c r="Q321" s="13">
        <v>81.73</v>
      </c>
      <c r="R321" s="13">
        <v>56.67</v>
      </c>
      <c r="S321" s="13">
        <f t="shared" si="3"/>
        <v>0</v>
      </c>
      <c r="T321" s="13">
        <f t="shared" si="4"/>
        <v>0</v>
      </c>
      <c r="U321" s="13">
        <f t="shared" si="5"/>
        <v>0</v>
      </c>
      <c r="V321" s="3" t="str">
        <f>VLOOKUP(N321,products!A:B,2,0)</f>
        <v>Personal Care</v>
      </c>
      <c r="W321" s="3" t="s">
        <v>28</v>
      </c>
      <c r="X321" s="3" t="s">
        <v>33</v>
      </c>
      <c r="Y321" s="14">
        <v>0.0</v>
      </c>
      <c r="Z321" s="3">
        <f t="shared" si="7"/>
        <v>16</v>
      </c>
      <c r="AA321" s="15">
        <f t="shared" si="8"/>
        <v>2</v>
      </c>
    </row>
    <row r="322" ht="15.75" customHeight="1">
      <c r="A322" s="3">
        <v>3.1058892E8</v>
      </c>
      <c r="B322" s="3" t="s">
        <v>1170</v>
      </c>
      <c r="C322" s="3">
        <f>IFERROR(__xludf.DUMMYFUNCTION("split(B322,""/"")"),12.0)</f>
        <v>12</v>
      </c>
      <c r="D322" s="10">
        <f>IFERROR(__xludf.DUMMYFUNCTION("""COMPUTED_VALUE"""),14.0)</f>
        <v>14</v>
      </c>
      <c r="E322" s="11">
        <f>IFERROR(__xludf.DUMMYFUNCTION("""COMPUTED_VALUE"""),2012.0)</f>
        <v>2012</v>
      </c>
      <c r="F322" s="12">
        <f t="shared" si="1"/>
        <v>41257</v>
      </c>
      <c r="G322" s="9">
        <v>41426.0</v>
      </c>
      <c r="H322" s="3">
        <f>IFERROR(__xludf.DUMMYFUNCTION("split(G322,""/"")"),1.0)</f>
        <v>1</v>
      </c>
      <c r="I322" s="3">
        <f>IFERROR(__xludf.DUMMYFUNCTION("""COMPUTED_VALUE"""),6.0)</f>
        <v>6</v>
      </c>
      <c r="J322" s="3">
        <f>IFERROR(__xludf.DUMMYFUNCTION("""COMPUTED_VALUE"""),2013.0)</f>
        <v>2013</v>
      </c>
      <c r="K322" s="12">
        <f t="shared" si="2"/>
        <v>41280</v>
      </c>
      <c r="L322" s="3" t="s">
        <v>827</v>
      </c>
      <c r="M322" s="3" t="s">
        <v>455</v>
      </c>
      <c r="N322" s="3">
        <v>8293.0</v>
      </c>
      <c r="O322" s="3" t="s">
        <v>818</v>
      </c>
      <c r="P322" s="10">
        <v>9018.0</v>
      </c>
      <c r="Q322" s="13">
        <v>437.2</v>
      </c>
      <c r="R322" s="13">
        <v>263.33</v>
      </c>
      <c r="S322" s="13">
        <f t="shared" si="3"/>
        <v>3942669.6</v>
      </c>
      <c r="T322" s="13">
        <f t="shared" si="4"/>
        <v>2374709.94</v>
      </c>
      <c r="U322" s="13">
        <f t="shared" si="5"/>
        <v>1567959.66</v>
      </c>
      <c r="V322" s="3" t="str">
        <f>VLOOKUP(N322,products!A:B,2,0)</f>
        <v>Cosmetics</v>
      </c>
      <c r="W322" s="3" t="s">
        <v>28</v>
      </c>
      <c r="X322" s="3" t="s">
        <v>33</v>
      </c>
      <c r="Y322" s="14">
        <f t="shared" ref="Y322:Y1332" si="10">U322/S322</f>
        <v>0.3976898445</v>
      </c>
      <c r="Z322" s="3">
        <f t="shared" si="7"/>
        <v>23</v>
      </c>
      <c r="AA322" s="15">
        <f t="shared" si="8"/>
        <v>6</v>
      </c>
    </row>
    <row r="323" ht="15.75" customHeight="1">
      <c r="A323" s="3">
        <v>3.11221492E8</v>
      </c>
      <c r="B323" s="9">
        <v>42678.0</v>
      </c>
      <c r="C323" s="3">
        <f>IFERROR(__xludf.DUMMYFUNCTION("split(B323,""/"")"),4.0)</f>
        <v>4</v>
      </c>
      <c r="D323" s="10">
        <f>IFERROR(__xludf.DUMMYFUNCTION("""COMPUTED_VALUE"""),11.0)</f>
        <v>11</v>
      </c>
      <c r="E323" s="11">
        <f>IFERROR(__xludf.DUMMYFUNCTION("""COMPUTED_VALUE"""),2016.0)</f>
        <v>2016</v>
      </c>
      <c r="F323" s="12">
        <f t="shared" si="1"/>
        <v>42471</v>
      </c>
      <c r="G323" s="9">
        <v>42556.0</v>
      </c>
      <c r="H323" s="3">
        <f>IFERROR(__xludf.DUMMYFUNCTION("split(G323,""/"")"),5.0)</f>
        <v>5</v>
      </c>
      <c r="I323" s="3">
        <f>IFERROR(__xludf.DUMMYFUNCTION("""COMPUTED_VALUE"""),7.0)</f>
        <v>7</v>
      </c>
      <c r="J323" s="3">
        <f>IFERROR(__xludf.DUMMYFUNCTION("""COMPUTED_VALUE"""),2016.0)</f>
        <v>2016</v>
      </c>
      <c r="K323" s="12">
        <f t="shared" si="2"/>
        <v>42497</v>
      </c>
      <c r="L323" s="3" t="s">
        <v>825</v>
      </c>
      <c r="M323" s="3" t="s">
        <v>686</v>
      </c>
      <c r="N323" s="3">
        <v>4594.0</v>
      </c>
      <c r="O323" s="3" t="s">
        <v>815</v>
      </c>
      <c r="P323" s="10">
        <v>6210.0</v>
      </c>
      <c r="Q323" s="13">
        <v>9.33</v>
      </c>
      <c r="R323" s="13">
        <v>6.92</v>
      </c>
      <c r="S323" s="13">
        <f t="shared" si="3"/>
        <v>57939.3</v>
      </c>
      <c r="T323" s="13">
        <f t="shared" si="4"/>
        <v>42973.2</v>
      </c>
      <c r="U323" s="13">
        <f t="shared" si="5"/>
        <v>14966.1</v>
      </c>
      <c r="V323" s="3" t="str">
        <f>VLOOKUP(N323,products!A:B,2,0)</f>
        <v>Fruits</v>
      </c>
      <c r="W323" s="3" t="s">
        <v>28</v>
      </c>
      <c r="X323" s="3" t="s">
        <v>29</v>
      </c>
      <c r="Y323" s="14">
        <f t="shared" si="10"/>
        <v>0.258306538</v>
      </c>
      <c r="Z323" s="3">
        <f t="shared" si="7"/>
        <v>26</v>
      </c>
      <c r="AA323" s="15">
        <f t="shared" si="8"/>
        <v>2</v>
      </c>
    </row>
    <row r="324" ht="15.75" customHeight="1">
      <c r="A324" s="3">
        <v>3.1168884E8</v>
      </c>
      <c r="B324" s="3" t="s">
        <v>1021</v>
      </c>
      <c r="C324" s="3">
        <f>IFERROR(__xludf.DUMMYFUNCTION("split(B324,""/"")"),1.0)</f>
        <v>1</v>
      </c>
      <c r="D324" s="10">
        <f>IFERROR(__xludf.DUMMYFUNCTION("""COMPUTED_VALUE"""),22.0)</f>
        <v>22</v>
      </c>
      <c r="E324" s="11">
        <f>IFERROR(__xludf.DUMMYFUNCTION("""COMPUTED_VALUE"""),2015.0)</f>
        <v>2015</v>
      </c>
      <c r="F324" s="12">
        <f t="shared" si="1"/>
        <v>42026</v>
      </c>
      <c r="G324" s="3" t="s">
        <v>1171</v>
      </c>
      <c r="H324" s="3">
        <f>IFERROR(__xludf.DUMMYFUNCTION("split(G324,""/"")"),2.0)</f>
        <v>2</v>
      </c>
      <c r="I324" s="3">
        <f>IFERROR(__xludf.DUMMYFUNCTION("""COMPUTED_VALUE"""),14.0)</f>
        <v>14</v>
      </c>
      <c r="J324" s="3">
        <f>IFERROR(__xludf.DUMMYFUNCTION("""COMPUTED_VALUE"""),2015.0)</f>
        <v>2015</v>
      </c>
      <c r="K324" s="12">
        <f t="shared" si="2"/>
        <v>42049</v>
      </c>
      <c r="L324" s="3" t="s">
        <v>825</v>
      </c>
      <c r="M324" s="3" t="s">
        <v>746</v>
      </c>
      <c r="N324" s="3">
        <v>3127.0</v>
      </c>
      <c r="O324" s="3" t="s">
        <v>818</v>
      </c>
      <c r="P324" s="10">
        <v>4509.0</v>
      </c>
      <c r="Q324" s="13">
        <v>81.73</v>
      </c>
      <c r="R324" s="13">
        <v>56.67</v>
      </c>
      <c r="S324" s="13">
        <f t="shared" si="3"/>
        <v>368520.57</v>
      </c>
      <c r="T324" s="13">
        <f t="shared" si="4"/>
        <v>255525.03</v>
      </c>
      <c r="U324" s="13">
        <f t="shared" si="5"/>
        <v>112995.54</v>
      </c>
      <c r="V324" s="3" t="str">
        <f>VLOOKUP(N324,products!A:B,2,0)</f>
        <v>Personal Care</v>
      </c>
      <c r="W324" s="3" t="s">
        <v>28</v>
      </c>
      <c r="X324" s="3" t="s">
        <v>29</v>
      </c>
      <c r="Y324" s="14">
        <f t="shared" si="10"/>
        <v>0.3066193564</v>
      </c>
      <c r="Z324" s="3">
        <f t="shared" si="7"/>
        <v>23</v>
      </c>
      <c r="AA324" s="15">
        <f t="shared" si="8"/>
        <v>5</v>
      </c>
    </row>
    <row r="325" ht="15.75" customHeight="1">
      <c r="A325" s="3">
        <v>3.11921012E8</v>
      </c>
      <c r="B325" s="3" t="s">
        <v>1172</v>
      </c>
      <c r="C325" s="3">
        <f>IFERROR(__xludf.DUMMYFUNCTION("split(B325,""/"")"),8.0)</f>
        <v>8</v>
      </c>
      <c r="D325" s="10">
        <f>IFERROR(__xludf.DUMMYFUNCTION("""COMPUTED_VALUE"""),15.0)</f>
        <v>15</v>
      </c>
      <c r="E325" s="11">
        <f>IFERROR(__xludf.DUMMYFUNCTION("""COMPUTED_VALUE"""),2010.0)</f>
        <v>2010</v>
      </c>
      <c r="F325" s="12">
        <f t="shared" si="1"/>
        <v>40405</v>
      </c>
      <c r="G325" s="3" t="s">
        <v>1173</v>
      </c>
      <c r="H325" s="3">
        <f>IFERROR(__xludf.DUMMYFUNCTION("split(G325,""/"")"),8.0)</f>
        <v>8</v>
      </c>
      <c r="I325" s="3">
        <f>IFERROR(__xludf.DUMMYFUNCTION("""COMPUTED_VALUE"""),26.0)</f>
        <v>26</v>
      </c>
      <c r="J325" s="3">
        <f>IFERROR(__xludf.DUMMYFUNCTION("""COMPUTED_VALUE"""),2010.0)</f>
        <v>2010</v>
      </c>
      <c r="K325" s="12">
        <f t="shared" si="2"/>
        <v>40416</v>
      </c>
      <c r="L325" s="3" t="s">
        <v>827</v>
      </c>
      <c r="M325" s="3" t="s">
        <v>97</v>
      </c>
      <c r="N325" s="3">
        <v>1270.0</v>
      </c>
      <c r="O325" s="3" t="s">
        <v>815</v>
      </c>
      <c r="P325" s="10">
        <v>3214.0</v>
      </c>
      <c r="Q325" s="13">
        <v>47.45</v>
      </c>
      <c r="R325" s="13">
        <v>31.79</v>
      </c>
      <c r="S325" s="13">
        <f t="shared" si="3"/>
        <v>152504.3</v>
      </c>
      <c r="T325" s="13">
        <f t="shared" si="4"/>
        <v>102173.06</v>
      </c>
      <c r="U325" s="13">
        <f t="shared" si="5"/>
        <v>50331.24</v>
      </c>
      <c r="V325" s="3" t="str">
        <f>VLOOKUP(N325,products!A:B,2,0)</f>
        <v>Beverages</v>
      </c>
      <c r="W325" s="3" t="s">
        <v>28</v>
      </c>
      <c r="X325" s="3" t="s">
        <v>98</v>
      </c>
      <c r="Y325" s="14">
        <f t="shared" si="10"/>
        <v>0.3300316122</v>
      </c>
      <c r="Z325" s="3">
        <f t="shared" si="7"/>
        <v>11</v>
      </c>
      <c r="AA325" s="15">
        <f t="shared" si="8"/>
        <v>1</v>
      </c>
    </row>
    <row r="326" ht="15.75" customHeight="1">
      <c r="A326" s="3">
        <v>3.11956632E8</v>
      </c>
      <c r="B326" s="9">
        <v>42826.0</v>
      </c>
      <c r="C326" s="3">
        <f>IFERROR(__xludf.DUMMYFUNCTION("split(B326,""/"")"),1.0)</f>
        <v>1</v>
      </c>
      <c r="D326" s="10">
        <f>IFERROR(__xludf.DUMMYFUNCTION("""COMPUTED_VALUE"""),4.0)</f>
        <v>4</v>
      </c>
      <c r="E326" s="11">
        <f>IFERROR(__xludf.DUMMYFUNCTION("""COMPUTED_VALUE"""),2017.0)</f>
        <v>2017</v>
      </c>
      <c r="F326" s="12">
        <f t="shared" si="1"/>
        <v>42739</v>
      </c>
      <c r="G326" s="9">
        <v>43009.0</v>
      </c>
      <c r="H326" s="3">
        <f>IFERROR(__xludf.DUMMYFUNCTION("split(G326,""/"")"),1.0)</f>
        <v>1</v>
      </c>
      <c r="I326" s="3">
        <f>IFERROR(__xludf.DUMMYFUNCTION("""COMPUTED_VALUE"""),10.0)</f>
        <v>10</v>
      </c>
      <c r="J326" s="3">
        <f>IFERROR(__xludf.DUMMYFUNCTION("""COMPUTED_VALUE"""),2017.0)</f>
        <v>2017</v>
      </c>
      <c r="K326" s="12">
        <f t="shared" si="2"/>
        <v>42745</v>
      </c>
      <c r="L326" s="3" t="s">
        <v>817</v>
      </c>
      <c r="M326" s="3" t="s">
        <v>248</v>
      </c>
      <c r="N326" s="3">
        <v>8293.0</v>
      </c>
      <c r="O326" s="3" t="s">
        <v>818</v>
      </c>
      <c r="P326" s="10">
        <v>3755.0</v>
      </c>
      <c r="Q326" s="13">
        <v>437.2</v>
      </c>
      <c r="R326" s="13">
        <v>263.33</v>
      </c>
      <c r="S326" s="13">
        <f t="shared" si="3"/>
        <v>1641686</v>
      </c>
      <c r="T326" s="13">
        <f t="shared" si="4"/>
        <v>988804.15</v>
      </c>
      <c r="U326" s="13">
        <f t="shared" si="5"/>
        <v>652881.85</v>
      </c>
      <c r="V326" s="3" t="str">
        <f>VLOOKUP(N326,products!A:B,2,0)</f>
        <v>Cosmetics</v>
      </c>
      <c r="W326" s="3" t="s">
        <v>28</v>
      </c>
      <c r="X326" s="3" t="s">
        <v>29</v>
      </c>
      <c r="Y326" s="14">
        <f t="shared" si="10"/>
        <v>0.3976898445</v>
      </c>
      <c r="Z326" s="3">
        <f t="shared" si="7"/>
        <v>6</v>
      </c>
      <c r="AA326" s="15">
        <f t="shared" si="8"/>
        <v>4</v>
      </c>
    </row>
    <row r="327" ht="15.75" customHeight="1">
      <c r="A327" s="3">
        <v>3.13178002E8</v>
      </c>
      <c r="B327" s="3" t="s">
        <v>1174</v>
      </c>
      <c r="C327" s="3">
        <f>IFERROR(__xludf.DUMMYFUNCTION("split(B327,""/"")"),10.0)</f>
        <v>10</v>
      </c>
      <c r="D327" s="10">
        <f>IFERROR(__xludf.DUMMYFUNCTION("""COMPUTED_VALUE"""),19.0)</f>
        <v>19</v>
      </c>
      <c r="E327" s="11">
        <f>IFERROR(__xludf.DUMMYFUNCTION("""COMPUTED_VALUE"""),2013.0)</f>
        <v>2013</v>
      </c>
      <c r="F327" s="12">
        <f t="shared" si="1"/>
        <v>41566</v>
      </c>
      <c r="G327" s="9">
        <v>41437.0</v>
      </c>
      <c r="H327" s="3">
        <f>IFERROR(__xludf.DUMMYFUNCTION("split(G327,""/"")"),12.0)</f>
        <v>12</v>
      </c>
      <c r="I327" s="3">
        <f>IFERROR(__xludf.DUMMYFUNCTION("""COMPUTED_VALUE"""),6.0)</f>
        <v>6</v>
      </c>
      <c r="J327" s="3">
        <f>IFERROR(__xludf.DUMMYFUNCTION("""COMPUTED_VALUE"""),2013.0)</f>
        <v>2013</v>
      </c>
      <c r="K327" s="12">
        <f t="shared" si="2"/>
        <v>41614</v>
      </c>
      <c r="L327" s="3" t="s">
        <v>817</v>
      </c>
      <c r="M327" s="3" t="s">
        <v>142</v>
      </c>
      <c r="N327" s="3">
        <v>1270.0</v>
      </c>
      <c r="O327" s="3" t="s">
        <v>818</v>
      </c>
      <c r="P327" s="10">
        <v>5185.0</v>
      </c>
      <c r="Q327" s="13">
        <v>47.45</v>
      </c>
      <c r="R327" s="13">
        <v>31.79</v>
      </c>
      <c r="S327" s="13">
        <f t="shared" si="3"/>
        <v>246028.25</v>
      </c>
      <c r="T327" s="13">
        <f t="shared" si="4"/>
        <v>164831.15</v>
      </c>
      <c r="U327" s="13">
        <f t="shared" si="5"/>
        <v>81197.1</v>
      </c>
      <c r="V327" s="3" t="str">
        <f>VLOOKUP(N327,products!A:B,2,0)</f>
        <v>Beverages</v>
      </c>
      <c r="W327" s="3" t="s">
        <v>28</v>
      </c>
      <c r="X327" s="3" t="s">
        <v>98</v>
      </c>
      <c r="Y327" s="14">
        <f t="shared" si="10"/>
        <v>0.3300316122</v>
      </c>
      <c r="Z327" s="3">
        <f t="shared" si="7"/>
        <v>48</v>
      </c>
      <c r="AA327" s="15">
        <f t="shared" si="8"/>
        <v>7</v>
      </c>
    </row>
    <row r="328" ht="15.75" customHeight="1">
      <c r="A328" s="3">
        <v>3.13705861E8</v>
      </c>
      <c r="B328" s="3" t="s">
        <v>1175</v>
      </c>
      <c r="C328" s="3">
        <f>IFERROR(__xludf.DUMMYFUNCTION("split(B328,""/"")"),5.0)</f>
        <v>5</v>
      </c>
      <c r="D328" s="10">
        <f>IFERROR(__xludf.DUMMYFUNCTION("""COMPUTED_VALUE"""),29.0)</f>
        <v>29</v>
      </c>
      <c r="E328" s="11">
        <f>IFERROR(__xludf.DUMMYFUNCTION("""COMPUTED_VALUE"""),2016.0)</f>
        <v>2016</v>
      </c>
      <c r="F328" s="12">
        <f t="shared" si="1"/>
        <v>42519</v>
      </c>
      <c r="G328" s="9">
        <v>42650.0</v>
      </c>
      <c r="H328" s="3">
        <f>IFERROR(__xludf.DUMMYFUNCTION("split(G328,""/"")"),7.0)</f>
        <v>7</v>
      </c>
      <c r="I328" s="3">
        <f>IFERROR(__xludf.DUMMYFUNCTION("""COMPUTED_VALUE"""),10.0)</f>
        <v>10</v>
      </c>
      <c r="J328" s="3">
        <f>IFERROR(__xludf.DUMMYFUNCTION("""COMPUTED_VALUE"""),2016.0)</f>
        <v>2016</v>
      </c>
      <c r="K328" s="12">
        <f t="shared" si="2"/>
        <v>42561</v>
      </c>
      <c r="L328" s="3" t="s">
        <v>825</v>
      </c>
      <c r="M328" s="3" t="s">
        <v>488</v>
      </c>
      <c r="N328" s="3">
        <v>4594.0</v>
      </c>
      <c r="O328" s="3" t="s">
        <v>818</v>
      </c>
      <c r="P328" s="10">
        <v>1390.0</v>
      </c>
      <c r="Q328" s="13">
        <v>9.33</v>
      </c>
      <c r="R328" s="13">
        <v>6.92</v>
      </c>
      <c r="S328" s="13">
        <f t="shared" si="3"/>
        <v>12968.7</v>
      </c>
      <c r="T328" s="13">
        <f t="shared" si="4"/>
        <v>9618.8</v>
      </c>
      <c r="U328" s="13">
        <f t="shared" si="5"/>
        <v>3349.9</v>
      </c>
      <c r="V328" s="3" t="str">
        <f>VLOOKUP(N328,products!A:B,2,0)</f>
        <v>Fruits</v>
      </c>
      <c r="W328" s="3" t="s">
        <v>28</v>
      </c>
      <c r="X328" s="3" t="s">
        <v>33</v>
      </c>
      <c r="Y328" s="14">
        <f t="shared" si="10"/>
        <v>0.258306538</v>
      </c>
      <c r="Z328" s="3">
        <f t="shared" si="7"/>
        <v>42</v>
      </c>
      <c r="AA328" s="15">
        <f t="shared" si="8"/>
        <v>1</v>
      </c>
    </row>
    <row r="329" ht="15.75" customHeight="1">
      <c r="A329" s="3">
        <v>3.13821303E8</v>
      </c>
      <c r="B329" s="9">
        <v>40310.0</v>
      </c>
      <c r="C329" s="3">
        <f>IFERROR(__xludf.DUMMYFUNCTION("split(B329,""/"")"),12.0)</f>
        <v>12</v>
      </c>
      <c r="D329" s="10">
        <f>IFERROR(__xludf.DUMMYFUNCTION("""COMPUTED_VALUE"""),5.0)</f>
        <v>5</v>
      </c>
      <c r="E329" s="11">
        <f>IFERROR(__xludf.DUMMYFUNCTION("""COMPUTED_VALUE"""),2010.0)</f>
        <v>2010</v>
      </c>
      <c r="F329" s="12">
        <f t="shared" si="1"/>
        <v>40517</v>
      </c>
      <c r="G329" s="3" t="s">
        <v>1176</v>
      </c>
      <c r="H329" s="3">
        <f>IFERROR(__xludf.DUMMYFUNCTION("split(G329,""/"")"),1.0)</f>
        <v>1</v>
      </c>
      <c r="I329" s="3">
        <f>IFERROR(__xludf.DUMMYFUNCTION("""COMPUTED_VALUE"""),17.0)</f>
        <v>17</v>
      </c>
      <c r="J329" s="3">
        <f>IFERROR(__xludf.DUMMYFUNCTION("""COMPUTED_VALUE"""),2011.0)</f>
        <v>2011</v>
      </c>
      <c r="K329" s="12">
        <f t="shared" si="2"/>
        <v>40560</v>
      </c>
      <c r="L329" s="3" t="s">
        <v>827</v>
      </c>
      <c r="M329" s="3" t="s">
        <v>346</v>
      </c>
      <c r="N329" s="3">
        <v>8681.0</v>
      </c>
      <c r="O329" s="3" t="s">
        <v>815</v>
      </c>
      <c r="P329" s="10">
        <v>5552.0</v>
      </c>
      <c r="Q329" s="13">
        <v>651.21</v>
      </c>
      <c r="R329" s="13">
        <v>524.96</v>
      </c>
      <c r="S329" s="13">
        <f t="shared" si="3"/>
        <v>3615517.92</v>
      </c>
      <c r="T329" s="13">
        <f t="shared" si="4"/>
        <v>2914577.92</v>
      </c>
      <c r="U329" s="13">
        <f t="shared" si="5"/>
        <v>700940</v>
      </c>
      <c r="V329" s="3" t="str">
        <f>VLOOKUP(N329,products!A:B,2,0)</f>
        <v>Office Supplies</v>
      </c>
      <c r="W329" s="3" t="s">
        <v>28</v>
      </c>
      <c r="X329" s="3" t="s">
        <v>98</v>
      </c>
      <c r="Y329" s="14">
        <f t="shared" si="10"/>
        <v>0.193869873</v>
      </c>
      <c r="Z329" s="3">
        <f t="shared" si="7"/>
        <v>43</v>
      </c>
      <c r="AA329" s="15">
        <f t="shared" si="8"/>
        <v>1</v>
      </c>
    </row>
    <row r="330" ht="15.75" customHeight="1">
      <c r="A330" s="3">
        <v>3.14782178E8</v>
      </c>
      <c r="B330" s="3" t="s">
        <v>1037</v>
      </c>
      <c r="C330" s="3">
        <f>IFERROR(__xludf.DUMMYFUNCTION("split(B330,""/"")"),6.0)</f>
        <v>6</v>
      </c>
      <c r="D330" s="10">
        <f>IFERROR(__xludf.DUMMYFUNCTION("""COMPUTED_VALUE"""),15.0)</f>
        <v>15</v>
      </c>
      <c r="E330" s="11">
        <f>IFERROR(__xludf.DUMMYFUNCTION("""COMPUTED_VALUE"""),2012.0)</f>
        <v>2012</v>
      </c>
      <c r="F330" s="12">
        <f t="shared" si="1"/>
        <v>41075</v>
      </c>
      <c r="G330" s="9">
        <v>41250.0</v>
      </c>
      <c r="H330" s="3">
        <f>IFERROR(__xludf.DUMMYFUNCTION("split(G330,""/"")"),7.0)</f>
        <v>7</v>
      </c>
      <c r="I330" s="3">
        <f>IFERROR(__xludf.DUMMYFUNCTION("""COMPUTED_VALUE"""),12.0)</f>
        <v>12</v>
      </c>
      <c r="J330" s="3">
        <f>IFERROR(__xludf.DUMMYFUNCTION("""COMPUTED_VALUE"""),2012.0)</f>
        <v>2012</v>
      </c>
      <c r="K330" s="12">
        <f t="shared" si="2"/>
        <v>41102</v>
      </c>
      <c r="L330" s="3" t="s">
        <v>825</v>
      </c>
      <c r="M330" s="3" t="s">
        <v>373</v>
      </c>
      <c r="N330" s="3">
        <v>7331.0</v>
      </c>
      <c r="O330" s="3" t="s">
        <v>818</v>
      </c>
      <c r="P330" s="10">
        <v>9896.0</v>
      </c>
      <c r="Q330" s="13">
        <v>255.28</v>
      </c>
      <c r="R330" s="13">
        <v>159.42</v>
      </c>
      <c r="S330" s="13">
        <f t="shared" si="3"/>
        <v>2526250.88</v>
      </c>
      <c r="T330" s="13">
        <f t="shared" si="4"/>
        <v>1577620.32</v>
      </c>
      <c r="U330" s="13">
        <f t="shared" si="5"/>
        <v>948630.56</v>
      </c>
      <c r="V330" s="3" t="str">
        <f>VLOOKUP(N330,products!A:B,2,0)</f>
        <v>Baby Food</v>
      </c>
      <c r="W330" s="3" t="s">
        <v>28</v>
      </c>
      <c r="X330" s="3" t="s">
        <v>33</v>
      </c>
      <c r="Y330" s="14">
        <f t="shared" si="10"/>
        <v>0.3755092448</v>
      </c>
      <c r="Z330" s="3">
        <f t="shared" si="7"/>
        <v>27</v>
      </c>
      <c r="AA330" s="15">
        <f t="shared" si="8"/>
        <v>6</v>
      </c>
    </row>
    <row r="331" ht="15.75" customHeight="1">
      <c r="A331" s="3">
        <v>3.15066277E8</v>
      </c>
      <c r="B331" s="9">
        <v>41557.0</v>
      </c>
      <c r="C331" s="3">
        <f>IFERROR(__xludf.DUMMYFUNCTION("split(B331,""/"")"),10.0)</f>
        <v>10</v>
      </c>
      <c r="D331" s="10">
        <f>IFERROR(__xludf.DUMMYFUNCTION("""COMPUTED_VALUE"""),10.0)</f>
        <v>10</v>
      </c>
      <c r="E331" s="11">
        <f>IFERROR(__xludf.DUMMYFUNCTION("""COMPUTED_VALUE"""),2013.0)</f>
        <v>2013</v>
      </c>
      <c r="F331" s="12">
        <f t="shared" si="1"/>
        <v>41557</v>
      </c>
      <c r="G331" s="3" t="s">
        <v>1177</v>
      </c>
      <c r="H331" s="3">
        <f>IFERROR(__xludf.DUMMYFUNCTION("split(G331,""/"")"),11.0)</f>
        <v>11</v>
      </c>
      <c r="I331" s="3">
        <f>IFERROR(__xludf.DUMMYFUNCTION("""COMPUTED_VALUE"""),28.0)</f>
        <v>28</v>
      </c>
      <c r="J331" s="3">
        <f>IFERROR(__xludf.DUMMYFUNCTION("""COMPUTED_VALUE"""),2013.0)</f>
        <v>2013</v>
      </c>
      <c r="K331" s="12">
        <f t="shared" si="2"/>
        <v>41606</v>
      </c>
      <c r="L331" s="3" t="s">
        <v>825</v>
      </c>
      <c r="M331" s="3" t="s">
        <v>650</v>
      </c>
      <c r="N331" s="3">
        <v>8969.0</v>
      </c>
      <c r="O331" s="3" t="s">
        <v>818</v>
      </c>
      <c r="P331" s="10">
        <v>3968.0</v>
      </c>
      <c r="Q331" s="13">
        <v>152.58</v>
      </c>
      <c r="R331" s="13">
        <v>97.44</v>
      </c>
      <c r="S331" s="13">
        <f t="shared" si="3"/>
        <v>605437.44</v>
      </c>
      <c r="T331" s="13">
        <f t="shared" si="4"/>
        <v>386641.92</v>
      </c>
      <c r="U331" s="13">
        <f t="shared" si="5"/>
        <v>218795.52</v>
      </c>
      <c r="V331" s="3" t="str">
        <f>VLOOKUP(N331,products!A:B,2,0)</f>
        <v>Snacks</v>
      </c>
      <c r="W331" s="3" t="s">
        <v>28</v>
      </c>
      <c r="X331" s="3" t="s">
        <v>98</v>
      </c>
      <c r="Y331" s="14">
        <f t="shared" si="10"/>
        <v>0.3613841919</v>
      </c>
      <c r="Z331" s="3">
        <f t="shared" si="7"/>
        <v>49</v>
      </c>
      <c r="AA331" s="15">
        <f t="shared" si="8"/>
        <v>5</v>
      </c>
    </row>
    <row r="332" ht="15.75" customHeight="1">
      <c r="A332" s="3">
        <v>3.16466176E8</v>
      </c>
      <c r="B332" s="3" t="s">
        <v>1107</v>
      </c>
      <c r="C332" s="3">
        <f>IFERROR(__xludf.DUMMYFUNCTION("split(B332,""/"")"),5.0)</f>
        <v>5</v>
      </c>
      <c r="D332" s="10">
        <f>IFERROR(__xludf.DUMMYFUNCTION("""COMPUTED_VALUE"""),22.0)</f>
        <v>22</v>
      </c>
      <c r="E332" s="11">
        <f>IFERROR(__xludf.DUMMYFUNCTION("""COMPUTED_VALUE"""),2014.0)</f>
        <v>2014</v>
      </c>
      <c r="F332" s="12">
        <f t="shared" si="1"/>
        <v>41781</v>
      </c>
      <c r="G332" s="9">
        <v>41676.0</v>
      </c>
      <c r="H332" s="3">
        <f>IFERROR(__xludf.DUMMYFUNCTION("split(G332,""/"")"),6.0)</f>
        <v>6</v>
      </c>
      <c r="I332" s="3">
        <f>IFERROR(__xludf.DUMMYFUNCTION("""COMPUTED_VALUE"""),2.0)</f>
        <v>2</v>
      </c>
      <c r="J332" s="3">
        <f>IFERROR(__xludf.DUMMYFUNCTION("""COMPUTED_VALUE"""),2014.0)</f>
        <v>2014</v>
      </c>
      <c r="K332" s="12">
        <f t="shared" si="2"/>
        <v>41792</v>
      </c>
      <c r="L332" s="3" t="s">
        <v>827</v>
      </c>
      <c r="M332" s="3" t="s">
        <v>248</v>
      </c>
      <c r="N332" s="3">
        <v>7331.0</v>
      </c>
      <c r="O332" s="3" t="s">
        <v>818</v>
      </c>
      <c r="P332" s="10">
        <v>8229.0</v>
      </c>
      <c r="Q332" s="13">
        <v>255.28</v>
      </c>
      <c r="R332" s="13">
        <v>159.42</v>
      </c>
      <c r="S332" s="13">
        <f t="shared" si="3"/>
        <v>2100699.12</v>
      </c>
      <c r="T332" s="13">
        <f t="shared" si="4"/>
        <v>1311867.18</v>
      </c>
      <c r="U332" s="13">
        <f t="shared" si="5"/>
        <v>788831.94</v>
      </c>
      <c r="V332" s="3" t="str">
        <f>VLOOKUP(N332,products!A:B,2,0)</f>
        <v>Baby Food</v>
      </c>
      <c r="W332" s="3" t="s">
        <v>28</v>
      </c>
      <c r="X332" s="3" t="s">
        <v>29</v>
      </c>
      <c r="Y332" s="14">
        <f t="shared" si="10"/>
        <v>0.3755092448</v>
      </c>
      <c r="Z332" s="3">
        <f t="shared" si="7"/>
        <v>11</v>
      </c>
      <c r="AA332" s="15">
        <f t="shared" si="8"/>
        <v>5</v>
      </c>
    </row>
    <row r="333" ht="15.75" customHeight="1">
      <c r="A333" s="3">
        <v>3.17006051E8</v>
      </c>
      <c r="B333" s="3" t="s">
        <v>1178</v>
      </c>
      <c r="C333" s="3">
        <f>IFERROR(__xludf.DUMMYFUNCTION("split(B333,""/"")"),4.0)</f>
        <v>4</v>
      </c>
      <c r="D333" s="10">
        <f>IFERROR(__xludf.DUMMYFUNCTION("""COMPUTED_VALUE"""),30.0)</f>
        <v>30</v>
      </c>
      <c r="E333" s="11">
        <f>IFERROR(__xludf.DUMMYFUNCTION("""COMPUTED_VALUE"""),2017.0)</f>
        <v>2017</v>
      </c>
      <c r="F333" s="12">
        <f t="shared" si="1"/>
        <v>42855</v>
      </c>
      <c r="G333" s="9">
        <v>42861.0</v>
      </c>
      <c r="H333" s="3">
        <f>IFERROR(__xludf.DUMMYFUNCTION("split(G333,""/"")"),6.0)</f>
        <v>6</v>
      </c>
      <c r="I333" s="3">
        <f>IFERROR(__xludf.DUMMYFUNCTION("""COMPUTED_VALUE"""),5.0)</f>
        <v>5</v>
      </c>
      <c r="J333" s="3">
        <f>IFERROR(__xludf.DUMMYFUNCTION("""COMPUTED_VALUE"""),2017.0)</f>
        <v>2017</v>
      </c>
      <c r="K333" s="12">
        <f t="shared" si="2"/>
        <v>42891</v>
      </c>
      <c r="L333" s="3" t="s">
        <v>827</v>
      </c>
      <c r="M333" s="3" t="s">
        <v>300</v>
      </c>
      <c r="N333" s="3">
        <v>1270.0</v>
      </c>
      <c r="O333" s="3" t="s">
        <v>818</v>
      </c>
      <c r="P333" s="10">
        <v>7990.0</v>
      </c>
      <c r="Q333" s="13">
        <v>47.45</v>
      </c>
      <c r="R333" s="13">
        <v>31.79</v>
      </c>
      <c r="S333" s="13">
        <f t="shared" si="3"/>
        <v>379125.5</v>
      </c>
      <c r="T333" s="13">
        <f t="shared" si="4"/>
        <v>254002.1</v>
      </c>
      <c r="U333" s="13">
        <f t="shared" si="5"/>
        <v>125123.4</v>
      </c>
      <c r="V333" s="3" t="str">
        <f>VLOOKUP(N333,products!A:B,2,0)</f>
        <v>Beverages</v>
      </c>
      <c r="W333" s="3" t="s">
        <v>28</v>
      </c>
      <c r="X333" s="3" t="s">
        <v>33</v>
      </c>
      <c r="Y333" s="14">
        <f t="shared" si="10"/>
        <v>0.3300316122</v>
      </c>
      <c r="Z333" s="3">
        <f t="shared" si="7"/>
        <v>36</v>
      </c>
      <c r="AA333" s="15">
        <f t="shared" si="8"/>
        <v>1</v>
      </c>
    </row>
    <row r="334" ht="15.75" customHeight="1">
      <c r="A334" s="3">
        <v>3.18523538E8</v>
      </c>
      <c r="B334" s="9">
        <v>42195.0</v>
      </c>
      <c r="C334" s="3">
        <f>IFERROR(__xludf.DUMMYFUNCTION("split(B334,""/"")"),10.0)</f>
        <v>10</v>
      </c>
      <c r="D334" s="10">
        <f>IFERROR(__xludf.DUMMYFUNCTION("""COMPUTED_VALUE"""),7.0)</f>
        <v>7</v>
      </c>
      <c r="E334" s="11">
        <f>IFERROR(__xludf.DUMMYFUNCTION("""COMPUTED_VALUE"""),2015.0)</f>
        <v>2015</v>
      </c>
      <c r="F334" s="12">
        <f t="shared" si="1"/>
        <v>42284</v>
      </c>
      <c r="G334" s="9">
        <v>42135.0</v>
      </c>
      <c r="H334" s="3">
        <f>IFERROR(__xludf.DUMMYFUNCTION("split(G334,""/"")"),11.0)</f>
        <v>11</v>
      </c>
      <c r="I334" s="3">
        <f>IFERROR(__xludf.DUMMYFUNCTION("""COMPUTED_VALUE"""),5.0)</f>
        <v>5</v>
      </c>
      <c r="J334" s="3">
        <f>IFERROR(__xludf.DUMMYFUNCTION("""COMPUTED_VALUE"""),2015.0)</f>
        <v>2015</v>
      </c>
      <c r="K334" s="12">
        <f t="shared" si="2"/>
        <v>42313</v>
      </c>
      <c r="L334" s="3" t="s">
        <v>814</v>
      </c>
      <c r="M334" s="3" t="s">
        <v>248</v>
      </c>
      <c r="N334" s="3">
        <v>2103.0</v>
      </c>
      <c r="O334" s="3" t="s">
        <v>815</v>
      </c>
      <c r="P334" s="10">
        <v>7048.0</v>
      </c>
      <c r="Q334" s="13">
        <v>205.7</v>
      </c>
      <c r="R334" s="13">
        <v>117.11</v>
      </c>
      <c r="S334" s="13">
        <f t="shared" si="3"/>
        <v>1449773.6</v>
      </c>
      <c r="T334" s="13">
        <f t="shared" si="4"/>
        <v>825391.28</v>
      </c>
      <c r="U334" s="13">
        <f t="shared" si="5"/>
        <v>624382.32</v>
      </c>
      <c r="V334" s="3" t="str">
        <f>VLOOKUP(N334,products!A:B,2,0)</f>
        <v>Cereal</v>
      </c>
      <c r="W334" s="3" t="s">
        <v>28</v>
      </c>
      <c r="X334" s="3" t="s">
        <v>29</v>
      </c>
      <c r="Y334" s="14">
        <f t="shared" si="10"/>
        <v>0.4306757414</v>
      </c>
      <c r="Z334" s="3">
        <f t="shared" si="7"/>
        <v>29</v>
      </c>
      <c r="AA334" s="15">
        <f t="shared" si="8"/>
        <v>4</v>
      </c>
    </row>
    <row r="335" ht="15.75" customHeight="1">
      <c r="A335" s="3">
        <v>3.20431125E8</v>
      </c>
      <c r="B335" s="9">
        <v>42311.0</v>
      </c>
      <c r="C335" s="3">
        <f>IFERROR(__xludf.DUMMYFUNCTION("split(B335,""/"")"),3.0)</f>
        <v>3</v>
      </c>
      <c r="D335" s="10">
        <f>IFERROR(__xludf.DUMMYFUNCTION("""COMPUTED_VALUE"""),11.0)</f>
        <v>11</v>
      </c>
      <c r="E335" s="11">
        <f>IFERROR(__xludf.DUMMYFUNCTION("""COMPUTED_VALUE"""),2015.0)</f>
        <v>2015</v>
      </c>
      <c r="F335" s="12">
        <f t="shared" si="1"/>
        <v>42074</v>
      </c>
      <c r="G335" s="3" t="s">
        <v>1179</v>
      </c>
      <c r="H335" s="3">
        <f>IFERROR(__xludf.DUMMYFUNCTION("split(G335,""/"")"),4.0)</f>
        <v>4</v>
      </c>
      <c r="I335" s="3">
        <f>IFERROR(__xludf.DUMMYFUNCTION("""COMPUTED_VALUE"""),17.0)</f>
        <v>17</v>
      </c>
      <c r="J335" s="3">
        <f>IFERROR(__xludf.DUMMYFUNCTION("""COMPUTED_VALUE"""),2015.0)</f>
        <v>2015</v>
      </c>
      <c r="K335" s="12">
        <f t="shared" si="2"/>
        <v>42111</v>
      </c>
      <c r="L335" s="3" t="s">
        <v>827</v>
      </c>
      <c r="M335" s="3" t="s">
        <v>46</v>
      </c>
      <c r="N335" s="3">
        <v>1270.0</v>
      </c>
      <c r="O335" s="3" t="s">
        <v>815</v>
      </c>
      <c r="P335" s="10">
        <v>1545.0</v>
      </c>
      <c r="Q335" s="13">
        <v>47.45</v>
      </c>
      <c r="R335" s="13">
        <v>31.79</v>
      </c>
      <c r="S335" s="13">
        <f t="shared" si="3"/>
        <v>73310.25</v>
      </c>
      <c r="T335" s="13">
        <f t="shared" si="4"/>
        <v>49115.55</v>
      </c>
      <c r="U335" s="13">
        <f t="shared" si="5"/>
        <v>24194.7</v>
      </c>
      <c r="V335" s="3" t="str">
        <f>VLOOKUP(N335,products!A:B,2,0)</f>
        <v>Beverages</v>
      </c>
      <c r="W335" s="3" t="s">
        <v>28</v>
      </c>
      <c r="X335" s="3" t="s">
        <v>33</v>
      </c>
      <c r="Y335" s="14">
        <f t="shared" si="10"/>
        <v>0.3300316122</v>
      </c>
      <c r="Z335" s="3">
        <f t="shared" si="7"/>
        <v>37</v>
      </c>
      <c r="AA335" s="15">
        <f t="shared" si="8"/>
        <v>4</v>
      </c>
    </row>
    <row r="336" ht="15.75" customHeight="1">
      <c r="A336" s="3">
        <v>3.21628463E8</v>
      </c>
      <c r="B336" s="3" t="s">
        <v>1180</v>
      </c>
      <c r="C336" s="3">
        <f>IFERROR(__xludf.DUMMYFUNCTION("split(B336,""/"")"),4.0)</f>
        <v>4</v>
      </c>
      <c r="D336" s="10">
        <f>IFERROR(__xludf.DUMMYFUNCTION("""COMPUTED_VALUE"""),27.0)</f>
        <v>27</v>
      </c>
      <c r="E336" s="11">
        <f>IFERROR(__xludf.DUMMYFUNCTION("""COMPUTED_VALUE"""),2011.0)</f>
        <v>2011</v>
      </c>
      <c r="F336" s="12">
        <f t="shared" si="1"/>
        <v>40660</v>
      </c>
      <c r="G336" s="3" t="s">
        <v>984</v>
      </c>
      <c r="H336" s="3">
        <f>IFERROR(__xludf.DUMMYFUNCTION("split(G336,""/"")"),5.0)</f>
        <v>5</v>
      </c>
      <c r="I336" s="3">
        <f>IFERROR(__xludf.DUMMYFUNCTION("""COMPUTED_VALUE"""),14.0)</f>
        <v>14</v>
      </c>
      <c r="J336" s="3">
        <f>IFERROR(__xludf.DUMMYFUNCTION("""COMPUTED_VALUE"""),2011.0)</f>
        <v>2011</v>
      </c>
      <c r="K336" s="12">
        <f t="shared" si="2"/>
        <v>40677</v>
      </c>
      <c r="L336" s="3" t="s">
        <v>825</v>
      </c>
      <c r="M336" s="3" t="s">
        <v>575</v>
      </c>
      <c r="N336" s="3">
        <v>7940.0</v>
      </c>
      <c r="O336" s="3" t="s">
        <v>815</v>
      </c>
      <c r="P336" s="10">
        <v>5864.0</v>
      </c>
      <c r="Q336" s="13">
        <v>668.27</v>
      </c>
      <c r="R336" s="13">
        <v>502.54</v>
      </c>
      <c r="S336" s="13">
        <f t="shared" si="3"/>
        <v>3918735.28</v>
      </c>
      <c r="T336" s="13">
        <f t="shared" si="4"/>
        <v>2946894.56</v>
      </c>
      <c r="U336" s="13">
        <f t="shared" si="5"/>
        <v>971840.72</v>
      </c>
      <c r="V336" s="3" t="str">
        <f>VLOOKUP(N336,products!A:B,2,0)</f>
        <v>Household</v>
      </c>
      <c r="W336" s="3" t="s">
        <v>28</v>
      </c>
      <c r="X336" s="3" t="s">
        <v>98</v>
      </c>
      <c r="Y336" s="14">
        <f t="shared" si="10"/>
        <v>0.2479985635</v>
      </c>
      <c r="Z336" s="3">
        <f t="shared" si="7"/>
        <v>17</v>
      </c>
      <c r="AA336" s="15">
        <f t="shared" si="8"/>
        <v>4</v>
      </c>
    </row>
    <row r="337" ht="15.75" customHeight="1">
      <c r="A337" s="3">
        <v>3.22524106E8</v>
      </c>
      <c r="B337" s="3" t="s">
        <v>1181</v>
      </c>
      <c r="C337" s="3">
        <f>IFERROR(__xludf.DUMMYFUNCTION("split(B337,""/"")"),5.0)</f>
        <v>5</v>
      </c>
      <c r="D337" s="10">
        <f>IFERROR(__xludf.DUMMYFUNCTION("""COMPUTED_VALUE"""),20.0)</f>
        <v>20</v>
      </c>
      <c r="E337" s="11">
        <f>IFERROR(__xludf.DUMMYFUNCTION("""COMPUTED_VALUE"""),2015.0)</f>
        <v>2015</v>
      </c>
      <c r="F337" s="12">
        <f t="shared" si="1"/>
        <v>42144</v>
      </c>
      <c r="G337" s="3" t="s">
        <v>1181</v>
      </c>
      <c r="H337" s="3">
        <f>IFERROR(__xludf.DUMMYFUNCTION("split(G337,""/"")"),5.0)</f>
        <v>5</v>
      </c>
      <c r="I337" s="3">
        <f>IFERROR(__xludf.DUMMYFUNCTION("""COMPUTED_VALUE"""),20.0)</f>
        <v>20</v>
      </c>
      <c r="J337" s="3">
        <f>IFERROR(__xludf.DUMMYFUNCTION("""COMPUTED_VALUE"""),2015.0)</f>
        <v>2015</v>
      </c>
      <c r="K337" s="12">
        <f t="shared" si="2"/>
        <v>42144</v>
      </c>
      <c r="L337" s="3" t="s">
        <v>817</v>
      </c>
      <c r="M337" s="3" t="s">
        <v>218</v>
      </c>
      <c r="N337" s="3">
        <v>2103.0</v>
      </c>
      <c r="O337" s="3" t="s">
        <v>818</v>
      </c>
      <c r="P337" s="10">
        <v>905.0</v>
      </c>
      <c r="Q337" s="13">
        <v>205.7</v>
      </c>
      <c r="R337" s="13">
        <v>117.11</v>
      </c>
      <c r="S337" s="13">
        <f t="shared" si="3"/>
        <v>186158.5</v>
      </c>
      <c r="T337" s="13">
        <f t="shared" si="4"/>
        <v>105984.55</v>
      </c>
      <c r="U337" s="13">
        <f t="shared" si="5"/>
        <v>80173.95</v>
      </c>
      <c r="V337" s="3" t="str">
        <f>VLOOKUP(N337,products!A:B,2,0)</f>
        <v>Cereal</v>
      </c>
      <c r="W337" s="3" t="s">
        <v>28</v>
      </c>
      <c r="X337" s="3" t="s">
        <v>98</v>
      </c>
      <c r="Y337" s="14">
        <f t="shared" si="10"/>
        <v>0.4306757414</v>
      </c>
      <c r="Z337" s="3">
        <f t="shared" si="7"/>
        <v>0</v>
      </c>
      <c r="AA337" s="15">
        <f t="shared" si="8"/>
        <v>4</v>
      </c>
    </row>
    <row r="338" ht="15.75" customHeight="1">
      <c r="A338" s="3">
        <v>3.23293578E8</v>
      </c>
      <c r="B338" s="3" t="s">
        <v>1182</v>
      </c>
      <c r="C338" s="3">
        <f>IFERROR(__xludf.DUMMYFUNCTION("split(B338,""/"")"),12.0)</f>
        <v>12</v>
      </c>
      <c r="D338" s="10">
        <f>IFERROR(__xludf.DUMMYFUNCTION("""COMPUTED_VALUE"""),24.0)</f>
        <v>24</v>
      </c>
      <c r="E338" s="11">
        <f>IFERROR(__xludf.DUMMYFUNCTION("""COMPUTED_VALUE"""),2015.0)</f>
        <v>2015</v>
      </c>
      <c r="F338" s="12">
        <f t="shared" si="1"/>
        <v>42362</v>
      </c>
      <c r="G338" s="9">
        <v>42402.0</v>
      </c>
      <c r="H338" s="3">
        <f>IFERROR(__xludf.DUMMYFUNCTION("split(G338,""/"")"),2.0)</f>
        <v>2</v>
      </c>
      <c r="I338" s="3">
        <f>IFERROR(__xludf.DUMMYFUNCTION("""COMPUTED_VALUE"""),2.0)</f>
        <v>2</v>
      </c>
      <c r="J338" s="3">
        <f>IFERROR(__xludf.DUMMYFUNCTION("""COMPUTED_VALUE"""),2016.0)</f>
        <v>2016</v>
      </c>
      <c r="K338" s="12">
        <f t="shared" si="2"/>
        <v>42402</v>
      </c>
      <c r="L338" s="3" t="s">
        <v>827</v>
      </c>
      <c r="M338" s="3" t="s">
        <v>78</v>
      </c>
      <c r="N338" s="3">
        <v>2103.0</v>
      </c>
      <c r="O338" s="3" t="s">
        <v>815</v>
      </c>
      <c r="P338" s="10">
        <v>8609.0</v>
      </c>
      <c r="Q338" s="13">
        <v>205.7</v>
      </c>
      <c r="R338" s="13">
        <v>117.11</v>
      </c>
      <c r="S338" s="13">
        <f t="shared" si="3"/>
        <v>1770871.3</v>
      </c>
      <c r="T338" s="13">
        <f t="shared" si="4"/>
        <v>1008199.99</v>
      </c>
      <c r="U338" s="13">
        <f t="shared" si="5"/>
        <v>762671.31</v>
      </c>
      <c r="V338" s="3" t="str">
        <f>VLOOKUP(N338,products!A:B,2,0)</f>
        <v>Cereal</v>
      </c>
      <c r="W338" s="3" t="s">
        <v>28</v>
      </c>
      <c r="X338" s="3" t="s">
        <v>79</v>
      </c>
      <c r="Y338" s="14">
        <f t="shared" si="10"/>
        <v>0.4306757414</v>
      </c>
      <c r="Z338" s="3">
        <f t="shared" si="7"/>
        <v>40</v>
      </c>
      <c r="AA338" s="15">
        <f t="shared" si="8"/>
        <v>5</v>
      </c>
    </row>
    <row r="339" ht="15.75" customHeight="1">
      <c r="A339" s="3">
        <v>3.25314033E8</v>
      </c>
      <c r="B339" s="9">
        <v>41061.0</v>
      </c>
      <c r="C339" s="3">
        <f>IFERROR(__xludf.DUMMYFUNCTION("split(B339,""/"")"),1.0)</f>
        <v>1</v>
      </c>
      <c r="D339" s="10">
        <f>IFERROR(__xludf.DUMMYFUNCTION("""COMPUTED_VALUE"""),6.0)</f>
        <v>6</v>
      </c>
      <c r="E339" s="11">
        <f>IFERROR(__xludf.DUMMYFUNCTION("""COMPUTED_VALUE"""),2012.0)</f>
        <v>2012</v>
      </c>
      <c r="F339" s="12">
        <f t="shared" si="1"/>
        <v>40914</v>
      </c>
      <c r="G339" s="3" t="s">
        <v>1183</v>
      </c>
      <c r="H339" s="3">
        <f>IFERROR(__xludf.DUMMYFUNCTION("split(G339,""/"")"),1.0)</f>
        <v>1</v>
      </c>
      <c r="I339" s="3">
        <f>IFERROR(__xludf.DUMMYFUNCTION("""COMPUTED_VALUE"""),30.0)</f>
        <v>30</v>
      </c>
      <c r="J339" s="3">
        <f>IFERROR(__xludf.DUMMYFUNCTION("""COMPUTED_VALUE"""),2012.0)</f>
        <v>2012</v>
      </c>
      <c r="K339" s="12">
        <f t="shared" si="2"/>
        <v>40938</v>
      </c>
      <c r="L339" s="3" t="s">
        <v>827</v>
      </c>
      <c r="M339" s="3" t="s">
        <v>215</v>
      </c>
      <c r="N339" s="3">
        <v>2455.0</v>
      </c>
      <c r="O339" s="3" t="s">
        <v>815</v>
      </c>
      <c r="P339" s="10">
        <v>6506.0</v>
      </c>
      <c r="Q339" s="13">
        <v>109.28</v>
      </c>
      <c r="R339" s="13">
        <v>35.84</v>
      </c>
      <c r="S339" s="13">
        <f t="shared" si="3"/>
        <v>710975.68</v>
      </c>
      <c r="T339" s="13">
        <f t="shared" si="4"/>
        <v>233175.04</v>
      </c>
      <c r="U339" s="13">
        <f t="shared" si="5"/>
        <v>477800.64</v>
      </c>
      <c r="V339" s="3" t="str">
        <f>VLOOKUP(N339,products!A:B,2,0)</f>
        <v>Clothes</v>
      </c>
      <c r="W339" s="3" t="s">
        <v>23</v>
      </c>
      <c r="X339" s="3" t="s">
        <v>68</v>
      </c>
      <c r="Y339" s="14">
        <f t="shared" si="10"/>
        <v>0.6720351391</v>
      </c>
      <c r="Z339" s="3">
        <f t="shared" si="7"/>
        <v>24</v>
      </c>
      <c r="AA339" s="15">
        <f t="shared" si="8"/>
        <v>6</v>
      </c>
    </row>
    <row r="340" ht="15.75" customHeight="1">
      <c r="A340" s="3">
        <v>3.27072703E8</v>
      </c>
      <c r="B340" s="9">
        <v>41285.0</v>
      </c>
      <c r="C340" s="3">
        <f>IFERROR(__xludf.DUMMYFUNCTION("split(B340,""/"")"),11.0)</f>
        <v>11</v>
      </c>
      <c r="D340" s="10">
        <f>IFERROR(__xludf.DUMMYFUNCTION("""COMPUTED_VALUE"""),1.0)</f>
        <v>1</v>
      </c>
      <c r="E340" s="11">
        <f>IFERROR(__xludf.DUMMYFUNCTION("""COMPUTED_VALUE"""),2013.0)</f>
        <v>2013</v>
      </c>
      <c r="F340" s="12">
        <f t="shared" si="1"/>
        <v>41579</v>
      </c>
      <c r="G340" s="3" t="s">
        <v>1184</v>
      </c>
      <c r="H340" s="3">
        <f>IFERROR(__xludf.DUMMYFUNCTION("split(G340,""/"")"),11.0)</f>
        <v>11</v>
      </c>
      <c r="I340" s="3">
        <f>IFERROR(__xludf.DUMMYFUNCTION("""COMPUTED_VALUE"""),16.0)</f>
        <v>16</v>
      </c>
      <c r="J340" s="3">
        <f>IFERROR(__xludf.DUMMYFUNCTION("""COMPUTED_VALUE"""),2013.0)</f>
        <v>2013</v>
      </c>
      <c r="K340" s="12">
        <f t="shared" si="2"/>
        <v>41594</v>
      </c>
      <c r="L340" s="3" t="s">
        <v>817</v>
      </c>
      <c r="M340" s="3" t="s">
        <v>650</v>
      </c>
      <c r="N340" s="3">
        <v>8293.0</v>
      </c>
      <c r="O340" s="3" t="s">
        <v>815</v>
      </c>
      <c r="P340" s="10">
        <v>6936.0</v>
      </c>
      <c r="Q340" s="13">
        <v>437.2</v>
      </c>
      <c r="R340" s="13">
        <v>263.33</v>
      </c>
      <c r="S340" s="13">
        <f t="shared" si="3"/>
        <v>3032419.2</v>
      </c>
      <c r="T340" s="13">
        <f t="shared" si="4"/>
        <v>1826456.88</v>
      </c>
      <c r="U340" s="13">
        <f t="shared" si="5"/>
        <v>1205962.32</v>
      </c>
      <c r="V340" s="3" t="str">
        <f>VLOOKUP(N340,products!A:B,2,0)</f>
        <v>Cosmetics</v>
      </c>
      <c r="W340" s="3" t="s">
        <v>28</v>
      </c>
      <c r="X340" s="3" t="s">
        <v>98</v>
      </c>
      <c r="Y340" s="14">
        <f t="shared" si="10"/>
        <v>0.3976898445</v>
      </c>
      <c r="Z340" s="3">
        <f t="shared" si="7"/>
        <v>15</v>
      </c>
      <c r="AA340" s="15">
        <f t="shared" si="8"/>
        <v>6</v>
      </c>
    </row>
    <row r="341" ht="15.75" customHeight="1">
      <c r="A341" s="3">
        <v>3.27604424E8</v>
      </c>
      <c r="B341" s="3" t="s">
        <v>839</v>
      </c>
      <c r="C341" s="3">
        <f>IFERROR(__xludf.DUMMYFUNCTION("split(B341,""/"")"),4.0)</f>
        <v>4</v>
      </c>
      <c r="D341" s="10">
        <f>IFERROR(__xludf.DUMMYFUNCTION("""COMPUTED_VALUE"""),21.0)</f>
        <v>21</v>
      </c>
      <c r="E341" s="11">
        <f>IFERROR(__xludf.DUMMYFUNCTION("""COMPUTED_VALUE"""),2013.0)</f>
        <v>2013</v>
      </c>
      <c r="F341" s="12">
        <f t="shared" si="1"/>
        <v>41385</v>
      </c>
      <c r="G341" s="3" t="s">
        <v>1185</v>
      </c>
      <c r="H341" s="3">
        <f>IFERROR(__xludf.DUMMYFUNCTION("split(G341,""/"")"),5.0)</f>
        <v>5</v>
      </c>
      <c r="I341" s="3">
        <f>IFERROR(__xludf.DUMMYFUNCTION("""COMPUTED_VALUE"""),13.0)</f>
        <v>13</v>
      </c>
      <c r="J341" s="3">
        <f>IFERROR(__xludf.DUMMYFUNCTION("""COMPUTED_VALUE"""),2013.0)</f>
        <v>2013</v>
      </c>
      <c r="K341" s="12">
        <f t="shared" si="2"/>
        <v>41407</v>
      </c>
      <c r="L341" s="3" t="s">
        <v>825</v>
      </c>
      <c r="M341" s="3" t="s">
        <v>346</v>
      </c>
      <c r="N341" s="3">
        <v>1270.0</v>
      </c>
      <c r="O341" s="3" t="s">
        <v>815</v>
      </c>
      <c r="P341" s="10">
        <v>4284.0</v>
      </c>
      <c r="Q341" s="13">
        <v>47.45</v>
      </c>
      <c r="R341" s="13">
        <v>31.79</v>
      </c>
      <c r="S341" s="13">
        <f t="shared" si="3"/>
        <v>203275.8</v>
      </c>
      <c r="T341" s="13">
        <f t="shared" si="4"/>
        <v>136188.36</v>
      </c>
      <c r="U341" s="13">
        <f t="shared" si="5"/>
        <v>67087.44</v>
      </c>
      <c r="V341" s="3" t="str">
        <f>VLOOKUP(N341,products!A:B,2,0)</f>
        <v>Beverages</v>
      </c>
      <c r="W341" s="3" t="s">
        <v>28</v>
      </c>
      <c r="X341" s="3" t="s">
        <v>98</v>
      </c>
      <c r="Y341" s="14">
        <f t="shared" si="10"/>
        <v>0.3300316122</v>
      </c>
      <c r="Z341" s="3">
        <f t="shared" si="7"/>
        <v>22</v>
      </c>
      <c r="AA341" s="15">
        <f t="shared" si="8"/>
        <v>1</v>
      </c>
    </row>
    <row r="342" ht="15.75" customHeight="1">
      <c r="A342" s="3">
        <v>3.28322827E8</v>
      </c>
      <c r="B342" s="3" t="s">
        <v>987</v>
      </c>
      <c r="C342" s="3">
        <f>IFERROR(__xludf.DUMMYFUNCTION("split(B342,""/"")"),6.0)</f>
        <v>6</v>
      </c>
      <c r="D342" s="10">
        <f>IFERROR(__xludf.DUMMYFUNCTION("""COMPUTED_VALUE"""),30.0)</f>
        <v>30</v>
      </c>
      <c r="E342" s="11">
        <f>IFERROR(__xludf.DUMMYFUNCTION("""COMPUTED_VALUE"""),2012.0)</f>
        <v>2012</v>
      </c>
      <c r="F342" s="12">
        <f t="shared" si="1"/>
        <v>41090</v>
      </c>
      <c r="G342" s="3" t="s">
        <v>1186</v>
      </c>
      <c r="H342" s="3">
        <f>IFERROR(__xludf.DUMMYFUNCTION("split(G342,""/"")"),7.0)</f>
        <v>7</v>
      </c>
      <c r="I342" s="3">
        <f>IFERROR(__xludf.DUMMYFUNCTION("""COMPUTED_VALUE"""),19.0)</f>
        <v>19</v>
      </c>
      <c r="J342" s="3">
        <f>IFERROR(__xludf.DUMMYFUNCTION("""COMPUTED_VALUE"""),2012.0)</f>
        <v>2012</v>
      </c>
      <c r="K342" s="12">
        <f t="shared" si="2"/>
        <v>41109</v>
      </c>
      <c r="L342" s="3" t="s">
        <v>817</v>
      </c>
      <c r="M342" s="3" t="s">
        <v>46</v>
      </c>
      <c r="N342" s="3">
        <v>8293.0</v>
      </c>
      <c r="O342" s="3" t="s">
        <v>815</v>
      </c>
      <c r="P342" s="10">
        <v>6876.0</v>
      </c>
      <c r="Q342" s="13">
        <v>437.2</v>
      </c>
      <c r="R342" s="13">
        <v>263.33</v>
      </c>
      <c r="S342" s="13">
        <f t="shared" si="3"/>
        <v>3006187.2</v>
      </c>
      <c r="T342" s="13">
        <f t="shared" si="4"/>
        <v>1810657.08</v>
      </c>
      <c r="U342" s="13">
        <f t="shared" si="5"/>
        <v>1195530.12</v>
      </c>
      <c r="V342" s="3" t="str">
        <f>VLOOKUP(N342,products!A:B,2,0)</f>
        <v>Cosmetics</v>
      </c>
      <c r="W342" s="3" t="s">
        <v>28</v>
      </c>
      <c r="X342" s="3" t="s">
        <v>33</v>
      </c>
      <c r="Y342" s="14">
        <f t="shared" si="10"/>
        <v>0.3976898445</v>
      </c>
      <c r="Z342" s="3">
        <f t="shared" si="7"/>
        <v>19</v>
      </c>
      <c r="AA342" s="15">
        <f t="shared" si="8"/>
        <v>7</v>
      </c>
    </row>
    <row r="343" ht="15.75" customHeight="1">
      <c r="A343" s="3">
        <v>3.28721082E8</v>
      </c>
      <c r="B343" s="3" t="s">
        <v>1187</v>
      </c>
      <c r="C343" s="3">
        <f>IFERROR(__xludf.DUMMYFUNCTION("split(B343,""/"")"),12.0)</f>
        <v>12</v>
      </c>
      <c r="D343" s="10">
        <f>IFERROR(__xludf.DUMMYFUNCTION("""COMPUTED_VALUE"""),14.0)</f>
        <v>14</v>
      </c>
      <c r="E343" s="11">
        <f>IFERROR(__xludf.DUMMYFUNCTION("""COMPUTED_VALUE"""),2016.0)</f>
        <v>2016</v>
      </c>
      <c r="F343" s="12">
        <f t="shared" si="1"/>
        <v>42718</v>
      </c>
      <c r="G343" s="3" t="s">
        <v>861</v>
      </c>
      <c r="H343" s="3">
        <f>IFERROR(__xludf.DUMMYFUNCTION("split(G343,""/"")"),12.0)</f>
        <v>12</v>
      </c>
      <c r="I343" s="3">
        <f>IFERROR(__xludf.DUMMYFUNCTION("""COMPUTED_VALUE"""),18.0)</f>
        <v>18</v>
      </c>
      <c r="J343" s="3">
        <f>IFERROR(__xludf.DUMMYFUNCTION("""COMPUTED_VALUE"""),2016.0)</f>
        <v>2016</v>
      </c>
      <c r="K343" s="12">
        <f t="shared" si="2"/>
        <v>42722</v>
      </c>
      <c r="L343" s="3" t="s">
        <v>825</v>
      </c>
      <c r="M343" s="3" t="s">
        <v>821</v>
      </c>
      <c r="N343" s="3">
        <v>7331.0</v>
      </c>
      <c r="O343" s="3" t="s">
        <v>815</v>
      </c>
      <c r="P343" s="10">
        <v>4728.0</v>
      </c>
      <c r="Q343" s="13">
        <v>255.28</v>
      </c>
      <c r="R343" s="13">
        <v>159.42</v>
      </c>
      <c r="S343" s="13">
        <f t="shared" si="3"/>
        <v>1206963.84</v>
      </c>
      <c r="T343" s="13">
        <f t="shared" si="4"/>
        <v>753737.76</v>
      </c>
      <c r="U343" s="13">
        <f t="shared" si="5"/>
        <v>453226.08</v>
      </c>
      <c r="V343" s="3" t="str">
        <f>VLOOKUP(N343,products!A:B,2,0)</f>
        <v>Baby Food</v>
      </c>
      <c r="W343" s="3" t="s">
        <v>821</v>
      </c>
      <c r="X343" s="3" t="s">
        <v>821</v>
      </c>
      <c r="Y343" s="14">
        <f t="shared" si="10"/>
        <v>0.3755092448</v>
      </c>
      <c r="Z343" s="3">
        <f t="shared" si="7"/>
        <v>4</v>
      </c>
      <c r="AA343" s="15">
        <f t="shared" si="8"/>
        <v>4</v>
      </c>
    </row>
    <row r="344" ht="15.75" customHeight="1">
      <c r="A344" s="3">
        <v>3.29529607E8</v>
      </c>
      <c r="B344" s="3" t="s">
        <v>1188</v>
      </c>
      <c r="C344" s="3">
        <f>IFERROR(__xludf.DUMMYFUNCTION("split(B344,""/"")"),1.0)</f>
        <v>1</v>
      </c>
      <c r="D344" s="10">
        <f>IFERROR(__xludf.DUMMYFUNCTION("""COMPUTED_VALUE"""),18.0)</f>
        <v>18</v>
      </c>
      <c r="E344" s="11">
        <f>IFERROR(__xludf.DUMMYFUNCTION("""COMPUTED_VALUE"""),2011.0)</f>
        <v>2011</v>
      </c>
      <c r="F344" s="12">
        <f t="shared" si="1"/>
        <v>40561</v>
      </c>
      <c r="G344" s="3" t="s">
        <v>834</v>
      </c>
      <c r="H344" s="3">
        <f>IFERROR(__xludf.DUMMYFUNCTION("split(G344,""/"")"),1.0)</f>
        <v>1</v>
      </c>
      <c r="I344" s="3">
        <f>IFERROR(__xludf.DUMMYFUNCTION("""COMPUTED_VALUE"""),23.0)</f>
        <v>23</v>
      </c>
      <c r="J344" s="3">
        <f>IFERROR(__xludf.DUMMYFUNCTION("""COMPUTED_VALUE"""),2011.0)</f>
        <v>2011</v>
      </c>
      <c r="K344" s="12">
        <f t="shared" si="2"/>
        <v>40566</v>
      </c>
      <c r="L344" s="3" t="s">
        <v>825</v>
      </c>
      <c r="M344" s="3" t="s">
        <v>740</v>
      </c>
      <c r="N344" s="3">
        <v>8293.0</v>
      </c>
      <c r="O344" s="3" t="s">
        <v>815</v>
      </c>
      <c r="P344" s="10">
        <v>3988.0</v>
      </c>
      <c r="Q344" s="13">
        <v>437.2</v>
      </c>
      <c r="R344" s="13">
        <v>263.33</v>
      </c>
      <c r="S344" s="13">
        <f t="shared" si="3"/>
        <v>1743553.6</v>
      </c>
      <c r="T344" s="13">
        <f t="shared" si="4"/>
        <v>1050160.04</v>
      </c>
      <c r="U344" s="13">
        <f t="shared" si="5"/>
        <v>693393.56</v>
      </c>
      <c r="V344" s="3" t="str">
        <f>VLOOKUP(N344,products!A:B,2,0)</f>
        <v>Cosmetics</v>
      </c>
      <c r="W344" s="3" t="s">
        <v>28</v>
      </c>
      <c r="X344" s="3" t="s">
        <v>98</v>
      </c>
      <c r="Y344" s="14">
        <f t="shared" si="10"/>
        <v>0.3976898445</v>
      </c>
      <c r="Z344" s="3">
        <f t="shared" si="7"/>
        <v>5</v>
      </c>
      <c r="AA344" s="15">
        <f t="shared" si="8"/>
        <v>3</v>
      </c>
    </row>
    <row r="345" ht="15.75" customHeight="1">
      <c r="A345" s="3">
        <v>3.30590474E8</v>
      </c>
      <c r="B345" s="3" t="s">
        <v>1183</v>
      </c>
      <c r="C345" s="3">
        <f>IFERROR(__xludf.DUMMYFUNCTION("split(B345,""/"")"),1.0)</f>
        <v>1</v>
      </c>
      <c r="D345" s="10">
        <f>IFERROR(__xludf.DUMMYFUNCTION("""COMPUTED_VALUE"""),30.0)</f>
        <v>30</v>
      </c>
      <c r="E345" s="11">
        <f>IFERROR(__xludf.DUMMYFUNCTION("""COMPUTED_VALUE"""),2012.0)</f>
        <v>2012</v>
      </c>
      <c r="F345" s="12">
        <f t="shared" si="1"/>
        <v>40938</v>
      </c>
      <c r="G345" s="3" t="s">
        <v>1189</v>
      </c>
      <c r="H345" s="3">
        <f>IFERROR(__xludf.DUMMYFUNCTION("split(G345,""/"")"),3.0)</f>
        <v>3</v>
      </c>
      <c r="I345" s="3">
        <f>IFERROR(__xludf.DUMMYFUNCTION("""COMPUTED_VALUE"""),14.0)</f>
        <v>14</v>
      </c>
      <c r="J345" s="3">
        <f>IFERROR(__xludf.DUMMYFUNCTION("""COMPUTED_VALUE"""),2012.0)</f>
        <v>2012</v>
      </c>
      <c r="K345" s="12">
        <f t="shared" si="2"/>
        <v>40982</v>
      </c>
      <c r="L345" s="3" t="s">
        <v>825</v>
      </c>
      <c r="M345" s="3" t="s">
        <v>542</v>
      </c>
      <c r="N345" s="3">
        <v>8681.0</v>
      </c>
      <c r="O345" s="3" t="s">
        <v>815</v>
      </c>
      <c r="P345" s="10">
        <v>7923.0</v>
      </c>
      <c r="Q345" s="13">
        <v>651.21</v>
      </c>
      <c r="R345" s="13">
        <v>524.96</v>
      </c>
      <c r="S345" s="13">
        <f t="shared" si="3"/>
        <v>5159536.83</v>
      </c>
      <c r="T345" s="13">
        <f t="shared" si="4"/>
        <v>4159258.08</v>
      </c>
      <c r="U345" s="13">
        <f t="shared" si="5"/>
        <v>1000278.75</v>
      </c>
      <c r="V345" s="3" t="str">
        <f>VLOOKUP(N345,products!A:B,2,0)</f>
        <v>Office Supplies</v>
      </c>
      <c r="W345" s="3" t="s">
        <v>28</v>
      </c>
      <c r="X345" s="3" t="s">
        <v>29</v>
      </c>
      <c r="Y345" s="14">
        <f t="shared" si="10"/>
        <v>0.193869873</v>
      </c>
      <c r="Z345" s="3">
        <f t="shared" si="7"/>
        <v>44</v>
      </c>
      <c r="AA345" s="15">
        <f t="shared" si="8"/>
        <v>2</v>
      </c>
    </row>
    <row r="346" ht="15.75" customHeight="1">
      <c r="A346" s="3">
        <v>3.32268464E8</v>
      </c>
      <c r="B346" s="9">
        <v>41436.0</v>
      </c>
      <c r="C346" s="3">
        <f>IFERROR(__xludf.DUMMYFUNCTION("split(B346,""/"")"),11.0)</f>
        <v>11</v>
      </c>
      <c r="D346" s="10">
        <f>IFERROR(__xludf.DUMMYFUNCTION("""COMPUTED_VALUE"""),6.0)</f>
        <v>6</v>
      </c>
      <c r="E346" s="11">
        <f>IFERROR(__xludf.DUMMYFUNCTION("""COMPUTED_VALUE"""),2013.0)</f>
        <v>2013</v>
      </c>
      <c r="F346" s="12">
        <f t="shared" si="1"/>
        <v>41584</v>
      </c>
      <c r="G346" s="3" t="s">
        <v>1190</v>
      </c>
      <c r="H346" s="3">
        <f>IFERROR(__xludf.DUMMYFUNCTION("split(G346,""/"")"),12.0)</f>
        <v>12</v>
      </c>
      <c r="I346" s="3">
        <f>IFERROR(__xludf.DUMMYFUNCTION("""COMPUTED_VALUE"""),14.0)</f>
        <v>14</v>
      </c>
      <c r="J346" s="3">
        <f>IFERROR(__xludf.DUMMYFUNCTION("""COMPUTED_VALUE"""),2013.0)</f>
        <v>2013</v>
      </c>
      <c r="K346" s="12">
        <f t="shared" si="2"/>
        <v>41622</v>
      </c>
      <c r="L346" s="3" t="s">
        <v>817</v>
      </c>
      <c r="M346" s="3" t="s">
        <v>575</v>
      </c>
      <c r="N346" s="3">
        <v>2103.0</v>
      </c>
      <c r="O346" s="3" t="s">
        <v>815</v>
      </c>
      <c r="P346" s="10">
        <v>4477.0</v>
      </c>
      <c r="Q346" s="13">
        <v>205.7</v>
      </c>
      <c r="R346" s="13">
        <v>117.11</v>
      </c>
      <c r="S346" s="13">
        <f t="shared" si="3"/>
        <v>920918.9</v>
      </c>
      <c r="T346" s="13">
        <f t="shared" si="4"/>
        <v>524301.47</v>
      </c>
      <c r="U346" s="13">
        <f t="shared" si="5"/>
        <v>396617.43</v>
      </c>
      <c r="V346" s="3" t="str">
        <f>VLOOKUP(N346,products!A:B,2,0)</f>
        <v>Cereal</v>
      </c>
      <c r="W346" s="3" t="s">
        <v>28</v>
      </c>
      <c r="X346" s="3" t="s">
        <v>98</v>
      </c>
      <c r="Y346" s="14">
        <f t="shared" si="10"/>
        <v>0.4306757414</v>
      </c>
      <c r="Z346" s="3">
        <f t="shared" si="7"/>
        <v>38</v>
      </c>
      <c r="AA346" s="15">
        <f t="shared" si="8"/>
        <v>4</v>
      </c>
    </row>
    <row r="347" ht="15.75" customHeight="1">
      <c r="A347" s="3">
        <v>3.32353007E8</v>
      </c>
      <c r="B347" s="9">
        <v>40339.0</v>
      </c>
      <c r="C347" s="3">
        <f>IFERROR(__xludf.DUMMYFUNCTION("split(B347,""/"")"),10.0)</f>
        <v>10</v>
      </c>
      <c r="D347" s="10">
        <f>IFERROR(__xludf.DUMMYFUNCTION("""COMPUTED_VALUE"""),6.0)</f>
        <v>6</v>
      </c>
      <c r="E347" s="11">
        <f>IFERROR(__xludf.DUMMYFUNCTION("""COMPUTED_VALUE"""),2010.0)</f>
        <v>2010</v>
      </c>
      <c r="F347" s="12">
        <f t="shared" si="1"/>
        <v>40457</v>
      </c>
      <c r="G347" s="3" t="s">
        <v>1191</v>
      </c>
      <c r="H347" s="3">
        <f>IFERROR(__xludf.DUMMYFUNCTION("split(G347,""/"")"),11.0)</f>
        <v>11</v>
      </c>
      <c r="I347" s="3">
        <f>IFERROR(__xludf.DUMMYFUNCTION("""COMPUTED_VALUE"""),22.0)</f>
        <v>22</v>
      </c>
      <c r="J347" s="3">
        <f>IFERROR(__xludf.DUMMYFUNCTION("""COMPUTED_VALUE"""),2010.0)</f>
        <v>2010</v>
      </c>
      <c r="K347" s="12">
        <f t="shared" si="2"/>
        <v>40504</v>
      </c>
      <c r="L347" s="3" t="s">
        <v>827</v>
      </c>
      <c r="M347" s="3" t="s">
        <v>346</v>
      </c>
      <c r="N347" s="3">
        <v>8293.0</v>
      </c>
      <c r="O347" s="3" t="s">
        <v>815</v>
      </c>
      <c r="P347" s="10">
        <v>9495.0</v>
      </c>
      <c r="Q347" s="13">
        <v>437.2</v>
      </c>
      <c r="R347" s="13">
        <v>263.33</v>
      </c>
      <c r="S347" s="13">
        <f t="shared" si="3"/>
        <v>4151214</v>
      </c>
      <c r="T347" s="13">
        <f t="shared" si="4"/>
        <v>2500318.35</v>
      </c>
      <c r="U347" s="13">
        <f t="shared" si="5"/>
        <v>1650895.65</v>
      </c>
      <c r="V347" s="3" t="str">
        <f>VLOOKUP(N347,products!A:B,2,0)</f>
        <v>Cosmetics</v>
      </c>
      <c r="W347" s="3" t="s">
        <v>28</v>
      </c>
      <c r="X347" s="3" t="s">
        <v>98</v>
      </c>
      <c r="Y347" s="14">
        <f t="shared" si="10"/>
        <v>0.3976898445</v>
      </c>
      <c r="Z347" s="3">
        <f t="shared" si="7"/>
        <v>47</v>
      </c>
      <c r="AA347" s="15">
        <f t="shared" si="8"/>
        <v>4</v>
      </c>
    </row>
    <row r="348" ht="15.75" customHeight="1">
      <c r="A348" s="3">
        <v>3.3330444E8</v>
      </c>
      <c r="B348" s="9">
        <v>43045.0</v>
      </c>
      <c r="C348" s="3">
        <f>IFERROR(__xludf.DUMMYFUNCTION("split(B348,""/"")"),6.0)</f>
        <v>6</v>
      </c>
      <c r="D348" s="10">
        <f>IFERROR(__xludf.DUMMYFUNCTION("""COMPUTED_VALUE"""),11.0)</f>
        <v>11</v>
      </c>
      <c r="E348" s="11">
        <f>IFERROR(__xludf.DUMMYFUNCTION("""COMPUTED_VALUE"""),2017.0)</f>
        <v>2017</v>
      </c>
      <c r="F348" s="12">
        <f t="shared" si="1"/>
        <v>42897</v>
      </c>
      <c r="G348" s="9">
        <v>42862.0</v>
      </c>
      <c r="H348" s="3">
        <f>IFERROR(__xludf.DUMMYFUNCTION("split(G348,""/"")"),7.0)</f>
        <v>7</v>
      </c>
      <c r="I348" s="3">
        <f>IFERROR(__xludf.DUMMYFUNCTION("""COMPUTED_VALUE"""),5.0)</f>
        <v>5</v>
      </c>
      <c r="J348" s="3">
        <f>IFERROR(__xludf.DUMMYFUNCTION("""COMPUTED_VALUE"""),2017.0)</f>
        <v>2017</v>
      </c>
      <c r="K348" s="12">
        <f t="shared" si="2"/>
        <v>42921</v>
      </c>
      <c r="L348" s="3" t="s">
        <v>825</v>
      </c>
      <c r="M348" s="3" t="s">
        <v>215</v>
      </c>
      <c r="N348" s="3">
        <v>8875.0</v>
      </c>
      <c r="O348" s="3" t="s">
        <v>815</v>
      </c>
      <c r="P348" s="10">
        <v>1046.0</v>
      </c>
      <c r="Q348" s="13">
        <v>421.89</v>
      </c>
      <c r="R348" s="13">
        <v>364.69</v>
      </c>
      <c r="S348" s="13">
        <f t="shared" si="3"/>
        <v>441296.94</v>
      </c>
      <c r="T348" s="13">
        <f t="shared" si="4"/>
        <v>381465.74</v>
      </c>
      <c r="U348" s="13">
        <f t="shared" si="5"/>
        <v>59831.2</v>
      </c>
      <c r="V348" s="3" t="str">
        <f>VLOOKUP(N348,products!A:B,2,0)</f>
        <v>Meat</v>
      </c>
      <c r="W348" s="3" t="s">
        <v>23</v>
      </c>
      <c r="X348" s="3" t="s">
        <v>68</v>
      </c>
      <c r="Y348" s="14">
        <f t="shared" si="10"/>
        <v>0.1355803646</v>
      </c>
      <c r="Z348" s="3">
        <f t="shared" si="7"/>
        <v>24</v>
      </c>
      <c r="AA348" s="15">
        <f t="shared" si="8"/>
        <v>1</v>
      </c>
    </row>
    <row r="349" ht="15.75" customHeight="1">
      <c r="A349" s="3">
        <v>3.34539973E8</v>
      </c>
      <c r="B349" s="3" t="s">
        <v>1192</v>
      </c>
      <c r="C349" s="3">
        <f>IFERROR(__xludf.DUMMYFUNCTION("split(B349,""/"")"),4.0)</f>
        <v>4</v>
      </c>
      <c r="D349" s="10">
        <f>IFERROR(__xludf.DUMMYFUNCTION("""COMPUTED_VALUE"""),18.0)</f>
        <v>18</v>
      </c>
      <c r="E349" s="11">
        <f>IFERROR(__xludf.DUMMYFUNCTION("""COMPUTED_VALUE"""),2010.0)</f>
        <v>2010</v>
      </c>
      <c r="F349" s="12">
        <f t="shared" si="1"/>
        <v>40286</v>
      </c>
      <c r="G349" s="9">
        <v>40487.0</v>
      </c>
      <c r="H349" s="3">
        <f>IFERROR(__xludf.DUMMYFUNCTION("split(G349,""/"")"),5.0)</f>
        <v>5</v>
      </c>
      <c r="I349" s="3">
        <f>IFERROR(__xludf.DUMMYFUNCTION("""COMPUTED_VALUE"""),11.0)</f>
        <v>11</v>
      </c>
      <c r="J349" s="3">
        <f>IFERROR(__xludf.DUMMYFUNCTION("""COMPUTED_VALUE"""),2010.0)</f>
        <v>2010</v>
      </c>
      <c r="K349" s="12">
        <f t="shared" si="2"/>
        <v>40309</v>
      </c>
      <c r="L349" s="3" t="s">
        <v>814</v>
      </c>
      <c r="M349" s="3" t="s">
        <v>373</v>
      </c>
      <c r="N349" s="3">
        <v>2455.0</v>
      </c>
      <c r="O349" s="3" t="s">
        <v>815</v>
      </c>
      <c r="P349" s="10">
        <v>6667.0</v>
      </c>
      <c r="Q349" s="13">
        <v>109.28</v>
      </c>
      <c r="R349" s="13">
        <v>35.84</v>
      </c>
      <c r="S349" s="13">
        <f t="shared" si="3"/>
        <v>728569.76</v>
      </c>
      <c r="T349" s="13">
        <f t="shared" si="4"/>
        <v>238945.28</v>
      </c>
      <c r="U349" s="13">
        <f t="shared" si="5"/>
        <v>489624.48</v>
      </c>
      <c r="V349" s="3" t="str">
        <f>VLOOKUP(N349,products!A:B,2,0)</f>
        <v>Clothes</v>
      </c>
      <c r="W349" s="3" t="s">
        <v>28</v>
      </c>
      <c r="X349" s="3" t="s">
        <v>33</v>
      </c>
      <c r="Y349" s="14">
        <f t="shared" si="10"/>
        <v>0.6720351391</v>
      </c>
      <c r="Z349" s="3">
        <f t="shared" si="7"/>
        <v>23</v>
      </c>
      <c r="AA349" s="15">
        <f t="shared" si="8"/>
        <v>1</v>
      </c>
    </row>
    <row r="350" ht="15.75" customHeight="1">
      <c r="A350" s="3">
        <v>3.36111962E8</v>
      </c>
      <c r="B350" s="3" t="s">
        <v>1144</v>
      </c>
      <c r="C350" s="3">
        <f>IFERROR(__xludf.DUMMYFUNCTION("split(B350,""/"")"),5.0)</f>
        <v>5</v>
      </c>
      <c r="D350" s="10">
        <f>IFERROR(__xludf.DUMMYFUNCTION("""COMPUTED_VALUE"""),24.0)</f>
        <v>24</v>
      </c>
      <c r="E350" s="11">
        <f>IFERROR(__xludf.DUMMYFUNCTION("""COMPUTED_VALUE"""),2012.0)</f>
        <v>2012</v>
      </c>
      <c r="F350" s="12">
        <f t="shared" si="1"/>
        <v>41053</v>
      </c>
      <c r="G350" s="3" t="s">
        <v>1193</v>
      </c>
      <c r="H350" s="3">
        <f>IFERROR(__xludf.DUMMYFUNCTION("split(G350,""/"")"),6.0)</f>
        <v>6</v>
      </c>
      <c r="I350" s="3">
        <f>IFERROR(__xludf.DUMMYFUNCTION("""COMPUTED_VALUE"""),16.0)</f>
        <v>16</v>
      </c>
      <c r="J350" s="3">
        <f>IFERROR(__xludf.DUMMYFUNCTION("""COMPUTED_VALUE"""),2012.0)</f>
        <v>2012</v>
      </c>
      <c r="K350" s="12">
        <f t="shared" si="2"/>
        <v>41076</v>
      </c>
      <c r="L350" s="3" t="s">
        <v>814</v>
      </c>
      <c r="M350" s="3" t="s">
        <v>821</v>
      </c>
      <c r="N350" s="3">
        <v>3127.0</v>
      </c>
      <c r="O350" s="3" t="s">
        <v>818</v>
      </c>
      <c r="P350" s="10">
        <v>1854.0</v>
      </c>
      <c r="Q350" s="13">
        <v>81.73</v>
      </c>
      <c r="R350" s="13">
        <v>56.67</v>
      </c>
      <c r="S350" s="13">
        <f t="shared" si="3"/>
        <v>151527.42</v>
      </c>
      <c r="T350" s="13">
        <f t="shared" si="4"/>
        <v>105066.18</v>
      </c>
      <c r="U350" s="13">
        <f t="shared" si="5"/>
        <v>46461.24</v>
      </c>
      <c r="V350" s="3" t="str">
        <f>VLOOKUP(N350,products!A:B,2,0)</f>
        <v>Personal Care</v>
      </c>
      <c r="W350" s="3" t="s">
        <v>821</v>
      </c>
      <c r="X350" s="3" t="s">
        <v>821</v>
      </c>
      <c r="Y350" s="14">
        <f t="shared" si="10"/>
        <v>0.3066193564</v>
      </c>
      <c r="Z350" s="3">
        <f t="shared" si="7"/>
        <v>23</v>
      </c>
      <c r="AA350" s="15">
        <f t="shared" si="8"/>
        <v>5</v>
      </c>
    </row>
    <row r="351" ht="15.75" customHeight="1">
      <c r="A351" s="3">
        <v>3.36813628E8</v>
      </c>
      <c r="B351" s="3" t="s">
        <v>1194</v>
      </c>
      <c r="C351" s="3">
        <f>IFERROR(__xludf.DUMMYFUNCTION("split(B351,""/"")"),1.0)</f>
        <v>1</v>
      </c>
      <c r="D351" s="10">
        <f>IFERROR(__xludf.DUMMYFUNCTION("""COMPUTED_VALUE"""),16.0)</f>
        <v>16</v>
      </c>
      <c r="E351" s="11">
        <f>IFERROR(__xludf.DUMMYFUNCTION("""COMPUTED_VALUE"""),2010.0)</f>
        <v>2010</v>
      </c>
      <c r="F351" s="12">
        <f t="shared" si="1"/>
        <v>40194</v>
      </c>
      <c r="G351" s="3" t="s">
        <v>1195</v>
      </c>
      <c r="H351" s="3">
        <f>IFERROR(__xludf.DUMMYFUNCTION("split(G351,""/"")"),2.0)</f>
        <v>2</v>
      </c>
      <c r="I351" s="3">
        <f>IFERROR(__xludf.DUMMYFUNCTION("""COMPUTED_VALUE"""),23.0)</f>
        <v>23</v>
      </c>
      <c r="J351" s="3">
        <f>IFERROR(__xludf.DUMMYFUNCTION("""COMPUTED_VALUE"""),2010.0)</f>
        <v>2010</v>
      </c>
      <c r="K351" s="12">
        <f t="shared" si="2"/>
        <v>40232</v>
      </c>
      <c r="L351" s="3" t="s">
        <v>817</v>
      </c>
      <c r="M351" s="3" t="s">
        <v>686</v>
      </c>
      <c r="N351" s="3">
        <v>8293.0</v>
      </c>
      <c r="O351" s="3" t="s">
        <v>818</v>
      </c>
      <c r="P351" s="10">
        <v>9492.0</v>
      </c>
      <c r="Q351" s="13">
        <v>437.2</v>
      </c>
      <c r="R351" s="13">
        <v>263.33</v>
      </c>
      <c r="S351" s="13">
        <f t="shared" si="3"/>
        <v>4149902.4</v>
      </c>
      <c r="T351" s="13">
        <f t="shared" si="4"/>
        <v>2499528.36</v>
      </c>
      <c r="U351" s="13">
        <f t="shared" si="5"/>
        <v>1650374.04</v>
      </c>
      <c r="V351" s="3" t="str">
        <f>VLOOKUP(N351,products!A:B,2,0)</f>
        <v>Cosmetics</v>
      </c>
      <c r="W351" s="3" t="s">
        <v>28</v>
      </c>
      <c r="X351" s="3" t="s">
        <v>29</v>
      </c>
      <c r="Y351" s="14">
        <f t="shared" si="10"/>
        <v>0.3976898445</v>
      </c>
      <c r="Z351" s="3">
        <f t="shared" si="7"/>
        <v>38</v>
      </c>
      <c r="AA351" s="15">
        <f t="shared" si="8"/>
        <v>7</v>
      </c>
    </row>
    <row r="352" ht="15.75" customHeight="1">
      <c r="A352" s="3">
        <v>3.37354791E8</v>
      </c>
      <c r="B352" s="9">
        <v>40798.0</v>
      </c>
      <c r="C352" s="3">
        <f>IFERROR(__xludf.DUMMYFUNCTION("split(B352,""/"")"),12.0)</f>
        <v>12</v>
      </c>
      <c r="D352" s="10">
        <f>IFERROR(__xludf.DUMMYFUNCTION("""COMPUTED_VALUE"""),9.0)</f>
        <v>9</v>
      </c>
      <c r="E352" s="11">
        <f>IFERROR(__xludf.DUMMYFUNCTION("""COMPUTED_VALUE"""),2011.0)</f>
        <v>2011</v>
      </c>
      <c r="F352" s="12">
        <f t="shared" si="1"/>
        <v>40886</v>
      </c>
      <c r="G352" s="3" t="s">
        <v>1196</v>
      </c>
      <c r="H352" s="3">
        <f>IFERROR(__xludf.DUMMYFUNCTION("split(G352,""/"")"),1.0)</f>
        <v>1</v>
      </c>
      <c r="I352" s="3">
        <f>IFERROR(__xludf.DUMMYFUNCTION("""COMPUTED_VALUE"""),28.0)</f>
        <v>28</v>
      </c>
      <c r="J352" s="3">
        <f>IFERROR(__xludf.DUMMYFUNCTION("""COMPUTED_VALUE"""),2012.0)</f>
        <v>2012</v>
      </c>
      <c r="K352" s="12">
        <f t="shared" si="2"/>
        <v>40936</v>
      </c>
      <c r="L352" s="3" t="s">
        <v>825</v>
      </c>
      <c r="M352" s="3" t="s">
        <v>542</v>
      </c>
      <c r="N352" s="3">
        <v>8293.0</v>
      </c>
      <c r="O352" s="3" t="s">
        <v>818</v>
      </c>
      <c r="P352" s="10">
        <v>9634.0</v>
      </c>
      <c r="Q352" s="13">
        <v>437.2</v>
      </c>
      <c r="R352" s="13">
        <v>263.33</v>
      </c>
      <c r="S352" s="13">
        <f t="shared" si="3"/>
        <v>4211984.8</v>
      </c>
      <c r="T352" s="13">
        <f t="shared" si="4"/>
        <v>2536921.22</v>
      </c>
      <c r="U352" s="13">
        <f t="shared" si="5"/>
        <v>1675063.58</v>
      </c>
      <c r="V352" s="3" t="str">
        <f>VLOOKUP(N352,products!A:B,2,0)</f>
        <v>Cosmetics</v>
      </c>
      <c r="W352" s="3" t="s">
        <v>28</v>
      </c>
      <c r="X352" s="3" t="s">
        <v>29</v>
      </c>
      <c r="Y352" s="14">
        <f t="shared" si="10"/>
        <v>0.3976898445</v>
      </c>
      <c r="Z352" s="3">
        <f t="shared" si="7"/>
        <v>50</v>
      </c>
      <c r="AA352" s="15">
        <f t="shared" si="8"/>
        <v>6</v>
      </c>
    </row>
    <row r="353" ht="15.75" customHeight="1">
      <c r="A353" s="3">
        <v>3.39786803E8</v>
      </c>
      <c r="B353" s="3" t="s">
        <v>1197</v>
      </c>
      <c r="C353" s="3">
        <f>IFERROR(__xludf.DUMMYFUNCTION("split(B353,""/"")"),9.0)</f>
        <v>9</v>
      </c>
      <c r="D353" s="10">
        <f>IFERROR(__xludf.DUMMYFUNCTION("""COMPUTED_VALUE"""),17.0)</f>
        <v>17</v>
      </c>
      <c r="E353" s="11">
        <f>IFERROR(__xludf.DUMMYFUNCTION("""COMPUTED_VALUE"""),2011.0)</f>
        <v>2011</v>
      </c>
      <c r="F353" s="12">
        <f t="shared" si="1"/>
        <v>40803</v>
      </c>
      <c r="G353" s="3" t="s">
        <v>1198</v>
      </c>
      <c r="H353" s="3">
        <f>IFERROR(__xludf.DUMMYFUNCTION("split(G353,""/"")"),10.0)</f>
        <v>10</v>
      </c>
      <c r="I353" s="3">
        <f>IFERROR(__xludf.DUMMYFUNCTION("""COMPUTED_VALUE"""),25.0)</f>
        <v>25</v>
      </c>
      <c r="J353" s="3">
        <f>IFERROR(__xludf.DUMMYFUNCTION("""COMPUTED_VALUE"""),2011.0)</f>
        <v>2011</v>
      </c>
      <c r="K353" s="12">
        <f t="shared" si="2"/>
        <v>40841</v>
      </c>
      <c r="L353" s="3" t="s">
        <v>827</v>
      </c>
      <c r="M353" s="3" t="s">
        <v>434</v>
      </c>
      <c r="N353" s="3">
        <v>8681.0</v>
      </c>
      <c r="O353" s="3" t="s">
        <v>818</v>
      </c>
      <c r="P353" s="10">
        <v>9321.0</v>
      </c>
      <c r="Q353" s="13">
        <v>651.21</v>
      </c>
      <c r="R353" s="13">
        <v>524.96</v>
      </c>
      <c r="S353" s="13">
        <f t="shared" si="3"/>
        <v>6069928.41</v>
      </c>
      <c r="T353" s="13">
        <f t="shared" si="4"/>
        <v>4893152.16</v>
      </c>
      <c r="U353" s="13">
        <f t="shared" si="5"/>
        <v>1176776.25</v>
      </c>
      <c r="V353" s="3" t="str">
        <f>VLOOKUP(N353,products!A:B,2,0)</f>
        <v>Office Supplies</v>
      </c>
      <c r="W353" s="3" t="s">
        <v>28</v>
      </c>
      <c r="X353" s="3" t="s">
        <v>79</v>
      </c>
      <c r="Y353" s="14">
        <f t="shared" si="10"/>
        <v>0.193869873</v>
      </c>
      <c r="Z353" s="3">
        <f t="shared" si="7"/>
        <v>38</v>
      </c>
      <c r="AA353" s="15">
        <f t="shared" si="8"/>
        <v>7</v>
      </c>
    </row>
    <row r="354" ht="15.75" customHeight="1">
      <c r="A354" s="3">
        <v>3.39999663E8</v>
      </c>
      <c r="B354" s="3" t="s">
        <v>1199</v>
      </c>
      <c r="C354" s="3">
        <f>IFERROR(__xludf.DUMMYFUNCTION("split(B354,""/"")"),5.0)</f>
        <v>5</v>
      </c>
      <c r="D354" s="10">
        <f>IFERROR(__xludf.DUMMYFUNCTION("""COMPUTED_VALUE"""),26.0)</f>
        <v>26</v>
      </c>
      <c r="E354" s="11">
        <f>IFERROR(__xludf.DUMMYFUNCTION("""COMPUTED_VALUE"""),2015.0)</f>
        <v>2015</v>
      </c>
      <c r="F354" s="12">
        <f t="shared" si="1"/>
        <v>42150</v>
      </c>
      <c r="G354" s="3" t="s">
        <v>1200</v>
      </c>
      <c r="H354" s="3">
        <f>IFERROR(__xludf.DUMMYFUNCTION("split(G354,""/"")"),6.0)</f>
        <v>6</v>
      </c>
      <c r="I354" s="3">
        <f>IFERROR(__xludf.DUMMYFUNCTION("""COMPUTED_VALUE"""),13.0)</f>
        <v>13</v>
      </c>
      <c r="J354" s="3">
        <f>IFERROR(__xludf.DUMMYFUNCTION("""COMPUTED_VALUE"""),2015.0)</f>
        <v>2015</v>
      </c>
      <c r="K354" s="12">
        <f t="shared" si="2"/>
        <v>42168</v>
      </c>
      <c r="L354" s="3" t="s">
        <v>825</v>
      </c>
      <c r="M354" s="3" t="s">
        <v>455</v>
      </c>
      <c r="N354" s="3">
        <v>8969.0</v>
      </c>
      <c r="O354" s="3" t="s">
        <v>815</v>
      </c>
      <c r="P354" s="10">
        <v>2311.0</v>
      </c>
      <c r="Q354" s="13">
        <v>152.58</v>
      </c>
      <c r="R354" s="13">
        <v>97.44</v>
      </c>
      <c r="S354" s="13">
        <f t="shared" si="3"/>
        <v>352612.38</v>
      </c>
      <c r="T354" s="13">
        <f t="shared" si="4"/>
        <v>225183.84</v>
      </c>
      <c r="U354" s="13">
        <f t="shared" si="5"/>
        <v>127428.54</v>
      </c>
      <c r="V354" s="3" t="str">
        <f>VLOOKUP(N354,products!A:B,2,0)</f>
        <v>Snacks</v>
      </c>
      <c r="W354" s="3" t="s">
        <v>28</v>
      </c>
      <c r="X354" s="3" t="s">
        <v>33</v>
      </c>
      <c r="Y354" s="14">
        <f t="shared" si="10"/>
        <v>0.3613841919</v>
      </c>
      <c r="Z354" s="3">
        <f t="shared" si="7"/>
        <v>18</v>
      </c>
      <c r="AA354" s="15">
        <f t="shared" si="8"/>
        <v>3</v>
      </c>
    </row>
    <row r="355" ht="15.75" customHeight="1">
      <c r="A355" s="3">
        <v>3.40213811E8</v>
      </c>
      <c r="B355" s="3" t="s">
        <v>1201</v>
      </c>
      <c r="C355" s="3">
        <f>IFERROR(__xludf.DUMMYFUNCTION("split(B355,""/"")"),6.0)</f>
        <v>6</v>
      </c>
      <c r="D355" s="10">
        <f>IFERROR(__xludf.DUMMYFUNCTION("""COMPUTED_VALUE"""),20.0)</f>
        <v>20</v>
      </c>
      <c r="E355" s="11">
        <f>IFERROR(__xludf.DUMMYFUNCTION("""COMPUTED_VALUE"""),2010.0)</f>
        <v>2010</v>
      </c>
      <c r="F355" s="12">
        <f t="shared" si="1"/>
        <v>40349</v>
      </c>
      <c r="G355" s="3" t="s">
        <v>1202</v>
      </c>
      <c r="H355" s="3">
        <f>IFERROR(__xludf.DUMMYFUNCTION("split(G355,""/"")"),7.0)</f>
        <v>7</v>
      </c>
      <c r="I355" s="3">
        <f>IFERROR(__xludf.DUMMYFUNCTION("""COMPUTED_VALUE"""),26.0)</f>
        <v>26</v>
      </c>
      <c r="J355" s="3">
        <f>IFERROR(__xludf.DUMMYFUNCTION("""COMPUTED_VALUE"""),2010.0)</f>
        <v>2010</v>
      </c>
      <c r="K355" s="12">
        <f t="shared" si="2"/>
        <v>40385</v>
      </c>
      <c r="L355" s="3" t="s">
        <v>817</v>
      </c>
      <c r="M355" s="3" t="s">
        <v>270</v>
      </c>
      <c r="N355" s="3">
        <v>8681.0</v>
      </c>
      <c r="O355" s="3" t="s">
        <v>815</v>
      </c>
      <c r="P355" s="10">
        <v>5682.0</v>
      </c>
      <c r="Q355" s="13">
        <v>651.21</v>
      </c>
      <c r="R355" s="13">
        <v>524.96</v>
      </c>
      <c r="S355" s="13">
        <f t="shared" si="3"/>
        <v>3700175.22</v>
      </c>
      <c r="T355" s="13">
        <f t="shared" si="4"/>
        <v>2982822.72</v>
      </c>
      <c r="U355" s="13">
        <f t="shared" si="5"/>
        <v>717352.5</v>
      </c>
      <c r="V355" s="3" t="str">
        <f>VLOOKUP(N355,products!A:B,2,0)</f>
        <v>Office Supplies</v>
      </c>
      <c r="W355" s="3" t="s">
        <v>28</v>
      </c>
      <c r="X355" s="3" t="s">
        <v>79</v>
      </c>
      <c r="Y355" s="14">
        <f t="shared" si="10"/>
        <v>0.193869873</v>
      </c>
      <c r="Z355" s="3">
        <f t="shared" si="7"/>
        <v>36</v>
      </c>
      <c r="AA355" s="15">
        <f t="shared" si="8"/>
        <v>1</v>
      </c>
    </row>
    <row r="356" ht="15.75" customHeight="1">
      <c r="A356" s="3">
        <v>3.41398274E8</v>
      </c>
      <c r="B356" s="3" t="s">
        <v>1073</v>
      </c>
      <c r="C356" s="3">
        <f>IFERROR(__xludf.DUMMYFUNCTION("split(B356,""/"")"),1.0)</f>
        <v>1</v>
      </c>
      <c r="D356" s="10">
        <f>IFERROR(__xludf.DUMMYFUNCTION("""COMPUTED_VALUE"""),22.0)</f>
        <v>22</v>
      </c>
      <c r="E356" s="11">
        <f>IFERROR(__xludf.DUMMYFUNCTION("""COMPUTED_VALUE"""),2017.0)</f>
        <v>2017</v>
      </c>
      <c r="F356" s="12">
        <f t="shared" si="1"/>
        <v>42757</v>
      </c>
      <c r="G356" s="9">
        <v>42919.0</v>
      </c>
      <c r="H356" s="3">
        <f>IFERROR(__xludf.DUMMYFUNCTION("split(G356,""/"")"),3.0)</f>
        <v>3</v>
      </c>
      <c r="I356" s="3">
        <f>IFERROR(__xludf.DUMMYFUNCTION("""COMPUTED_VALUE"""),7.0)</f>
        <v>7</v>
      </c>
      <c r="J356" s="3">
        <f>IFERROR(__xludf.DUMMYFUNCTION("""COMPUTED_VALUE"""),2017.0)</f>
        <v>2017</v>
      </c>
      <c r="K356" s="12">
        <f t="shared" si="2"/>
        <v>42801</v>
      </c>
      <c r="L356" s="3" t="s">
        <v>825</v>
      </c>
      <c r="M356" s="3" t="s">
        <v>288</v>
      </c>
      <c r="N356" s="3">
        <v>8969.0</v>
      </c>
      <c r="O356" s="3" t="s">
        <v>818</v>
      </c>
      <c r="P356" s="10">
        <v>6191.0</v>
      </c>
      <c r="Q356" s="13">
        <v>152.58</v>
      </c>
      <c r="R356" s="13">
        <v>97.44</v>
      </c>
      <c r="S356" s="13">
        <f t="shared" si="3"/>
        <v>944622.78</v>
      </c>
      <c r="T356" s="13">
        <f t="shared" si="4"/>
        <v>603251.04</v>
      </c>
      <c r="U356" s="13">
        <f t="shared" si="5"/>
        <v>341371.74</v>
      </c>
      <c r="V356" s="3" t="str">
        <f>VLOOKUP(N356,products!A:B,2,0)</f>
        <v>Snacks</v>
      </c>
      <c r="W356" s="3" t="s">
        <v>23</v>
      </c>
      <c r="X356" s="3" t="s">
        <v>68</v>
      </c>
      <c r="Y356" s="14">
        <f t="shared" si="10"/>
        <v>0.3613841919</v>
      </c>
      <c r="Z356" s="3">
        <f t="shared" si="7"/>
        <v>44</v>
      </c>
      <c r="AA356" s="15">
        <f t="shared" si="8"/>
        <v>1</v>
      </c>
    </row>
    <row r="357" ht="15.75" customHeight="1">
      <c r="A357" s="3">
        <v>3.43185698E8</v>
      </c>
      <c r="B357" s="9">
        <v>41458.0</v>
      </c>
      <c r="C357" s="3">
        <f>IFERROR(__xludf.DUMMYFUNCTION("split(B357,""/"")"),3.0)</f>
        <v>3</v>
      </c>
      <c r="D357" s="10">
        <f>IFERROR(__xludf.DUMMYFUNCTION("""COMPUTED_VALUE"""),7.0)</f>
        <v>7</v>
      </c>
      <c r="E357" s="11">
        <f>IFERROR(__xludf.DUMMYFUNCTION("""COMPUTED_VALUE"""),2013.0)</f>
        <v>2013</v>
      </c>
      <c r="F357" s="12">
        <f t="shared" si="1"/>
        <v>41340</v>
      </c>
      <c r="G357" s="3" t="s">
        <v>1203</v>
      </c>
      <c r="H357" s="3">
        <f>IFERROR(__xludf.DUMMYFUNCTION("split(G357,""/"")"),4.0)</f>
        <v>4</v>
      </c>
      <c r="I357" s="3">
        <f>IFERROR(__xludf.DUMMYFUNCTION("""COMPUTED_VALUE"""),25.0)</f>
        <v>25</v>
      </c>
      <c r="J357" s="3">
        <f>IFERROR(__xludf.DUMMYFUNCTION("""COMPUTED_VALUE"""),2013.0)</f>
        <v>2013</v>
      </c>
      <c r="K357" s="12">
        <f t="shared" si="2"/>
        <v>41389</v>
      </c>
      <c r="L357" s="3" t="s">
        <v>827</v>
      </c>
      <c r="M357" s="3" t="s">
        <v>248</v>
      </c>
      <c r="N357" s="3">
        <v>8681.0</v>
      </c>
      <c r="O357" s="3" t="s">
        <v>818</v>
      </c>
      <c r="P357" s="10">
        <v>5129.0</v>
      </c>
      <c r="Q357" s="13">
        <v>651.21</v>
      </c>
      <c r="R357" s="13">
        <v>524.96</v>
      </c>
      <c r="S357" s="13">
        <f t="shared" si="3"/>
        <v>3340056.09</v>
      </c>
      <c r="T357" s="13">
        <f t="shared" si="4"/>
        <v>2692519.84</v>
      </c>
      <c r="U357" s="13">
        <f t="shared" si="5"/>
        <v>647536.25</v>
      </c>
      <c r="V357" s="3" t="str">
        <f>VLOOKUP(N357,products!A:B,2,0)</f>
        <v>Office Supplies</v>
      </c>
      <c r="W357" s="3" t="s">
        <v>28</v>
      </c>
      <c r="X357" s="3" t="s">
        <v>29</v>
      </c>
      <c r="Y357" s="14">
        <f t="shared" si="10"/>
        <v>0.193869873</v>
      </c>
      <c r="Z357" s="3">
        <f t="shared" si="7"/>
        <v>49</v>
      </c>
      <c r="AA357" s="15">
        <f t="shared" si="8"/>
        <v>5</v>
      </c>
    </row>
    <row r="358" ht="15.75" customHeight="1">
      <c r="A358" s="3">
        <v>3.43730294E8</v>
      </c>
      <c r="B358" s="9">
        <v>42740.0</v>
      </c>
      <c r="C358" s="3">
        <f>IFERROR(__xludf.DUMMYFUNCTION("split(B358,""/"")"),5.0)</f>
        <v>5</v>
      </c>
      <c r="D358" s="10">
        <f>IFERROR(__xludf.DUMMYFUNCTION("""COMPUTED_VALUE"""),1.0)</f>
        <v>1</v>
      </c>
      <c r="E358" s="11">
        <f>IFERROR(__xludf.DUMMYFUNCTION("""COMPUTED_VALUE"""),2017.0)</f>
        <v>2017</v>
      </c>
      <c r="F358" s="12">
        <f t="shared" si="1"/>
        <v>42856</v>
      </c>
      <c r="G358" s="3" t="s">
        <v>1204</v>
      </c>
      <c r="H358" s="3">
        <f>IFERROR(__xludf.DUMMYFUNCTION("split(G358,""/"")"),5.0)</f>
        <v>5</v>
      </c>
      <c r="I358" s="3">
        <f>IFERROR(__xludf.DUMMYFUNCTION("""COMPUTED_VALUE"""),28.0)</f>
        <v>28</v>
      </c>
      <c r="J358" s="3">
        <f>IFERROR(__xludf.DUMMYFUNCTION("""COMPUTED_VALUE"""),2017.0)</f>
        <v>2017</v>
      </c>
      <c r="K358" s="12">
        <f t="shared" si="2"/>
        <v>42883</v>
      </c>
      <c r="L358" s="3" t="s">
        <v>825</v>
      </c>
      <c r="M358" s="3" t="s">
        <v>413</v>
      </c>
      <c r="N358" s="3">
        <v>8681.0</v>
      </c>
      <c r="O358" s="3" t="s">
        <v>815</v>
      </c>
      <c r="P358" s="10">
        <v>6287.0</v>
      </c>
      <c r="Q358" s="13">
        <v>651.21</v>
      </c>
      <c r="R358" s="13">
        <v>524.96</v>
      </c>
      <c r="S358" s="13">
        <f t="shared" si="3"/>
        <v>4094157.27</v>
      </c>
      <c r="T358" s="13">
        <f t="shared" si="4"/>
        <v>3300423.52</v>
      </c>
      <c r="U358" s="13">
        <f t="shared" si="5"/>
        <v>793733.75</v>
      </c>
      <c r="V358" s="3" t="str">
        <f>VLOOKUP(N358,products!A:B,2,0)</f>
        <v>Office Supplies</v>
      </c>
      <c r="W358" s="3" t="s">
        <v>28</v>
      </c>
      <c r="X358" s="3" t="s">
        <v>29</v>
      </c>
      <c r="Y358" s="14">
        <f t="shared" si="10"/>
        <v>0.193869873</v>
      </c>
      <c r="Z358" s="3">
        <f t="shared" si="7"/>
        <v>27</v>
      </c>
      <c r="AA358" s="15">
        <f t="shared" si="8"/>
        <v>2</v>
      </c>
    </row>
    <row r="359" ht="15.75" customHeight="1">
      <c r="A359" s="3">
        <v>3.4388951E8</v>
      </c>
      <c r="B359" s="3" t="s">
        <v>910</v>
      </c>
      <c r="C359" s="3">
        <f>IFERROR(__xludf.DUMMYFUNCTION("split(B359,""/"")"),2.0)</f>
        <v>2</v>
      </c>
      <c r="D359" s="10">
        <f>IFERROR(__xludf.DUMMYFUNCTION("""COMPUTED_VALUE"""),19.0)</f>
        <v>19</v>
      </c>
      <c r="E359" s="11">
        <f>IFERROR(__xludf.DUMMYFUNCTION("""COMPUTED_VALUE"""),2014.0)</f>
        <v>2014</v>
      </c>
      <c r="F359" s="12">
        <f t="shared" si="1"/>
        <v>41689</v>
      </c>
      <c r="G359" s="9">
        <v>41674.0</v>
      </c>
      <c r="H359" s="3">
        <f>IFERROR(__xludf.DUMMYFUNCTION("split(G359,""/"")"),4.0)</f>
        <v>4</v>
      </c>
      <c r="I359" s="3">
        <f>IFERROR(__xludf.DUMMYFUNCTION("""COMPUTED_VALUE"""),2.0)</f>
        <v>2</v>
      </c>
      <c r="J359" s="3">
        <f>IFERROR(__xludf.DUMMYFUNCTION("""COMPUTED_VALUE"""),2014.0)</f>
        <v>2014</v>
      </c>
      <c r="K359" s="12">
        <f t="shared" si="2"/>
        <v>41731</v>
      </c>
      <c r="L359" s="3" t="s">
        <v>814</v>
      </c>
      <c r="M359" s="3" t="s">
        <v>740</v>
      </c>
      <c r="N359" s="3">
        <v>1270.0</v>
      </c>
      <c r="O359" s="3" t="s">
        <v>815</v>
      </c>
      <c r="P359" s="10">
        <v>3403.0</v>
      </c>
      <c r="Q359" s="13">
        <v>47.45</v>
      </c>
      <c r="R359" s="13">
        <v>31.79</v>
      </c>
      <c r="S359" s="13">
        <f t="shared" si="3"/>
        <v>161472.35</v>
      </c>
      <c r="T359" s="13">
        <f t="shared" si="4"/>
        <v>108181.37</v>
      </c>
      <c r="U359" s="13">
        <f t="shared" si="5"/>
        <v>53290.98</v>
      </c>
      <c r="V359" s="3" t="str">
        <f>VLOOKUP(N359,products!A:B,2,0)</f>
        <v>Beverages</v>
      </c>
      <c r="W359" s="3" t="s">
        <v>28</v>
      </c>
      <c r="X359" s="3" t="s">
        <v>98</v>
      </c>
      <c r="Y359" s="14">
        <f t="shared" si="10"/>
        <v>0.3300316122</v>
      </c>
      <c r="Z359" s="3">
        <f t="shared" si="7"/>
        <v>42</v>
      </c>
      <c r="AA359" s="15">
        <f t="shared" si="8"/>
        <v>4</v>
      </c>
    </row>
    <row r="360" ht="15.75" customHeight="1">
      <c r="A360" s="3">
        <v>3.44160735E8</v>
      </c>
      <c r="B360" s="9">
        <v>40431.0</v>
      </c>
      <c r="C360" s="3">
        <f>IFERROR(__xludf.DUMMYFUNCTION("split(B360,""/"")"),10.0)</f>
        <v>10</v>
      </c>
      <c r="D360" s="10">
        <f>IFERROR(__xludf.DUMMYFUNCTION("""COMPUTED_VALUE"""),9.0)</f>
        <v>9</v>
      </c>
      <c r="E360" s="11">
        <f>IFERROR(__xludf.DUMMYFUNCTION("""COMPUTED_VALUE"""),2010.0)</f>
        <v>2010</v>
      </c>
      <c r="F360" s="12">
        <f t="shared" si="1"/>
        <v>40460</v>
      </c>
      <c r="G360" s="3" t="s">
        <v>1205</v>
      </c>
      <c r="H360" s="3">
        <f>IFERROR(__xludf.DUMMYFUNCTION("split(G360,""/"")"),11.0)</f>
        <v>11</v>
      </c>
      <c r="I360" s="3">
        <f>IFERROR(__xludf.DUMMYFUNCTION("""COMPUTED_VALUE"""),20.0)</f>
        <v>20</v>
      </c>
      <c r="J360" s="3">
        <f>IFERROR(__xludf.DUMMYFUNCTION("""COMPUTED_VALUE"""),2010.0)</f>
        <v>2010</v>
      </c>
      <c r="K360" s="12">
        <f t="shared" si="2"/>
        <v>40502</v>
      </c>
      <c r="L360" s="3" t="s">
        <v>814</v>
      </c>
      <c r="M360" s="3" t="s">
        <v>512</v>
      </c>
      <c r="N360" s="3">
        <v>8875.0</v>
      </c>
      <c r="O360" s="3" t="s">
        <v>815</v>
      </c>
      <c r="P360" s="10">
        <v>3664.0</v>
      </c>
      <c r="Q360" s="13">
        <v>421.89</v>
      </c>
      <c r="R360" s="13">
        <v>364.69</v>
      </c>
      <c r="S360" s="13">
        <f t="shared" si="3"/>
        <v>1545804.96</v>
      </c>
      <c r="T360" s="13">
        <f t="shared" si="4"/>
        <v>1336224.16</v>
      </c>
      <c r="U360" s="13">
        <f t="shared" si="5"/>
        <v>209580.8</v>
      </c>
      <c r="V360" s="3" t="str">
        <f>VLOOKUP(N360,products!A:B,2,0)</f>
        <v>Meat</v>
      </c>
      <c r="W360" s="3" t="s">
        <v>28</v>
      </c>
      <c r="X360" s="3" t="s">
        <v>79</v>
      </c>
      <c r="Y360" s="14">
        <f t="shared" si="10"/>
        <v>0.1355803646</v>
      </c>
      <c r="Z360" s="3">
        <f t="shared" si="7"/>
        <v>42</v>
      </c>
      <c r="AA360" s="15">
        <f t="shared" si="8"/>
        <v>7</v>
      </c>
    </row>
    <row r="361" ht="15.75" customHeight="1">
      <c r="A361" s="3">
        <v>3.46498763E8</v>
      </c>
      <c r="B361" s="3" t="s">
        <v>1206</v>
      </c>
      <c r="C361" s="3">
        <f>IFERROR(__xludf.DUMMYFUNCTION("split(B361,""/"")"),3.0)</f>
        <v>3</v>
      </c>
      <c r="D361" s="10">
        <f>IFERROR(__xludf.DUMMYFUNCTION("""COMPUTED_VALUE"""),18.0)</f>
        <v>18</v>
      </c>
      <c r="E361" s="11">
        <f>IFERROR(__xludf.DUMMYFUNCTION("""COMPUTED_VALUE"""),2011.0)</f>
        <v>2011</v>
      </c>
      <c r="F361" s="12">
        <f t="shared" si="1"/>
        <v>40620</v>
      </c>
      <c r="G361" s="9">
        <v>40578.0</v>
      </c>
      <c r="H361" s="3">
        <f>IFERROR(__xludf.DUMMYFUNCTION("split(G361,""/"")"),4.0)</f>
        <v>4</v>
      </c>
      <c r="I361" s="3">
        <f>IFERROR(__xludf.DUMMYFUNCTION("""COMPUTED_VALUE"""),2.0)</f>
        <v>2</v>
      </c>
      <c r="J361" s="3">
        <f>IFERROR(__xludf.DUMMYFUNCTION("""COMPUTED_VALUE"""),2011.0)</f>
        <v>2011</v>
      </c>
      <c r="K361" s="12">
        <f t="shared" si="2"/>
        <v>40635</v>
      </c>
      <c r="L361" s="3" t="s">
        <v>825</v>
      </c>
      <c r="M361" s="3" t="s">
        <v>482</v>
      </c>
      <c r="N361" s="3">
        <v>5988.0</v>
      </c>
      <c r="O361" s="3" t="s">
        <v>815</v>
      </c>
      <c r="P361" s="10">
        <v>5539.0</v>
      </c>
      <c r="Q361" s="13">
        <v>154.06</v>
      </c>
      <c r="R361" s="13">
        <v>90.93</v>
      </c>
      <c r="S361" s="13">
        <f t="shared" si="3"/>
        <v>853338.34</v>
      </c>
      <c r="T361" s="13">
        <f t="shared" si="4"/>
        <v>503661.27</v>
      </c>
      <c r="U361" s="13">
        <f t="shared" si="5"/>
        <v>349677.07</v>
      </c>
      <c r="V361" s="3" t="str">
        <f>VLOOKUP(N361,products!A:B,2,0)</f>
        <v>Vegetables</v>
      </c>
      <c r="W361" s="3" t="s">
        <v>28</v>
      </c>
      <c r="X361" s="3" t="s">
        <v>79</v>
      </c>
      <c r="Y361" s="14">
        <f t="shared" si="10"/>
        <v>0.4097754122</v>
      </c>
      <c r="Z361" s="3">
        <f t="shared" si="7"/>
        <v>15</v>
      </c>
      <c r="AA361" s="15">
        <f t="shared" si="8"/>
        <v>6</v>
      </c>
    </row>
    <row r="362" ht="15.75" customHeight="1">
      <c r="A362" s="3">
        <v>3.47609412E8</v>
      </c>
      <c r="B362" s="9">
        <v>41921.0</v>
      </c>
      <c r="C362" s="3">
        <f>IFERROR(__xludf.DUMMYFUNCTION("split(B362,""/"")"),9.0)</f>
        <v>9</v>
      </c>
      <c r="D362" s="10">
        <f>IFERROR(__xludf.DUMMYFUNCTION("""COMPUTED_VALUE"""),10.0)</f>
        <v>10</v>
      </c>
      <c r="E362" s="11">
        <f>IFERROR(__xludf.DUMMYFUNCTION("""COMPUTED_VALUE"""),2014.0)</f>
        <v>2014</v>
      </c>
      <c r="F362" s="12">
        <f t="shared" si="1"/>
        <v>41892</v>
      </c>
      <c r="G362" s="3" t="s">
        <v>1207</v>
      </c>
      <c r="H362" s="3">
        <f>IFERROR(__xludf.DUMMYFUNCTION("split(G362,""/"")"),9.0)</f>
        <v>9</v>
      </c>
      <c r="I362" s="3">
        <f>IFERROR(__xludf.DUMMYFUNCTION("""COMPUTED_VALUE"""),17.0)</f>
        <v>17</v>
      </c>
      <c r="J362" s="3">
        <f>IFERROR(__xludf.DUMMYFUNCTION("""COMPUTED_VALUE"""),2014.0)</f>
        <v>2014</v>
      </c>
      <c r="K362" s="12">
        <f t="shared" si="2"/>
        <v>41899</v>
      </c>
      <c r="L362" s="3" t="s">
        <v>817</v>
      </c>
      <c r="M362" s="3" t="s">
        <v>689</v>
      </c>
      <c r="N362" s="3">
        <v>8293.0</v>
      </c>
      <c r="O362" s="3" t="s">
        <v>818</v>
      </c>
      <c r="P362" s="10">
        <v>4205.0</v>
      </c>
      <c r="Q362" s="13">
        <v>437.2</v>
      </c>
      <c r="R362" s="13">
        <v>263.33</v>
      </c>
      <c r="S362" s="13">
        <f t="shared" si="3"/>
        <v>1838426</v>
      </c>
      <c r="T362" s="13">
        <f t="shared" si="4"/>
        <v>1107302.65</v>
      </c>
      <c r="U362" s="13">
        <f t="shared" si="5"/>
        <v>731123.35</v>
      </c>
      <c r="V362" s="3" t="str">
        <f>VLOOKUP(N362,products!A:B,2,0)</f>
        <v>Cosmetics</v>
      </c>
      <c r="W362" s="3" t="s">
        <v>28</v>
      </c>
      <c r="X362" s="3" t="s">
        <v>79</v>
      </c>
      <c r="Y362" s="14">
        <f t="shared" si="10"/>
        <v>0.3976898445</v>
      </c>
      <c r="Z362" s="3">
        <f t="shared" si="7"/>
        <v>7</v>
      </c>
      <c r="AA362" s="15">
        <f t="shared" si="8"/>
        <v>4</v>
      </c>
    </row>
    <row r="363" ht="15.75" customHeight="1">
      <c r="A363" s="3">
        <v>3.48080623E8</v>
      </c>
      <c r="B363" s="9">
        <v>40242.0</v>
      </c>
      <c r="C363" s="3">
        <f>IFERROR(__xludf.DUMMYFUNCTION("split(B363,""/"")"),5.0)</f>
        <v>5</v>
      </c>
      <c r="D363" s="10">
        <f>IFERROR(__xludf.DUMMYFUNCTION("""COMPUTED_VALUE"""),3.0)</f>
        <v>3</v>
      </c>
      <c r="E363" s="11">
        <f>IFERROR(__xludf.DUMMYFUNCTION("""COMPUTED_VALUE"""),2010.0)</f>
        <v>2010</v>
      </c>
      <c r="F363" s="12">
        <f t="shared" si="1"/>
        <v>40301</v>
      </c>
      <c r="G363" s="3" t="s">
        <v>1208</v>
      </c>
      <c r="H363" s="3">
        <f>IFERROR(__xludf.DUMMYFUNCTION("split(G363,""/"")"),5.0)</f>
        <v>5</v>
      </c>
      <c r="I363" s="3">
        <f>IFERROR(__xludf.DUMMYFUNCTION("""COMPUTED_VALUE"""),19.0)</f>
        <v>19</v>
      </c>
      <c r="J363" s="3">
        <f>IFERROR(__xludf.DUMMYFUNCTION("""COMPUTED_VALUE"""),2010.0)</f>
        <v>2010</v>
      </c>
      <c r="K363" s="12">
        <f t="shared" si="2"/>
        <v>40317</v>
      </c>
      <c r="L363" s="3" t="s">
        <v>814</v>
      </c>
      <c r="M363" s="3" t="s">
        <v>46</v>
      </c>
      <c r="N363" s="3">
        <v>8969.0</v>
      </c>
      <c r="O363" s="3" t="s">
        <v>815</v>
      </c>
      <c r="P363" s="10">
        <v>3646.0</v>
      </c>
      <c r="Q363" s="13">
        <v>152.58</v>
      </c>
      <c r="R363" s="13">
        <v>97.44</v>
      </c>
      <c r="S363" s="13">
        <f t="shared" si="3"/>
        <v>556306.68</v>
      </c>
      <c r="T363" s="13">
        <f t="shared" si="4"/>
        <v>355266.24</v>
      </c>
      <c r="U363" s="13">
        <f t="shared" si="5"/>
        <v>201040.44</v>
      </c>
      <c r="V363" s="3" t="str">
        <f>VLOOKUP(N363,products!A:B,2,0)</f>
        <v>Snacks</v>
      </c>
      <c r="W363" s="3" t="s">
        <v>28</v>
      </c>
      <c r="X363" s="3" t="s">
        <v>33</v>
      </c>
      <c r="Y363" s="14">
        <f t="shared" si="10"/>
        <v>0.3613841919</v>
      </c>
      <c r="Z363" s="3">
        <f t="shared" si="7"/>
        <v>16</v>
      </c>
      <c r="AA363" s="15">
        <f t="shared" si="8"/>
        <v>2</v>
      </c>
    </row>
    <row r="364" ht="15.75" customHeight="1">
      <c r="A364" s="3">
        <v>3.4906038E8</v>
      </c>
      <c r="B364" s="3" t="s">
        <v>1209</v>
      </c>
      <c r="C364" s="3">
        <f>IFERROR(__xludf.DUMMYFUNCTION("split(B364,""/"")"),9.0)</f>
        <v>9</v>
      </c>
      <c r="D364" s="10">
        <f>IFERROR(__xludf.DUMMYFUNCTION("""COMPUTED_VALUE"""),16.0)</f>
        <v>16</v>
      </c>
      <c r="E364" s="11">
        <f>IFERROR(__xludf.DUMMYFUNCTION("""COMPUTED_VALUE"""),2016.0)</f>
        <v>2016</v>
      </c>
      <c r="F364" s="12">
        <f t="shared" si="1"/>
        <v>42629</v>
      </c>
      <c r="G364" s="3" t="s">
        <v>1210</v>
      </c>
      <c r="H364" s="3">
        <f>IFERROR(__xludf.DUMMYFUNCTION("split(G364,""/"")"),9.0)</f>
        <v>9</v>
      </c>
      <c r="I364" s="3">
        <f>IFERROR(__xludf.DUMMYFUNCTION("""COMPUTED_VALUE"""),28.0)</f>
        <v>28</v>
      </c>
      <c r="J364" s="3">
        <f>IFERROR(__xludf.DUMMYFUNCTION("""COMPUTED_VALUE"""),2016.0)</f>
        <v>2016</v>
      </c>
      <c r="K364" s="12">
        <f t="shared" si="2"/>
        <v>42641</v>
      </c>
      <c r="L364" s="3" t="s">
        <v>827</v>
      </c>
      <c r="M364" s="3" t="s">
        <v>536</v>
      </c>
      <c r="N364" s="3">
        <v>7331.0</v>
      </c>
      <c r="O364" s="3" t="s">
        <v>815</v>
      </c>
      <c r="P364" s="10">
        <v>3578.0</v>
      </c>
      <c r="Q364" s="13">
        <v>255.28</v>
      </c>
      <c r="R364" s="13">
        <v>159.42</v>
      </c>
      <c r="S364" s="13">
        <f t="shared" si="3"/>
        <v>913391.84</v>
      </c>
      <c r="T364" s="13">
        <f t="shared" si="4"/>
        <v>570404.76</v>
      </c>
      <c r="U364" s="13">
        <f t="shared" si="5"/>
        <v>342987.08</v>
      </c>
      <c r="V364" s="3" t="str">
        <f>VLOOKUP(N364,products!A:B,2,0)</f>
        <v>Baby Food</v>
      </c>
      <c r="W364" s="3" t="s">
        <v>28</v>
      </c>
      <c r="X364" s="3" t="s">
        <v>33</v>
      </c>
      <c r="Y364" s="14">
        <f t="shared" si="10"/>
        <v>0.3755092448</v>
      </c>
      <c r="Z364" s="3">
        <f t="shared" si="7"/>
        <v>12</v>
      </c>
      <c r="AA364" s="15">
        <f t="shared" si="8"/>
        <v>6</v>
      </c>
    </row>
    <row r="365" ht="15.75" customHeight="1">
      <c r="A365" s="3">
        <v>3.49212729E8</v>
      </c>
      <c r="B365" s="3" t="s">
        <v>994</v>
      </c>
      <c r="C365" s="3">
        <f>IFERROR(__xludf.DUMMYFUNCTION("split(B365,""/"")"),7.0)</f>
        <v>7</v>
      </c>
      <c r="D365" s="10">
        <f>IFERROR(__xludf.DUMMYFUNCTION("""COMPUTED_VALUE"""),27.0)</f>
        <v>27</v>
      </c>
      <c r="E365" s="11">
        <f>IFERROR(__xludf.DUMMYFUNCTION("""COMPUTED_VALUE"""),2016.0)</f>
        <v>2016</v>
      </c>
      <c r="F365" s="12">
        <f t="shared" si="1"/>
        <v>42578</v>
      </c>
      <c r="G365" s="9">
        <v>42683.0</v>
      </c>
      <c r="H365" s="3">
        <f>IFERROR(__xludf.DUMMYFUNCTION("split(G365,""/"")"),9.0)</f>
        <v>9</v>
      </c>
      <c r="I365" s="3">
        <f>IFERROR(__xludf.DUMMYFUNCTION("""COMPUTED_VALUE"""),11.0)</f>
        <v>11</v>
      </c>
      <c r="J365" s="3">
        <f>IFERROR(__xludf.DUMMYFUNCTION("""COMPUTED_VALUE"""),2016.0)</f>
        <v>2016</v>
      </c>
      <c r="K365" s="12">
        <f t="shared" si="2"/>
        <v>42624</v>
      </c>
      <c r="L365" s="3" t="s">
        <v>817</v>
      </c>
      <c r="M365" s="3" t="s">
        <v>142</v>
      </c>
      <c r="N365" s="3">
        <v>8875.0</v>
      </c>
      <c r="O365" s="3" t="s">
        <v>815</v>
      </c>
      <c r="P365" s="10">
        <v>8662.0</v>
      </c>
      <c r="Q365" s="13">
        <v>421.89</v>
      </c>
      <c r="R365" s="13">
        <v>364.69</v>
      </c>
      <c r="S365" s="13">
        <f t="shared" si="3"/>
        <v>3654411.18</v>
      </c>
      <c r="T365" s="13">
        <f t="shared" si="4"/>
        <v>3158944.78</v>
      </c>
      <c r="U365" s="13">
        <f t="shared" si="5"/>
        <v>495466.4</v>
      </c>
      <c r="V365" s="3" t="str">
        <f>VLOOKUP(N365,products!A:B,2,0)</f>
        <v>Meat</v>
      </c>
      <c r="W365" s="3" t="s">
        <v>28</v>
      </c>
      <c r="X365" s="3" t="s">
        <v>98</v>
      </c>
      <c r="Y365" s="14">
        <f t="shared" si="10"/>
        <v>0.1355803646</v>
      </c>
      <c r="Z365" s="3">
        <f t="shared" si="7"/>
        <v>46</v>
      </c>
      <c r="AA365" s="15">
        <f t="shared" si="8"/>
        <v>4</v>
      </c>
    </row>
    <row r="366" ht="15.75" customHeight="1">
      <c r="A366" s="3">
        <v>3.50550401E8</v>
      </c>
      <c r="B366" s="3" t="s">
        <v>1211</v>
      </c>
      <c r="C366" s="3">
        <f>IFERROR(__xludf.DUMMYFUNCTION("split(B366,""/"")"),3.0)</f>
        <v>3</v>
      </c>
      <c r="D366" s="10">
        <f>IFERROR(__xludf.DUMMYFUNCTION("""COMPUTED_VALUE"""),25.0)</f>
        <v>25</v>
      </c>
      <c r="E366" s="11">
        <f>IFERROR(__xludf.DUMMYFUNCTION("""COMPUTED_VALUE"""),2012.0)</f>
        <v>2012</v>
      </c>
      <c r="F366" s="12">
        <f t="shared" si="1"/>
        <v>40993</v>
      </c>
      <c r="G366" s="3" t="s">
        <v>1212</v>
      </c>
      <c r="H366" s="3">
        <f>IFERROR(__xludf.DUMMYFUNCTION("split(G366,""/"")"),4.0)</f>
        <v>4</v>
      </c>
      <c r="I366" s="3">
        <f>IFERROR(__xludf.DUMMYFUNCTION("""COMPUTED_VALUE"""),22.0)</f>
        <v>22</v>
      </c>
      <c r="J366" s="3">
        <f>IFERROR(__xludf.DUMMYFUNCTION("""COMPUTED_VALUE"""),2012.0)</f>
        <v>2012</v>
      </c>
      <c r="K366" s="12">
        <f t="shared" si="2"/>
        <v>41021</v>
      </c>
      <c r="L366" s="3" t="s">
        <v>827</v>
      </c>
      <c r="M366" s="3" t="s">
        <v>635</v>
      </c>
      <c r="N366" s="3">
        <v>8293.0</v>
      </c>
      <c r="O366" s="3" t="s">
        <v>815</v>
      </c>
      <c r="P366" s="10">
        <v>4508.0</v>
      </c>
      <c r="Q366" s="13">
        <v>437.2</v>
      </c>
      <c r="R366" s="13">
        <v>263.33</v>
      </c>
      <c r="S366" s="13">
        <f t="shared" si="3"/>
        <v>1970897.6</v>
      </c>
      <c r="T366" s="13">
        <f t="shared" si="4"/>
        <v>1187091.64</v>
      </c>
      <c r="U366" s="13">
        <f t="shared" si="5"/>
        <v>783805.96</v>
      </c>
      <c r="V366" s="3" t="str">
        <f>VLOOKUP(N366,products!A:B,2,0)</f>
        <v>Cosmetics</v>
      </c>
      <c r="W366" s="3" t="s">
        <v>28</v>
      </c>
      <c r="X366" s="3" t="s">
        <v>33</v>
      </c>
      <c r="Y366" s="14">
        <f t="shared" si="10"/>
        <v>0.3976898445</v>
      </c>
      <c r="Z366" s="3">
        <f t="shared" si="7"/>
        <v>28</v>
      </c>
      <c r="AA366" s="15">
        <f t="shared" si="8"/>
        <v>1</v>
      </c>
    </row>
    <row r="367" ht="15.75" customHeight="1">
      <c r="A367" s="3">
        <v>3.50977408E8</v>
      </c>
      <c r="B367" s="3" t="s">
        <v>1213</v>
      </c>
      <c r="C367" s="3">
        <f>IFERROR(__xludf.DUMMYFUNCTION("split(B367,""/"")"),12.0)</f>
        <v>12</v>
      </c>
      <c r="D367" s="10">
        <f>IFERROR(__xludf.DUMMYFUNCTION("""COMPUTED_VALUE"""),26.0)</f>
        <v>26</v>
      </c>
      <c r="E367" s="11">
        <f>IFERROR(__xludf.DUMMYFUNCTION("""COMPUTED_VALUE"""),2010.0)</f>
        <v>2010</v>
      </c>
      <c r="F367" s="12">
        <f t="shared" si="1"/>
        <v>40538</v>
      </c>
      <c r="G367" s="3" t="s">
        <v>1214</v>
      </c>
      <c r="H367" s="3">
        <f>IFERROR(__xludf.DUMMYFUNCTION("split(G367,""/"")"),1.0)</f>
        <v>1</v>
      </c>
      <c r="I367" s="3">
        <f>IFERROR(__xludf.DUMMYFUNCTION("""COMPUTED_VALUE"""),22.0)</f>
        <v>22</v>
      </c>
      <c r="J367" s="3">
        <f>IFERROR(__xludf.DUMMYFUNCTION("""COMPUTED_VALUE"""),2011.0)</f>
        <v>2011</v>
      </c>
      <c r="K367" s="12">
        <f t="shared" si="2"/>
        <v>40565</v>
      </c>
      <c r="L367" s="3" t="s">
        <v>817</v>
      </c>
      <c r="M367" s="3" t="s">
        <v>536</v>
      </c>
      <c r="N367" s="3">
        <v>8293.0</v>
      </c>
      <c r="O367" s="3" t="s">
        <v>815</v>
      </c>
      <c r="P367" s="10">
        <v>869.0</v>
      </c>
      <c r="Q367" s="13">
        <v>437.2</v>
      </c>
      <c r="R367" s="13">
        <v>263.33</v>
      </c>
      <c r="S367" s="13">
        <f t="shared" si="3"/>
        <v>379926.8</v>
      </c>
      <c r="T367" s="13">
        <f t="shared" si="4"/>
        <v>228833.77</v>
      </c>
      <c r="U367" s="13">
        <f t="shared" si="5"/>
        <v>151093.03</v>
      </c>
      <c r="V367" s="3" t="str">
        <f>VLOOKUP(N367,products!A:B,2,0)</f>
        <v>Cosmetics</v>
      </c>
      <c r="W367" s="3" t="s">
        <v>28</v>
      </c>
      <c r="X367" s="3" t="s">
        <v>33</v>
      </c>
      <c r="Y367" s="14">
        <f t="shared" si="10"/>
        <v>0.3976898445</v>
      </c>
      <c r="Z367" s="3">
        <f t="shared" si="7"/>
        <v>27</v>
      </c>
      <c r="AA367" s="15">
        <f t="shared" si="8"/>
        <v>1</v>
      </c>
    </row>
    <row r="368" ht="15.75" customHeight="1">
      <c r="A368" s="3">
        <v>3.51247346E8</v>
      </c>
      <c r="B368" s="3" t="s">
        <v>1215</v>
      </c>
      <c r="C368" s="3">
        <f>IFERROR(__xludf.DUMMYFUNCTION("split(B368,""/"")"),3.0)</f>
        <v>3</v>
      </c>
      <c r="D368" s="10">
        <f>IFERROR(__xludf.DUMMYFUNCTION("""COMPUTED_VALUE"""),29.0)</f>
        <v>29</v>
      </c>
      <c r="E368" s="11">
        <f>IFERROR(__xludf.DUMMYFUNCTION("""COMPUTED_VALUE"""),2016.0)</f>
        <v>2016</v>
      </c>
      <c r="F368" s="12">
        <f t="shared" si="1"/>
        <v>42458</v>
      </c>
      <c r="G368" s="9">
        <v>42587.0</v>
      </c>
      <c r="H368" s="3">
        <f>IFERROR(__xludf.DUMMYFUNCTION("split(G368,""/"")"),5.0)</f>
        <v>5</v>
      </c>
      <c r="I368" s="3">
        <f>IFERROR(__xludf.DUMMYFUNCTION("""COMPUTED_VALUE"""),8.0)</f>
        <v>8</v>
      </c>
      <c r="J368" s="3">
        <f>IFERROR(__xludf.DUMMYFUNCTION("""COMPUTED_VALUE"""),2016.0)</f>
        <v>2016</v>
      </c>
      <c r="K368" s="12">
        <f t="shared" si="2"/>
        <v>42498</v>
      </c>
      <c r="L368" s="3" t="s">
        <v>827</v>
      </c>
      <c r="M368" s="3" t="s">
        <v>482</v>
      </c>
      <c r="N368" s="3">
        <v>3127.0</v>
      </c>
      <c r="O368" s="3" t="s">
        <v>815</v>
      </c>
      <c r="P368" s="10">
        <v>750.0</v>
      </c>
      <c r="Q368" s="13">
        <v>81.73</v>
      </c>
      <c r="R368" s="13">
        <v>56.67</v>
      </c>
      <c r="S368" s="13">
        <f t="shared" si="3"/>
        <v>61297.5</v>
      </c>
      <c r="T368" s="13">
        <f t="shared" si="4"/>
        <v>42502.5</v>
      </c>
      <c r="U368" s="13">
        <f t="shared" si="5"/>
        <v>18795</v>
      </c>
      <c r="V368" s="3" t="str">
        <f>VLOOKUP(N368,products!A:B,2,0)</f>
        <v>Personal Care</v>
      </c>
      <c r="W368" s="3" t="s">
        <v>28</v>
      </c>
      <c r="X368" s="3" t="s">
        <v>79</v>
      </c>
      <c r="Y368" s="14">
        <f t="shared" si="10"/>
        <v>0.3066193564</v>
      </c>
      <c r="Z368" s="3">
        <f t="shared" si="7"/>
        <v>40</v>
      </c>
      <c r="AA368" s="15">
        <f t="shared" si="8"/>
        <v>3</v>
      </c>
    </row>
    <row r="369" ht="15.75" customHeight="1">
      <c r="A369" s="3">
        <v>3.52342545E8</v>
      </c>
      <c r="B369" s="3" t="s">
        <v>1216</v>
      </c>
      <c r="C369" s="3">
        <f>IFERROR(__xludf.DUMMYFUNCTION("split(B369,""/"")"),2.0)</f>
        <v>2</v>
      </c>
      <c r="D369" s="10">
        <f>IFERROR(__xludf.DUMMYFUNCTION("""COMPUTED_VALUE"""),19.0)</f>
        <v>19</v>
      </c>
      <c r="E369" s="11">
        <f>IFERROR(__xludf.DUMMYFUNCTION("""COMPUTED_VALUE"""),2017.0)</f>
        <v>2017</v>
      </c>
      <c r="F369" s="12">
        <f t="shared" si="1"/>
        <v>42785</v>
      </c>
      <c r="G369" s="3" t="s">
        <v>1217</v>
      </c>
      <c r="H369" s="3">
        <f>IFERROR(__xludf.DUMMYFUNCTION("split(G369,""/"")"),3.0)</f>
        <v>3</v>
      </c>
      <c r="I369" s="3">
        <f>IFERROR(__xludf.DUMMYFUNCTION("""COMPUTED_VALUE"""),27.0)</f>
        <v>27</v>
      </c>
      <c r="J369" s="3">
        <f>IFERROR(__xludf.DUMMYFUNCTION("""COMPUTED_VALUE"""),2017.0)</f>
        <v>2017</v>
      </c>
      <c r="K369" s="12">
        <f t="shared" si="2"/>
        <v>42821</v>
      </c>
      <c r="L369" s="3" t="s">
        <v>814</v>
      </c>
      <c r="M369" s="3" t="s">
        <v>671</v>
      </c>
      <c r="N369" s="3">
        <v>8969.0</v>
      </c>
      <c r="O369" s="3" t="s">
        <v>818</v>
      </c>
      <c r="P369" s="10">
        <v>4844.0</v>
      </c>
      <c r="Q369" s="13">
        <v>152.58</v>
      </c>
      <c r="R369" s="13">
        <v>97.44</v>
      </c>
      <c r="S369" s="13">
        <f t="shared" si="3"/>
        <v>739097.52</v>
      </c>
      <c r="T369" s="13">
        <f t="shared" si="4"/>
        <v>471999.36</v>
      </c>
      <c r="U369" s="13">
        <f t="shared" si="5"/>
        <v>267098.16</v>
      </c>
      <c r="V369" s="3" t="str">
        <f>VLOOKUP(N369,products!A:B,2,0)</f>
        <v>Snacks</v>
      </c>
      <c r="W369" s="3" t="s">
        <v>28</v>
      </c>
      <c r="X369" s="3" t="s">
        <v>33</v>
      </c>
      <c r="Y369" s="14">
        <f t="shared" si="10"/>
        <v>0.3613841919</v>
      </c>
      <c r="Z369" s="3">
        <f t="shared" si="7"/>
        <v>36</v>
      </c>
      <c r="AA369" s="15">
        <f t="shared" si="8"/>
        <v>1</v>
      </c>
    </row>
    <row r="370" ht="15.75" customHeight="1">
      <c r="A370" s="3">
        <v>3.5319184E8</v>
      </c>
      <c r="B370" s="9">
        <v>41492.0</v>
      </c>
      <c r="C370" s="3">
        <f>IFERROR(__xludf.DUMMYFUNCTION("split(B370,""/"")"),6.0)</f>
        <v>6</v>
      </c>
      <c r="D370" s="10">
        <f>IFERROR(__xludf.DUMMYFUNCTION("""COMPUTED_VALUE"""),8.0)</f>
        <v>8</v>
      </c>
      <c r="E370" s="11">
        <f>IFERROR(__xludf.DUMMYFUNCTION("""COMPUTED_VALUE"""),2013.0)</f>
        <v>2013</v>
      </c>
      <c r="F370" s="12">
        <f t="shared" si="1"/>
        <v>41433</v>
      </c>
      <c r="G370" s="9">
        <v>41524.0</v>
      </c>
      <c r="H370" s="3">
        <f>IFERROR(__xludf.DUMMYFUNCTION("split(G370,""/"")"),7.0)</f>
        <v>7</v>
      </c>
      <c r="I370" s="3">
        <f>IFERROR(__xludf.DUMMYFUNCTION("""COMPUTED_VALUE"""),9.0)</f>
        <v>9</v>
      </c>
      <c r="J370" s="3">
        <f>IFERROR(__xludf.DUMMYFUNCTION("""COMPUTED_VALUE"""),2013.0)</f>
        <v>2013</v>
      </c>
      <c r="K370" s="12">
        <f t="shared" si="2"/>
        <v>41464</v>
      </c>
      <c r="L370" s="3" t="s">
        <v>827</v>
      </c>
      <c r="M370" s="3" t="s">
        <v>248</v>
      </c>
      <c r="N370" s="3">
        <v>2455.0</v>
      </c>
      <c r="O370" s="3" t="s">
        <v>818</v>
      </c>
      <c r="P370" s="10">
        <v>6169.0</v>
      </c>
      <c r="Q370" s="13">
        <v>109.28</v>
      </c>
      <c r="R370" s="13">
        <v>35.84</v>
      </c>
      <c r="S370" s="13">
        <f t="shared" si="3"/>
        <v>674148.32</v>
      </c>
      <c r="T370" s="13">
        <f t="shared" si="4"/>
        <v>221096.96</v>
      </c>
      <c r="U370" s="13">
        <f t="shared" si="5"/>
        <v>453051.36</v>
      </c>
      <c r="V370" s="3" t="str">
        <f>VLOOKUP(N370,products!A:B,2,0)</f>
        <v>Clothes</v>
      </c>
      <c r="W370" s="3" t="s">
        <v>28</v>
      </c>
      <c r="X370" s="3" t="s">
        <v>29</v>
      </c>
      <c r="Y370" s="14">
        <f t="shared" si="10"/>
        <v>0.6720351391</v>
      </c>
      <c r="Z370" s="3">
        <f t="shared" si="7"/>
        <v>31</v>
      </c>
      <c r="AA370" s="15">
        <f t="shared" si="8"/>
        <v>7</v>
      </c>
    </row>
    <row r="371" ht="15.75" customHeight="1">
      <c r="A371" s="3">
        <v>3.53320157E8</v>
      </c>
      <c r="B371" s="3" t="s">
        <v>1218</v>
      </c>
      <c r="C371" s="3">
        <f>IFERROR(__xludf.DUMMYFUNCTION("split(B371,""/"")"),8.0)</f>
        <v>8</v>
      </c>
      <c r="D371" s="10">
        <f>IFERROR(__xludf.DUMMYFUNCTION("""COMPUTED_VALUE"""),19.0)</f>
        <v>19</v>
      </c>
      <c r="E371" s="11">
        <f>IFERROR(__xludf.DUMMYFUNCTION("""COMPUTED_VALUE"""),2012.0)</f>
        <v>2012</v>
      </c>
      <c r="F371" s="12">
        <f t="shared" si="1"/>
        <v>41140</v>
      </c>
      <c r="G371" s="3" t="s">
        <v>940</v>
      </c>
      <c r="H371" s="3">
        <f>IFERROR(__xludf.DUMMYFUNCTION("split(G371,""/"")"),8.0)</f>
        <v>8</v>
      </c>
      <c r="I371" s="3">
        <f>IFERROR(__xludf.DUMMYFUNCTION("""COMPUTED_VALUE"""),22.0)</f>
        <v>22</v>
      </c>
      <c r="J371" s="3">
        <f>IFERROR(__xludf.DUMMYFUNCTION("""COMPUTED_VALUE"""),2012.0)</f>
        <v>2012</v>
      </c>
      <c r="K371" s="12">
        <f t="shared" si="2"/>
        <v>41143</v>
      </c>
      <c r="L371" s="3" t="s">
        <v>825</v>
      </c>
      <c r="M371" s="3" t="s">
        <v>488</v>
      </c>
      <c r="N371" s="3">
        <v>8293.0</v>
      </c>
      <c r="O371" s="3" t="s">
        <v>818</v>
      </c>
      <c r="P371" s="10">
        <v>4141.0</v>
      </c>
      <c r="Q371" s="13">
        <v>437.2</v>
      </c>
      <c r="R371" s="13">
        <v>263.33</v>
      </c>
      <c r="S371" s="13">
        <f t="shared" si="3"/>
        <v>1810445.2</v>
      </c>
      <c r="T371" s="13">
        <f t="shared" si="4"/>
        <v>1090449.53</v>
      </c>
      <c r="U371" s="13">
        <f t="shared" si="5"/>
        <v>719995.67</v>
      </c>
      <c r="V371" s="3" t="str">
        <f>VLOOKUP(N371,products!A:B,2,0)</f>
        <v>Cosmetics</v>
      </c>
      <c r="W371" s="3" t="s">
        <v>28</v>
      </c>
      <c r="X371" s="3" t="s">
        <v>33</v>
      </c>
      <c r="Y371" s="14">
        <f t="shared" si="10"/>
        <v>0.3976898445</v>
      </c>
      <c r="Z371" s="3">
        <f t="shared" si="7"/>
        <v>3</v>
      </c>
      <c r="AA371" s="15">
        <f t="shared" si="8"/>
        <v>1</v>
      </c>
    </row>
    <row r="372" ht="15.75" customHeight="1">
      <c r="A372" s="3">
        <v>3.53383243E8</v>
      </c>
      <c r="B372" s="3" t="s">
        <v>1219</v>
      </c>
      <c r="C372" s="3">
        <f>IFERROR(__xludf.DUMMYFUNCTION("split(B372,""/"")"),5.0)</f>
        <v>5</v>
      </c>
      <c r="D372" s="10">
        <f>IFERROR(__xludf.DUMMYFUNCTION("""COMPUTED_VALUE"""),15.0)</f>
        <v>15</v>
      </c>
      <c r="E372" s="11">
        <f>IFERROR(__xludf.DUMMYFUNCTION("""COMPUTED_VALUE"""),2014.0)</f>
        <v>2014</v>
      </c>
      <c r="F372" s="12">
        <f t="shared" si="1"/>
        <v>41774</v>
      </c>
      <c r="G372" s="9">
        <v>41888.0</v>
      </c>
      <c r="H372" s="3">
        <f>IFERROR(__xludf.DUMMYFUNCTION("split(G372,""/"")"),6.0)</f>
        <v>6</v>
      </c>
      <c r="I372" s="3">
        <f>IFERROR(__xludf.DUMMYFUNCTION("""COMPUTED_VALUE"""),9.0)</f>
        <v>9</v>
      </c>
      <c r="J372" s="3">
        <f>IFERROR(__xludf.DUMMYFUNCTION("""COMPUTED_VALUE"""),2014.0)</f>
        <v>2014</v>
      </c>
      <c r="K372" s="12">
        <f t="shared" si="2"/>
        <v>41799</v>
      </c>
      <c r="L372" s="3" t="s">
        <v>825</v>
      </c>
      <c r="M372" s="3" t="s">
        <v>821</v>
      </c>
      <c r="N372" s="3">
        <v>8681.0</v>
      </c>
      <c r="O372" s="3" t="s">
        <v>815</v>
      </c>
      <c r="P372" s="10">
        <v>2809.0</v>
      </c>
      <c r="Q372" s="13">
        <v>651.21</v>
      </c>
      <c r="R372" s="13">
        <v>524.96</v>
      </c>
      <c r="S372" s="13">
        <f t="shared" si="3"/>
        <v>1829248.89</v>
      </c>
      <c r="T372" s="13">
        <f t="shared" si="4"/>
        <v>1474612.64</v>
      </c>
      <c r="U372" s="13">
        <f t="shared" si="5"/>
        <v>354636.25</v>
      </c>
      <c r="V372" s="3" t="str">
        <f>VLOOKUP(N372,products!A:B,2,0)</f>
        <v>Office Supplies</v>
      </c>
      <c r="W372" s="3" t="s">
        <v>821</v>
      </c>
      <c r="X372" s="3" t="s">
        <v>821</v>
      </c>
      <c r="Y372" s="14">
        <f t="shared" si="10"/>
        <v>0.193869873</v>
      </c>
      <c r="Z372" s="3">
        <f t="shared" si="7"/>
        <v>25</v>
      </c>
      <c r="AA372" s="15">
        <f t="shared" si="8"/>
        <v>5</v>
      </c>
    </row>
    <row r="373" ht="15.75" customHeight="1">
      <c r="A373" s="3">
        <v>3.53415429E8</v>
      </c>
      <c r="B373" s="9">
        <v>40280.0</v>
      </c>
      <c r="C373" s="3">
        <f>IFERROR(__xludf.DUMMYFUNCTION("split(B373,""/"")"),12.0)</f>
        <v>12</v>
      </c>
      <c r="D373" s="10">
        <f>IFERROR(__xludf.DUMMYFUNCTION("""COMPUTED_VALUE"""),4.0)</f>
        <v>4</v>
      </c>
      <c r="E373" s="11">
        <f>IFERROR(__xludf.DUMMYFUNCTION("""COMPUTED_VALUE"""),2010.0)</f>
        <v>2010</v>
      </c>
      <c r="F373" s="12">
        <f t="shared" si="1"/>
        <v>40516</v>
      </c>
      <c r="G373" s="9">
        <v>40402.0</v>
      </c>
      <c r="H373" s="3">
        <f>IFERROR(__xludf.DUMMYFUNCTION("split(G373,""/"")"),12.0)</f>
        <v>12</v>
      </c>
      <c r="I373" s="3">
        <f>IFERROR(__xludf.DUMMYFUNCTION("""COMPUTED_VALUE"""),8.0)</f>
        <v>8</v>
      </c>
      <c r="J373" s="3">
        <f>IFERROR(__xludf.DUMMYFUNCTION("""COMPUTED_VALUE"""),2010.0)</f>
        <v>2010</v>
      </c>
      <c r="K373" s="12">
        <f t="shared" si="2"/>
        <v>40520</v>
      </c>
      <c r="L373" s="3" t="s">
        <v>814</v>
      </c>
      <c r="M373" s="3" t="s">
        <v>218</v>
      </c>
      <c r="N373" s="3">
        <v>3127.0</v>
      </c>
      <c r="O373" s="3" t="s">
        <v>815</v>
      </c>
      <c r="P373" s="10">
        <v>2334.0</v>
      </c>
      <c r="Q373" s="13">
        <v>81.73</v>
      </c>
      <c r="R373" s="13">
        <v>56.67</v>
      </c>
      <c r="S373" s="13">
        <f t="shared" si="3"/>
        <v>190757.82</v>
      </c>
      <c r="T373" s="13">
        <f t="shared" si="4"/>
        <v>132267.78</v>
      </c>
      <c r="U373" s="13">
        <f t="shared" si="5"/>
        <v>58490.04</v>
      </c>
      <c r="V373" s="3" t="str">
        <f>VLOOKUP(N373,products!A:B,2,0)</f>
        <v>Personal Care</v>
      </c>
      <c r="W373" s="3" t="s">
        <v>28</v>
      </c>
      <c r="X373" s="3" t="s">
        <v>98</v>
      </c>
      <c r="Y373" s="14">
        <f t="shared" si="10"/>
        <v>0.3066193564</v>
      </c>
      <c r="Z373" s="3">
        <f t="shared" si="7"/>
        <v>4</v>
      </c>
      <c r="AA373" s="15">
        <f t="shared" si="8"/>
        <v>7</v>
      </c>
    </row>
    <row r="374" ht="15.75" customHeight="1">
      <c r="A374" s="3">
        <v>3.5347594E8</v>
      </c>
      <c r="B374" s="9">
        <v>41680.0</v>
      </c>
      <c r="C374" s="3">
        <f>IFERROR(__xludf.DUMMYFUNCTION("split(B374,""/"")"),10.0)</f>
        <v>10</v>
      </c>
      <c r="D374" s="10">
        <f>IFERROR(__xludf.DUMMYFUNCTION("""COMPUTED_VALUE"""),2.0)</f>
        <v>2</v>
      </c>
      <c r="E374" s="11">
        <f>IFERROR(__xludf.DUMMYFUNCTION("""COMPUTED_VALUE"""),2014.0)</f>
        <v>2014</v>
      </c>
      <c r="F374" s="12">
        <f t="shared" si="1"/>
        <v>41914</v>
      </c>
      <c r="G374" s="9">
        <v>41739.0</v>
      </c>
      <c r="H374" s="3">
        <f>IFERROR(__xludf.DUMMYFUNCTION("split(G374,""/"")"),10.0)</f>
        <v>10</v>
      </c>
      <c r="I374" s="3">
        <f>IFERROR(__xludf.DUMMYFUNCTION("""COMPUTED_VALUE"""),4.0)</f>
        <v>4</v>
      </c>
      <c r="J374" s="3">
        <f>IFERROR(__xludf.DUMMYFUNCTION("""COMPUTED_VALUE"""),2014.0)</f>
        <v>2014</v>
      </c>
      <c r="K374" s="12">
        <f t="shared" si="2"/>
        <v>41916</v>
      </c>
      <c r="L374" s="3" t="s">
        <v>827</v>
      </c>
      <c r="M374" s="3" t="s">
        <v>512</v>
      </c>
      <c r="N374" s="3">
        <v>3127.0</v>
      </c>
      <c r="O374" s="3" t="s">
        <v>818</v>
      </c>
      <c r="P374" s="10">
        <v>240.0</v>
      </c>
      <c r="Q374" s="13">
        <v>81.73</v>
      </c>
      <c r="R374" s="13">
        <v>56.67</v>
      </c>
      <c r="S374" s="13">
        <f t="shared" si="3"/>
        <v>19615.2</v>
      </c>
      <c r="T374" s="13">
        <f t="shared" si="4"/>
        <v>13600.8</v>
      </c>
      <c r="U374" s="13">
        <f t="shared" si="5"/>
        <v>6014.4</v>
      </c>
      <c r="V374" s="3" t="str">
        <f>VLOOKUP(N374,products!A:B,2,0)</f>
        <v>Personal Care</v>
      </c>
      <c r="W374" s="3" t="s">
        <v>28</v>
      </c>
      <c r="X374" s="3" t="s">
        <v>79</v>
      </c>
      <c r="Y374" s="14">
        <f t="shared" si="10"/>
        <v>0.3066193564</v>
      </c>
      <c r="Z374" s="3">
        <f t="shared" si="7"/>
        <v>2</v>
      </c>
      <c r="AA374" s="15">
        <f t="shared" si="8"/>
        <v>5</v>
      </c>
    </row>
    <row r="375" ht="15.75" customHeight="1">
      <c r="A375" s="3">
        <v>3.53492677E8</v>
      </c>
      <c r="B375" s="3" t="s">
        <v>1220</v>
      </c>
      <c r="C375" s="3">
        <f>IFERROR(__xludf.DUMMYFUNCTION("split(B375,""/"")"),4.0)</f>
        <v>4</v>
      </c>
      <c r="D375" s="10">
        <f>IFERROR(__xludf.DUMMYFUNCTION("""COMPUTED_VALUE"""),17.0)</f>
        <v>17</v>
      </c>
      <c r="E375" s="11">
        <f>IFERROR(__xludf.DUMMYFUNCTION("""COMPUTED_VALUE"""),2016.0)</f>
        <v>2016</v>
      </c>
      <c r="F375" s="12">
        <f t="shared" si="1"/>
        <v>42477</v>
      </c>
      <c r="G375" s="3" t="s">
        <v>1221</v>
      </c>
      <c r="H375" s="3">
        <f>IFERROR(__xludf.DUMMYFUNCTION("split(G375,""/"")"),5.0)</f>
        <v>5</v>
      </c>
      <c r="I375" s="3">
        <f>IFERROR(__xludf.DUMMYFUNCTION("""COMPUTED_VALUE"""),23.0)</f>
        <v>23</v>
      </c>
      <c r="J375" s="3">
        <f>IFERROR(__xludf.DUMMYFUNCTION("""COMPUTED_VALUE"""),2016.0)</f>
        <v>2016</v>
      </c>
      <c r="K375" s="12">
        <f t="shared" si="2"/>
        <v>42513</v>
      </c>
      <c r="L375" s="3" t="s">
        <v>817</v>
      </c>
      <c r="M375" s="3" t="s">
        <v>346</v>
      </c>
      <c r="N375" s="3">
        <v>4594.0</v>
      </c>
      <c r="O375" s="3" t="s">
        <v>818</v>
      </c>
      <c r="P375" s="10">
        <v>5193.0</v>
      </c>
      <c r="Q375" s="13">
        <v>9.33</v>
      </c>
      <c r="R375" s="13">
        <v>6.92</v>
      </c>
      <c r="S375" s="13">
        <f t="shared" si="3"/>
        <v>48450.69</v>
      </c>
      <c r="T375" s="13">
        <f t="shared" si="4"/>
        <v>35935.56</v>
      </c>
      <c r="U375" s="13">
        <f t="shared" si="5"/>
        <v>12515.13</v>
      </c>
      <c r="V375" s="3" t="str">
        <f>VLOOKUP(N375,products!A:B,2,0)</f>
        <v>Fruits</v>
      </c>
      <c r="W375" s="3" t="s">
        <v>28</v>
      </c>
      <c r="X375" s="3" t="s">
        <v>98</v>
      </c>
      <c r="Y375" s="14">
        <f t="shared" si="10"/>
        <v>0.258306538</v>
      </c>
      <c r="Z375" s="3">
        <f t="shared" si="7"/>
        <v>36</v>
      </c>
      <c r="AA375" s="15">
        <f t="shared" si="8"/>
        <v>1</v>
      </c>
    </row>
    <row r="376" ht="15.75" customHeight="1">
      <c r="A376" s="3">
        <v>3.54270303E8</v>
      </c>
      <c r="B376" s="3" t="s">
        <v>1222</v>
      </c>
      <c r="C376" s="3">
        <f>IFERROR(__xludf.DUMMYFUNCTION("split(B376,""/"")"),10.0)</f>
        <v>10</v>
      </c>
      <c r="D376" s="10">
        <f>IFERROR(__xludf.DUMMYFUNCTION("""COMPUTED_VALUE"""),14.0)</f>
        <v>14</v>
      </c>
      <c r="E376" s="11">
        <f>IFERROR(__xludf.DUMMYFUNCTION("""COMPUTED_VALUE"""),2012.0)</f>
        <v>2012</v>
      </c>
      <c r="F376" s="12">
        <f t="shared" si="1"/>
        <v>41196</v>
      </c>
      <c r="G376" s="3" t="s">
        <v>1223</v>
      </c>
      <c r="H376" s="3">
        <f>IFERROR(__xludf.DUMMYFUNCTION("split(G376,""/"")"),11.0)</f>
        <v>11</v>
      </c>
      <c r="I376" s="3">
        <f>IFERROR(__xludf.DUMMYFUNCTION("""COMPUTED_VALUE"""),27.0)</f>
        <v>27</v>
      </c>
      <c r="J376" s="3">
        <f>IFERROR(__xludf.DUMMYFUNCTION("""COMPUTED_VALUE"""),2012.0)</f>
        <v>2012</v>
      </c>
      <c r="K376" s="12">
        <f t="shared" si="2"/>
        <v>41240</v>
      </c>
      <c r="L376" s="3" t="s">
        <v>825</v>
      </c>
      <c r="M376" s="3" t="s">
        <v>623</v>
      </c>
      <c r="N376" s="3">
        <v>5988.0</v>
      </c>
      <c r="O376" s="3" t="s">
        <v>818</v>
      </c>
      <c r="P376" s="10">
        <v>5310.0</v>
      </c>
      <c r="Q376" s="13">
        <v>154.06</v>
      </c>
      <c r="R376" s="13">
        <v>90.93</v>
      </c>
      <c r="S376" s="13">
        <f t="shared" si="3"/>
        <v>818058.6</v>
      </c>
      <c r="T376" s="13">
        <f t="shared" si="4"/>
        <v>482838.3</v>
      </c>
      <c r="U376" s="13">
        <f t="shared" si="5"/>
        <v>335220.3</v>
      </c>
      <c r="V376" s="3" t="str">
        <f>VLOOKUP(N376,products!A:B,2,0)</f>
        <v>Vegetables</v>
      </c>
      <c r="W376" s="3" t="s">
        <v>28</v>
      </c>
      <c r="X376" s="3" t="s">
        <v>33</v>
      </c>
      <c r="Y376" s="14">
        <f t="shared" si="10"/>
        <v>0.4097754122</v>
      </c>
      <c r="Z376" s="3">
        <f t="shared" si="7"/>
        <v>44</v>
      </c>
      <c r="AA376" s="15">
        <f t="shared" si="8"/>
        <v>1</v>
      </c>
    </row>
    <row r="377" ht="15.75" customHeight="1">
      <c r="A377" s="3">
        <v>3.54655683E8</v>
      </c>
      <c r="B377" s="3" t="s">
        <v>870</v>
      </c>
      <c r="C377" s="3">
        <f>IFERROR(__xludf.DUMMYFUNCTION("split(B377,""/"")"),7.0)</f>
        <v>7</v>
      </c>
      <c r="D377" s="10">
        <f>IFERROR(__xludf.DUMMYFUNCTION("""COMPUTED_VALUE"""),24.0)</f>
        <v>24</v>
      </c>
      <c r="E377" s="11">
        <f>IFERROR(__xludf.DUMMYFUNCTION("""COMPUTED_VALUE"""),2012.0)</f>
        <v>2012</v>
      </c>
      <c r="F377" s="12">
        <f t="shared" si="1"/>
        <v>41114</v>
      </c>
      <c r="G377" s="3" t="s">
        <v>1224</v>
      </c>
      <c r="H377" s="3">
        <f>IFERROR(__xludf.DUMMYFUNCTION("split(G377,""/"")"),7.0)</f>
        <v>7</v>
      </c>
      <c r="I377" s="3">
        <f>IFERROR(__xludf.DUMMYFUNCTION("""COMPUTED_VALUE"""),31.0)</f>
        <v>31</v>
      </c>
      <c r="J377" s="3">
        <f>IFERROR(__xludf.DUMMYFUNCTION("""COMPUTED_VALUE"""),2012.0)</f>
        <v>2012</v>
      </c>
      <c r="K377" s="12">
        <f t="shared" si="2"/>
        <v>41121</v>
      </c>
      <c r="L377" s="3" t="s">
        <v>814</v>
      </c>
      <c r="M377" s="3" t="s">
        <v>536</v>
      </c>
      <c r="N377" s="3">
        <v>1270.0</v>
      </c>
      <c r="O377" s="3" t="s">
        <v>818</v>
      </c>
      <c r="P377" s="10">
        <v>9353.0</v>
      </c>
      <c r="Q377" s="13">
        <v>47.45</v>
      </c>
      <c r="R377" s="13">
        <v>31.79</v>
      </c>
      <c r="S377" s="13">
        <f t="shared" si="3"/>
        <v>443799.85</v>
      </c>
      <c r="T377" s="13">
        <f t="shared" si="4"/>
        <v>297331.87</v>
      </c>
      <c r="U377" s="13">
        <f t="shared" si="5"/>
        <v>146467.98</v>
      </c>
      <c r="V377" s="3" t="str">
        <f>VLOOKUP(N377,products!A:B,2,0)</f>
        <v>Beverages</v>
      </c>
      <c r="W377" s="3" t="s">
        <v>28</v>
      </c>
      <c r="X377" s="3" t="s">
        <v>33</v>
      </c>
      <c r="Y377" s="14">
        <f t="shared" si="10"/>
        <v>0.3300316122</v>
      </c>
      <c r="Z377" s="3">
        <f t="shared" si="7"/>
        <v>7</v>
      </c>
      <c r="AA377" s="15">
        <f t="shared" si="8"/>
        <v>3</v>
      </c>
    </row>
    <row r="378" ht="15.75" customHeight="1">
      <c r="A378" s="3">
        <v>3.54667699E8</v>
      </c>
      <c r="B378" s="3" t="s">
        <v>1225</v>
      </c>
      <c r="C378" s="3">
        <f>IFERROR(__xludf.DUMMYFUNCTION("split(B378,""/"")"),11.0)</f>
        <v>11</v>
      </c>
      <c r="D378" s="10">
        <f>IFERROR(__xludf.DUMMYFUNCTION("""COMPUTED_VALUE"""),21.0)</f>
        <v>21</v>
      </c>
      <c r="E378" s="11">
        <f>IFERROR(__xludf.DUMMYFUNCTION("""COMPUTED_VALUE"""),2012.0)</f>
        <v>2012</v>
      </c>
      <c r="F378" s="12">
        <f t="shared" si="1"/>
        <v>41234</v>
      </c>
      <c r="G378" s="3" t="s">
        <v>1226</v>
      </c>
      <c r="H378" s="3">
        <f>IFERROR(__xludf.DUMMYFUNCTION("split(G378,""/"")"),12.0)</f>
        <v>12</v>
      </c>
      <c r="I378" s="3">
        <f>IFERROR(__xludf.DUMMYFUNCTION("""COMPUTED_VALUE"""),29.0)</f>
        <v>29</v>
      </c>
      <c r="J378" s="3">
        <f>IFERROR(__xludf.DUMMYFUNCTION("""COMPUTED_VALUE"""),2012.0)</f>
        <v>2012</v>
      </c>
      <c r="K378" s="12">
        <f t="shared" si="2"/>
        <v>41272</v>
      </c>
      <c r="L378" s="3" t="s">
        <v>825</v>
      </c>
      <c r="M378" s="3" t="s">
        <v>206</v>
      </c>
      <c r="N378" s="3">
        <v>8681.0</v>
      </c>
      <c r="O378" s="3" t="s">
        <v>818</v>
      </c>
      <c r="P378" s="10">
        <v>2908.0</v>
      </c>
      <c r="Q378" s="13">
        <v>651.21</v>
      </c>
      <c r="R378" s="13">
        <v>524.96</v>
      </c>
      <c r="S378" s="13">
        <f t="shared" si="3"/>
        <v>1893718.68</v>
      </c>
      <c r="T378" s="13">
        <f t="shared" si="4"/>
        <v>1526583.68</v>
      </c>
      <c r="U378" s="13">
        <f t="shared" si="5"/>
        <v>367135</v>
      </c>
      <c r="V378" s="3" t="str">
        <f>VLOOKUP(N378,products!A:B,2,0)</f>
        <v>Office Supplies</v>
      </c>
      <c r="W378" s="3" t="s">
        <v>28</v>
      </c>
      <c r="X378" s="3" t="s">
        <v>33</v>
      </c>
      <c r="Y378" s="14">
        <f t="shared" si="10"/>
        <v>0.193869873</v>
      </c>
      <c r="Z378" s="3">
        <f t="shared" si="7"/>
        <v>38</v>
      </c>
      <c r="AA378" s="15">
        <f t="shared" si="8"/>
        <v>4</v>
      </c>
    </row>
    <row r="379" ht="15.75" customHeight="1">
      <c r="A379" s="3">
        <v>3.54931628E8</v>
      </c>
      <c r="B379" s="3" t="s">
        <v>1044</v>
      </c>
      <c r="C379" s="3">
        <f>IFERROR(__xludf.DUMMYFUNCTION("split(B379,""/"")"),5.0)</f>
        <v>5</v>
      </c>
      <c r="D379" s="10">
        <f>IFERROR(__xludf.DUMMYFUNCTION("""COMPUTED_VALUE"""),30.0)</f>
        <v>30</v>
      </c>
      <c r="E379" s="11">
        <f>IFERROR(__xludf.DUMMYFUNCTION("""COMPUTED_VALUE"""),2010.0)</f>
        <v>2010</v>
      </c>
      <c r="F379" s="12">
        <f t="shared" si="1"/>
        <v>40328</v>
      </c>
      <c r="G379" s="9">
        <v>40396.0</v>
      </c>
      <c r="H379" s="3">
        <f>IFERROR(__xludf.DUMMYFUNCTION("split(G379,""/"")"),6.0)</f>
        <v>6</v>
      </c>
      <c r="I379" s="3">
        <f>IFERROR(__xludf.DUMMYFUNCTION("""COMPUTED_VALUE"""),8.0)</f>
        <v>8</v>
      </c>
      <c r="J379" s="3">
        <f>IFERROR(__xludf.DUMMYFUNCTION("""COMPUTED_VALUE"""),2010.0)</f>
        <v>2010</v>
      </c>
      <c r="K379" s="12">
        <f t="shared" si="2"/>
        <v>40337</v>
      </c>
      <c r="L379" s="3" t="s">
        <v>827</v>
      </c>
      <c r="M379" s="3" t="s">
        <v>364</v>
      </c>
      <c r="N379" s="3">
        <v>3127.0</v>
      </c>
      <c r="O379" s="3" t="s">
        <v>818</v>
      </c>
      <c r="P379" s="10">
        <v>1011.0</v>
      </c>
      <c r="Q379" s="13">
        <v>81.73</v>
      </c>
      <c r="R379" s="13">
        <v>56.67</v>
      </c>
      <c r="S379" s="13">
        <f t="shared" si="3"/>
        <v>82629.03</v>
      </c>
      <c r="T379" s="13">
        <f t="shared" si="4"/>
        <v>57293.37</v>
      </c>
      <c r="U379" s="13">
        <f t="shared" si="5"/>
        <v>25335.66</v>
      </c>
      <c r="V379" s="3" t="str">
        <f>VLOOKUP(N379,products!A:B,2,0)</f>
        <v>Personal Care</v>
      </c>
      <c r="W379" s="3" t="s">
        <v>28</v>
      </c>
      <c r="X379" s="3" t="s">
        <v>29</v>
      </c>
      <c r="Y379" s="14">
        <f t="shared" si="10"/>
        <v>0.3066193564</v>
      </c>
      <c r="Z379" s="3">
        <f t="shared" si="7"/>
        <v>9</v>
      </c>
      <c r="AA379" s="15">
        <f t="shared" si="8"/>
        <v>1</v>
      </c>
    </row>
    <row r="380" ht="15.75" customHeight="1">
      <c r="A380" s="3">
        <v>3.55534589E8</v>
      </c>
      <c r="B380" s="3" t="s">
        <v>1227</v>
      </c>
      <c r="C380" s="3">
        <f>IFERROR(__xludf.DUMMYFUNCTION("split(B380,""/"")"),1.0)</f>
        <v>1</v>
      </c>
      <c r="D380" s="10">
        <f>IFERROR(__xludf.DUMMYFUNCTION("""COMPUTED_VALUE"""),31.0)</f>
        <v>31</v>
      </c>
      <c r="E380" s="11">
        <f>IFERROR(__xludf.DUMMYFUNCTION("""COMPUTED_VALUE"""),2015.0)</f>
        <v>2015</v>
      </c>
      <c r="F380" s="12">
        <f t="shared" si="1"/>
        <v>42035</v>
      </c>
      <c r="G380" s="9">
        <v>42157.0</v>
      </c>
      <c r="H380" s="3">
        <f>IFERROR(__xludf.DUMMYFUNCTION("split(G380,""/"")"),2.0)</f>
        <v>2</v>
      </c>
      <c r="I380" s="3">
        <f>IFERROR(__xludf.DUMMYFUNCTION("""COMPUTED_VALUE"""),6.0)</f>
        <v>6</v>
      </c>
      <c r="J380" s="3">
        <f>IFERROR(__xludf.DUMMYFUNCTION("""COMPUTED_VALUE"""),2015.0)</f>
        <v>2015</v>
      </c>
      <c r="K380" s="12">
        <f t="shared" si="2"/>
        <v>42041</v>
      </c>
      <c r="L380" s="3" t="s">
        <v>827</v>
      </c>
      <c r="M380" s="3" t="s">
        <v>300</v>
      </c>
      <c r="N380" s="3">
        <v>2455.0</v>
      </c>
      <c r="O380" s="3" t="s">
        <v>815</v>
      </c>
      <c r="P380" s="10">
        <v>9440.0</v>
      </c>
      <c r="Q380" s="13">
        <v>109.28</v>
      </c>
      <c r="R380" s="13">
        <v>35.84</v>
      </c>
      <c r="S380" s="13">
        <f t="shared" si="3"/>
        <v>1031603.2</v>
      </c>
      <c r="T380" s="13">
        <f t="shared" si="4"/>
        <v>338329.6</v>
      </c>
      <c r="U380" s="13">
        <f t="shared" si="5"/>
        <v>693273.6</v>
      </c>
      <c r="V380" s="3" t="str">
        <f>VLOOKUP(N380,products!A:B,2,0)</f>
        <v>Clothes</v>
      </c>
      <c r="W380" s="3" t="s">
        <v>28</v>
      </c>
      <c r="X380" s="3" t="s">
        <v>33</v>
      </c>
      <c r="Y380" s="14">
        <f t="shared" si="10"/>
        <v>0.6720351391</v>
      </c>
      <c r="Z380" s="3">
        <f t="shared" si="7"/>
        <v>6</v>
      </c>
      <c r="AA380" s="15">
        <f t="shared" si="8"/>
        <v>7</v>
      </c>
    </row>
    <row r="381" ht="15.75" customHeight="1">
      <c r="A381" s="3">
        <v>3.56413495E8</v>
      </c>
      <c r="B381" s="9">
        <v>40513.0</v>
      </c>
      <c r="C381" s="3">
        <f>IFERROR(__xludf.DUMMYFUNCTION("split(B381,""/"")"),1.0)</f>
        <v>1</v>
      </c>
      <c r="D381" s="10">
        <f>IFERROR(__xludf.DUMMYFUNCTION("""COMPUTED_VALUE"""),12.0)</f>
        <v>12</v>
      </c>
      <c r="E381" s="11">
        <f>IFERROR(__xludf.DUMMYFUNCTION("""COMPUTED_VALUE"""),2010.0)</f>
        <v>2010</v>
      </c>
      <c r="F381" s="12">
        <f t="shared" si="1"/>
        <v>40190</v>
      </c>
      <c r="G381" s="3" t="s">
        <v>1228</v>
      </c>
      <c r="H381" s="3">
        <f>IFERROR(__xludf.DUMMYFUNCTION("split(G381,""/"")"),1.0)</f>
        <v>1</v>
      </c>
      <c r="I381" s="3">
        <f>IFERROR(__xludf.DUMMYFUNCTION("""COMPUTED_VALUE"""),18.0)</f>
        <v>18</v>
      </c>
      <c r="J381" s="3">
        <f>IFERROR(__xludf.DUMMYFUNCTION("""COMPUTED_VALUE"""),2010.0)</f>
        <v>2010</v>
      </c>
      <c r="K381" s="12">
        <f t="shared" si="2"/>
        <v>40196</v>
      </c>
      <c r="L381" s="3" t="s">
        <v>825</v>
      </c>
      <c r="M381" s="3" t="s">
        <v>123</v>
      </c>
      <c r="N381" s="3">
        <v>3127.0</v>
      </c>
      <c r="O381" s="3" t="s">
        <v>818</v>
      </c>
      <c r="P381" s="10">
        <v>9528.0</v>
      </c>
      <c r="Q381" s="13">
        <v>81.73</v>
      </c>
      <c r="R381" s="13">
        <v>56.67</v>
      </c>
      <c r="S381" s="13">
        <f t="shared" si="3"/>
        <v>778723.44</v>
      </c>
      <c r="T381" s="13">
        <f t="shared" si="4"/>
        <v>539951.76</v>
      </c>
      <c r="U381" s="13">
        <f t="shared" si="5"/>
        <v>238771.68</v>
      </c>
      <c r="V381" s="3" t="str">
        <f>VLOOKUP(N381,products!A:B,2,0)</f>
        <v>Personal Care</v>
      </c>
      <c r="W381" s="3" t="s">
        <v>28</v>
      </c>
      <c r="X381" s="3" t="s">
        <v>33</v>
      </c>
      <c r="Y381" s="14">
        <f t="shared" si="10"/>
        <v>0.3066193564</v>
      </c>
      <c r="Z381" s="3">
        <f t="shared" si="7"/>
        <v>6</v>
      </c>
      <c r="AA381" s="15">
        <f t="shared" si="8"/>
        <v>3</v>
      </c>
    </row>
    <row r="382" ht="15.75" customHeight="1">
      <c r="A382" s="3">
        <v>3.5743488E8</v>
      </c>
      <c r="B382" s="3" t="s">
        <v>1229</v>
      </c>
      <c r="C382" s="3">
        <f>IFERROR(__xludf.DUMMYFUNCTION("split(B382,""/"")"),5.0)</f>
        <v>5</v>
      </c>
      <c r="D382" s="10">
        <f>IFERROR(__xludf.DUMMYFUNCTION("""COMPUTED_VALUE"""),22.0)</f>
        <v>22</v>
      </c>
      <c r="E382" s="11">
        <f>IFERROR(__xludf.DUMMYFUNCTION("""COMPUTED_VALUE"""),2015.0)</f>
        <v>2015</v>
      </c>
      <c r="F382" s="12">
        <f t="shared" si="1"/>
        <v>42146</v>
      </c>
      <c r="G382" s="3" t="s">
        <v>1230</v>
      </c>
      <c r="H382" s="3">
        <f>IFERROR(__xludf.DUMMYFUNCTION("split(G382,""/"")"),6.0)</f>
        <v>6</v>
      </c>
      <c r="I382" s="3">
        <f>IFERROR(__xludf.DUMMYFUNCTION("""COMPUTED_VALUE"""),29.0)</f>
        <v>29</v>
      </c>
      <c r="J382" s="3">
        <f>IFERROR(__xludf.DUMMYFUNCTION("""COMPUTED_VALUE"""),2015.0)</f>
        <v>2015</v>
      </c>
      <c r="K382" s="12">
        <f t="shared" si="2"/>
        <v>42184</v>
      </c>
      <c r="L382" s="3" t="s">
        <v>817</v>
      </c>
      <c r="M382" s="3" t="s">
        <v>488</v>
      </c>
      <c r="N382" s="3">
        <v>8293.0</v>
      </c>
      <c r="O382" s="3" t="s">
        <v>815</v>
      </c>
      <c r="P382" s="10">
        <v>1779.0</v>
      </c>
      <c r="Q382" s="13">
        <v>437.2</v>
      </c>
      <c r="R382" s="13">
        <v>263.33</v>
      </c>
      <c r="S382" s="13">
        <f t="shared" si="3"/>
        <v>777778.8</v>
      </c>
      <c r="T382" s="13">
        <f t="shared" si="4"/>
        <v>468464.07</v>
      </c>
      <c r="U382" s="13">
        <f t="shared" si="5"/>
        <v>309314.73</v>
      </c>
      <c r="V382" s="3" t="str">
        <f>VLOOKUP(N382,products!A:B,2,0)</f>
        <v>Cosmetics</v>
      </c>
      <c r="W382" s="3" t="s">
        <v>28</v>
      </c>
      <c r="X382" s="3" t="s">
        <v>33</v>
      </c>
      <c r="Y382" s="14">
        <f t="shared" si="10"/>
        <v>0.3976898445</v>
      </c>
      <c r="Z382" s="3">
        <f t="shared" si="7"/>
        <v>38</v>
      </c>
      <c r="AA382" s="15">
        <f t="shared" si="8"/>
        <v>6</v>
      </c>
    </row>
    <row r="383" ht="15.75" customHeight="1">
      <c r="A383" s="3">
        <v>3.57482516E8</v>
      </c>
      <c r="B383" s="3" t="s">
        <v>902</v>
      </c>
      <c r="C383" s="3">
        <f>IFERROR(__xludf.DUMMYFUNCTION("split(B383,""/"")"),7.0)</f>
        <v>7</v>
      </c>
      <c r="D383" s="10">
        <f>IFERROR(__xludf.DUMMYFUNCTION("""COMPUTED_VALUE"""),14.0)</f>
        <v>14</v>
      </c>
      <c r="E383" s="11">
        <f>IFERROR(__xludf.DUMMYFUNCTION("""COMPUTED_VALUE"""),2014.0)</f>
        <v>2014</v>
      </c>
      <c r="F383" s="12">
        <f t="shared" si="1"/>
        <v>41834</v>
      </c>
      <c r="G383" s="3" t="s">
        <v>1231</v>
      </c>
      <c r="H383" s="3">
        <f>IFERROR(__xludf.DUMMYFUNCTION("split(G383,""/"")"),7.0)</f>
        <v>7</v>
      </c>
      <c r="I383" s="3">
        <f>IFERROR(__xludf.DUMMYFUNCTION("""COMPUTED_VALUE"""),28.0)</f>
        <v>28</v>
      </c>
      <c r="J383" s="3">
        <f>IFERROR(__xludf.DUMMYFUNCTION("""COMPUTED_VALUE"""),2014.0)</f>
        <v>2014</v>
      </c>
      <c r="K383" s="12">
        <f t="shared" si="2"/>
        <v>41848</v>
      </c>
      <c r="L383" s="3" t="s">
        <v>817</v>
      </c>
      <c r="M383" s="3" t="s">
        <v>364</v>
      </c>
      <c r="N383" s="3">
        <v>1270.0</v>
      </c>
      <c r="O383" s="3" t="s">
        <v>815</v>
      </c>
      <c r="P383" s="10">
        <v>5875.0</v>
      </c>
      <c r="Q383" s="13">
        <v>47.45</v>
      </c>
      <c r="R383" s="13">
        <v>31.79</v>
      </c>
      <c r="S383" s="13">
        <f t="shared" si="3"/>
        <v>278768.75</v>
      </c>
      <c r="T383" s="13">
        <f t="shared" si="4"/>
        <v>186766.25</v>
      </c>
      <c r="U383" s="13">
        <f t="shared" si="5"/>
        <v>92002.5</v>
      </c>
      <c r="V383" s="3" t="str">
        <f>VLOOKUP(N383,products!A:B,2,0)</f>
        <v>Beverages</v>
      </c>
      <c r="W383" s="3" t="s">
        <v>28</v>
      </c>
      <c r="X383" s="3" t="s">
        <v>29</v>
      </c>
      <c r="Y383" s="14">
        <f t="shared" si="10"/>
        <v>0.3300316122</v>
      </c>
      <c r="Z383" s="3">
        <f t="shared" si="7"/>
        <v>14</v>
      </c>
      <c r="AA383" s="15">
        <f t="shared" si="8"/>
        <v>2</v>
      </c>
    </row>
    <row r="384" ht="15.75" customHeight="1">
      <c r="A384" s="3">
        <v>3.57930982E8</v>
      </c>
      <c r="B384" s="3" t="s">
        <v>1232</v>
      </c>
      <c r="C384" s="3">
        <f>IFERROR(__xludf.DUMMYFUNCTION("split(B384,""/"")"),1.0)</f>
        <v>1</v>
      </c>
      <c r="D384" s="10">
        <f>IFERROR(__xludf.DUMMYFUNCTION("""COMPUTED_VALUE"""),16.0)</f>
        <v>16</v>
      </c>
      <c r="E384" s="11">
        <f>IFERROR(__xludf.DUMMYFUNCTION("""COMPUTED_VALUE"""),2016.0)</f>
        <v>2016</v>
      </c>
      <c r="F384" s="12">
        <f t="shared" si="1"/>
        <v>42385</v>
      </c>
      <c r="G384" s="9">
        <v>42493.0</v>
      </c>
      <c r="H384" s="3">
        <f>IFERROR(__xludf.DUMMYFUNCTION("split(G384,""/"")"),3.0)</f>
        <v>3</v>
      </c>
      <c r="I384" s="3">
        <f>IFERROR(__xludf.DUMMYFUNCTION("""COMPUTED_VALUE"""),5.0)</f>
        <v>5</v>
      </c>
      <c r="J384" s="3">
        <f>IFERROR(__xludf.DUMMYFUNCTION("""COMPUTED_VALUE"""),2016.0)</f>
        <v>2016</v>
      </c>
      <c r="K384" s="12">
        <f t="shared" si="2"/>
        <v>42434</v>
      </c>
      <c r="L384" s="3" t="s">
        <v>817</v>
      </c>
      <c r="M384" s="3" t="s">
        <v>32</v>
      </c>
      <c r="N384" s="3">
        <v>2455.0</v>
      </c>
      <c r="O384" s="3" t="s">
        <v>818</v>
      </c>
      <c r="P384" s="10">
        <v>8586.0</v>
      </c>
      <c r="Q384" s="13">
        <v>109.28</v>
      </c>
      <c r="R384" s="13">
        <v>35.84</v>
      </c>
      <c r="S384" s="13">
        <f t="shared" si="3"/>
        <v>938278.08</v>
      </c>
      <c r="T384" s="13">
        <f t="shared" si="4"/>
        <v>307722.24</v>
      </c>
      <c r="U384" s="13">
        <f t="shared" si="5"/>
        <v>630555.84</v>
      </c>
      <c r="V384" s="3" t="str">
        <f>VLOOKUP(N384,products!A:B,2,0)</f>
        <v>Clothes</v>
      </c>
      <c r="W384" s="3" t="s">
        <v>28</v>
      </c>
      <c r="X384" s="3" t="s">
        <v>33</v>
      </c>
      <c r="Y384" s="14">
        <f t="shared" si="10"/>
        <v>0.6720351391</v>
      </c>
      <c r="Z384" s="3">
        <f t="shared" si="7"/>
        <v>49</v>
      </c>
      <c r="AA384" s="15">
        <f t="shared" si="8"/>
        <v>7</v>
      </c>
    </row>
    <row r="385" ht="15.75" customHeight="1">
      <c r="A385" s="3">
        <v>3.57943856E8</v>
      </c>
      <c r="B385" s="3" t="s">
        <v>1233</v>
      </c>
      <c r="C385" s="3">
        <f>IFERROR(__xludf.DUMMYFUNCTION("split(B385,""/"")"),2.0)</f>
        <v>2</v>
      </c>
      <c r="D385" s="10">
        <f>IFERROR(__xludf.DUMMYFUNCTION("""COMPUTED_VALUE"""),24.0)</f>
        <v>24</v>
      </c>
      <c r="E385" s="11">
        <f>IFERROR(__xludf.DUMMYFUNCTION("""COMPUTED_VALUE"""),2013.0)</f>
        <v>2013</v>
      </c>
      <c r="F385" s="12">
        <f t="shared" si="1"/>
        <v>41329</v>
      </c>
      <c r="G385" s="3" t="s">
        <v>1234</v>
      </c>
      <c r="H385" s="3">
        <f>IFERROR(__xludf.DUMMYFUNCTION("split(G385,""/"")"),3.0)</f>
        <v>3</v>
      </c>
      <c r="I385" s="3">
        <f>IFERROR(__xludf.DUMMYFUNCTION("""COMPUTED_VALUE"""),17.0)</f>
        <v>17</v>
      </c>
      <c r="J385" s="3">
        <f>IFERROR(__xludf.DUMMYFUNCTION("""COMPUTED_VALUE"""),2013.0)</f>
        <v>2013</v>
      </c>
      <c r="K385" s="12">
        <f t="shared" si="2"/>
        <v>41350</v>
      </c>
      <c r="L385" s="3" t="s">
        <v>825</v>
      </c>
      <c r="M385" s="3" t="s">
        <v>542</v>
      </c>
      <c r="N385" s="3">
        <v>7331.0</v>
      </c>
      <c r="O385" s="3" t="s">
        <v>818</v>
      </c>
      <c r="P385" s="10">
        <v>2396.0</v>
      </c>
      <c r="Q385" s="13">
        <v>255.28</v>
      </c>
      <c r="R385" s="13">
        <v>159.42</v>
      </c>
      <c r="S385" s="13">
        <f t="shared" si="3"/>
        <v>611650.88</v>
      </c>
      <c r="T385" s="13">
        <f t="shared" si="4"/>
        <v>381970.32</v>
      </c>
      <c r="U385" s="13">
        <f t="shared" si="5"/>
        <v>229680.56</v>
      </c>
      <c r="V385" s="3" t="str">
        <f>VLOOKUP(N385,products!A:B,2,0)</f>
        <v>Baby Food</v>
      </c>
      <c r="W385" s="3" t="s">
        <v>28</v>
      </c>
      <c r="X385" s="3" t="s">
        <v>29</v>
      </c>
      <c r="Y385" s="14">
        <f t="shared" si="10"/>
        <v>0.3755092448</v>
      </c>
      <c r="Z385" s="3">
        <f t="shared" si="7"/>
        <v>21</v>
      </c>
      <c r="AA385" s="15">
        <f t="shared" si="8"/>
        <v>1</v>
      </c>
    </row>
    <row r="386" ht="15.75" customHeight="1">
      <c r="A386" s="3">
        <v>3.58594453E8</v>
      </c>
      <c r="B386" s="3" t="s">
        <v>1235</v>
      </c>
      <c r="C386" s="3">
        <f>IFERROR(__xludf.DUMMYFUNCTION("split(B386,""/"")"),12.0)</f>
        <v>12</v>
      </c>
      <c r="D386" s="10">
        <f>IFERROR(__xludf.DUMMYFUNCTION("""COMPUTED_VALUE"""),20.0)</f>
        <v>20</v>
      </c>
      <c r="E386" s="11">
        <f>IFERROR(__xludf.DUMMYFUNCTION("""COMPUTED_VALUE"""),2016.0)</f>
        <v>2016</v>
      </c>
      <c r="F386" s="12">
        <f t="shared" si="1"/>
        <v>42724</v>
      </c>
      <c r="G386" s="9">
        <v>42768.0</v>
      </c>
      <c r="H386" s="3">
        <f>IFERROR(__xludf.DUMMYFUNCTION("split(G386,""/"")"),2.0)</f>
        <v>2</v>
      </c>
      <c r="I386" s="3">
        <f>IFERROR(__xludf.DUMMYFUNCTION("""COMPUTED_VALUE"""),2.0)</f>
        <v>2</v>
      </c>
      <c r="J386" s="3">
        <f>IFERROR(__xludf.DUMMYFUNCTION("""COMPUTED_VALUE"""),2017.0)</f>
        <v>2017</v>
      </c>
      <c r="K386" s="12">
        <f t="shared" si="2"/>
        <v>42768</v>
      </c>
      <c r="L386" s="3" t="s">
        <v>825</v>
      </c>
      <c r="M386" s="3" t="s">
        <v>349</v>
      </c>
      <c r="N386" s="3">
        <v>8969.0</v>
      </c>
      <c r="O386" s="3" t="s">
        <v>818</v>
      </c>
      <c r="P386" s="10">
        <v>4922.0</v>
      </c>
      <c r="Q386" s="13">
        <v>152.58</v>
      </c>
      <c r="R386" s="13">
        <v>97.44</v>
      </c>
      <c r="S386" s="13">
        <f t="shared" si="3"/>
        <v>750998.76</v>
      </c>
      <c r="T386" s="13">
        <f t="shared" si="4"/>
        <v>479599.68</v>
      </c>
      <c r="U386" s="13">
        <f t="shared" si="5"/>
        <v>271399.08</v>
      </c>
      <c r="V386" s="3" t="str">
        <f>VLOOKUP(N386,products!A:B,2,0)</f>
        <v>Snacks</v>
      </c>
      <c r="W386" s="3" t="s">
        <v>28</v>
      </c>
      <c r="X386" s="3" t="s">
        <v>29</v>
      </c>
      <c r="Y386" s="14">
        <f t="shared" si="10"/>
        <v>0.3613841919</v>
      </c>
      <c r="Z386" s="3">
        <f t="shared" si="7"/>
        <v>44</v>
      </c>
      <c r="AA386" s="15">
        <f t="shared" si="8"/>
        <v>3</v>
      </c>
    </row>
    <row r="387" ht="15.75" customHeight="1">
      <c r="A387" s="3">
        <v>3.58624064E8</v>
      </c>
      <c r="B387" s="3" t="s">
        <v>1236</v>
      </c>
      <c r="C387" s="3">
        <f>IFERROR(__xludf.DUMMYFUNCTION("split(B387,""/"")"),8.0)</f>
        <v>8</v>
      </c>
      <c r="D387" s="10">
        <f>IFERROR(__xludf.DUMMYFUNCTION("""COMPUTED_VALUE"""),15.0)</f>
        <v>15</v>
      </c>
      <c r="E387" s="11">
        <f>IFERROR(__xludf.DUMMYFUNCTION("""COMPUTED_VALUE"""),2015.0)</f>
        <v>2015</v>
      </c>
      <c r="F387" s="12">
        <f t="shared" si="1"/>
        <v>42231</v>
      </c>
      <c r="G387" s="9">
        <v>42073.0</v>
      </c>
      <c r="H387" s="3">
        <f>IFERROR(__xludf.DUMMYFUNCTION("split(G387,""/"")"),10.0)</f>
        <v>10</v>
      </c>
      <c r="I387" s="3">
        <f>IFERROR(__xludf.DUMMYFUNCTION("""COMPUTED_VALUE"""),3.0)</f>
        <v>3</v>
      </c>
      <c r="J387" s="3">
        <f>IFERROR(__xludf.DUMMYFUNCTION("""COMPUTED_VALUE"""),2015.0)</f>
        <v>2015</v>
      </c>
      <c r="K387" s="12">
        <f t="shared" si="2"/>
        <v>42280</v>
      </c>
      <c r="L387" s="3" t="s">
        <v>827</v>
      </c>
      <c r="M387" s="3" t="s">
        <v>593</v>
      </c>
      <c r="N387" s="3">
        <v>2455.0</v>
      </c>
      <c r="O387" s="3" t="s">
        <v>818</v>
      </c>
      <c r="P387" s="10">
        <v>3685.0</v>
      </c>
      <c r="Q387" s="13">
        <v>109.28</v>
      </c>
      <c r="R387" s="13">
        <v>35.84</v>
      </c>
      <c r="S387" s="13">
        <f t="shared" si="3"/>
        <v>402696.8</v>
      </c>
      <c r="T387" s="13">
        <f t="shared" si="4"/>
        <v>132070.4</v>
      </c>
      <c r="U387" s="13">
        <f t="shared" si="5"/>
        <v>270626.4</v>
      </c>
      <c r="V387" s="3" t="str">
        <f>VLOOKUP(N387,products!A:B,2,0)</f>
        <v>Clothes</v>
      </c>
      <c r="W387" s="3" t="s">
        <v>28</v>
      </c>
      <c r="X387" s="3" t="s">
        <v>98</v>
      </c>
      <c r="Y387" s="14">
        <f t="shared" si="10"/>
        <v>0.6720351391</v>
      </c>
      <c r="Z387" s="3">
        <f t="shared" si="7"/>
        <v>49</v>
      </c>
      <c r="AA387" s="15">
        <f t="shared" si="8"/>
        <v>7</v>
      </c>
    </row>
    <row r="388" ht="15.75" customHeight="1">
      <c r="A388" s="3">
        <v>3.59197413E8</v>
      </c>
      <c r="B388" s="3" t="s">
        <v>1059</v>
      </c>
      <c r="C388" s="3">
        <f>IFERROR(__xludf.DUMMYFUNCTION("split(B388,""/"")"),1.0)</f>
        <v>1</v>
      </c>
      <c r="D388" s="10">
        <f>IFERROR(__xludf.DUMMYFUNCTION("""COMPUTED_VALUE"""),26.0)</f>
        <v>26</v>
      </c>
      <c r="E388" s="11">
        <f>IFERROR(__xludf.DUMMYFUNCTION("""COMPUTED_VALUE"""),2014.0)</f>
        <v>2014</v>
      </c>
      <c r="F388" s="12">
        <f t="shared" si="1"/>
        <v>41665</v>
      </c>
      <c r="G388" s="9">
        <v>41854.0</v>
      </c>
      <c r="H388" s="3">
        <f>IFERROR(__xludf.DUMMYFUNCTION("split(G388,""/"")"),3.0)</f>
        <v>3</v>
      </c>
      <c r="I388" s="3">
        <f>IFERROR(__xludf.DUMMYFUNCTION("""COMPUTED_VALUE"""),8.0)</f>
        <v>8</v>
      </c>
      <c r="J388" s="3">
        <f>IFERROR(__xludf.DUMMYFUNCTION("""COMPUTED_VALUE"""),2014.0)</f>
        <v>2014</v>
      </c>
      <c r="K388" s="12">
        <f t="shared" si="2"/>
        <v>41706</v>
      </c>
      <c r="L388" s="3" t="s">
        <v>825</v>
      </c>
      <c r="M388" s="3" t="s">
        <v>288</v>
      </c>
      <c r="N388" s="3">
        <v>7331.0</v>
      </c>
      <c r="O388" s="3" t="s">
        <v>815</v>
      </c>
      <c r="P388" s="10">
        <v>3352.0</v>
      </c>
      <c r="Q388" s="13">
        <v>255.28</v>
      </c>
      <c r="R388" s="13">
        <v>159.42</v>
      </c>
      <c r="S388" s="13">
        <f t="shared" si="3"/>
        <v>855698.56</v>
      </c>
      <c r="T388" s="13">
        <f t="shared" si="4"/>
        <v>534375.84</v>
      </c>
      <c r="U388" s="13">
        <f t="shared" si="5"/>
        <v>321322.72</v>
      </c>
      <c r="V388" s="3" t="str">
        <f>VLOOKUP(N388,products!A:B,2,0)</f>
        <v>Baby Food</v>
      </c>
      <c r="W388" s="3" t="s">
        <v>23</v>
      </c>
      <c r="X388" s="3" t="s">
        <v>68</v>
      </c>
      <c r="Y388" s="14">
        <f t="shared" si="10"/>
        <v>0.3755092448</v>
      </c>
      <c r="Z388" s="3">
        <f t="shared" si="7"/>
        <v>41</v>
      </c>
      <c r="AA388" s="15">
        <f t="shared" si="8"/>
        <v>1</v>
      </c>
    </row>
    <row r="389" ht="15.75" customHeight="1">
      <c r="A389" s="3">
        <v>3.59893071E8</v>
      </c>
      <c r="B389" s="3" t="s">
        <v>1237</v>
      </c>
      <c r="C389" s="3">
        <f>IFERROR(__xludf.DUMMYFUNCTION("split(B389,""/"")"),7.0)</f>
        <v>7</v>
      </c>
      <c r="D389" s="10">
        <f>IFERROR(__xludf.DUMMYFUNCTION("""COMPUTED_VALUE"""),22.0)</f>
        <v>22</v>
      </c>
      <c r="E389" s="11">
        <f>IFERROR(__xludf.DUMMYFUNCTION("""COMPUTED_VALUE"""),2011.0)</f>
        <v>2011</v>
      </c>
      <c r="F389" s="12">
        <f t="shared" si="1"/>
        <v>40746</v>
      </c>
      <c r="G389" s="9">
        <v>40702.0</v>
      </c>
      <c r="H389" s="3">
        <f>IFERROR(__xludf.DUMMYFUNCTION("split(G389,""/"")"),8.0)</f>
        <v>8</v>
      </c>
      <c r="I389" s="3">
        <f>IFERROR(__xludf.DUMMYFUNCTION("""COMPUTED_VALUE"""),6.0)</f>
        <v>6</v>
      </c>
      <c r="J389" s="3">
        <f>IFERROR(__xludf.DUMMYFUNCTION("""COMPUTED_VALUE"""),2011.0)</f>
        <v>2011</v>
      </c>
      <c r="K389" s="12">
        <f t="shared" si="2"/>
        <v>40761</v>
      </c>
      <c r="L389" s="3" t="s">
        <v>827</v>
      </c>
      <c r="M389" s="3" t="s">
        <v>373</v>
      </c>
      <c r="N389" s="3">
        <v>5988.0</v>
      </c>
      <c r="O389" s="3" t="s">
        <v>815</v>
      </c>
      <c r="P389" s="10">
        <v>9212.0</v>
      </c>
      <c r="Q389" s="13">
        <v>154.06</v>
      </c>
      <c r="R389" s="13">
        <v>90.93</v>
      </c>
      <c r="S389" s="13">
        <f t="shared" si="3"/>
        <v>1419200.72</v>
      </c>
      <c r="T389" s="13">
        <f t="shared" si="4"/>
        <v>837647.16</v>
      </c>
      <c r="U389" s="13">
        <f t="shared" si="5"/>
        <v>581553.56</v>
      </c>
      <c r="V389" s="3" t="str">
        <f>VLOOKUP(N389,products!A:B,2,0)</f>
        <v>Vegetables</v>
      </c>
      <c r="W389" s="3" t="s">
        <v>28</v>
      </c>
      <c r="X389" s="3" t="s">
        <v>33</v>
      </c>
      <c r="Y389" s="14">
        <f t="shared" si="10"/>
        <v>0.4097754122</v>
      </c>
      <c r="Z389" s="3">
        <f t="shared" si="7"/>
        <v>15</v>
      </c>
      <c r="AA389" s="15">
        <f t="shared" si="8"/>
        <v>6</v>
      </c>
    </row>
    <row r="390" ht="15.75" customHeight="1">
      <c r="A390" s="3">
        <v>3.61311852E8</v>
      </c>
      <c r="B390" s="9">
        <v>42887.0</v>
      </c>
      <c r="C390" s="3">
        <f>IFERROR(__xludf.DUMMYFUNCTION("split(B390,""/"")"),1.0)</f>
        <v>1</v>
      </c>
      <c r="D390" s="10">
        <f>IFERROR(__xludf.DUMMYFUNCTION("""COMPUTED_VALUE"""),6.0)</f>
        <v>6</v>
      </c>
      <c r="E390" s="11">
        <f>IFERROR(__xludf.DUMMYFUNCTION("""COMPUTED_VALUE"""),2017.0)</f>
        <v>2017</v>
      </c>
      <c r="F390" s="12">
        <f t="shared" si="1"/>
        <v>42741</v>
      </c>
      <c r="G390" s="3" t="s">
        <v>1238</v>
      </c>
      <c r="H390" s="3">
        <f>IFERROR(__xludf.DUMMYFUNCTION("split(G390,""/"")"),2.0)</f>
        <v>2</v>
      </c>
      <c r="I390" s="3">
        <f>IFERROR(__xludf.DUMMYFUNCTION("""COMPUTED_VALUE"""),15.0)</f>
        <v>15</v>
      </c>
      <c r="J390" s="3">
        <f>IFERROR(__xludf.DUMMYFUNCTION("""COMPUTED_VALUE"""),2017.0)</f>
        <v>2017</v>
      </c>
      <c r="K390" s="12">
        <f t="shared" si="2"/>
        <v>42781</v>
      </c>
      <c r="L390" s="3" t="s">
        <v>825</v>
      </c>
      <c r="M390" s="3" t="s">
        <v>291</v>
      </c>
      <c r="N390" s="3">
        <v>7331.0</v>
      </c>
      <c r="O390" s="3" t="s">
        <v>818</v>
      </c>
      <c r="P390" s="10">
        <v>9061.0</v>
      </c>
      <c r="Q390" s="13">
        <v>255.28</v>
      </c>
      <c r="R390" s="13">
        <v>159.42</v>
      </c>
      <c r="S390" s="13">
        <f t="shared" si="3"/>
        <v>2313092.08</v>
      </c>
      <c r="T390" s="13">
        <f t="shared" si="4"/>
        <v>1444504.62</v>
      </c>
      <c r="U390" s="13">
        <f t="shared" si="5"/>
        <v>868587.46</v>
      </c>
      <c r="V390" s="3" t="str">
        <f>VLOOKUP(N390,products!A:B,2,0)</f>
        <v>Baby Food</v>
      </c>
      <c r="W390" s="3" t="s">
        <v>28</v>
      </c>
      <c r="X390" s="3" t="s">
        <v>79</v>
      </c>
      <c r="Y390" s="14">
        <f t="shared" si="10"/>
        <v>0.3755092448</v>
      </c>
      <c r="Z390" s="3">
        <f t="shared" si="7"/>
        <v>40</v>
      </c>
      <c r="AA390" s="15">
        <f t="shared" si="8"/>
        <v>6</v>
      </c>
    </row>
    <row r="391" ht="15.75" customHeight="1">
      <c r="A391" s="3">
        <v>3.61659038E8</v>
      </c>
      <c r="B391" s="3" t="s">
        <v>987</v>
      </c>
      <c r="C391" s="3">
        <f>IFERROR(__xludf.DUMMYFUNCTION("split(B391,""/"")"),6.0)</f>
        <v>6</v>
      </c>
      <c r="D391" s="10">
        <f>IFERROR(__xludf.DUMMYFUNCTION("""COMPUTED_VALUE"""),30.0)</f>
        <v>30</v>
      </c>
      <c r="E391" s="11">
        <f>IFERROR(__xludf.DUMMYFUNCTION("""COMPUTED_VALUE"""),2012.0)</f>
        <v>2012</v>
      </c>
      <c r="F391" s="12">
        <f t="shared" si="1"/>
        <v>41090</v>
      </c>
      <c r="G391" s="9">
        <v>40976.0</v>
      </c>
      <c r="H391" s="3">
        <f>IFERROR(__xludf.DUMMYFUNCTION("split(G391,""/"")"),8.0)</f>
        <v>8</v>
      </c>
      <c r="I391" s="3">
        <f>IFERROR(__xludf.DUMMYFUNCTION("""COMPUTED_VALUE"""),3.0)</f>
        <v>3</v>
      </c>
      <c r="J391" s="3">
        <f>IFERROR(__xludf.DUMMYFUNCTION("""COMPUTED_VALUE"""),2012.0)</f>
        <v>2012</v>
      </c>
      <c r="K391" s="12">
        <f t="shared" si="2"/>
        <v>41124</v>
      </c>
      <c r="L391" s="3" t="s">
        <v>825</v>
      </c>
      <c r="M391" s="3" t="s">
        <v>434</v>
      </c>
      <c r="N391" s="3">
        <v>2103.0</v>
      </c>
      <c r="O391" s="3" t="s">
        <v>815</v>
      </c>
      <c r="P391" s="10">
        <v>1801.0</v>
      </c>
      <c r="Q391" s="13">
        <v>205.7</v>
      </c>
      <c r="R391" s="13">
        <v>117.11</v>
      </c>
      <c r="S391" s="13">
        <f t="shared" si="3"/>
        <v>370465.7</v>
      </c>
      <c r="T391" s="13">
        <f t="shared" si="4"/>
        <v>210915.11</v>
      </c>
      <c r="U391" s="13">
        <f t="shared" si="5"/>
        <v>159550.59</v>
      </c>
      <c r="V391" s="3" t="str">
        <f>VLOOKUP(N391,products!A:B,2,0)</f>
        <v>Cereal</v>
      </c>
      <c r="W391" s="3" t="s">
        <v>28</v>
      </c>
      <c r="X391" s="3" t="s">
        <v>79</v>
      </c>
      <c r="Y391" s="14">
        <f t="shared" si="10"/>
        <v>0.4306757414</v>
      </c>
      <c r="Z391" s="3">
        <f t="shared" si="7"/>
        <v>34</v>
      </c>
      <c r="AA391" s="15">
        <f t="shared" si="8"/>
        <v>7</v>
      </c>
    </row>
    <row r="392" ht="15.75" customHeight="1">
      <c r="A392" s="3">
        <v>3.61725556E8</v>
      </c>
      <c r="B392" s="3" t="s">
        <v>1239</v>
      </c>
      <c r="C392" s="3">
        <f>IFERROR(__xludf.DUMMYFUNCTION("split(B392,""/"")"),6.0)</f>
        <v>6</v>
      </c>
      <c r="D392" s="10">
        <f>IFERROR(__xludf.DUMMYFUNCTION("""COMPUTED_VALUE"""),27.0)</f>
        <v>27</v>
      </c>
      <c r="E392" s="11">
        <f>IFERROR(__xludf.DUMMYFUNCTION("""COMPUTED_VALUE"""),2016.0)</f>
        <v>2016</v>
      </c>
      <c r="F392" s="12">
        <f t="shared" si="1"/>
        <v>42548</v>
      </c>
      <c r="G392" s="3" t="s">
        <v>1240</v>
      </c>
      <c r="H392" s="3">
        <f>IFERROR(__xludf.DUMMYFUNCTION("split(G392,""/"")"),7.0)</f>
        <v>7</v>
      </c>
      <c r="I392" s="3">
        <f>IFERROR(__xludf.DUMMYFUNCTION("""COMPUTED_VALUE"""),18.0)</f>
        <v>18</v>
      </c>
      <c r="J392" s="3">
        <f>IFERROR(__xludf.DUMMYFUNCTION("""COMPUTED_VALUE"""),2016.0)</f>
        <v>2016</v>
      </c>
      <c r="K392" s="12">
        <f t="shared" si="2"/>
        <v>42569</v>
      </c>
      <c r="L392" s="3" t="s">
        <v>825</v>
      </c>
      <c r="M392" s="3" t="s">
        <v>623</v>
      </c>
      <c r="N392" s="3">
        <v>5988.0</v>
      </c>
      <c r="O392" s="3" t="s">
        <v>818</v>
      </c>
      <c r="P392" s="10">
        <v>1485.0</v>
      </c>
      <c r="Q392" s="13">
        <v>154.06</v>
      </c>
      <c r="R392" s="13">
        <v>90.93</v>
      </c>
      <c r="S392" s="13">
        <f t="shared" si="3"/>
        <v>228779.1</v>
      </c>
      <c r="T392" s="13">
        <f t="shared" si="4"/>
        <v>135031.05</v>
      </c>
      <c r="U392" s="13">
        <f t="shared" si="5"/>
        <v>93748.05</v>
      </c>
      <c r="V392" s="3" t="str">
        <f>VLOOKUP(N392,products!A:B,2,0)</f>
        <v>Vegetables</v>
      </c>
      <c r="W392" s="3" t="s">
        <v>28</v>
      </c>
      <c r="X392" s="3" t="s">
        <v>33</v>
      </c>
      <c r="Y392" s="14">
        <f t="shared" si="10"/>
        <v>0.4097754122</v>
      </c>
      <c r="Z392" s="3">
        <f t="shared" si="7"/>
        <v>21</v>
      </c>
      <c r="AA392" s="15">
        <f t="shared" si="8"/>
        <v>2</v>
      </c>
    </row>
    <row r="393" ht="15.75" customHeight="1">
      <c r="A393" s="3">
        <v>3.62258565E8</v>
      </c>
      <c r="B393" s="3" t="s">
        <v>1241</v>
      </c>
      <c r="C393" s="3">
        <f>IFERROR(__xludf.DUMMYFUNCTION("split(B393,""/"")"),11.0)</f>
        <v>11</v>
      </c>
      <c r="D393" s="10">
        <f>IFERROR(__xludf.DUMMYFUNCTION("""COMPUTED_VALUE"""),29.0)</f>
        <v>29</v>
      </c>
      <c r="E393" s="11">
        <f>IFERROR(__xludf.DUMMYFUNCTION("""COMPUTED_VALUE"""),2014.0)</f>
        <v>2014</v>
      </c>
      <c r="F393" s="12">
        <f t="shared" si="1"/>
        <v>41972</v>
      </c>
      <c r="G393" s="3" t="s">
        <v>1242</v>
      </c>
      <c r="H393" s="3">
        <f>IFERROR(__xludf.DUMMYFUNCTION("split(G393,""/"")"),12.0)</f>
        <v>12</v>
      </c>
      <c r="I393" s="3">
        <f>IFERROR(__xludf.DUMMYFUNCTION("""COMPUTED_VALUE"""),14.0)</f>
        <v>14</v>
      </c>
      <c r="J393" s="3">
        <f>IFERROR(__xludf.DUMMYFUNCTION("""COMPUTED_VALUE"""),2014.0)</f>
        <v>2014</v>
      </c>
      <c r="K393" s="12">
        <f t="shared" si="2"/>
        <v>41987</v>
      </c>
      <c r="L393" s="3" t="s">
        <v>817</v>
      </c>
      <c r="M393" s="3" t="s">
        <v>67</v>
      </c>
      <c r="N393" s="3">
        <v>4594.0</v>
      </c>
      <c r="O393" s="3" t="s">
        <v>818</v>
      </c>
      <c r="P393" s="10">
        <v>9214.0</v>
      </c>
      <c r="Q393" s="13">
        <v>9.33</v>
      </c>
      <c r="R393" s="13">
        <v>6.92</v>
      </c>
      <c r="S393" s="13">
        <f t="shared" si="3"/>
        <v>85966.62</v>
      </c>
      <c r="T393" s="13">
        <f t="shared" si="4"/>
        <v>63760.88</v>
      </c>
      <c r="U393" s="13">
        <f t="shared" si="5"/>
        <v>22205.74</v>
      </c>
      <c r="V393" s="3" t="str">
        <f>VLOOKUP(N393,products!A:B,2,0)</f>
        <v>Fruits</v>
      </c>
      <c r="W393" s="3" t="s">
        <v>23</v>
      </c>
      <c r="X393" s="3" t="s">
        <v>68</v>
      </c>
      <c r="Y393" s="14">
        <f t="shared" si="10"/>
        <v>0.258306538</v>
      </c>
      <c r="Z393" s="3">
        <f t="shared" si="7"/>
        <v>15</v>
      </c>
      <c r="AA393" s="15">
        <f t="shared" si="8"/>
        <v>7</v>
      </c>
    </row>
    <row r="394" ht="15.75" customHeight="1">
      <c r="A394" s="3">
        <v>3.64715468E8</v>
      </c>
      <c r="B394" s="3" t="s">
        <v>1243</v>
      </c>
      <c r="C394" s="3">
        <f>IFERROR(__xludf.DUMMYFUNCTION("split(B394,""/"")"),2.0)</f>
        <v>2</v>
      </c>
      <c r="D394" s="10">
        <f>IFERROR(__xludf.DUMMYFUNCTION("""COMPUTED_VALUE"""),15.0)</f>
        <v>15</v>
      </c>
      <c r="E394" s="11">
        <f>IFERROR(__xludf.DUMMYFUNCTION("""COMPUTED_VALUE"""),2012.0)</f>
        <v>2012</v>
      </c>
      <c r="F394" s="12">
        <f t="shared" si="1"/>
        <v>40954</v>
      </c>
      <c r="G394" s="3" t="s">
        <v>836</v>
      </c>
      <c r="H394" s="3">
        <f>IFERROR(__xludf.DUMMYFUNCTION("split(G394,""/"")"),2.0)</f>
        <v>2</v>
      </c>
      <c r="I394" s="3">
        <f>IFERROR(__xludf.DUMMYFUNCTION("""COMPUTED_VALUE"""),19.0)</f>
        <v>19</v>
      </c>
      <c r="J394" s="3">
        <f>IFERROR(__xludf.DUMMYFUNCTION("""COMPUTED_VALUE"""),2012.0)</f>
        <v>2012</v>
      </c>
      <c r="K394" s="12">
        <f t="shared" si="2"/>
        <v>40958</v>
      </c>
      <c r="L394" s="3" t="s">
        <v>814</v>
      </c>
      <c r="M394" s="3" t="s">
        <v>206</v>
      </c>
      <c r="N394" s="3">
        <v>8293.0</v>
      </c>
      <c r="O394" s="3" t="s">
        <v>818</v>
      </c>
      <c r="P394" s="10">
        <v>6267.0</v>
      </c>
      <c r="Q394" s="13">
        <v>437.2</v>
      </c>
      <c r="R394" s="13">
        <v>263.33</v>
      </c>
      <c r="S394" s="13">
        <f t="shared" si="3"/>
        <v>2739932.4</v>
      </c>
      <c r="T394" s="13">
        <f t="shared" si="4"/>
        <v>1650289.11</v>
      </c>
      <c r="U394" s="13">
        <f t="shared" si="5"/>
        <v>1089643.29</v>
      </c>
      <c r="V394" s="3" t="str">
        <f>VLOOKUP(N394,products!A:B,2,0)</f>
        <v>Cosmetics</v>
      </c>
      <c r="W394" s="3" t="s">
        <v>28</v>
      </c>
      <c r="X394" s="3" t="s">
        <v>33</v>
      </c>
      <c r="Y394" s="14">
        <f t="shared" si="10"/>
        <v>0.3976898445</v>
      </c>
      <c r="Z394" s="3">
        <f t="shared" si="7"/>
        <v>4</v>
      </c>
      <c r="AA394" s="15">
        <f t="shared" si="8"/>
        <v>4</v>
      </c>
    </row>
    <row r="395" ht="15.75" customHeight="1">
      <c r="A395" s="3">
        <v>3.64854514E8</v>
      </c>
      <c r="B395" s="3" t="s">
        <v>1244</v>
      </c>
      <c r="C395" s="3">
        <f>IFERROR(__xludf.DUMMYFUNCTION("split(B395,""/"")"),9.0)</f>
        <v>9</v>
      </c>
      <c r="D395" s="10">
        <f>IFERROR(__xludf.DUMMYFUNCTION("""COMPUTED_VALUE"""),13.0)</f>
        <v>13</v>
      </c>
      <c r="E395" s="11">
        <f>IFERROR(__xludf.DUMMYFUNCTION("""COMPUTED_VALUE"""),2012.0)</f>
        <v>2012</v>
      </c>
      <c r="F395" s="12">
        <f t="shared" si="1"/>
        <v>41165</v>
      </c>
      <c r="G395" s="9">
        <v>40978.0</v>
      </c>
      <c r="H395" s="3">
        <f>IFERROR(__xludf.DUMMYFUNCTION("split(G395,""/"")"),10.0)</f>
        <v>10</v>
      </c>
      <c r="I395" s="3">
        <f>IFERROR(__xludf.DUMMYFUNCTION("""COMPUTED_VALUE"""),3.0)</f>
        <v>3</v>
      </c>
      <c r="J395" s="3">
        <f>IFERROR(__xludf.DUMMYFUNCTION("""COMPUTED_VALUE"""),2012.0)</f>
        <v>2012</v>
      </c>
      <c r="K395" s="12">
        <f t="shared" si="2"/>
        <v>41185</v>
      </c>
      <c r="L395" s="3" t="s">
        <v>814</v>
      </c>
      <c r="M395" s="3" t="s">
        <v>821</v>
      </c>
      <c r="N395" s="3">
        <v>7331.0</v>
      </c>
      <c r="O395" s="3" t="s">
        <v>818</v>
      </c>
      <c r="P395" s="10">
        <v>7413.0</v>
      </c>
      <c r="Q395" s="13">
        <v>255.28</v>
      </c>
      <c r="R395" s="13">
        <v>159.42</v>
      </c>
      <c r="S395" s="13">
        <f t="shared" si="3"/>
        <v>1892390.64</v>
      </c>
      <c r="T395" s="13">
        <f t="shared" si="4"/>
        <v>1181780.46</v>
      </c>
      <c r="U395" s="13">
        <f t="shared" si="5"/>
        <v>710610.18</v>
      </c>
      <c r="V395" s="3" t="str">
        <f>VLOOKUP(N395,products!A:B,2,0)</f>
        <v>Baby Food</v>
      </c>
      <c r="W395" s="3" t="s">
        <v>821</v>
      </c>
      <c r="X395" s="3" t="s">
        <v>821</v>
      </c>
      <c r="Y395" s="14">
        <f t="shared" si="10"/>
        <v>0.3755092448</v>
      </c>
      <c r="Z395" s="3">
        <f t="shared" si="7"/>
        <v>20</v>
      </c>
      <c r="AA395" s="15">
        <f t="shared" si="8"/>
        <v>5</v>
      </c>
    </row>
    <row r="396" ht="15.75" customHeight="1">
      <c r="A396" s="3">
        <v>3.67328155E8</v>
      </c>
      <c r="B396" s="3" t="s">
        <v>1245</v>
      </c>
      <c r="C396" s="3">
        <f>IFERROR(__xludf.DUMMYFUNCTION("split(B396,""/"")"),6.0)</f>
        <v>6</v>
      </c>
      <c r="D396" s="10">
        <f>IFERROR(__xludf.DUMMYFUNCTION("""COMPUTED_VALUE"""),16.0)</f>
        <v>16</v>
      </c>
      <c r="E396" s="11">
        <f>IFERROR(__xludf.DUMMYFUNCTION("""COMPUTED_VALUE"""),2011.0)</f>
        <v>2011</v>
      </c>
      <c r="F396" s="12">
        <f t="shared" si="1"/>
        <v>40710</v>
      </c>
      <c r="G396" s="3" t="s">
        <v>1246</v>
      </c>
      <c r="H396" s="3">
        <f>IFERROR(__xludf.DUMMYFUNCTION("split(G396,""/"")"),7.0)</f>
        <v>7</v>
      </c>
      <c r="I396" s="3">
        <f>IFERROR(__xludf.DUMMYFUNCTION("""COMPUTED_VALUE"""),30.0)</f>
        <v>30</v>
      </c>
      <c r="J396" s="3">
        <f>IFERROR(__xludf.DUMMYFUNCTION("""COMPUTED_VALUE"""),2011.0)</f>
        <v>2011</v>
      </c>
      <c r="K396" s="12">
        <f t="shared" si="2"/>
        <v>40754</v>
      </c>
      <c r="L396" s="3" t="s">
        <v>825</v>
      </c>
      <c r="M396" s="3" t="s">
        <v>270</v>
      </c>
      <c r="N396" s="3">
        <v>7940.0</v>
      </c>
      <c r="O396" s="3" t="s">
        <v>815</v>
      </c>
      <c r="P396" s="10">
        <v>9419.0</v>
      </c>
      <c r="Q396" s="13">
        <v>668.27</v>
      </c>
      <c r="R396" s="13">
        <v>502.54</v>
      </c>
      <c r="S396" s="13">
        <f t="shared" si="3"/>
        <v>6294435.13</v>
      </c>
      <c r="T396" s="13">
        <f t="shared" si="4"/>
        <v>4733424.26</v>
      </c>
      <c r="U396" s="13">
        <f t="shared" si="5"/>
        <v>1561010.87</v>
      </c>
      <c r="V396" s="3" t="str">
        <f>VLOOKUP(N396,products!A:B,2,0)</f>
        <v>Household</v>
      </c>
      <c r="W396" s="3" t="s">
        <v>28</v>
      </c>
      <c r="X396" s="3" t="s">
        <v>79</v>
      </c>
      <c r="Y396" s="14">
        <f t="shared" si="10"/>
        <v>0.2479985635</v>
      </c>
      <c r="Z396" s="3">
        <f t="shared" si="7"/>
        <v>44</v>
      </c>
      <c r="AA396" s="15">
        <f t="shared" si="8"/>
        <v>5</v>
      </c>
    </row>
    <row r="397" ht="15.75" customHeight="1">
      <c r="A397" s="3">
        <v>3.68865811E8</v>
      </c>
      <c r="B397" s="9">
        <v>41587.0</v>
      </c>
      <c r="C397" s="3">
        <f>IFERROR(__xludf.DUMMYFUNCTION("split(B397,""/"")"),9.0)</f>
        <v>9</v>
      </c>
      <c r="D397" s="10">
        <f>IFERROR(__xludf.DUMMYFUNCTION("""COMPUTED_VALUE"""),11.0)</f>
        <v>11</v>
      </c>
      <c r="E397" s="11">
        <f>IFERROR(__xludf.DUMMYFUNCTION("""COMPUTED_VALUE"""),2013.0)</f>
        <v>2013</v>
      </c>
      <c r="F397" s="12">
        <f t="shared" si="1"/>
        <v>41528</v>
      </c>
      <c r="G397" s="3" t="s">
        <v>1247</v>
      </c>
      <c r="H397" s="3">
        <f>IFERROR(__xludf.DUMMYFUNCTION("split(G397,""/"")"),10.0)</f>
        <v>10</v>
      </c>
      <c r="I397" s="3">
        <f>IFERROR(__xludf.DUMMYFUNCTION("""COMPUTED_VALUE"""),16.0)</f>
        <v>16</v>
      </c>
      <c r="J397" s="3">
        <f>IFERROR(__xludf.DUMMYFUNCTION("""COMPUTED_VALUE"""),2013.0)</f>
        <v>2013</v>
      </c>
      <c r="K397" s="12">
        <f t="shared" si="2"/>
        <v>41563</v>
      </c>
      <c r="L397" s="3" t="s">
        <v>825</v>
      </c>
      <c r="M397" s="3" t="s">
        <v>291</v>
      </c>
      <c r="N397" s="3">
        <v>8681.0</v>
      </c>
      <c r="O397" s="3" t="s">
        <v>815</v>
      </c>
      <c r="P397" s="10">
        <v>4445.0</v>
      </c>
      <c r="Q397" s="13">
        <v>651.21</v>
      </c>
      <c r="R397" s="13">
        <v>524.96</v>
      </c>
      <c r="S397" s="13">
        <f t="shared" si="3"/>
        <v>2894628.45</v>
      </c>
      <c r="T397" s="13">
        <f t="shared" si="4"/>
        <v>2333447.2</v>
      </c>
      <c r="U397" s="13">
        <f t="shared" si="5"/>
        <v>561181.25</v>
      </c>
      <c r="V397" s="3" t="str">
        <f>VLOOKUP(N397,products!A:B,2,0)</f>
        <v>Office Supplies</v>
      </c>
      <c r="W397" s="3" t="s">
        <v>28</v>
      </c>
      <c r="X397" s="3" t="s">
        <v>79</v>
      </c>
      <c r="Y397" s="14">
        <f t="shared" si="10"/>
        <v>0.193869873</v>
      </c>
      <c r="Z397" s="3">
        <f t="shared" si="7"/>
        <v>35</v>
      </c>
      <c r="AA397" s="15">
        <f t="shared" si="8"/>
        <v>4</v>
      </c>
    </row>
    <row r="398" ht="15.75" customHeight="1">
      <c r="A398" s="3">
        <v>3.69170081E8</v>
      </c>
      <c r="B398" s="3" t="s">
        <v>904</v>
      </c>
      <c r="C398" s="3">
        <f>IFERROR(__xludf.DUMMYFUNCTION("split(B398,""/"")"),3.0)</f>
        <v>3</v>
      </c>
      <c r="D398" s="10">
        <f>IFERROR(__xludf.DUMMYFUNCTION("""COMPUTED_VALUE"""),29.0)</f>
        <v>29</v>
      </c>
      <c r="E398" s="11">
        <f>IFERROR(__xludf.DUMMYFUNCTION("""COMPUTED_VALUE"""),2011.0)</f>
        <v>2011</v>
      </c>
      <c r="F398" s="12">
        <f t="shared" si="1"/>
        <v>40631</v>
      </c>
      <c r="G398" s="9">
        <v>40606.0</v>
      </c>
      <c r="H398" s="3">
        <f>IFERROR(__xludf.DUMMYFUNCTION("split(G398,""/"")"),4.0)</f>
        <v>4</v>
      </c>
      <c r="I398" s="3">
        <f>IFERROR(__xludf.DUMMYFUNCTION("""COMPUTED_VALUE"""),3.0)</f>
        <v>3</v>
      </c>
      <c r="J398" s="3">
        <f>IFERROR(__xludf.DUMMYFUNCTION("""COMPUTED_VALUE"""),2011.0)</f>
        <v>2011</v>
      </c>
      <c r="K398" s="12">
        <f t="shared" si="2"/>
        <v>40636</v>
      </c>
      <c r="L398" s="3" t="s">
        <v>827</v>
      </c>
      <c r="M398" s="3" t="s">
        <v>686</v>
      </c>
      <c r="N398" s="3">
        <v>7331.0</v>
      </c>
      <c r="O398" s="3" t="s">
        <v>818</v>
      </c>
      <c r="P398" s="10">
        <v>4486.0</v>
      </c>
      <c r="Q398" s="13">
        <v>255.28</v>
      </c>
      <c r="R398" s="13">
        <v>159.42</v>
      </c>
      <c r="S398" s="13">
        <f t="shared" si="3"/>
        <v>1145186.08</v>
      </c>
      <c r="T398" s="13">
        <f t="shared" si="4"/>
        <v>715158.12</v>
      </c>
      <c r="U398" s="13">
        <f t="shared" si="5"/>
        <v>430027.96</v>
      </c>
      <c r="V398" s="3" t="str">
        <f>VLOOKUP(N398,products!A:B,2,0)</f>
        <v>Baby Food</v>
      </c>
      <c r="W398" s="3" t="s">
        <v>28</v>
      </c>
      <c r="X398" s="3" t="s">
        <v>29</v>
      </c>
      <c r="Y398" s="14">
        <f t="shared" si="10"/>
        <v>0.3755092448</v>
      </c>
      <c r="Z398" s="3">
        <f t="shared" si="7"/>
        <v>5</v>
      </c>
      <c r="AA398" s="15">
        <f t="shared" si="8"/>
        <v>3</v>
      </c>
    </row>
    <row r="399" ht="15.75" customHeight="1">
      <c r="A399" s="3">
        <v>3.70484149E8</v>
      </c>
      <c r="B399" s="3" t="s">
        <v>1248</v>
      </c>
      <c r="C399" s="3">
        <f>IFERROR(__xludf.DUMMYFUNCTION("split(B399,""/"")"),12.0)</f>
        <v>12</v>
      </c>
      <c r="D399" s="10">
        <f>IFERROR(__xludf.DUMMYFUNCTION("""COMPUTED_VALUE"""),27.0)</f>
        <v>27</v>
      </c>
      <c r="E399" s="11">
        <f>IFERROR(__xludf.DUMMYFUNCTION("""COMPUTED_VALUE"""),2015.0)</f>
        <v>2015</v>
      </c>
      <c r="F399" s="12">
        <f t="shared" si="1"/>
        <v>42365</v>
      </c>
      <c r="G399" s="3" t="s">
        <v>1249</v>
      </c>
      <c r="H399" s="3">
        <f>IFERROR(__xludf.DUMMYFUNCTION("split(G399,""/"")"),1.0)</f>
        <v>1</v>
      </c>
      <c r="I399" s="3">
        <f>IFERROR(__xludf.DUMMYFUNCTION("""COMPUTED_VALUE"""),19.0)</f>
        <v>19</v>
      </c>
      <c r="J399" s="3">
        <f>IFERROR(__xludf.DUMMYFUNCTION("""COMPUTED_VALUE"""),2016.0)</f>
        <v>2016</v>
      </c>
      <c r="K399" s="12">
        <f t="shared" si="2"/>
        <v>42388</v>
      </c>
      <c r="L399" s="3" t="s">
        <v>817</v>
      </c>
      <c r="M399" s="3" t="s">
        <v>821</v>
      </c>
      <c r="N399" s="3">
        <v>1270.0</v>
      </c>
      <c r="O399" s="3" t="s">
        <v>815</v>
      </c>
      <c r="P399" s="10">
        <v>3348.0</v>
      </c>
      <c r="Q399" s="13">
        <v>47.45</v>
      </c>
      <c r="R399" s="13">
        <v>31.79</v>
      </c>
      <c r="S399" s="13">
        <f t="shared" si="3"/>
        <v>158862.6</v>
      </c>
      <c r="T399" s="13">
        <f t="shared" si="4"/>
        <v>106432.92</v>
      </c>
      <c r="U399" s="13">
        <f t="shared" si="5"/>
        <v>52429.68</v>
      </c>
      <c r="V399" s="3" t="str">
        <f>VLOOKUP(N399,products!A:B,2,0)</f>
        <v>Beverages</v>
      </c>
      <c r="W399" s="3" t="s">
        <v>821</v>
      </c>
      <c r="X399" s="3" t="s">
        <v>821</v>
      </c>
      <c r="Y399" s="14">
        <f t="shared" si="10"/>
        <v>0.3300316122</v>
      </c>
      <c r="Z399" s="3">
        <f t="shared" si="7"/>
        <v>23</v>
      </c>
      <c r="AA399" s="15">
        <f t="shared" si="8"/>
        <v>1</v>
      </c>
    </row>
    <row r="400" ht="15.75" customHeight="1">
      <c r="A400" s="3">
        <v>3.71814954E8</v>
      </c>
      <c r="B400" s="3" t="s">
        <v>1250</v>
      </c>
      <c r="C400" s="3">
        <f>IFERROR(__xludf.DUMMYFUNCTION("split(B400,""/"")"),9.0)</f>
        <v>9</v>
      </c>
      <c r="D400" s="10">
        <f>IFERROR(__xludf.DUMMYFUNCTION("""COMPUTED_VALUE"""),14.0)</f>
        <v>14</v>
      </c>
      <c r="E400" s="11">
        <f>IFERROR(__xludf.DUMMYFUNCTION("""COMPUTED_VALUE"""),2014.0)</f>
        <v>2014</v>
      </c>
      <c r="F400" s="12">
        <f t="shared" si="1"/>
        <v>41896</v>
      </c>
      <c r="G400" s="9">
        <v>41861.0</v>
      </c>
      <c r="H400" s="3">
        <f>IFERROR(__xludf.DUMMYFUNCTION("split(G400,""/"")"),10.0)</f>
        <v>10</v>
      </c>
      <c r="I400" s="3">
        <f>IFERROR(__xludf.DUMMYFUNCTION("""COMPUTED_VALUE"""),8.0)</f>
        <v>8</v>
      </c>
      <c r="J400" s="3">
        <f>IFERROR(__xludf.DUMMYFUNCTION("""COMPUTED_VALUE"""),2014.0)</f>
        <v>2014</v>
      </c>
      <c r="K400" s="12">
        <f t="shared" si="2"/>
        <v>41920</v>
      </c>
      <c r="L400" s="3" t="s">
        <v>814</v>
      </c>
      <c r="M400" s="3" t="s">
        <v>593</v>
      </c>
      <c r="N400" s="3">
        <v>3127.0</v>
      </c>
      <c r="O400" s="3" t="s">
        <v>815</v>
      </c>
      <c r="P400" s="10">
        <v>7162.0</v>
      </c>
      <c r="Q400" s="13">
        <v>81.73</v>
      </c>
      <c r="R400" s="13">
        <v>56.67</v>
      </c>
      <c r="S400" s="13">
        <f t="shared" si="3"/>
        <v>585350.26</v>
      </c>
      <c r="T400" s="13">
        <f t="shared" si="4"/>
        <v>405870.54</v>
      </c>
      <c r="U400" s="13">
        <f t="shared" si="5"/>
        <v>179479.72</v>
      </c>
      <c r="V400" s="3" t="str">
        <f>VLOOKUP(N400,products!A:B,2,0)</f>
        <v>Personal Care</v>
      </c>
      <c r="W400" s="3" t="s">
        <v>28</v>
      </c>
      <c r="X400" s="3" t="s">
        <v>98</v>
      </c>
      <c r="Y400" s="14">
        <f t="shared" si="10"/>
        <v>0.3066193564</v>
      </c>
      <c r="Z400" s="3">
        <f t="shared" si="7"/>
        <v>24</v>
      </c>
      <c r="AA400" s="15">
        <f t="shared" si="8"/>
        <v>1</v>
      </c>
    </row>
    <row r="401" ht="15.75" customHeight="1">
      <c r="A401" s="3">
        <v>3.74663245E8</v>
      </c>
      <c r="B401" s="9">
        <v>40797.0</v>
      </c>
      <c r="C401" s="3">
        <f>IFERROR(__xludf.DUMMYFUNCTION("split(B401,""/"")"),11.0)</f>
        <v>11</v>
      </c>
      <c r="D401" s="10">
        <f>IFERROR(__xludf.DUMMYFUNCTION("""COMPUTED_VALUE"""),9.0)</f>
        <v>9</v>
      </c>
      <c r="E401" s="11">
        <f>IFERROR(__xludf.DUMMYFUNCTION("""COMPUTED_VALUE"""),2011.0)</f>
        <v>2011</v>
      </c>
      <c r="F401" s="12">
        <f t="shared" si="1"/>
        <v>40856</v>
      </c>
      <c r="G401" s="3" t="s">
        <v>1006</v>
      </c>
      <c r="H401" s="3">
        <f>IFERROR(__xludf.DUMMYFUNCTION("split(G401,""/"")"),11.0)</f>
        <v>11</v>
      </c>
      <c r="I401" s="3">
        <f>IFERROR(__xludf.DUMMYFUNCTION("""COMPUTED_VALUE"""),26.0)</f>
        <v>26</v>
      </c>
      <c r="J401" s="3">
        <f>IFERROR(__xludf.DUMMYFUNCTION("""COMPUTED_VALUE"""),2011.0)</f>
        <v>2011</v>
      </c>
      <c r="K401" s="12">
        <f t="shared" si="2"/>
        <v>40873</v>
      </c>
      <c r="L401" s="3" t="s">
        <v>817</v>
      </c>
      <c r="M401" s="3" t="s">
        <v>821</v>
      </c>
      <c r="N401" s="3">
        <v>8681.0</v>
      </c>
      <c r="O401" s="3" t="s">
        <v>815</v>
      </c>
      <c r="P401" s="10">
        <v>35.0</v>
      </c>
      <c r="Q401" s="13">
        <v>651.21</v>
      </c>
      <c r="R401" s="13">
        <v>524.96</v>
      </c>
      <c r="S401" s="13">
        <f t="shared" si="3"/>
        <v>22792.35</v>
      </c>
      <c r="T401" s="13">
        <f t="shared" si="4"/>
        <v>18373.6</v>
      </c>
      <c r="U401" s="13">
        <f t="shared" si="5"/>
        <v>4418.75</v>
      </c>
      <c r="V401" s="3" t="str">
        <f>VLOOKUP(N401,products!A:B,2,0)</f>
        <v>Office Supplies</v>
      </c>
      <c r="W401" s="3" t="s">
        <v>821</v>
      </c>
      <c r="X401" s="3" t="s">
        <v>821</v>
      </c>
      <c r="Y401" s="14">
        <f t="shared" si="10"/>
        <v>0.193869873</v>
      </c>
      <c r="Z401" s="3">
        <f t="shared" si="7"/>
        <v>17</v>
      </c>
      <c r="AA401" s="15">
        <f t="shared" si="8"/>
        <v>4</v>
      </c>
    </row>
    <row r="402" ht="15.75" customHeight="1">
      <c r="A402" s="3">
        <v>3.74848639E8</v>
      </c>
      <c r="B402" s="3" t="s">
        <v>908</v>
      </c>
      <c r="C402" s="3">
        <f>IFERROR(__xludf.DUMMYFUNCTION("split(B402,""/"")"),8.0)</f>
        <v>8</v>
      </c>
      <c r="D402" s="10">
        <f>IFERROR(__xludf.DUMMYFUNCTION("""COMPUTED_VALUE"""),16.0)</f>
        <v>16</v>
      </c>
      <c r="E402" s="11">
        <f>IFERROR(__xludf.DUMMYFUNCTION("""COMPUTED_VALUE"""),2012.0)</f>
        <v>2012</v>
      </c>
      <c r="F402" s="12">
        <f t="shared" si="1"/>
        <v>41137</v>
      </c>
      <c r="G402" s="9">
        <v>41069.0</v>
      </c>
      <c r="H402" s="3">
        <f>IFERROR(__xludf.DUMMYFUNCTION("split(G402,""/"")"),9.0)</f>
        <v>9</v>
      </c>
      <c r="I402" s="3">
        <f>IFERROR(__xludf.DUMMYFUNCTION("""COMPUTED_VALUE"""),6.0)</f>
        <v>6</v>
      </c>
      <c r="J402" s="3">
        <f>IFERROR(__xludf.DUMMYFUNCTION("""COMPUTED_VALUE"""),2012.0)</f>
        <v>2012</v>
      </c>
      <c r="K402" s="12">
        <f t="shared" si="2"/>
        <v>41158</v>
      </c>
      <c r="L402" s="3" t="s">
        <v>827</v>
      </c>
      <c r="M402" s="3" t="s">
        <v>671</v>
      </c>
      <c r="N402" s="3">
        <v>2455.0</v>
      </c>
      <c r="O402" s="3" t="s">
        <v>815</v>
      </c>
      <c r="P402" s="10">
        <v>4897.0</v>
      </c>
      <c r="Q402" s="13">
        <v>109.28</v>
      </c>
      <c r="R402" s="13">
        <v>35.84</v>
      </c>
      <c r="S402" s="13">
        <f t="shared" si="3"/>
        <v>535144.16</v>
      </c>
      <c r="T402" s="13">
        <f t="shared" si="4"/>
        <v>175508.48</v>
      </c>
      <c r="U402" s="13">
        <f t="shared" si="5"/>
        <v>359635.68</v>
      </c>
      <c r="V402" s="3" t="str">
        <f>VLOOKUP(N402,products!A:B,2,0)</f>
        <v>Clothes</v>
      </c>
      <c r="W402" s="3" t="s">
        <v>28</v>
      </c>
      <c r="X402" s="3" t="s">
        <v>33</v>
      </c>
      <c r="Y402" s="14">
        <f t="shared" si="10"/>
        <v>0.6720351391</v>
      </c>
      <c r="Z402" s="3">
        <f t="shared" si="7"/>
        <v>21</v>
      </c>
      <c r="AA402" s="15">
        <f t="shared" si="8"/>
        <v>5</v>
      </c>
    </row>
    <row r="403" ht="15.75" customHeight="1">
      <c r="A403" s="3">
        <v>3.78216636E8</v>
      </c>
      <c r="B403" s="3" t="s">
        <v>1251</v>
      </c>
      <c r="C403" s="3">
        <f>IFERROR(__xludf.DUMMYFUNCTION("split(B403,""/"")"),6.0)</f>
        <v>6</v>
      </c>
      <c r="D403" s="10">
        <f>IFERROR(__xludf.DUMMYFUNCTION("""COMPUTED_VALUE"""),28.0)</f>
        <v>28</v>
      </c>
      <c r="E403" s="11">
        <f>IFERROR(__xludf.DUMMYFUNCTION("""COMPUTED_VALUE"""),2016.0)</f>
        <v>2016</v>
      </c>
      <c r="F403" s="12">
        <f t="shared" si="1"/>
        <v>42549</v>
      </c>
      <c r="G403" s="9">
        <v>42590.0</v>
      </c>
      <c r="H403" s="3">
        <f>IFERROR(__xludf.DUMMYFUNCTION("split(G403,""/"")"),8.0)</f>
        <v>8</v>
      </c>
      <c r="I403" s="3">
        <f>IFERROR(__xludf.DUMMYFUNCTION("""COMPUTED_VALUE"""),8.0)</f>
        <v>8</v>
      </c>
      <c r="J403" s="3">
        <f>IFERROR(__xludf.DUMMYFUNCTION("""COMPUTED_VALUE"""),2016.0)</f>
        <v>2016</v>
      </c>
      <c r="K403" s="12">
        <f t="shared" si="2"/>
        <v>42590</v>
      </c>
      <c r="L403" s="3" t="s">
        <v>827</v>
      </c>
      <c r="M403" s="3" t="s">
        <v>431</v>
      </c>
      <c r="N403" s="3">
        <v>2455.0</v>
      </c>
      <c r="O403" s="3" t="s">
        <v>815</v>
      </c>
      <c r="P403" s="10">
        <v>1562.0</v>
      </c>
      <c r="Q403" s="13">
        <v>109.28</v>
      </c>
      <c r="R403" s="13">
        <v>35.84</v>
      </c>
      <c r="S403" s="13">
        <f t="shared" si="3"/>
        <v>170695.36</v>
      </c>
      <c r="T403" s="13">
        <f t="shared" si="4"/>
        <v>55982.08</v>
      </c>
      <c r="U403" s="13">
        <f t="shared" si="5"/>
        <v>114713.28</v>
      </c>
      <c r="V403" s="3" t="str">
        <f>VLOOKUP(N403,products!A:B,2,0)</f>
        <v>Clothes</v>
      </c>
      <c r="W403" s="3" t="s">
        <v>28</v>
      </c>
      <c r="X403" s="3" t="s">
        <v>29</v>
      </c>
      <c r="Y403" s="14">
        <f t="shared" si="10"/>
        <v>0.6720351391</v>
      </c>
      <c r="Z403" s="3">
        <f t="shared" si="7"/>
        <v>41</v>
      </c>
      <c r="AA403" s="15">
        <f t="shared" si="8"/>
        <v>3</v>
      </c>
    </row>
    <row r="404" ht="15.75" customHeight="1">
      <c r="A404" s="3">
        <v>3.78714883E8</v>
      </c>
      <c r="B404" s="3" t="s">
        <v>1252</v>
      </c>
      <c r="C404" s="3">
        <f>IFERROR(__xludf.DUMMYFUNCTION("split(B404,""/"")"),11.0)</f>
        <v>11</v>
      </c>
      <c r="D404" s="10">
        <f>IFERROR(__xludf.DUMMYFUNCTION("""COMPUTED_VALUE"""),16.0)</f>
        <v>16</v>
      </c>
      <c r="E404" s="11">
        <f>IFERROR(__xludf.DUMMYFUNCTION("""COMPUTED_VALUE"""),2012.0)</f>
        <v>2012</v>
      </c>
      <c r="F404" s="12">
        <f t="shared" si="1"/>
        <v>41229</v>
      </c>
      <c r="G404" s="3" t="s">
        <v>993</v>
      </c>
      <c r="H404" s="3">
        <f>IFERROR(__xludf.DUMMYFUNCTION("split(G404,""/"")"),12.0)</f>
        <v>12</v>
      </c>
      <c r="I404" s="3">
        <f>IFERROR(__xludf.DUMMYFUNCTION("""COMPUTED_VALUE"""),16.0)</f>
        <v>16</v>
      </c>
      <c r="J404" s="3">
        <f>IFERROR(__xludf.DUMMYFUNCTION("""COMPUTED_VALUE"""),2012.0)</f>
        <v>2012</v>
      </c>
      <c r="K404" s="12">
        <f t="shared" si="2"/>
        <v>41259</v>
      </c>
      <c r="L404" s="3" t="s">
        <v>814</v>
      </c>
      <c r="M404" s="3" t="s">
        <v>488</v>
      </c>
      <c r="N404" s="3">
        <v>8293.0</v>
      </c>
      <c r="O404" s="3" t="s">
        <v>818</v>
      </c>
      <c r="P404" s="10">
        <v>9005.0</v>
      </c>
      <c r="Q404" s="13">
        <v>437.2</v>
      </c>
      <c r="R404" s="13">
        <v>263.33</v>
      </c>
      <c r="S404" s="13">
        <f t="shared" si="3"/>
        <v>3936986</v>
      </c>
      <c r="T404" s="13">
        <f t="shared" si="4"/>
        <v>2371286.65</v>
      </c>
      <c r="U404" s="13">
        <f t="shared" si="5"/>
        <v>1565699.35</v>
      </c>
      <c r="V404" s="3" t="str">
        <f>VLOOKUP(N404,products!A:B,2,0)</f>
        <v>Cosmetics</v>
      </c>
      <c r="W404" s="3" t="s">
        <v>28</v>
      </c>
      <c r="X404" s="3" t="s">
        <v>33</v>
      </c>
      <c r="Y404" s="14">
        <f t="shared" si="10"/>
        <v>0.3976898445</v>
      </c>
      <c r="Z404" s="3">
        <f t="shared" si="7"/>
        <v>30</v>
      </c>
      <c r="AA404" s="15">
        <f t="shared" si="8"/>
        <v>6</v>
      </c>
    </row>
    <row r="405" ht="15.75" customHeight="1">
      <c r="A405" s="3">
        <v>3.7887324E8</v>
      </c>
      <c r="B405" s="3" t="s">
        <v>1253</v>
      </c>
      <c r="C405" s="3">
        <f>IFERROR(__xludf.DUMMYFUNCTION("split(B405,""/"")"),11.0)</f>
        <v>11</v>
      </c>
      <c r="D405" s="10">
        <f>IFERROR(__xludf.DUMMYFUNCTION("""COMPUTED_VALUE"""),25.0)</f>
        <v>25</v>
      </c>
      <c r="E405" s="11">
        <f>IFERROR(__xludf.DUMMYFUNCTION("""COMPUTED_VALUE"""),2012.0)</f>
        <v>2012</v>
      </c>
      <c r="F405" s="12">
        <f t="shared" si="1"/>
        <v>41238</v>
      </c>
      <c r="G405" s="3" t="s">
        <v>1254</v>
      </c>
      <c r="H405" s="3">
        <f>IFERROR(__xludf.DUMMYFUNCTION("split(G405,""/"")"),11.0)</f>
        <v>11</v>
      </c>
      <c r="I405" s="3">
        <f>IFERROR(__xludf.DUMMYFUNCTION("""COMPUTED_VALUE"""),28.0)</f>
        <v>28</v>
      </c>
      <c r="J405" s="3">
        <f>IFERROR(__xludf.DUMMYFUNCTION("""COMPUTED_VALUE"""),2012.0)</f>
        <v>2012</v>
      </c>
      <c r="K405" s="12">
        <f t="shared" si="2"/>
        <v>41241</v>
      </c>
      <c r="L405" s="3" t="s">
        <v>827</v>
      </c>
      <c r="M405" s="3" t="s">
        <v>46</v>
      </c>
      <c r="N405" s="3">
        <v>1270.0</v>
      </c>
      <c r="O405" s="3" t="s">
        <v>815</v>
      </c>
      <c r="P405" s="10">
        <v>5866.0</v>
      </c>
      <c r="Q405" s="13">
        <v>47.45</v>
      </c>
      <c r="R405" s="13">
        <v>31.79</v>
      </c>
      <c r="S405" s="13">
        <f t="shared" si="3"/>
        <v>278341.7</v>
      </c>
      <c r="T405" s="13">
        <f t="shared" si="4"/>
        <v>186480.14</v>
      </c>
      <c r="U405" s="13">
        <f t="shared" si="5"/>
        <v>91861.56</v>
      </c>
      <c r="V405" s="3" t="str">
        <f>VLOOKUP(N405,products!A:B,2,0)</f>
        <v>Beverages</v>
      </c>
      <c r="W405" s="3" t="s">
        <v>28</v>
      </c>
      <c r="X405" s="3" t="s">
        <v>33</v>
      </c>
      <c r="Y405" s="14">
        <f t="shared" si="10"/>
        <v>0.3300316122</v>
      </c>
      <c r="Z405" s="3">
        <f t="shared" si="7"/>
        <v>3</v>
      </c>
      <c r="AA405" s="15">
        <f t="shared" si="8"/>
        <v>1</v>
      </c>
    </row>
    <row r="406" ht="15.75" customHeight="1">
      <c r="A406" s="3">
        <v>3.79900634E8</v>
      </c>
      <c r="B406" s="9">
        <v>40370.0</v>
      </c>
      <c r="C406" s="3">
        <f>IFERROR(__xludf.DUMMYFUNCTION("split(B406,""/"")"),11.0)</f>
        <v>11</v>
      </c>
      <c r="D406" s="10">
        <f>IFERROR(__xludf.DUMMYFUNCTION("""COMPUTED_VALUE"""),7.0)</f>
        <v>7</v>
      </c>
      <c r="E406" s="11">
        <f>IFERROR(__xludf.DUMMYFUNCTION("""COMPUTED_VALUE"""),2010.0)</f>
        <v>2010</v>
      </c>
      <c r="F406" s="12">
        <f t="shared" si="1"/>
        <v>40489</v>
      </c>
      <c r="G406" s="9">
        <v>40221.0</v>
      </c>
      <c r="H406" s="3">
        <f>IFERROR(__xludf.DUMMYFUNCTION("split(G406,""/"")"),12.0)</f>
        <v>12</v>
      </c>
      <c r="I406" s="3">
        <f>IFERROR(__xludf.DUMMYFUNCTION("""COMPUTED_VALUE"""),2.0)</f>
        <v>2</v>
      </c>
      <c r="J406" s="3">
        <f>IFERROR(__xludf.DUMMYFUNCTION("""COMPUTED_VALUE"""),2010.0)</f>
        <v>2010</v>
      </c>
      <c r="K406" s="12">
        <f t="shared" si="2"/>
        <v>40514</v>
      </c>
      <c r="L406" s="3" t="s">
        <v>825</v>
      </c>
      <c r="M406" s="3" t="s">
        <v>291</v>
      </c>
      <c r="N406" s="3">
        <v>2455.0</v>
      </c>
      <c r="O406" s="3" t="s">
        <v>818</v>
      </c>
      <c r="P406" s="10">
        <v>9895.0</v>
      </c>
      <c r="Q406" s="13">
        <v>109.28</v>
      </c>
      <c r="R406" s="13">
        <v>35.84</v>
      </c>
      <c r="S406" s="13">
        <f t="shared" si="3"/>
        <v>1081325.6</v>
      </c>
      <c r="T406" s="13">
        <f t="shared" si="4"/>
        <v>354636.8</v>
      </c>
      <c r="U406" s="13">
        <f t="shared" si="5"/>
        <v>726688.8</v>
      </c>
      <c r="V406" s="3" t="str">
        <f>VLOOKUP(N406,products!A:B,2,0)</f>
        <v>Clothes</v>
      </c>
      <c r="W406" s="3" t="s">
        <v>28</v>
      </c>
      <c r="X406" s="3" t="s">
        <v>79</v>
      </c>
      <c r="Y406" s="14">
        <f t="shared" si="10"/>
        <v>0.6720351391</v>
      </c>
      <c r="Z406" s="3">
        <f t="shared" si="7"/>
        <v>25</v>
      </c>
      <c r="AA406" s="15">
        <f t="shared" si="8"/>
        <v>1</v>
      </c>
    </row>
    <row r="407" ht="15.75" customHeight="1">
      <c r="A407" s="3">
        <v>3.80379998E8</v>
      </c>
      <c r="B407" s="3" t="s">
        <v>1255</v>
      </c>
      <c r="C407" s="3">
        <f>IFERROR(__xludf.DUMMYFUNCTION("split(B407,""/"")"),7.0)</f>
        <v>7</v>
      </c>
      <c r="D407" s="10">
        <f>IFERROR(__xludf.DUMMYFUNCTION("""COMPUTED_VALUE"""),14.0)</f>
        <v>14</v>
      </c>
      <c r="E407" s="11">
        <f>IFERROR(__xludf.DUMMYFUNCTION("""COMPUTED_VALUE"""),2017.0)</f>
        <v>2017</v>
      </c>
      <c r="F407" s="12">
        <f t="shared" si="1"/>
        <v>42930</v>
      </c>
      <c r="G407" s="3" t="s">
        <v>1256</v>
      </c>
      <c r="H407" s="3">
        <f>IFERROR(__xludf.DUMMYFUNCTION("split(G407,""/"")"),7.0)</f>
        <v>7</v>
      </c>
      <c r="I407" s="3">
        <f>IFERROR(__xludf.DUMMYFUNCTION("""COMPUTED_VALUE"""),16.0)</f>
        <v>16</v>
      </c>
      <c r="J407" s="3">
        <f>IFERROR(__xludf.DUMMYFUNCTION("""COMPUTED_VALUE"""),2017.0)</f>
        <v>2017</v>
      </c>
      <c r="K407" s="12">
        <f t="shared" si="2"/>
        <v>42932</v>
      </c>
      <c r="L407" s="3" t="s">
        <v>817</v>
      </c>
      <c r="M407" s="3" t="s">
        <v>32</v>
      </c>
      <c r="N407" s="3">
        <v>7940.0</v>
      </c>
      <c r="O407" s="3" t="s">
        <v>815</v>
      </c>
      <c r="P407" s="10">
        <v>1749.0</v>
      </c>
      <c r="Q407" s="13">
        <v>668.27</v>
      </c>
      <c r="R407" s="13">
        <v>502.54</v>
      </c>
      <c r="S407" s="13">
        <f t="shared" si="3"/>
        <v>1168804.23</v>
      </c>
      <c r="T407" s="13">
        <f t="shared" si="4"/>
        <v>878942.46</v>
      </c>
      <c r="U407" s="13">
        <f t="shared" si="5"/>
        <v>289861.77</v>
      </c>
      <c r="V407" s="3" t="str">
        <f>VLOOKUP(N407,products!A:B,2,0)</f>
        <v>Household</v>
      </c>
      <c r="W407" s="3" t="s">
        <v>28</v>
      </c>
      <c r="X407" s="3" t="s">
        <v>33</v>
      </c>
      <c r="Y407" s="14">
        <f t="shared" si="10"/>
        <v>0.2479985635</v>
      </c>
      <c r="Z407" s="3">
        <f t="shared" si="7"/>
        <v>2</v>
      </c>
      <c r="AA407" s="15">
        <f t="shared" si="8"/>
        <v>6</v>
      </c>
    </row>
    <row r="408" ht="15.75" customHeight="1">
      <c r="A408" s="3">
        <v>3.80498874E8</v>
      </c>
      <c r="B408" s="3" t="s">
        <v>887</v>
      </c>
      <c r="C408" s="3">
        <f>IFERROR(__xludf.DUMMYFUNCTION("split(B408,""/"")"),4.0)</f>
        <v>4</v>
      </c>
      <c r="D408" s="10">
        <f>IFERROR(__xludf.DUMMYFUNCTION("""COMPUTED_VALUE"""),24.0)</f>
        <v>24</v>
      </c>
      <c r="E408" s="11">
        <f>IFERROR(__xludf.DUMMYFUNCTION("""COMPUTED_VALUE"""),2014.0)</f>
        <v>2014</v>
      </c>
      <c r="F408" s="12">
        <f t="shared" si="1"/>
        <v>41753</v>
      </c>
      <c r="G408" s="3" t="s">
        <v>1257</v>
      </c>
      <c r="H408" s="3">
        <f>IFERROR(__xludf.DUMMYFUNCTION("split(G408,""/"")"),5.0)</f>
        <v>5</v>
      </c>
      <c r="I408" s="3">
        <f>IFERROR(__xludf.DUMMYFUNCTION("""COMPUTED_VALUE"""),13.0)</f>
        <v>13</v>
      </c>
      <c r="J408" s="3">
        <f>IFERROR(__xludf.DUMMYFUNCTION("""COMPUTED_VALUE"""),2014.0)</f>
        <v>2014</v>
      </c>
      <c r="K408" s="12">
        <f t="shared" si="2"/>
        <v>41772</v>
      </c>
      <c r="L408" s="3" t="s">
        <v>827</v>
      </c>
      <c r="M408" s="3" t="s">
        <v>142</v>
      </c>
      <c r="N408" s="3">
        <v>2455.0</v>
      </c>
      <c r="O408" s="3" t="s">
        <v>815</v>
      </c>
      <c r="P408" s="10">
        <v>6927.0</v>
      </c>
      <c r="Q408" s="13">
        <v>109.28</v>
      </c>
      <c r="R408" s="13">
        <v>35.84</v>
      </c>
      <c r="S408" s="13">
        <f t="shared" si="3"/>
        <v>756982.56</v>
      </c>
      <c r="T408" s="13">
        <f t="shared" si="4"/>
        <v>248263.68</v>
      </c>
      <c r="U408" s="13">
        <f t="shared" si="5"/>
        <v>508718.88</v>
      </c>
      <c r="V408" s="3" t="str">
        <f>VLOOKUP(N408,products!A:B,2,0)</f>
        <v>Clothes</v>
      </c>
      <c r="W408" s="3" t="s">
        <v>28</v>
      </c>
      <c r="X408" s="3" t="s">
        <v>98</v>
      </c>
      <c r="Y408" s="14">
        <f t="shared" si="10"/>
        <v>0.6720351391</v>
      </c>
      <c r="Z408" s="3">
        <f t="shared" si="7"/>
        <v>19</v>
      </c>
      <c r="AA408" s="15">
        <f t="shared" si="8"/>
        <v>5</v>
      </c>
    </row>
    <row r="409" ht="15.75" customHeight="1">
      <c r="A409" s="3">
        <v>3.80610454E8</v>
      </c>
      <c r="B409" s="3" t="s">
        <v>1258</v>
      </c>
      <c r="C409" s="3">
        <f>IFERROR(__xludf.DUMMYFUNCTION("split(B409,""/"")"),12.0)</f>
        <v>12</v>
      </c>
      <c r="D409" s="10">
        <f>IFERROR(__xludf.DUMMYFUNCTION("""COMPUTED_VALUE"""),21.0)</f>
        <v>21</v>
      </c>
      <c r="E409" s="11">
        <f>IFERROR(__xludf.DUMMYFUNCTION("""COMPUTED_VALUE"""),2011.0)</f>
        <v>2011</v>
      </c>
      <c r="F409" s="12">
        <f t="shared" si="1"/>
        <v>40898</v>
      </c>
      <c r="G409" s="3" t="s">
        <v>1259</v>
      </c>
      <c r="H409" s="3">
        <f>IFERROR(__xludf.DUMMYFUNCTION("split(G409,""/"")"),12.0)</f>
        <v>12</v>
      </c>
      <c r="I409" s="3">
        <f>IFERROR(__xludf.DUMMYFUNCTION("""COMPUTED_VALUE"""),29.0)</f>
        <v>29</v>
      </c>
      <c r="J409" s="3">
        <f>IFERROR(__xludf.DUMMYFUNCTION("""COMPUTED_VALUE"""),2011.0)</f>
        <v>2011</v>
      </c>
      <c r="K409" s="12">
        <f t="shared" si="2"/>
        <v>40906</v>
      </c>
      <c r="L409" s="3" t="s">
        <v>817</v>
      </c>
      <c r="M409" s="3" t="s">
        <v>635</v>
      </c>
      <c r="N409" s="3">
        <v>8875.0</v>
      </c>
      <c r="O409" s="3" t="s">
        <v>818</v>
      </c>
      <c r="P409" s="10">
        <v>9946.0</v>
      </c>
      <c r="Q409" s="13">
        <v>421.89</v>
      </c>
      <c r="R409" s="13">
        <v>364.69</v>
      </c>
      <c r="S409" s="13">
        <f t="shared" si="3"/>
        <v>4196117.94</v>
      </c>
      <c r="T409" s="13">
        <f t="shared" si="4"/>
        <v>3627206.74</v>
      </c>
      <c r="U409" s="13">
        <f t="shared" si="5"/>
        <v>568911.2</v>
      </c>
      <c r="V409" s="3" t="str">
        <f>VLOOKUP(N409,products!A:B,2,0)</f>
        <v>Meat</v>
      </c>
      <c r="W409" s="3" t="s">
        <v>28</v>
      </c>
      <c r="X409" s="3" t="s">
        <v>33</v>
      </c>
      <c r="Y409" s="14">
        <f t="shared" si="10"/>
        <v>0.1355803646</v>
      </c>
      <c r="Z409" s="3">
        <f t="shared" si="7"/>
        <v>8</v>
      </c>
      <c r="AA409" s="15">
        <f t="shared" si="8"/>
        <v>4</v>
      </c>
    </row>
    <row r="410" ht="15.75" customHeight="1">
      <c r="A410" s="3">
        <v>3.80684268E8</v>
      </c>
      <c r="B410" s="3" t="s">
        <v>1260</v>
      </c>
      <c r="C410" s="3">
        <f>IFERROR(__xludf.DUMMYFUNCTION("split(B410,""/"")"),1.0)</f>
        <v>1</v>
      </c>
      <c r="D410" s="10">
        <f>IFERROR(__xludf.DUMMYFUNCTION("""COMPUTED_VALUE"""),30.0)</f>
        <v>30</v>
      </c>
      <c r="E410" s="11">
        <f>IFERROR(__xludf.DUMMYFUNCTION("""COMPUTED_VALUE"""),2015.0)</f>
        <v>2015</v>
      </c>
      <c r="F410" s="12">
        <f t="shared" si="1"/>
        <v>42034</v>
      </c>
      <c r="G410" s="3" t="s">
        <v>1261</v>
      </c>
      <c r="H410" s="3">
        <f>IFERROR(__xludf.DUMMYFUNCTION("split(G410,""/"")"),2.0)</f>
        <v>2</v>
      </c>
      <c r="I410" s="3">
        <f>IFERROR(__xludf.DUMMYFUNCTION("""COMPUTED_VALUE"""),23.0)</f>
        <v>23</v>
      </c>
      <c r="J410" s="3">
        <f>IFERROR(__xludf.DUMMYFUNCTION("""COMPUTED_VALUE"""),2015.0)</f>
        <v>2015</v>
      </c>
      <c r="K410" s="12">
        <f t="shared" si="2"/>
        <v>42058</v>
      </c>
      <c r="L410" s="3" t="s">
        <v>814</v>
      </c>
      <c r="M410" s="3" t="s">
        <v>434</v>
      </c>
      <c r="N410" s="3">
        <v>8293.0</v>
      </c>
      <c r="O410" s="3" t="s">
        <v>818</v>
      </c>
      <c r="P410" s="10">
        <v>1789.0</v>
      </c>
      <c r="Q410" s="13">
        <v>437.2</v>
      </c>
      <c r="R410" s="13">
        <v>263.33</v>
      </c>
      <c r="S410" s="13">
        <f t="shared" si="3"/>
        <v>782150.8</v>
      </c>
      <c r="T410" s="13">
        <f t="shared" si="4"/>
        <v>471097.37</v>
      </c>
      <c r="U410" s="13">
        <f t="shared" si="5"/>
        <v>311053.43</v>
      </c>
      <c r="V410" s="3" t="str">
        <f>VLOOKUP(N410,products!A:B,2,0)</f>
        <v>Cosmetics</v>
      </c>
      <c r="W410" s="3" t="s">
        <v>28</v>
      </c>
      <c r="X410" s="3" t="s">
        <v>79</v>
      </c>
      <c r="Y410" s="14">
        <f t="shared" si="10"/>
        <v>0.3976898445</v>
      </c>
      <c r="Z410" s="3">
        <f t="shared" si="7"/>
        <v>24</v>
      </c>
      <c r="AA410" s="15">
        <f t="shared" si="8"/>
        <v>6</v>
      </c>
    </row>
    <row r="411" ht="15.75" customHeight="1">
      <c r="A411" s="3">
        <v>3.80733191E8</v>
      </c>
      <c r="B411" s="9">
        <v>41458.0</v>
      </c>
      <c r="C411" s="3">
        <f>IFERROR(__xludf.DUMMYFUNCTION("split(B411,""/"")"),3.0)</f>
        <v>3</v>
      </c>
      <c r="D411" s="10">
        <f>IFERROR(__xludf.DUMMYFUNCTION("""COMPUTED_VALUE"""),7.0)</f>
        <v>7</v>
      </c>
      <c r="E411" s="11">
        <f>IFERROR(__xludf.DUMMYFUNCTION("""COMPUTED_VALUE"""),2013.0)</f>
        <v>2013</v>
      </c>
      <c r="F411" s="12">
        <f t="shared" si="1"/>
        <v>41340</v>
      </c>
      <c r="G411" s="3" t="s">
        <v>1262</v>
      </c>
      <c r="H411" s="3">
        <f>IFERROR(__xludf.DUMMYFUNCTION("split(G411,""/"")"),4.0)</f>
        <v>4</v>
      </c>
      <c r="I411" s="3">
        <f>IFERROR(__xludf.DUMMYFUNCTION("""COMPUTED_VALUE"""),13.0)</f>
        <v>13</v>
      </c>
      <c r="J411" s="3">
        <f>IFERROR(__xludf.DUMMYFUNCTION("""COMPUTED_VALUE"""),2013.0)</f>
        <v>2013</v>
      </c>
      <c r="K411" s="12">
        <f t="shared" si="2"/>
        <v>41377</v>
      </c>
      <c r="L411" s="3" t="s">
        <v>817</v>
      </c>
      <c r="M411" s="3" t="s">
        <v>46</v>
      </c>
      <c r="N411" s="3">
        <v>7331.0</v>
      </c>
      <c r="O411" s="3" t="s">
        <v>818</v>
      </c>
      <c r="P411" s="10">
        <v>6267.0</v>
      </c>
      <c r="Q411" s="13">
        <v>255.28</v>
      </c>
      <c r="R411" s="13">
        <v>159.42</v>
      </c>
      <c r="S411" s="13">
        <f t="shared" si="3"/>
        <v>1599839.76</v>
      </c>
      <c r="T411" s="13">
        <f t="shared" si="4"/>
        <v>999085.14</v>
      </c>
      <c r="U411" s="13">
        <f t="shared" si="5"/>
        <v>600754.62</v>
      </c>
      <c r="V411" s="3" t="str">
        <f>VLOOKUP(N411,products!A:B,2,0)</f>
        <v>Baby Food</v>
      </c>
      <c r="W411" s="3" t="s">
        <v>28</v>
      </c>
      <c r="X411" s="3" t="s">
        <v>33</v>
      </c>
      <c r="Y411" s="14">
        <f t="shared" si="10"/>
        <v>0.3755092448</v>
      </c>
      <c r="Z411" s="3">
        <f t="shared" si="7"/>
        <v>37</v>
      </c>
      <c r="AA411" s="15">
        <f t="shared" si="8"/>
        <v>5</v>
      </c>
    </row>
    <row r="412" ht="15.75" customHeight="1">
      <c r="A412" s="3">
        <v>3.81759297E8</v>
      </c>
      <c r="B412" s="9">
        <v>41002.0</v>
      </c>
      <c r="C412" s="3">
        <f>IFERROR(__xludf.DUMMYFUNCTION("split(B412,""/"")"),3.0)</f>
        <v>3</v>
      </c>
      <c r="D412" s="10">
        <f>IFERROR(__xludf.DUMMYFUNCTION("""COMPUTED_VALUE"""),4.0)</f>
        <v>4</v>
      </c>
      <c r="E412" s="11">
        <f>IFERROR(__xludf.DUMMYFUNCTION("""COMPUTED_VALUE"""),2012.0)</f>
        <v>2012</v>
      </c>
      <c r="F412" s="12">
        <f t="shared" si="1"/>
        <v>40972</v>
      </c>
      <c r="G412" s="3" t="s">
        <v>1211</v>
      </c>
      <c r="H412" s="3">
        <f>IFERROR(__xludf.DUMMYFUNCTION("split(G412,""/"")"),3.0)</f>
        <v>3</v>
      </c>
      <c r="I412" s="3">
        <f>IFERROR(__xludf.DUMMYFUNCTION("""COMPUTED_VALUE"""),25.0)</f>
        <v>25</v>
      </c>
      <c r="J412" s="3">
        <f>IFERROR(__xludf.DUMMYFUNCTION("""COMPUTED_VALUE"""),2012.0)</f>
        <v>2012</v>
      </c>
      <c r="K412" s="12">
        <f t="shared" si="2"/>
        <v>40993</v>
      </c>
      <c r="L412" s="3" t="s">
        <v>817</v>
      </c>
      <c r="M412" s="3" t="s">
        <v>488</v>
      </c>
      <c r="N412" s="3">
        <v>2455.0</v>
      </c>
      <c r="O412" s="3" t="s">
        <v>815</v>
      </c>
      <c r="P412" s="10">
        <v>9914.0</v>
      </c>
      <c r="Q412" s="13">
        <v>109.28</v>
      </c>
      <c r="R412" s="13">
        <v>35.84</v>
      </c>
      <c r="S412" s="13">
        <f t="shared" si="3"/>
        <v>1083401.92</v>
      </c>
      <c r="T412" s="13">
        <f t="shared" si="4"/>
        <v>355317.76</v>
      </c>
      <c r="U412" s="13">
        <f t="shared" si="5"/>
        <v>728084.16</v>
      </c>
      <c r="V412" s="3" t="str">
        <f>VLOOKUP(N412,products!A:B,2,0)</f>
        <v>Clothes</v>
      </c>
      <c r="W412" s="3" t="s">
        <v>28</v>
      </c>
      <c r="X412" s="3" t="s">
        <v>33</v>
      </c>
      <c r="Y412" s="14">
        <f t="shared" si="10"/>
        <v>0.6720351391</v>
      </c>
      <c r="Z412" s="3">
        <f t="shared" si="7"/>
        <v>21</v>
      </c>
      <c r="AA412" s="15">
        <f t="shared" si="8"/>
        <v>1</v>
      </c>
    </row>
    <row r="413" ht="15.75" customHeight="1">
      <c r="A413" s="3">
        <v>3.81774747E8</v>
      </c>
      <c r="B413" s="9">
        <v>41800.0</v>
      </c>
      <c r="C413" s="3">
        <f>IFERROR(__xludf.DUMMYFUNCTION("split(B413,""/"")"),10.0)</f>
        <v>10</v>
      </c>
      <c r="D413" s="10">
        <f>IFERROR(__xludf.DUMMYFUNCTION("""COMPUTED_VALUE"""),6.0)</f>
        <v>6</v>
      </c>
      <c r="E413" s="11">
        <f>IFERROR(__xludf.DUMMYFUNCTION("""COMPUTED_VALUE"""),2014.0)</f>
        <v>2014</v>
      </c>
      <c r="F413" s="12">
        <f t="shared" si="1"/>
        <v>41918</v>
      </c>
      <c r="G413" s="3" t="s">
        <v>1263</v>
      </c>
      <c r="H413" s="3">
        <f>IFERROR(__xludf.DUMMYFUNCTION("split(G413,""/"")"),10.0)</f>
        <v>10</v>
      </c>
      <c r="I413" s="3">
        <f>IFERROR(__xludf.DUMMYFUNCTION("""COMPUTED_VALUE"""),23.0)</f>
        <v>23</v>
      </c>
      <c r="J413" s="3">
        <f>IFERROR(__xludf.DUMMYFUNCTION("""COMPUTED_VALUE"""),2014.0)</f>
        <v>2014</v>
      </c>
      <c r="K413" s="12">
        <f t="shared" si="2"/>
        <v>41935</v>
      </c>
      <c r="L413" s="3" t="s">
        <v>817</v>
      </c>
      <c r="M413" s="3" t="s">
        <v>542</v>
      </c>
      <c r="N413" s="3">
        <v>4594.0</v>
      </c>
      <c r="O413" s="3" t="s">
        <v>818</v>
      </c>
      <c r="P413" s="10">
        <v>4486.0</v>
      </c>
      <c r="Q413" s="13">
        <v>9.33</v>
      </c>
      <c r="R413" s="13">
        <v>6.92</v>
      </c>
      <c r="S413" s="13">
        <f t="shared" si="3"/>
        <v>41854.38</v>
      </c>
      <c r="T413" s="13">
        <f t="shared" si="4"/>
        <v>31043.12</v>
      </c>
      <c r="U413" s="13">
        <f t="shared" si="5"/>
        <v>10811.26</v>
      </c>
      <c r="V413" s="3" t="str">
        <f>VLOOKUP(N413,products!A:B,2,0)</f>
        <v>Fruits</v>
      </c>
      <c r="W413" s="3" t="s">
        <v>28</v>
      </c>
      <c r="X413" s="3" t="s">
        <v>29</v>
      </c>
      <c r="Y413" s="14">
        <f t="shared" si="10"/>
        <v>0.258306538</v>
      </c>
      <c r="Z413" s="3">
        <f t="shared" si="7"/>
        <v>17</v>
      </c>
      <c r="AA413" s="15">
        <f t="shared" si="8"/>
        <v>2</v>
      </c>
    </row>
    <row r="414" ht="15.75" customHeight="1">
      <c r="A414" s="3">
        <v>3.82581126E8</v>
      </c>
      <c r="B414" s="3" t="s">
        <v>1264</v>
      </c>
      <c r="C414" s="3">
        <f>IFERROR(__xludf.DUMMYFUNCTION("split(B414,""/"")"),2.0)</f>
        <v>2</v>
      </c>
      <c r="D414" s="10">
        <f>IFERROR(__xludf.DUMMYFUNCTION("""COMPUTED_VALUE"""),16.0)</f>
        <v>16</v>
      </c>
      <c r="E414" s="11">
        <f>IFERROR(__xludf.DUMMYFUNCTION("""COMPUTED_VALUE"""),2013.0)</f>
        <v>2013</v>
      </c>
      <c r="F414" s="12">
        <f t="shared" si="1"/>
        <v>41321</v>
      </c>
      <c r="G414" s="3" t="s">
        <v>838</v>
      </c>
      <c r="H414" s="3">
        <f>IFERROR(__xludf.DUMMYFUNCTION("split(G414,""/"")"),3.0)</f>
        <v>3</v>
      </c>
      <c r="I414" s="3">
        <f>IFERROR(__xludf.DUMMYFUNCTION("""COMPUTED_VALUE"""),27.0)</f>
        <v>27</v>
      </c>
      <c r="J414" s="3">
        <f>IFERROR(__xludf.DUMMYFUNCTION("""COMPUTED_VALUE"""),2013.0)</f>
        <v>2013</v>
      </c>
      <c r="K414" s="12">
        <f t="shared" si="2"/>
        <v>41360</v>
      </c>
      <c r="L414" s="3" t="s">
        <v>814</v>
      </c>
      <c r="M414" s="3" t="s">
        <v>364</v>
      </c>
      <c r="N414" s="3">
        <v>3127.0</v>
      </c>
      <c r="O414" s="3" t="s">
        <v>818</v>
      </c>
      <c r="P414" s="10">
        <v>3112.0</v>
      </c>
      <c r="Q414" s="13">
        <v>81.73</v>
      </c>
      <c r="R414" s="13">
        <v>56.67</v>
      </c>
      <c r="S414" s="13">
        <f t="shared" si="3"/>
        <v>254343.76</v>
      </c>
      <c r="T414" s="13">
        <f t="shared" si="4"/>
        <v>176357.04</v>
      </c>
      <c r="U414" s="13">
        <f t="shared" si="5"/>
        <v>77986.72</v>
      </c>
      <c r="V414" s="3" t="str">
        <f>VLOOKUP(N414,products!A:B,2,0)</f>
        <v>Personal Care</v>
      </c>
      <c r="W414" s="3" t="s">
        <v>28</v>
      </c>
      <c r="X414" s="3" t="s">
        <v>29</v>
      </c>
      <c r="Y414" s="14">
        <f t="shared" si="10"/>
        <v>0.3066193564</v>
      </c>
      <c r="Z414" s="3">
        <f t="shared" si="7"/>
        <v>39</v>
      </c>
      <c r="AA414" s="15">
        <f t="shared" si="8"/>
        <v>7</v>
      </c>
    </row>
    <row r="415" ht="15.75" customHeight="1">
      <c r="A415" s="3">
        <v>3.83611094E8</v>
      </c>
      <c r="B415" s="3" t="s">
        <v>1265</v>
      </c>
      <c r="C415" s="3">
        <f>IFERROR(__xludf.DUMMYFUNCTION("split(B415,""/"")"),7.0)</f>
        <v>7</v>
      </c>
      <c r="D415" s="10">
        <f>IFERROR(__xludf.DUMMYFUNCTION("""COMPUTED_VALUE"""),22.0)</f>
        <v>22</v>
      </c>
      <c r="E415" s="11">
        <f>IFERROR(__xludf.DUMMYFUNCTION("""COMPUTED_VALUE"""),2016.0)</f>
        <v>2016</v>
      </c>
      <c r="F415" s="12">
        <f t="shared" si="1"/>
        <v>42573</v>
      </c>
      <c r="G415" s="3" t="s">
        <v>1266</v>
      </c>
      <c r="H415" s="3">
        <f>IFERROR(__xludf.DUMMYFUNCTION("split(G415,""/"")"),8.0)</f>
        <v>8</v>
      </c>
      <c r="I415" s="3">
        <f>IFERROR(__xludf.DUMMYFUNCTION("""COMPUTED_VALUE"""),26.0)</f>
        <v>26</v>
      </c>
      <c r="J415" s="3">
        <f>IFERROR(__xludf.DUMMYFUNCTION("""COMPUTED_VALUE"""),2016.0)</f>
        <v>2016</v>
      </c>
      <c r="K415" s="12">
        <f t="shared" si="2"/>
        <v>42608</v>
      </c>
      <c r="L415" s="3" t="s">
        <v>827</v>
      </c>
      <c r="M415" s="3" t="s">
        <v>97</v>
      </c>
      <c r="N415" s="3">
        <v>2455.0</v>
      </c>
      <c r="O415" s="3" t="s">
        <v>815</v>
      </c>
      <c r="P415" s="10">
        <v>7902.0</v>
      </c>
      <c r="Q415" s="13">
        <v>109.28</v>
      </c>
      <c r="R415" s="13">
        <v>35.84</v>
      </c>
      <c r="S415" s="13">
        <f t="shared" si="3"/>
        <v>863530.56</v>
      </c>
      <c r="T415" s="13">
        <f t="shared" si="4"/>
        <v>283207.68</v>
      </c>
      <c r="U415" s="13">
        <f t="shared" si="5"/>
        <v>580322.88</v>
      </c>
      <c r="V415" s="3" t="str">
        <f>VLOOKUP(N415,products!A:B,2,0)</f>
        <v>Clothes</v>
      </c>
      <c r="W415" s="3" t="s">
        <v>28</v>
      </c>
      <c r="X415" s="3" t="s">
        <v>98</v>
      </c>
      <c r="Y415" s="14">
        <f t="shared" si="10"/>
        <v>0.6720351391</v>
      </c>
      <c r="Z415" s="3">
        <f t="shared" si="7"/>
        <v>35</v>
      </c>
      <c r="AA415" s="15">
        <f t="shared" si="8"/>
        <v>6</v>
      </c>
    </row>
    <row r="416" ht="15.75" customHeight="1">
      <c r="A416" s="3">
        <v>3.84128224E8</v>
      </c>
      <c r="B416" s="3" t="s">
        <v>1267</v>
      </c>
      <c r="C416" s="3">
        <f>IFERROR(__xludf.DUMMYFUNCTION("split(B416,""/"")"),3.0)</f>
        <v>3</v>
      </c>
      <c r="D416" s="10">
        <f>IFERROR(__xludf.DUMMYFUNCTION("""COMPUTED_VALUE"""),20.0)</f>
        <v>20</v>
      </c>
      <c r="E416" s="11">
        <f>IFERROR(__xludf.DUMMYFUNCTION("""COMPUTED_VALUE"""),2010.0)</f>
        <v>2010</v>
      </c>
      <c r="F416" s="12">
        <f t="shared" si="1"/>
        <v>40257</v>
      </c>
      <c r="G416" s="3" t="s">
        <v>1268</v>
      </c>
      <c r="H416" s="3">
        <f>IFERROR(__xludf.DUMMYFUNCTION("split(G416,""/"")"),4.0)</f>
        <v>4</v>
      </c>
      <c r="I416" s="3">
        <f>IFERROR(__xludf.DUMMYFUNCTION("""COMPUTED_VALUE"""),26.0)</f>
        <v>26</v>
      </c>
      <c r="J416" s="3">
        <f>IFERROR(__xludf.DUMMYFUNCTION("""COMPUTED_VALUE"""),2010.0)</f>
        <v>2010</v>
      </c>
      <c r="K416" s="12">
        <f t="shared" si="2"/>
        <v>40294</v>
      </c>
      <c r="L416" s="3" t="s">
        <v>814</v>
      </c>
      <c r="M416" s="3" t="s">
        <v>542</v>
      </c>
      <c r="N416" s="3">
        <v>7940.0</v>
      </c>
      <c r="O416" s="3" t="s">
        <v>818</v>
      </c>
      <c r="P416" s="10">
        <v>933.0</v>
      </c>
      <c r="Q416" s="13">
        <v>668.27</v>
      </c>
      <c r="R416" s="13">
        <v>502.54</v>
      </c>
      <c r="S416" s="13">
        <f t="shared" si="3"/>
        <v>623495.91</v>
      </c>
      <c r="T416" s="13">
        <f t="shared" si="4"/>
        <v>468869.82</v>
      </c>
      <c r="U416" s="13">
        <f t="shared" si="5"/>
        <v>154626.09</v>
      </c>
      <c r="V416" s="3" t="str">
        <f>VLOOKUP(N416,products!A:B,2,0)</f>
        <v>Household</v>
      </c>
      <c r="W416" s="3" t="s">
        <v>28</v>
      </c>
      <c r="X416" s="3" t="s">
        <v>29</v>
      </c>
      <c r="Y416" s="14">
        <f t="shared" si="10"/>
        <v>0.2479985635</v>
      </c>
      <c r="Z416" s="3">
        <f t="shared" si="7"/>
        <v>37</v>
      </c>
      <c r="AA416" s="15">
        <f t="shared" si="8"/>
        <v>7</v>
      </c>
    </row>
    <row r="417" ht="15.75" customHeight="1">
      <c r="A417" s="3">
        <v>3.84483993E8</v>
      </c>
      <c r="B417" s="9">
        <v>40668.0</v>
      </c>
      <c r="C417" s="3">
        <f>IFERROR(__xludf.DUMMYFUNCTION("split(B417,""/"")"),5.0)</f>
        <v>5</v>
      </c>
      <c r="D417" s="10">
        <f>IFERROR(__xludf.DUMMYFUNCTION("""COMPUTED_VALUE"""),5.0)</f>
        <v>5</v>
      </c>
      <c r="E417" s="11">
        <f>IFERROR(__xludf.DUMMYFUNCTION("""COMPUTED_VALUE"""),2011.0)</f>
        <v>2011</v>
      </c>
      <c r="F417" s="12">
        <f t="shared" si="1"/>
        <v>40668</v>
      </c>
      <c r="G417" s="3" t="s">
        <v>1269</v>
      </c>
      <c r="H417" s="3">
        <f>IFERROR(__xludf.DUMMYFUNCTION("split(G417,""/"")"),6.0)</f>
        <v>6</v>
      </c>
      <c r="I417" s="3">
        <f>IFERROR(__xludf.DUMMYFUNCTION("""COMPUTED_VALUE"""),19.0)</f>
        <v>19</v>
      </c>
      <c r="J417" s="3">
        <f>IFERROR(__xludf.DUMMYFUNCTION("""COMPUTED_VALUE"""),2011.0)</f>
        <v>2011</v>
      </c>
      <c r="K417" s="12">
        <f t="shared" si="2"/>
        <v>40713</v>
      </c>
      <c r="L417" s="3" t="s">
        <v>825</v>
      </c>
      <c r="M417" s="3" t="s">
        <v>78</v>
      </c>
      <c r="N417" s="3">
        <v>5988.0</v>
      </c>
      <c r="O417" s="3" t="s">
        <v>818</v>
      </c>
      <c r="P417" s="10">
        <v>6212.0</v>
      </c>
      <c r="Q417" s="13">
        <v>154.06</v>
      </c>
      <c r="R417" s="13">
        <v>90.93</v>
      </c>
      <c r="S417" s="13">
        <f t="shared" si="3"/>
        <v>957020.72</v>
      </c>
      <c r="T417" s="13">
        <f t="shared" si="4"/>
        <v>564857.16</v>
      </c>
      <c r="U417" s="13">
        <f t="shared" si="5"/>
        <v>392163.56</v>
      </c>
      <c r="V417" s="3" t="str">
        <f>VLOOKUP(N417,products!A:B,2,0)</f>
        <v>Vegetables</v>
      </c>
      <c r="W417" s="3" t="s">
        <v>28</v>
      </c>
      <c r="X417" s="3" t="s">
        <v>79</v>
      </c>
      <c r="Y417" s="14">
        <f t="shared" si="10"/>
        <v>0.4097754122</v>
      </c>
      <c r="Z417" s="3">
        <f t="shared" si="7"/>
        <v>45</v>
      </c>
      <c r="AA417" s="15">
        <f t="shared" si="8"/>
        <v>5</v>
      </c>
    </row>
    <row r="418" ht="15.75" customHeight="1">
      <c r="A418" s="3">
        <v>3.84601581E8</v>
      </c>
      <c r="B418" s="3" t="s">
        <v>1270</v>
      </c>
      <c r="C418" s="3">
        <f>IFERROR(__xludf.DUMMYFUNCTION("split(B418,""/"")"),9.0)</f>
        <v>9</v>
      </c>
      <c r="D418" s="10">
        <f>IFERROR(__xludf.DUMMYFUNCTION("""COMPUTED_VALUE"""),25.0)</f>
        <v>25</v>
      </c>
      <c r="E418" s="11">
        <f>IFERROR(__xludf.DUMMYFUNCTION("""COMPUTED_VALUE"""),2016.0)</f>
        <v>2016</v>
      </c>
      <c r="F418" s="12">
        <f t="shared" si="1"/>
        <v>42638</v>
      </c>
      <c r="G418" s="3" t="s">
        <v>1271</v>
      </c>
      <c r="H418" s="3">
        <f>IFERROR(__xludf.DUMMYFUNCTION("split(G418,""/"")"),10.0)</f>
        <v>10</v>
      </c>
      <c r="I418" s="3">
        <f>IFERROR(__xludf.DUMMYFUNCTION("""COMPUTED_VALUE"""),19.0)</f>
        <v>19</v>
      </c>
      <c r="J418" s="3">
        <f>IFERROR(__xludf.DUMMYFUNCTION("""COMPUTED_VALUE"""),2016.0)</f>
        <v>2016</v>
      </c>
      <c r="K418" s="12">
        <f t="shared" si="2"/>
        <v>42662</v>
      </c>
      <c r="L418" s="3" t="s">
        <v>814</v>
      </c>
      <c r="M418" s="3" t="s">
        <v>434</v>
      </c>
      <c r="N418" s="3">
        <v>4594.0</v>
      </c>
      <c r="O418" s="3" t="s">
        <v>815</v>
      </c>
      <c r="P418" s="10">
        <v>1009.0</v>
      </c>
      <c r="Q418" s="13">
        <v>9.33</v>
      </c>
      <c r="R418" s="13">
        <v>6.92</v>
      </c>
      <c r="S418" s="13">
        <f t="shared" si="3"/>
        <v>9413.97</v>
      </c>
      <c r="T418" s="13">
        <f t="shared" si="4"/>
        <v>6982.28</v>
      </c>
      <c r="U418" s="13">
        <f t="shared" si="5"/>
        <v>2431.69</v>
      </c>
      <c r="V418" s="3" t="str">
        <f>VLOOKUP(N418,products!A:B,2,0)</f>
        <v>Fruits</v>
      </c>
      <c r="W418" s="3" t="s">
        <v>28</v>
      </c>
      <c r="X418" s="3" t="s">
        <v>79</v>
      </c>
      <c r="Y418" s="14">
        <f t="shared" si="10"/>
        <v>0.258306538</v>
      </c>
      <c r="Z418" s="3">
        <f t="shared" si="7"/>
        <v>24</v>
      </c>
      <c r="AA418" s="15">
        <f t="shared" si="8"/>
        <v>1</v>
      </c>
    </row>
    <row r="419" ht="15.75" customHeight="1">
      <c r="A419" s="3">
        <v>3.84976232E8</v>
      </c>
      <c r="B419" s="3" t="s">
        <v>1272</v>
      </c>
      <c r="C419" s="3">
        <f>IFERROR(__xludf.DUMMYFUNCTION("split(B419,""/"")"),2.0)</f>
        <v>2</v>
      </c>
      <c r="D419" s="10">
        <f>IFERROR(__xludf.DUMMYFUNCTION("""COMPUTED_VALUE"""),18.0)</f>
        <v>18</v>
      </c>
      <c r="E419" s="11">
        <f>IFERROR(__xludf.DUMMYFUNCTION("""COMPUTED_VALUE"""),2015.0)</f>
        <v>2015</v>
      </c>
      <c r="F419" s="12">
        <f t="shared" si="1"/>
        <v>42053</v>
      </c>
      <c r="G419" s="9">
        <v>42067.0</v>
      </c>
      <c r="H419" s="3">
        <f>IFERROR(__xludf.DUMMYFUNCTION("split(G419,""/"")"),4.0)</f>
        <v>4</v>
      </c>
      <c r="I419" s="3">
        <f>IFERROR(__xludf.DUMMYFUNCTION("""COMPUTED_VALUE"""),3.0)</f>
        <v>3</v>
      </c>
      <c r="J419" s="3">
        <f>IFERROR(__xludf.DUMMYFUNCTION("""COMPUTED_VALUE"""),2015.0)</f>
        <v>2015</v>
      </c>
      <c r="K419" s="12">
        <f t="shared" si="2"/>
        <v>42097</v>
      </c>
      <c r="L419" s="3" t="s">
        <v>825</v>
      </c>
      <c r="M419" s="3" t="s">
        <v>349</v>
      </c>
      <c r="N419" s="3">
        <v>8681.0</v>
      </c>
      <c r="O419" s="3" t="s">
        <v>815</v>
      </c>
      <c r="P419" s="10">
        <v>1877.0</v>
      </c>
      <c r="Q419" s="13">
        <v>651.21</v>
      </c>
      <c r="R419" s="13">
        <v>524.96</v>
      </c>
      <c r="S419" s="13">
        <f t="shared" si="3"/>
        <v>1222321.17</v>
      </c>
      <c r="T419" s="13">
        <f t="shared" si="4"/>
        <v>985349.92</v>
      </c>
      <c r="U419" s="13">
        <f t="shared" si="5"/>
        <v>236971.25</v>
      </c>
      <c r="V419" s="3" t="str">
        <f>VLOOKUP(N419,products!A:B,2,0)</f>
        <v>Office Supplies</v>
      </c>
      <c r="W419" s="3" t="s">
        <v>28</v>
      </c>
      <c r="X419" s="3" t="s">
        <v>29</v>
      </c>
      <c r="Y419" s="14">
        <f t="shared" si="10"/>
        <v>0.193869873</v>
      </c>
      <c r="Z419" s="3">
        <f t="shared" si="7"/>
        <v>44</v>
      </c>
      <c r="AA419" s="15">
        <f t="shared" si="8"/>
        <v>4</v>
      </c>
    </row>
    <row r="420" ht="15.75" customHeight="1">
      <c r="A420" s="3">
        <v>3.85080945E8</v>
      </c>
      <c r="B420" s="9">
        <v>42166.0</v>
      </c>
      <c r="C420" s="3">
        <f>IFERROR(__xludf.DUMMYFUNCTION("split(B420,""/"")"),11.0)</f>
        <v>11</v>
      </c>
      <c r="D420" s="10">
        <f>IFERROR(__xludf.DUMMYFUNCTION("""COMPUTED_VALUE"""),6.0)</f>
        <v>6</v>
      </c>
      <c r="E420" s="11">
        <f>IFERROR(__xludf.DUMMYFUNCTION("""COMPUTED_VALUE"""),2015.0)</f>
        <v>2015</v>
      </c>
      <c r="F420" s="12">
        <f t="shared" si="1"/>
        <v>42314</v>
      </c>
      <c r="G420" s="9">
        <v>42196.0</v>
      </c>
      <c r="H420" s="3">
        <f>IFERROR(__xludf.DUMMYFUNCTION("split(G420,""/"")"),11.0)</f>
        <v>11</v>
      </c>
      <c r="I420" s="3">
        <f>IFERROR(__xludf.DUMMYFUNCTION("""COMPUTED_VALUE"""),7.0)</f>
        <v>7</v>
      </c>
      <c r="J420" s="3">
        <f>IFERROR(__xludf.DUMMYFUNCTION("""COMPUTED_VALUE"""),2015.0)</f>
        <v>2015</v>
      </c>
      <c r="K420" s="12">
        <f t="shared" si="2"/>
        <v>42315</v>
      </c>
      <c r="L420" s="3" t="s">
        <v>814</v>
      </c>
      <c r="M420" s="3" t="s">
        <v>215</v>
      </c>
      <c r="N420" s="3">
        <v>8293.0</v>
      </c>
      <c r="O420" s="3" t="s">
        <v>818</v>
      </c>
      <c r="P420" s="10">
        <v>2864.0</v>
      </c>
      <c r="Q420" s="13">
        <v>437.2</v>
      </c>
      <c r="R420" s="13">
        <v>263.33</v>
      </c>
      <c r="S420" s="13">
        <f t="shared" si="3"/>
        <v>1252140.8</v>
      </c>
      <c r="T420" s="13">
        <f t="shared" si="4"/>
        <v>754177.12</v>
      </c>
      <c r="U420" s="13">
        <f t="shared" si="5"/>
        <v>497963.68</v>
      </c>
      <c r="V420" s="3" t="str">
        <f>VLOOKUP(N420,products!A:B,2,0)</f>
        <v>Cosmetics</v>
      </c>
      <c r="W420" s="3" t="s">
        <v>23</v>
      </c>
      <c r="X420" s="3" t="s">
        <v>68</v>
      </c>
      <c r="Y420" s="14">
        <f t="shared" si="10"/>
        <v>0.3976898445</v>
      </c>
      <c r="Z420" s="3">
        <f t="shared" si="7"/>
        <v>1</v>
      </c>
      <c r="AA420" s="15">
        <f t="shared" si="8"/>
        <v>6</v>
      </c>
    </row>
    <row r="421" ht="15.75" customHeight="1">
      <c r="A421" s="3">
        <v>3.85340154E8</v>
      </c>
      <c r="B421" s="3" t="s">
        <v>1273</v>
      </c>
      <c r="C421" s="3">
        <f>IFERROR(__xludf.DUMMYFUNCTION("split(B421,""/"")"),2.0)</f>
        <v>2</v>
      </c>
      <c r="D421" s="10">
        <f>IFERROR(__xludf.DUMMYFUNCTION("""COMPUTED_VALUE"""),26.0)</f>
        <v>26</v>
      </c>
      <c r="E421" s="11">
        <f>IFERROR(__xludf.DUMMYFUNCTION("""COMPUTED_VALUE"""),2012.0)</f>
        <v>2012</v>
      </c>
      <c r="F421" s="12">
        <f t="shared" si="1"/>
        <v>40965</v>
      </c>
      <c r="G421" s="3" t="s">
        <v>1274</v>
      </c>
      <c r="H421" s="3">
        <f>IFERROR(__xludf.DUMMYFUNCTION("split(G421,""/"")"),3.0)</f>
        <v>3</v>
      </c>
      <c r="I421" s="3">
        <f>IFERROR(__xludf.DUMMYFUNCTION("""COMPUTED_VALUE"""),18.0)</f>
        <v>18</v>
      </c>
      <c r="J421" s="3">
        <f>IFERROR(__xludf.DUMMYFUNCTION("""COMPUTED_VALUE"""),2012.0)</f>
        <v>2012</v>
      </c>
      <c r="K421" s="12">
        <f t="shared" si="2"/>
        <v>40986</v>
      </c>
      <c r="L421" s="3" t="s">
        <v>814</v>
      </c>
      <c r="M421" s="3" t="s">
        <v>291</v>
      </c>
      <c r="N421" s="3">
        <v>8293.0</v>
      </c>
      <c r="O421" s="3" t="s">
        <v>818</v>
      </c>
      <c r="P421" s="10">
        <v>9569.0</v>
      </c>
      <c r="Q421" s="13">
        <v>437.2</v>
      </c>
      <c r="R421" s="13">
        <v>263.33</v>
      </c>
      <c r="S421" s="13">
        <f t="shared" si="3"/>
        <v>4183566.8</v>
      </c>
      <c r="T421" s="13">
        <f t="shared" si="4"/>
        <v>2519804.77</v>
      </c>
      <c r="U421" s="13">
        <f t="shared" si="5"/>
        <v>1663762.03</v>
      </c>
      <c r="V421" s="3" t="str">
        <f>VLOOKUP(N421,products!A:B,2,0)</f>
        <v>Cosmetics</v>
      </c>
      <c r="W421" s="3" t="s">
        <v>28</v>
      </c>
      <c r="X421" s="3" t="s">
        <v>79</v>
      </c>
      <c r="Y421" s="14">
        <f t="shared" si="10"/>
        <v>0.3976898445</v>
      </c>
      <c r="Z421" s="3">
        <f t="shared" si="7"/>
        <v>21</v>
      </c>
      <c r="AA421" s="15">
        <f t="shared" si="8"/>
        <v>1</v>
      </c>
    </row>
    <row r="422" ht="15.75" customHeight="1">
      <c r="A422" s="3">
        <v>3.86009633E8</v>
      </c>
      <c r="B422" s="3" t="s">
        <v>1275</v>
      </c>
      <c r="C422" s="3">
        <f>IFERROR(__xludf.DUMMYFUNCTION("split(B422,""/"")"),3.0)</f>
        <v>3</v>
      </c>
      <c r="D422" s="10">
        <f>IFERROR(__xludf.DUMMYFUNCTION("""COMPUTED_VALUE"""),31.0)</f>
        <v>31</v>
      </c>
      <c r="E422" s="11">
        <f>IFERROR(__xludf.DUMMYFUNCTION("""COMPUTED_VALUE"""),2013.0)</f>
        <v>2013</v>
      </c>
      <c r="F422" s="12">
        <f t="shared" si="1"/>
        <v>41364</v>
      </c>
      <c r="G422" s="9">
        <v>41398.0</v>
      </c>
      <c r="H422" s="3">
        <f>IFERROR(__xludf.DUMMYFUNCTION("split(G422,""/"")"),4.0)</f>
        <v>4</v>
      </c>
      <c r="I422" s="3">
        <f>IFERROR(__xludf.DUMMYFUNCTION("""COMPUTED_VALUE"""),5.0)</f>
        <v>5</v>
      </c>
      <c r="J422" s="3">
        <f>IFERROR(__xludf.DUMMYFUNCTION("""COMPUTED_VALUE"""),2013.0)</f>
        <v>2013</v>
      </c>
      <c r="K422" s="12">
        <f t="shared" si="2"/>
        <v>41369</v>
      </c>
      <c r="L422" s="3" t="s">
        <v>814</v>
      </c>
      <c r="M422" s="3" t="s">
        <v>431</v>
      </c>
      <c r="N422" s="3">
        <v>3127.0</v>
      </c>
      <c r="O422" s="3" t="s">
        <v>818</v>
      </c>
      <c r="P422" s="10">
        <v>7683.0</v>
      </c>
      <c r="Q422" s="13">
        <v>81.73</v>
      </c>
      <c r="R422" s="13">
        <v>56.67</v>
      </c>
      <c r="S422" s="13">
        <f t="shared" si="3"/>
        <v>627931.59</v>
      </c>
      <c r="T422" s="13">
        <f t="shared" si="4"/>
        <v>435395.61</v>
      </c>
      <c r="U422" s="13">
        <f t="shared" si="5"/>
        <v>192535.98</v>
      </c>
      <c r="V422" s="3" t="str">
        <f>VLOOKUP(N422,products!A:B,2,0)</f>
        <v>Personal Care</v>
      </c>
      <c r="W422" s="3" t="s">
        <v>28</v>
      </c>
      <c r="X422" s="3" t="s">
        <v>29</v>
      </c>
      <c r="Y422" s="14">
        <f t="shared" si="10"/>
        <v>0.3066193564</v>
      </c>
      <c r="Z422" s="3">
        <f t="shared" si="7"/>
        <v>5</v>
      </c>
      <c r="AA422" s="15">
        <f t="shared" si="8"/>
        <v>1</v>
      </c>
    </row>
    <row r="423" ht="15.75" customHeight="1">
      <c r="A423" s="3">
        <v>3.86319911E8</v>
      </c>
      <c r="B423" s="3" t="s">
        <v>1088</v>
      </c>
      <c r="C423" s="3">
        <f>IFERROR(__xludf.DUMMYFUNCTION("split(B423,""/"")"),12.0)</f>
        <v>12</v>
      </c>
      <c r="D423" s="10">
        <f>IFERROR(__xludf.DUMMYFUNCTION("""COMPUTED_VALUE"""),16.0)</f>
        <v>16</v>
      </c>
      <c r="E423" s="11">
        <f>IFERROR(__xludf.DUMMYFUNCTION("""COMPUTED_VALUE"""),2010.0)</f>
        <v>2010</v>
      </c>
      <c r="F423" s="12">
        <f t="shared" si="1"/>
        <v>40528</v>
      </c>
      <c r="G423" s="9">
        <v>40575.0</v>
      </c>
      <c r="H423" s="3">
        <f>IFERROR(__xludf.DUMMYFUNCTION("split(G423,""/"")"),1.0)</f>
        <v>1</v>
      </c>
      <c r="I423" s="3">
        <f>IFERROR(__xludf.DUMMYFUNCTION("""COMPUTED_VALUE"""),2.0)</f>
        <v>2</v>
      </c>
      <c r="J423" s="3">
        <f>IFERROR(__xludf.DUMMYFUNCTION("""COMPUTED_VALUE"""),2011.0)</f>
        <v>2011</v>
      </c>
      <c r="K423" s="12">
        <f t="shared" si="2"/>
        <v>40545</v>
      </c>
      <c r="L423" s="3" t="s">
        <v>817</v>
      </c>
      <c r="M423" s="3" t="s">
        <v>671</v>
      </c>
      <c r="N423" s="3">
        <v>5988.0</v>
      </c>
      <c r="O423" s="3" t="s">
        <v>815</v>
      </c>
      <c r="P423" s="10">
        <v>9501.0</v>
      </c>
      <c r="Q423" s="13">
        <v>154.06</v>
      </c>
      <c r="R423" s="13">
        <v>90.93</v>
      </c>
      <c r="S423" s="13">
        <f t="shared" si="3"/>
        <v>1463724.06</v>
      </c>
      <c r="T423" s="13">
        <f t="shared" si="4"/>
        <v>863925.93</v>
      </c>
      <c r="U423" s="13">
        <f t="shared" si="5"/>
        <v>599798.13</v>
      </c>
      <c r="V423" s="3" t="str">
        <f>VLOOKUP(N423,products!A:B,2,0)</f>
        <v>Vegetables</v>
      </c>
      <c r="W423" s="3" t="s">
        <v>28</v>
      </c>
      <c r="X423" s="3" t="s">
        <v>33</v>
      </c>
      <c r="Y423" s="14">
        <f t="shared" si="10"/>
        <v>0.4097754122</v>
      </c>
      <c r="Z423" s="3">
        <f t="shared" si="7"/>
        <v>17</v>
      </c>
      <c r="AA423" s="15">
        <f t="shared" si="8"/>
        <v>5</v>
      </c>
    </row>
    <row r="424" ht="15.75" customHeight="1">
      <c r="A424" s="3">
        <v>3.86440074E8</v>
      </c>
      <c r="B424" s="9">
        <v>41763.0</v>
      </c>
      <c r="C424" s="3">
        <f>IFERROR(__xludf.DUMMYFUNCTION("split(B424,""/"")"),4.0)</f>
        <v>4</v>
      </c>
      <c r="D424" s="10">
        <f>IFERROR(__xludf.DUMMYFUNCTION("""COMPUTED_VALUE"""),5.0)</f>
        <v>5</v>
      </c>
      <c r="E424" s="11">
        <f>IFERROR(__xludf.DUMMYFUNCTION("""COMPUTED_VALUE"""),2014.0)</f>
        <v>2014</v>
      </c>
      <c r="F424" s="12">
        <f t="shared" si="1"/>
        <v>41734</v>
      </c>
      <c r="G424" s="3" t="s">
        <v>1276</v>
      </c>
      <c r="H424" s="3">
        <f>IFERROR(__xludf.DUMMYFUNCTION("split(G424,""/"")"),4.0)</f>
        <v>4</v>
      </c>
      <c r="I424" s="3">
        <f>IFERROR(__xludf.DUMMYFUNCTION("""COMPUTED_VALUE"""),25.0)</f>
        <v>25</v>
      </c>
      <c r="J424" s="3">
        <f>IFERROR(__xludf.DUMMYFUNCTION("""COMPUTED_VALUE"""),2014.0)</f>
        <v>2014</v>
      </c>
      <c r="K424" s="12">
        <f t="shared" si="2"/>
        <v>41754</v>
      </c>
      <c r="L424" s="3" t="s">
        <v>817</v>
      </c>
      <c r="M424" s="3" t="s">
        <v>575</v>
      </c>
      <c r="N424" s="3">
        <v>3127.0</v>
      </c>
      <c r="O424" s="3" t="s">
        <v>818</v>
      </c>
      <c r="P424" s="10">
        <v>5060.0</v>
      </c>
      <c r="Q424" s="13">
        <v>81.73</v>
      </c>
      <c r="R424" s="13">
        <v>56.67</v>
      </c>
      <c r="S424" s="13">
        <f t="shared" si="3"/>
        <v>413553.8</v>
      </c>
      <c r="T424" s="13">
        <f t="shared" si="4"/>
        <v>286750.2</v>
      </c>
      <c r="U424" s="13">
        <f t="shared" si="5"/>
        <v>126803.6</v>
      </c>
      <c r="V424" s="3" t="str">
        <f>VLOOKUP(N424,products!A:B,2,0)</f>
        <v>Personal Care</v>
      </c>
      <c r="W424" s="3" t="s">
        <v>28</v>
      </c>
      <c r="X424" s="3" t="s">
        <v>98</v>
      </c>
      <c r="Y424" s="14">
        <f t="shared" si="10"/>
        <v>0.3066193564</v>
      </c>
      <c r="Z424" s="3">
        <f t="shared" si="7"/>
        <v>20</v>
      </c>
      <c r="AA424" s="15">
        <f t="shared" si="8"/>
        <v>7</v>
      </c>
    </row>
    <row r="425" ht="15.75" customHeight="1">
      <c r="A425" s="3">
        <v>3.86601865E8</v>
      </c>
      <c r="B425" s="3" t="s">
        <v>1061</v>
      </c>
      <c r="C425" s="3">
        <f>IFERROR(__xludf.DUMMYFUNCTION("split(B425,""/"")"),7.0)</f>
        <v>7</v>
      </c>
      <c r="D425" s="10">
        <f>IFERROR(__xludf.DUMMYFUNCTION("""COMPUTED_VALUE"""),17.0)</f>
        <v>17</v>
      </c>
      <c r="E425" s="11">
        <f>IFERROR(__xludf.DUMMYFUNCTION("""COMPUTED_VALUE"""),2016.0)</f>
        <v>2016</v>
      </c>
      <c r="F425" s="12">
        <f t="shared" si="1"/>
        <v>42568</v>
      </c>
      <c r="G425" s="3" t="s">
        <v>960</v>
      </c>
      <c r="H425" s="3">
        <f>IFERROR(__xludf.DUMMYFUNCTION("split(G425,""/"")"),7.0)</f>
        <v>7</v>
      </c>
      <c r="I425" s="3">
        <f>IFERROR(__xludf.DUMMYFUNCTION("""COMPUTED_VALUE"""),26.0)</f>
        <v>26</v>
      </c>
      <c r="J425" s="3">
        <f>IFERROR(__xludf.DUMMYFUNCTION("""COMPUTED_VALUE"""),2016.0)</f>
        <v>2016</v>
      </c>
      <c r="K425" s="12">
        <f t="shared" si="2"/>
        <v>42577</v>
      </c>
      <c r="L425" s="3" t="s">
        <v>825</v>
      </c>
      <c r="M425" s="3" t="s">
        <v>431</v>
      </c>
      <c r="N425" s="3">
        <v>5988.0</v>
      </c>
      <c r="O425" s="3" t="s">
        <v>815</v>
      </c>
      <c r="P425" s="10">
        <v>2938.0</v>
      </c>
      <c r="Q425" s="13">
        <v>154.06</v>
      </c>
      <c r="R425" s="13">
        <v>90.93</v>
      </c>
      <c r="S425" s="13">
        <f t="shared" si="3"/>
        <v>452628.28</v>
      </c>
      <c r="T425" s="13">
        <f t="shared" si="4"/>
        <v>267152.34</v>
      </c>
      <c r="U425" s="13">
        <f t="shared" si="5"/>
        <v>185475.94</v>
      </c>
      <c r="V425" s="3" t="str">
        <f>VLOOKUP(N425,products!A:B,2,0)</f>
        <v>Vegetables</v>
      </c>
      <c r="W425" s="3" t="s">
        <v>28</v>
      </c>
      <c r="X425" s="3" t="s">
        <v>29</v>
      </c>
      <c r="Y425" s="14">
        <f t="shared" si="10"/>
        <v>0.4097754122</v>
      </c>
      <c r="Z425" s="3">
        <f t="shared" si="7"/>
        <v>9</v>
      </c>
      <c r="AA425" s="15">
        <f t="shared" si="8"/>
        <v>1</v>
      </c>
    </row>
    <row r="426" ht="15.75" customHeight="1">
      <c r="A426" s="3">
        <v>3.87098824E8</v>
      </c>
      <c r="B426" s="3" t="s">
        <v>1277</v>
      </c>
      <c r="C426" s="3">
        <f>IFERROR(__xludf.DUMMYFUNCTION("split(B426,""/"")"),12.0)</f>
        <v>12</v>
      </c>
      <c r="D426" s="10">
        <f>IFERROR(__xludf.DUMMYFUNCTION("""COMPUTED_VALUE"""),23.0)</f>
        <v>23</v>
      </c>
      <c r="E426" s="11">
        <f>IFERROR(__xludf.DUMMYFUNCTION("""COMPUTED_VALUE"""),2013.0)</f>
        <v>2013</v>
      </c>
      <c r="F426" s="12">
        <f t="shared" si="1"/>
        <v>41631</v>
      </c>
      <c r="G426" s="9">
        <v>41730.0</v>
      </c>
      <c r="H426" s="3">
        <f>IFERROR(__xludf.DUMMYFUNCTION("split(G426,""/"")"),1.0)</f>
        <v>1</v>
      </c>
      <c r="I426" s="3">
        <f>IFERROR(__xludf.DUMMYFUNCTION("""COMPUTED_VALUE"""),4.0)</f>
        <v>4</v>
      </c>
      <c r="J426" s="3">
        <f>IFERROR(__xludf.DUMMYFUNCTION("""COMPUTED_VALUE"""),2014.0)</f>
        <v>2014</v>
      </c>
      <c r="K426" s="12">
        <f t="shared" si="2"/>
        <v>41643</v>
      </c>
      <c r="L426" s="3" t="s">
        <v>827</v>
      </c>
      <c r="M426" s="3" t="s">
        <v>746</v>
      </c>
      <c r="N426" s="3">
        <v>3127.0</v>
      </c>
      <c r="O426" s="3" t="s">
        <v>818</v>
      </c>
      <c r="P426" s="10">
        <v>9999.0</v>
      </c>
      <c r="Q426" s="13">
        <v>81.73</v>
      </c>
      <c r="R426" s="13">
        <v>56.67</v>
      </c>
      <c r="S426" s="13">
        <f t="shared" si="3"/>
        <v>817218.27</v>
      </c>
      <c r="T426" s="13">
        <f t="shared" si="4"/>
        <v>566643.33</v>
      </c>
      <c r="U426" s="13">
        <f t="shared" si="5"/>
        <v>250574.94</v>
      </c>
      <c r="V426" s="3" t="str">
        <f>VLOOKUP(N426,products!A:B,2,0)</f>
        <v>Personal Care</v>
      </c>
      <c r="W426" s="3" t="s">
        <v>28</v>
      </c>
      <c r="X426" s="3" t="s">
        <v>29</v>
      </c>
      <c r="Y426" s="14">
        <f t="shared" si="10"/>
        <v>0.3066193564</v>
      </c>
      <c r="Z426" s="3">
        <f t="shared" si="7"/>
        <v>12</v>
      </c>
      <c r="AA426" s="15">
        <f t="shared" si="8"/>
        <v>2</v>
      </c>
    </row>
    <row r="427" ht="15.75" customHeight="1">
      <c r="A427" s="3">
        <v>3.8872832E8</v>
      </c>
      <c r="B427" s="3" t="s">
        <v>1278</v>
      </c>
      <c r="C427" s="3">
        <f>IFERROR(__xludf.DUMMYFUNCTION("split(B427,""/"")"),3.0)</f>
        <v>3</v>
      </c>
      <c r="D427" s="10">
        <f>IFERROR(__xludf.DUMMYFUNCTION("""COMPUTED_VALUE"""),31.0)</f>
        <v>31</v>
      </c>
      <c r="E427" s="11">
        <f>IFERROR(__xludf.DUMMYFUNCTION("""COMPUTED_VALUE"""),2012.0)</f>
        <v>2012</v>
      </c>
      <c r="F427" s="12">
        <f t="shared" si="1"/>
        <v>40999</v>
      </c>
      <c r="G427" s="9">
        <v>41187.0</v>
      </c>
      <c r="H427" s="3">
        <f>IFERROR(__xludf.DUMMYFUNCTION("split(G427,""/"")"),5.0)</f>
        <v>5</v>
      </c>
      <c r="I427" s="3">
        <f>IFERROR(__xludf.DUMMYFUNCTION("""COMPUTED_VALUE"""),10.0)</f>
        <v>10</v>
      </c>
      <c r="J427" s="3">
        <f>IFERROR(__xludf.DUMMYFUNCTION("""COMPUTED_VALUE"""),2012.0)</f>
        <v>2012</v>
      </c>
      <c r="K427" s="12">
        <f t="shared" si="2"/>
        <v>41039</v>
      </c>
      <c r="L427" s="3" t="s">
        <v>817</v>
      </c>
      <c r="M427" s="3" t="s">
        <v>123</v>
      </c>
      <c r="N427" s="3">
        <v>8969.0</v>
      </c>
      <c r="O427" s="3" t="s">
        <v>818</v>
      </c>
      <c r="P427" s="10">
        <v>2203.0</v>
      </c>
      <c r="Q427" s="13">
        <v>152.58</v>
      </c>
      <c r="R427" s="13">
        <v>97.44</v>
      </c>
      <c r="S427" s="13">
        <f t="shared" si="3"/>
        <v>336133.74</v>
      </c>
      <c r="T427" s="13">
        <f t="shared" si="4"/>
        <v>214660.32</v>
      </c>
      <c r="U427" s="13">
        <f t="shared" si="5"/>
        <v>121473.42</v>
      </c>
      <c r="V427" s="3" t="str">
        <f>VLOOKUP(N427,products!A:B,2,0)</f>
        <v>Snacks</v>
      </c>
      <c r="W427" s="3" t="s">
        <v>28</v>
      </c>
      <c r="X427" s="3" t="s">
        <v>33</v>
      </c>
      <c r="Y427" s="14">
        <f t="shared" si="10"/>
        <v>0.3613841919</v>
      </c>
      <c r="Z427" s="3">
        <f t="shared" si="7"/>
        <v>40</v>
      </c>
      <c r="AA427" s="15">
        <f t="shared" si="8"/>
        <v>7</v>
      </c>
    </row>
    <row r="428" ht="15.75" customHeight="1">
      <c r="A428" s="3">
        <v>3.91026866E8</v>
      </c>
      <c r="B428" s="9">
        <v>42795.0</v>
      </c>
      <c r="C428" s="3">
        <f>IFERROR(__xludf.DUMMYFUNCTION("split(B428,""/"")"),1.0)</f>
        <v>1</v>
      </c>
      <c r="D428" s="10">
        <f>IFERROR(__xludf.DUMMYFUNCTION("""COMPUTED_VALUE"""),3.0)</f>
        <v>3</v>
      </c>
      <c r="E428" s="11">
        <f>IFERROR(__xludf.DUMMYFUNCTION("""COMPUTED_VALUE"""),2017.0)</f>
        <v>2017</v>
      </c>
      <c r="F428" s="12">
        <f t="shared" si="1"/>
        <v>42738</v>
      </c>
      <c r="G428" s="9">
        <v>42948.0</v>
      </c>
      <c r="H428" s="3">
        <f>IFERROR(__xludf.DUMMYFUNCTION("split(G428,""/"")"),1.0)</f>
        <v>1</v>
      </c>
      <c r="I428" s="3">
        <f>IFERROR(__xludf.DUMMYFUNCTION("""COMPUTED_VALUE"""),8.0)</f>
        <v>8</v>
      </c>
      <c r="J428" s="3">
        <f>IFERROR(__xludf.DUMMYFUNCTION("""COMPUTED_VALUE"""),2017.0)</f>
        <v>2017</v>
      </c>
      <c r="K428" s="12">
        <f t="shared" si="2"/>
        <v>42743</v>
      </c>
      <c r="L428" s="3" t="s">
        <v>817</v>
      </c>
      <c r="M428" s="3" t="s">
        <v>671</v>
      </c>
      <c r="N428" s="3">
        <v>8293.0</v>
      </c>
      <c r="O428" s="3" t="s">
        <v>818</v>
      </c>
      <c r="P428" s="10">
        <v>2394.0</v>
      </c>
      <c r="Q428" s="13">
        <v>437.2</v>
      </c>
      <c r="R428" s="13">
        <v>263.33</v>
      </c>
      <c r="S428" s="13">
        <f t="shared" si="3"/>
        <v>1046656.8</v>
      </c>
      <c r="T428" s="13">
        <f t="shared" si="4"/>
        <v>630412.02</v>
      </c>
      <c r="U428" s="13">
        <f t="shared" si="5"/>
        <v>416244.78</v>
      </c>
      <c r="V428" s="3" t="str">
        <f>VLOOKUP(N428,products!A:B,2,0)</f>
        <v>Cosmetics</v>
      </c>
      <c r="W428" s="3" t="s">
        <v>28</v>
      </c>
      <c r="X428" s="3" t="s">
        <v>33</v>
      </c>
      <c r="Y428" s="14">
        <f t="shared" si="10"/>
        <v>0.3976898445</v>
      </c>
      <c r="Z428" s="3">
        <f t="shared" si="7"/>
        <v>5</v>
      </c>
      <c r="AA428" s="15">
        <f t="shared" si="8"/>
        <v>3</v>
      </c>
    </row>
    <row r="429" ht="15.75" customHeight="1">
      <c r="A429" s="3">
        <v>3.91200673E8</v>
      </c>
      <c r="B429" s="3" t="s">
        <v>1279</v>
      </c>
      <c r="C429" s="3">
        <f>IFERROR(__xludf.DUMMYFUNCTION("split(B429,""/"")"),1.0)</f>
        <v>1</v>
      </c>
      <c r="D429" s="10">
        <f>IFERROR(__xludf.DUMMYFUNCTION("""COMPUTED_VALUE"""),19.0)</f>
        <v>19</v>
      </c>
      <c r="E429" s="11">
        <f>IFERROR(__xludf.DUMMYFUNCTION("""COMPUTED_VALUE"""),2012.0)</f>
        <v>2012</v>
      </c>
      <c r="F429" s="12">
        <f t="shared" si="1"/>
        <v>40927</v>
      </c>
      <c r="G429" s="3" t="s">
        <v>1064</v>
      </c>
      <c r="H429" s="3">
        <f>IFERROR(__xludf.DUMMYFUNCTION("split(G429,""/"")"),2.0)</f>
        <v>2</v>
      </c>
      <c r="I429" s="3">
        <f>IFERROR(__xludf.DUMMYFUNCTION("""COMPUTED_VALUE"""),13.0)</f>
        <v>13</v>
      </c>
      <c r="J429" s="3">
        <f>IFERROR(__xludf.DUMMYFUNCTION("""COMPUTED_VALUE"""),2012.0)</f>
        <v>2012</v>
      </c>
      <c r="K429" s="12">
        <f t="shared" si="2"/>
        <v>40952</v>
      </c>
      <c r="L429" s="3" t="s">
        <v>825</v>
      </c>
      <c r="M429" s="3" t="s">
        <v>270</v>
      </c>
      <c r="N429" s="3">
        <v>8681.0</v>
      </c>
      <c r="O429" s="3" t="s">
        <v>815</v>
      </c>
      <c r="P429" s="10">
        <v>3827.0</v>
      </c>
      <c r="Q429" s="13">
        <v>651.21</v>
      </c>
      <c r="R429" s="13">
        <v>524.96</v>
      </c>
      <c r="S429" s="13">
        <f t="shared" si="3"/>
        <v>2492180.67</v>
      </c>
      <c r="T429" s="13">
        <f t="shared" si="4"/>
        <v>2009021.92</v>
      </c>
      <c r="U429" s="13">
        <f t="shared" si="5"/>
        <v>483158.75</v>
      </c>
      <c r="V429" s="3" t="str">
        <f>VLOOKUP(N429,products!A:B,2,0)</f>
        <v>Office Supplies</v>
      </c>
      <c r="W429" s="3" t="s">
        <v>28</v>
      </c>
      <c r="X429" s="3" t="s">
        <v>79</v>
      </c>
      <c r="Y429" s="14">
        <f t="shared" si="10"/>
        <v>0.193869873</v>
      </c>
      <c r="Z429" s="3">
        <f t="shared" si="7"/>
        <v>25</v>
      </c>
      <c r="AA429" s="15">
        <f t="shared" si="8"/>
        <v>5</v>
      </c>
    </row>
    <row r="430" ht="15.75" customHeight="1">
      <c r="A430" s="3">
        <v>3.91849982E8</v>
      </c>
      <c r="B430" s="3" t="s">
        <v>1280</v>
      </c>
      <c r="C430" s="3">
        <f>IFERROR(__xludf.DUMMYFUNCTION("split(B430,""/"")"),11.0)</f>
        <v>11</v>
      </c>
      <c r="D430" s="10">
        <f>IFERROR(__xludf.DUMMYFUNCTION("""COMPUTED_VALUE"""),30.0)</f>
        <v>30</v>
      </c>
      <c r="E430" s="11">
        <f>IFERROR(__xludf.DUMMYFUNCTION("""COMPUTED_VALUE"""),2016.0)</f>
        <v>2016</v>
      </c>
      <c r="F430" s="12">
        <f t="shared" si="1"/>
        <v>42704</v>
      </c>
      <c r="G430" s="9">
        <v>42686.0</v>
      </c>
      <c r="H430" s="3">
        <f>IFERROR(__xludf.DUMMYFUNCTION("split(G430,""/"")"),12.0)</f>
        <v>12</v>
      </c>
      <c r="I430" s="3">
        <f>IFERROR(__xludf.DUMMYFUNCTION("""COMPUTED_VALUE"""),11.0)</f>
        <v>11</v>
      </c>
      <c r="J430" s="3">
        <f>IFERROR(__xludf.DUMMYFUNCTION("""COMPUTED_VALUE"""),2016.0)</f>
        <v>2016</v>
      </c>
      <c r="K430" s="12">
        <f t="shared" si="2"/>
        <v>42715</v>
      </c>
      <c r="L430" s="3" t="s">
        <v>827</v>
      </c>
      <c r="M430" s="3" t="s">
        <v>288</v>
      </c>
      <c r="N430" s="3">
        <v>2103.0</v>
      </c>
      <c r="O430" s="3" t="s">
        <v>818</v>
      </c>
      <c r="P430" s="10">
        <v>5972.0</v>
      </c>
      <c r="Q430" s="13">
        <v>205.7</v>
      </c>
      <c r="R430" s="13">
        <v>117.11</v>
      </c>
      <c r="S430" s="13">
        <f t="shared" si="3"/>
        <v>1228440.4</v>
      </c>
      <c r="T430" s="13">
        <f t="shared" si="4"/>
        <v>699380.92</v>
      </c>
      <c r="U430" s="13">
        <f t="shared" si="5"/>
        <v>529059.48</v>
      </c>
      <c r="V430" s="3" t="str">
        <f>VLOOKUP(N430,products!A:B,2,0)</f>
        <v>Cereal</v>
      </c>
      <c r="W430" s="3" t="s">
        <v>23</v>
      </c>
      <c r="X430" s="3" t="s">
        <v>68</v>
      </c>
      <c r="Y430" s="14">
        <f t="shared" si="10"/>
        <v>0.4306757414</v>
      </c>
      <c r="Z430" s="3">
        <f t="shared" si="7"/>
        <v>11</v>
      </c>
      <c r="AA430" s="15">
        <f t="shared" si="8"/>
        <v>4</v>
      </c>
    </row>
    <row r="431" ht="15.75" customHeight="1">
      <c r="A431" s="3">
        <v>3.92217338E8</v>
      </c>
      <c r="B431" s="9">
        <v>42707.0</v>
      </c>
      <c r="C431" s="3">
        <f>IFERROR(__xludf.DUMMYFUNCTION("split(B431,""/"")"),3.0)</f>
        <v>3</v>
      </c>
      <c r="D431" s="10">
        <f>IFERROR(__xludf.DUMMYFUNCTION("""COMPUTED_VALUE"""),12.0)</f>
        <v>12</v>
      </c>
      <c r="E431" s="11">
        <f>IFERROR(__xludf.DUMMYFUNCTION("""COMPUTED_VALUE"""),2016.0)</f>
        <v>2016</v>
      </c>
      <c r="F431" s="12">
        <f t="shared" si="1"/>
        <v>42441</v>
      </c>
      <c r="G431" s="3" t="s">
        <v>895</v>
      </c>
      <c r="H431" s="3">
        <f>IFERROR(__xludf.DUMMYFUNCTION("split(G431,""/"")"),3.0)</f>
        <v>3</v>
      </c>
      <c r="I431" s="3">
        <f>IFERROR(__xludf.DUMMYFUNCTION("""COMPUTED_VALUE"""),15.0)</f>
        <v>15</v>
      </c>
      <c r="J431" s="3">
        <f>IFERROR(__xludf.DUMMYFUNCTION("""COMPUTED_VALUE"""),2016.0)</f>
        <v>2016</v>
      </c>
      <c r="K431" s="12">
        <f t="shared" si="2"/>
        <v>42444</v>
      </c>
      <c r="L431" s="3" t="s">
        <v>825</v>
      </c>
      <c r="M431" s="3" t="s">
        <v>542</v>
      </c>
      <c r="N431" s="3">
        <v>8969.0</v>
      </c>
      <c r="O431" s="3" t="s">
        <v>818</v>
      </c>
      <c r="P431" s="10">
        <v>4681.0</v>
      </c>
      <c r="Q431" s="13">
        <v>152.58</v>
      </c>
      <c r="R431" s="13">
        <v>97.44</v>
      </c>
      <c r="S431" s="13">
        <f t="shared" si="3"/>
        <v>714226.98</v>
      </c>
      <c r="T431" s="13">
        <f t="shared" si="4"/>
        <v>456116.64</v>
      </c>
      <c r="U431" s="13">
        <f t="shared" si="5"/>
        <v>258110.34</v>
      </c>
      <c r="V431" s="3" t="str">
        <f>VLOOKUP(N431,products!A:B,2,0)</f>
        <v>Snacks</v>
      </c>
      <c r="W431" s="3" t="s">
        <v>28</v>
      </c>
      <c r="X431" s="3" t="s">
        <v>29</v>
      </c>
      <c r="Y431" s="14">
        <f t="shared" si="10"/>
        <v>0.3613841919</v>
      </c>
      <c r="Z431" s="3">
        <f t="shared" si="7"/>
        <v>3</v>
      </c>
      <c r="AA431" s="15">
        <f t="shared" si="8"/>
        <v>7</v>
      </c>
    </row>
    <row r="432" ht="15.75" customHeight="1">
      <c r="A432" s="3">
        <v>3.92252957E8</v>
      </c>
      <c r="B432" s="9">
        <v>42095.0</v>
      </c>
      <c r="C432" s="3">
        <f>IFERROR(__xludf.DUMMYFUNCTION("split(B432,""/"")"),1.0)</f>
        <v>1</v>
      </c>
      <c r="D432" s="10">
        <f>IFERROR(__xludf.DUMMYFUNCTION("""COMPUTED_VALUE"""),4.0)</f>
        <v>4</v>
      </c>
      <c r="E432" s="11">
        <f>IFERROR(__xludf.DUMMYFUNCTION("""COMPUTED_VALUE"""),2015.0)</f>
        <v>2015</v>
      </c>
      <c r="F432" s="12">
        <f t="shared" si="1"/>
        <v>42008</v>
      </c>
      <c r="G432" s="3" t="s">
        <v>1281</v>
      </c>
      <c r="H432" s="3">
        <f>IFERROR(__xludf.DUMMYFUNCTION("split(G432,""/"")"),2.0)</f>
        <v>2</v>
      </c>
      <c r="I432" s="3">
        <f>IFERROR(__xludf.DUMMYFUNCTION("""COMPUTED_VALUE"""),22.0)</f>
        <v>22</v>
      </c>
      <c r="J432" s="3">
        <f>IFERROR(__xludf.DUMMYFUNCTION("""COMPUTED_VALUE"""),2015.0)</f>
        <v>2015</v>
      </c>
      <c r="K432" s="12">
        <f t="shared" si="2"/>
        <v>42057</v>
      </c>
      <c r="L432" s="3" t="s">
        <v>814</v>
      </c>
      <c r="M432" s="3" t="s">
        <v>671</v>
      </c>
      <c r="N432" s="3">
        <v>2103.0</v>
      </c>
      <c r="O432" s="3" t="s">
        <v>818</v>
      </c>
      <c r="P432" s="10">
        <v>5222.0</v>
      </c>
      <c r="Q432" s="13">
        <v>205.7</v>
      </c>
      <c r="R432" s="13">
        <v>117.11</v>
      </c>
      <c r="S432" s="13">
        <f t="shared" si="3"/>
        <v>1074165.4</v>
      </c>
      <c r="T432" s="13">
        <f t="shared" si="4"/>
        <v>611548.42</v>
      </c>
      <c r="U432" s="13">
        <f t="shared" si="5"/>
        <v>462616.98</v>
      </c>
      <c r="V432" s="3" t="str">
        <f>VLOOKUP(N432,products!A:B,2,0)</f>
        <v>Cereal</v>
      </c>
      <c r="W432" s="3" t="s">
        <v>28</v>
      </c>
      <c r="X432" s="3" t="s">
        <v>33</v>
      </c>
      <c r="Y432" s="14">
        <f t="shared" si="10"/>
        <v>0.4306757414</v>
      </c>
      <c r="Z432" s="3">
        <f t="shared" si="7"/>
        <v>49</v>
      </c>
      <c r="AA432" s="15">
        <f t="shared" si="8"/>
        <v>1</v>
      </c>
    </row>
    <row r="433" ht="15.75" customHeight="1">
      <c r="A433" s="3">
        <v>3.92518174E8</v>
      </c>
      <c r="B433" s="3" t="s">
        <v>1038</v>
      </c>
      <c r="C433" s="3">
        <f>IFERROR(__xludf.DUMMYFUNCTION("split(B433,""/"")"),6.0)</f>
        <v>6</v>
      </c>
      <c r="D433" s="10">
        <f>IFERROR(__xludf.DUMMYFUNCTION("""COMPUTED_VALUE"""),25.0)</f>
        <v>25</v>
      </c>
      <c r="E433" s="11">
        <f>IFERROR(__xludf.DUMMYFUNCTION("""COMPUTED_VALUE"""),2011.0)</f>
        <v>2011</v>
      </c>
      <c r="F433" s="12">
        <f t="shared" si="1"/>
        <v>40719</v>
      </c>
      <c r="G433" s="9">
        <v>40609.0</v>
      </c>
      <c r="H433" s="3">
        <f>IFERROR(__xludf.DUMMYFUNCTION("split(G433,""/"")"),7.0)</f>
        <v>7</v>
      </c>
      <c r="I433" s="3">
        <f>IFERROR(__xludf.DUMMYFUNCTION("""COMPUTED_VALUE"""),3.0)</f>
        <v>3</v>
      </c>
      <c r="J433" s="3">
        <f>IFERROR(__xludf.DUMMYFUNCTION("""COMPUTED_VALUE"""),2011.0)</f>
        <v>2011</v>
      </c>
      <c r="K433" s="12">
        <f t="shared" si="2"/>
        <v>40727</v>
      </c>
      <c r="L433" s="3" t="s">
        <v>814</v>
      </c>
      <c r="M433" s="3" t="s">
        <v>635</v>
      </c>
      <c r="N433" s="3">
        <v>5988.0</v>
      </c>
      <c r="O433" s="3" t="s">
        <v>818</v>
      </c>
      <c r="P433" s="10">
        <v>3705.0</v>
      </c>
      <c r="Q433" s="13">
        <v>154.06</v>
      </c>
      <c r="R433" s="13">
        <v>90.93</v>
      </c>
      <c r="S433" s="13">
        <f t="shared" si="3"/>
        <v>570792.3</v>
      </c>
      <c r="T433" s="13">
        <f t="shared" si="4"/>
        <v>336895.65</v>
      </c>
      <c r="U433" s="13">
        <f t="shared" si="5"/>
        <v>233896.65</v>
      </c>
      <c r="V433" s="3" t="str">
        <f>VLOOKUP(N433,products!A:B,2,0)</f>
        <v>Vegetables</v>
      </c>
      <c r="W433" s="3" t="s">
        <v>28</v>
      </c>
      <c r="X433" s="3" t="s">
        <v>33</v>
      </c>
      <c r="Y433" s="14">
        <f t="shared" si="10"/>
        <v>0.4097754122</v>
      </c>
      <c r="Z433" s="3">
        <f t="shared" si="7"/>
        <v>8</v>
      </c>
      <c r="AA433" s="15">
        <f t="shared" si="8"/>
        <v>7</v>
      </c>
    </row>
    <row r="434" ht="15.75" customHeight="1">
      <c r="A434" s="3">
        <v>3.92676532E8</v>
      </c>
      <c r="B434" s="9">
        <v>40670.0</v>
      </c>
      <c r="C434" s="3">
        <f>IFERROR(__xludf.DUMMYFUNCTION("split(B434,""/"")"),7.0)</f>
        <v>7</v>
      </c>
      <c r="D434" s="10">
        <f>IFERROR(__xludf.DUMMYFUNCTION("""COMPUTED_VALUE"""),5.0)</f>
        <v>5</v>
      </c>
      <c r="E434" s="11">
        <f>IFERROR(__xludf.DUMMYFUNCTION("""COMPUTED_VALUE"""),2011.0)</f>
        <v>2011</v>
      </c>
      <c r="F434" s="12">
        <f t="shared" si="1"/>
        <v>40729</v>
      </c>
      <c r="G434" s="9">
        <v>40702.0</v>
      </c>
      <c r="H434" s="3">
        <f>IFERROR(__xludf.DUMMYFUNCTION("split(G434,""/"")"),8.0)</f>
        <v>8</v>
      </c>
      <c r="I434" s="3">
        <f>IFERROR(__xludf.DUMMYFUNCTION("""COMPUTED_VALUE"""),6.0)</f>
        <v>6</v>
      </c>
      <c r="J434" s="3">
        <f>IFERROR(__xludf.DUMMYFUNCTION("""COMPUTED_VALUE"""),2011.0)</f>
        <v>2011</v>
      </c>
      <c r="K434" s="12">
        <f t="shared" si="2"/>
        <v>40761</v>
      </c>
      <c r="L434" s="3" t="s">
        <v>827</v>
      </c>
      <c r="M434" s="3" t="s">
        <v>215</v>
      </c>
      <c r="N434" s="3">
        <v>2103.0</v>
      </c>
      <c r="O434" s="3" t="s">
        <v>818</v>
      </c>
      <c r="P434" s="10">
        <v>567.0</v>
      </c>
      <c r="Q434" s="13">
        <v>205.7</v>
      </c>
      <c r="R434" s="13">
        <v>117.11</v>
      </c>
      <c r="S434" s="13">
        <f t="shared" si="3"/>
        <v>116631.9</v>
      </c>
      <c r="T434" s="13">
        <f t="shared" si="4"/>
        <v>66401.37</v>
      </c>
      <c r="U434" s="13">
        <f t="shared" si="5"/>
        <v>50230.53</v>
      </c>
      <c r="V434" s="3" t="str">
        <f>VLOOKUP(N434,products!A:B,2,0)</f>
        <v>Cereal</v>
      </c>
      <c r="W434" s="3" t="s">
        <v>23</v>
      </c>
      <c r="X434" s="3" t="s">
        <v>68</v>
      </c>
      <c r="Y434" s="14">
        <f t="shared" si="10"/>
        <v>0.4306757414</v>
      </c>
      <c r="Z434" s="3">
        <f t="shared" si="7"/>
        <v>32</v>
      </c>
      <c r="AA434" s="15">
        <f t="shared" si="8"/>
        <v>3</v>
      </c>
    </row>
    <row r="435" ht="15.75" customHeight="1">
      <c r="A435" s="3">
        <v>3.92752492E8</v>
      </c>
      <c r="B435" s="9">
        <v>40395.0</v>
      </c>
      <c r="C435" s="3">
        <f>IFERROR(__xludf.DUMMYFUNCTION("split(B435,""/"")"),5.0)</f>
        <v>5</v>
      </c>
      <c r="D435" s="10">
        <f>IFERROR(__xludf.DUMMYFUNCTION("""COMPUTED_VALUE"""),8.0)</f>
        <v>8</v>
      </c>
      <c r="E435" s="11">
        <f>IFERROR(__xludf.DUMMYFUNCTION("""COMPUTED_VALUE"""),2010.0)</f>
        <v>2010</v>
      </c>
      <c r="F435" s="12">
        <f t="shared" si="1"/>
        <v>40306</v>
      </c>
      <c r="G435" s="9">
        <v>40243.0</v>
      </c>
      <c r="H435" s="3">
        <f>IFERROR(__xludf.DUMMYFUNCTION("split(G435,""/"")"),6.0)</f>
        <v>6</v>
      </c>
      <c r="I435" s="3">
        <f>IFERROR(__xludf.DUMMYFUNCTION("""COMPUTED_VALUE"""),3.0)</f>
        <v>3</v>
      </c>
      <c r="J435" s="3">
        <f>IFERROR(__xludf.DUMMYFUNCTION("""COMPUTED_VALUE"""),2010.0)</f>
        <v>2010</v>
      </c>
      <c r="K435" s="12">
        <f t="shared" si="2"/>
        <v>40332</v>
      </c>
      <c r="L435" s="3" t="s">
        <v>827</v>
      </c>
      <c r="M435" s="3" t="s">
        <v>512</v>
      </c>
      <c r="N435" s="3">
        <v>3127.0</v>
      </c>
      <c r="O435" s="3" t="s">
        <v>818</v>
      </c>
      <c r="P435" s="10">
        <v>3045.0</v>
      </c>
      <c r="Q435" s="13">
        <v>81.73</v>
      </c>
      <c r="R435" s="13">
        <v>56.67</v>
      </c>
      <c r="S435" s="13">
        <f t="shared" si="3"/>
        <v>248867.85</v>
      </c>
      <c r="T435" s="13">
        <f t="shared" si="4"/>
        <v>172560.15</v>
      </c>
      <c r="U435" s="13">
        <f t="shared" si="5"/>
        <v>76307.7</v>
      </c>
      <c r="V435" s="3" t="str">
        <f>VLOOKUP(N435,products!A:B,2,0)</f>
        <v>Personal Care</v>
      </c>
      <c r="W435" s="3" t="s">
        <v>28</v>
      </c>
      <c r="X435" s="3" t="s">
        <v>79</v>
      </c>
      <c r="Y435" s="14">
        <f t="shared" si="10"/>
        <v>0.3066193564</v>
      </c>
      <c r="Z435" s="3">
        <f t="shared" si="7"/>
        <v>26</v>
      </c>
      <c r="AA435" s="15">
        <f t="shared" si="8"/>
        <v>7</v>
      </c>
    </row>
    <row r="436" ht="15.75" customHeight="1">
      <c r="A436" s="3">
        <v>3.93709933E8</v>
      </c>
      <c r="B436" s="9">
        <v>43072.0</v>
      </c>
      <c r="C436" s="3">
        <f>IFERROR(__xludf.DUMMYFUNCTION("split(B436,""/"")"),3.0)</f>
        <v>3</v>
      </c>
      <c r="D436" s="10">
        <f>IFERROR(__xludf.DUMMYFUNCTION("""COMPUTED_VALUE"""),12.0)</f>
        <v>12</v>
      </c>
      <c r="E436" s="11">
        <f>IFERROR(__xludf.DUMMYFUNCTION("""COMPUTED_VALUE"""),2017.0)</f>
        <v>2017</v>
      </c>
      <c r="F436" s="12">
        <f t="shared" si="1"/>
        <v>42806</v>
      </c>
      <c r="G436" s="3" t="s">
        <v>866</v>
      </c>
      <c r="H436" s="3">
        <f>IFERROR(__xludf.DUMMYFUNCTION("split(G436,""/"")"),4.0)</f>
        <v>4</v>
      </c>
      <c r="I436" s="3">
        <f>IFERROR(__xludf.DUMMYFUNCTION("""COMPUTED_VALUE"""),25.0)</f>
        <v>25</v>
      </c>
      <c r="J436" s="3">
        <f>IFERROR(__xludf.DUMMYFUNCTION("""COMPUTED_VALUE"""),2017.0)</f>
        <v>2017</v>
      </c>
      <c r="K436" s="12">
        <f t="shared" si="2"/>
        <v>42850</v>
      </c>
      <c r="L436" s="3" t="s">
        <v>817</v>
      </c>
      <c r="M436" s="3" t="s">
        <v>270</v>
      </c>
      <c r="N436" s="3">
        <v>4594.0</v>
      </c>
      <c r="O436" s="3" t="s">
        <v>818</v>
      </c>
      <c r="P436" s="10">
        <v>6373.0</v>
      </c>
      <c r="Q436" s="13">
        <v>9.33</v>
      </c>
      <c r="R436" s="13">
        <v>6.92</v>
      </c>
      <c r="S436" s="13">
        <f t="shared" si="3"/>
        <v>59460.09</v>
      </c>
      <c r="T436" s="13">
        <f t="shared" si="4"/>
        <v>44101.16</v>
      </c>
      <c r="U436" s="13">
        <f t="shared" si="5"/>
        <v>15358.93</v>
      </c>
      <c r="V436" s="3" t="str">
        <f>VLOOKUP(N436,products!A:B,2,0)</f>
        <v>Fruits</v>
      </c>
      <c r="W436" s="3" t="s">
        <v>28</v>
      </c>
      <c r="X436" s="3" t="s">
        <v>79</v>
      </c>
      <c r="Y436" s="14">
        <f t="shared" si="10"/>
        <v>0.258306538</v>
      </c>
      <c r="Z436" s="3">
        <f t="shared" si="7"/>
        <v>44</v>
      </c>
      <c r="AA436" s="15">
        <f t="shared" si="8"/>
        <v>1</v>
      </c>
    </row>
    <row r="437" ht="15.75" customHeight="1">
      <c r="A437" s="3">
        <v>3.93842971E8</v>
      </c>
      <c r="B437" s="9">
        <v>40513.0</v>
      </c>
      <c r="C437" s="3">
        <f>IFERROR(__xludf.DUMMYFUNCTION("split(B437,""/"")"),1.0)</f>
        <v>1</v>
      </c>
      <c r="D437" s="10">
        <f>IFERROR(__xludf.DUMMYFUNCTION("""COMPUTED_VALUE"""),12.0)</f>
        <v>12</v>
      </c>
      <c r="E437" s="11">
        <f>IFERROR(__xludf.DUMMYFUNCTION("""COMPUTED_VALUE"""),2010.0)</f>
        <v>2010</v>
      </c>
      <c r="F437" s="12">
        <f t="shared" si="1"/>
        <v>40190</v>
      </c>
      <c r="G437" s="3" t="s">
        <v>1282</v>
      </c>
      <c r="H437" s="3">
        <f>IFERROR(__xludf.DUMMYFUNCTION("split(G437,""/"")"),1.0)</f>
        <v>1</v>
      </c>
      <c r="I437" s="3">
        <f>IFERROR(__xludf.DUMMYFUNCTION("""COMPUTED_VALUE"""),31.0)</f>
        <v>31</v>
      </c>
      <c r="J437" s="3">
        <f>IFERROR(__xludf.DUMMYFUNCTION("""COMPUTED_VALUE"""),2010.0)</f>
        <v>2010</v>
      </c>
      <c r="K437" s="12">
        <f t="shared" si="2"/>
        <v>40209</v>
      </c>
      <c r="L437" s="3" t="s">
        <v>825</v>
      </c>
      <c r="M437" s="3" t="s">
        <v>635</v>
      </c>
      <c r="N437" s="3">
        <v>2455.0</v>
      </c>
      <c r="O437" s="3" t="s">
        <v>818</v>
      </c>
      <c r="P437" s="10">
        <v>5742.0</v>
      </c>
      <c r="Q437" s="13">
        <v>109.28</v>
      </c>
      <c r="R437" s="13">
        <v>35.84</v>
      </c>
      <c r="S437" s="13">
        <f t="shared" si="3"/>
        <v>627485.76</v>
      </c>
      <c r="T437" s="13">
        <f t="shared" si="4"/>
        <v>205793.28</v>
      </c>
      <c r="U437" s="13">
        <f t="shared" si="5"/>
        <v>421692.48</v>
      </c>
      <c r="V437" s="3" t="str">
        <f>VLOOKUP(N437,products!A:B,2,0)</f>
        <v>Clothes</v>
      </c>
      <c r="W437" s="3" t="s">
        <v>28</v>
      </c>
      <c r="X437" s="3" t="s">
        <v>33</v>
      </c>
      <c r="Y437" s="14">
        <f t="shared" si="10"/>
        <v>0.6720351391</v>
      </c>
      <c r="Z437" s="3">
        <f t="shared" si="7"/>
        <v>19</v>
      </c>
      <c r="AA437" s="15">
        <f t="shared" si="8"/>
        <v>3</v>
      </c>
    </row>
    <row r="438" ht="15.75" customHeight="1">
      <c r="A438" s="3">
        <v>3.9385842E8</v>
      </c>
      <c r="B438" s="3" t="s">
        <v>1082</v>
      </c>
      <c r="C438" s="3">
        <f>IFERROR(__xludf.DUMMYFUNCTION("split(B438,""/"")"),8.0)</f>
        <v>8</v>
      </c>
      <c r="D438" s="10">
        <f>IFERROR(__xludf.DUMMYFUNCTION("""COMPUTED_VALUE"""),14.0)</f>
        <v>14</v>
      </c>
      <c r="E438" s="11">
        <f>IFERROR(__xludf.DUMMYFUNCTION("""COMPUTED_VALUE"""),2012.0)</f>
        <v>2012</v>
      </c>
      <c r="F438" s="12">
        <f t="shared" si="1"/>
        <v>41135</v>
      </c>
      <c r="G438" s="3" t="s">
        <v>1283</v>
      </c>
      <c r="H438" s="3">
        <f>IFERROR(__xludf.DUMMYFUNCTION("split(G438,""/"")"),8.0)</f>
        <v>8</v>
      </c>
      <c r="I438" s="3">
        <f>IFERROR(__xludf.DUMMYFUNCTION("""COMPUTED_VALUE"""),29.0)</f>
        <v>29</v>
      </c>
      <c r="J438" s="3">
        <f>IFERROR(__xludf.DUMMYFUNCTION("""COMPUTED_VALUE"""),2012.0)</f>
        <v>2012</v>
      </c>
      <c r="K438" s="12">
        <f t="shared" si="2"/>
        <v>41150</v>
      </c>
      <c r="L438" s="3" t="s">
        <v>825</v>
      </c>
      <c r="M438" s="3" t="s">
        <v>650</v>
      </c>
      <c r="N438" s="3">
        <v>4594.0</v>
      </c>
      <c r="O438" s="3" t="s">
        <v>818</v>
      </c>
      <c r="P438" s="10">
        <v>314.0</v>
      </c>
      <c r="Q438" s="13">
        <v>9.33</v>
      </c>
      <c r="R438" s="13">
        <v>6.92</v>
      </c>
      <c r="S438" s="13">
        <f t="shared" si="3"/>
        <v>2929.62</v>
      </c>
      <c r="T438" s="13">
        <f t="shared" si="4"/>
        <v>2172.88</v>
      </c>
      <c r="U438" s="13">
        <f t="shared" si="5"/>
        <v>756.74</v>
      </c>
      <c r="V438" s="3" t="str">
        <f>VLOOKUP(N438,products!A:B,2,0)</f>
        <v>Fruits</v>
      </c>
      <c r="W438" s="3" t="s">
        <v>28</v>
      </c>
      <c r="X438" s="3" t="s">
        <v>98</v>
      </c>
      <c r="Y438" s="14">
        <f t="shared" si="10"/>
        <v>0.258306538</v>
      </c>
      <c r="Z438" s="3">
        <f t="shared" si="7"/>
        <v>15</v>
      </c>
      <c r="AA438" s="15">
        <f t="shared" si="8"/>
        <v>3</v>
      </c>
    </row>
    <row r="439" ht="15.75" customHeight="1">
      <c r="A439" s="3">
        <v>3.94110763E8</v>
      </c>
      <c r="B439" s="3" t="s">
        <v>1284</v>
      </c>
      <c r="C439" s="3">
        <f>IFERROR(__xludf.DUMMYFUNCTION("split(B439,""/"")"),12.0)</f>
        <v>12</v>
      </c>
      <c r="D439" s="10">
        <f>IFERROR(__xludf.DUMMYFUNCTION("""COMPUTED_VALUE"""),26.0)</f>
        <v>26</v>
      </c>
      <c r="E439" s="11">
        <f>IFERROR(__xludf.DUMMYFUNCTION("""COMPUTED_VALUE"""),2011.0)</f>
        <v>2011</v>
      </c>
      <c r="F439" s="12">
        <f t="shared" si="1"/>
        <v>40903</v>
      </c>
      <c r="G439" s="3" t="s">
        <v>1259</v>
      </c>
      <c r="H439" s="3">
        <f>IFERROR(__xludf.DUMMYFUNCTION("split(G439,""/"")"),12.0)</f>
        <v>12</v>
      </c>
      <c r="I439" s="3">
        <f>IFERROR(__xludf.DUMMYFUNCTION("""COMPUTED_VALUE"""),29.0)</f>
        <v>29</v>
      </c>
      <c r="J439" s="3">
        <f>IFERROR(__xludf.DUMMYFUNCTION("""COMPUTED_VALUE"""),2011.0)</f>
        <v>2011</v>
      </c>
      <c r="K439" s="12">
        <f t="shared" si="2"/>
        <v>40906</v>
      </c>
      <c r="L439" s="3" t="s">
        <v>817</v>
      </c>
      <c r="M439" s="3" t="s">
        <v>101</v>
      </c>
      <c r="N439" s="3">
        <v>5988.0</v>
      </c>
      <c r="O439" s="3" t="s">
        <v>818</v>
      </c>
      <c r="P439" s="10">
        <v>4988.0</v>
      </c>
      <c r="Q439" s="13">
        <v>154.06</v>
      </c>
      <c r="R439" s="13">
        <v>90.93</v>
      </c>
      <c r="S439" s="13">
        <f t="shared" si="3"/>
        <v>768451.28</v>
      </c>
      <c r="T439" s="13">
        <f t="shared" si="4"/>
        <v>453558.84</v>
      </c>
      <c r="U439" s="13">
        <f t="shared" si="5"/>
        <v>314892.44</v>
      </c>
      <c r="V439" s="3" t="str">
        <f>VLOOKUP(N439,products!A:B,2,0)</f>
        <v>Vegetables</v>
      </c>
      <c r="W439" s="3" t="s">
        <v>28</v>
      </c>
      <c r="X439" s="3" t="s">
        <v>79</v>
      </c>
      <c r="Y439" s="14">
        <f t="shared" si="10"/>
        <v>0.4097754122</v>
      </c>
      <c r="Z439" s="3">
        <f t="shared" si="7"/>
        <v>3</v>
      </c>
      <c r="AA439" s="15">
        <f t="shared" si="8"/>
        <v>2</v>
      </c>
    </row>
    <row r="440" ht="15.75" customHeight="1">
      <c r="A440" s="3">
        <v>3.94356667E8</v>
      </c>
      <c r="B440" s="3" t="s">
        <v>1285</v>
      </c>
      <c r="C440" s="3">
        <f>IFERROR(__xludf.DUMMYFUNCTION("split(B440,""/"")"),7.0)</f>
        <v>7</v>
      </c>
      <c r="D440" s="10">
        <f>IFERROR(__xludf.DUMMYFUNCTION("""COMPUTED_VALUE"""),30.0)</f>
        <v>30</v>
      </c>
      <c r="E440" s="11">
        <f>IFERROR(__xludf.DUMMYFUNCTION("""COMPUTED_VALUE"""),2016.0)</f>
        <v>2016</v>
      </c>
      <c r="F440" s="12">
        <f t="shared" si="1"/>
        <v>42581</v>
      </c>
      <c r="G440" s="9">
        <v>42468.0</v>
      </c>
      <c r="H440" s="3">
        <f>IFERROR(__xludf.DUMMYFUNCTION("split(G440,""/"")"),8.0)</f>
        <v>8</v>
      </c>
      <c r="I440" s="3">
        <f>IFERROR(__xludf.DUMMYFUNCTION("""COMPUTED_VALUE"""),4.0)</f>
        <v>4</v>
      </c>
      <c r="J440" s="3">
        <f>IFERROR(__xludf.DUMMYFUNCTION("""COMPUTED_VALUE"""),2016.0)</f>
        <v>2016</v>
      </c>
      <c r="K440" s="12">
        <f t="shared" si="2"/>
        <v>42586</v>
      </c>
      <c r="L440" s="3" t="s">
        <v>817</v>
      </c>
      <c r="M440" s="3" t="s">
        <v>746</v>
      </c>
      <c r="N440" s="3">
        <v>7940.0</v>
      </c>
      <c r="O440" s="3" t="s">
        <v>815</v>
      </c>
      <c r="P440" s="10">
        <v>7756.0</v>
      </c>
      <c r="Q440" s="13">
        <v>668.27</v>
      </c>
      <c r="R440" s="13">
        <v>502.54</v>
      </c>
      <c r="S440" s="13">
        <f t="shared" si="3"/>
        <v>5183102.12</v>
      </c>
      <c r="T440" s="13">
        <f t="shared" si="4"/>
        <v>3897700.24</v>
      </c>
      <c r="U440" s="13">
        <f t="shared" si="5"/>
        <v>1285401.88</v>
      </c>
      <c r="V440" s="3" t="str">
        <f>VLOOKUP(N440,products!A:B,2,0)</f>
        <v>Household</v>
      </c>
      <c r="W440" s="3" t="s">
        <v>28</v>
      </c>
      <c r="X440" s="3" t="s">
        <v>29</v>
      </c>
      <c r="Y440" s="14">
        <f t="shared" si="10"/>
        <v>0.2479985635</v>
      </c>
      <c r="Z440" s="3">
        <f t="shared" si="7"/>
        <v>5</v>
      </c>
      <c r="AA440" s="15">
        <f t="shared" si="8"/>
        <v>7</v>
      </c>
    </row>
    <row r="441" ht="15.75" customHeight="1">
      <c r="A441" s="3">
        <v>3.9445666E8</v>
      </c>
      <c r="B441" s="3" t="s">
        <v>1286</v>
      </c>
      <c r="C441" s="3">
        <f>IFERROR(__xludf.DUMMYFUNCTION("split(B441,""/"")"),1.0)</f>
        <v>1</v>
      </c>
      <c r="D441" s="10">
        <f>IFERROR(__xludf.DUMMYFUNCTION("""COMPUTED_VALUE"""),31.0)</f>
        <v>31</v>
      </c>
      <c r="E441" s="11">
        <f>IFERROR(__xludf.DUMMYFUNCTION("""COMPUTED_VALUE"""),2016.0)</f>
        <v>2016</v>
      </c>
      <c r="F441" s="12">
        <f t="shared" si="1"/>
        <v>42400</v>
      </c>
      <c r="G441" s="9">
        <v>42615.0</v>
      </c>
      <c r="H441" s="3">
        <f>IFERROR(__xludf.DUMMYFUNCTION("split(G441,""/"")"),2.0)</f>
        <v>2</v>
      </c>
      <c r="I441" s="3">
        <f>IFERROR(__xludf.DUMMYFUNCTION("""COMPUTED_VALUE"""),9.0)</f>
        <v>9</v>
      </c>
      <c r="J441" s="3">
        <f>IFERROR(__xludf.DUMMYFUNCTION("""COMPUTED_VALUE"""),2016.0)</f>
        <v>2016</v>
      </c>
      <c r="K441" s="12">
        <f t="shared" si="2"/>
        <v>42409</v>
      </c>
      <c r="L441" s="3" t="s">
        <v>827</v>
      </c>
      <c r="M441" s="3" t="s">
        <v>488</v>
      </c>
      <c r="N441" s="3">
        <v>4594.0</v>
      </c>
      <c r="O441" s="3" t="s">
        <v>815</v>
      </c>
      <c r="P441" s="10">
        <v>7346.0</v>
      </c>
      <c r="Q441" s="13">
        <v>9.33</v>
      </c>
      <c r="R441" s="13">
        <v>6.92</v>
      </c>
      <c r="S441" s="13">
        <f t="shared" si="3"/>
        <v>68538.18</v>
      </c>
      <c r="T441" s="13">
        <f t="shared" si="4"/>
        <v>50834.32</v>
      </c>
      <c r="U441" s="13">
        <f t="shared" si="5"/>
        <v>17703.86</v>
      </c>
      <c r="V441" s="3" t="str">
        <f>VLOOKUP(N441,products!A:B,2,0)</f>
        <v>Fruits</v>
      </c>
      <c r="W441" s="3" t="s">
        <v>28</v>
      </c>
      <c r="X441" s="3" t="s">
        <v>33</v>
      </c>
      <c r="Y441" s="14">
        <f t="shared" si="10"/>
        <v>0.258306538</v>
      </c>
      <c r="Z441" s="3">
        <f t="shared" si="7"/>
        <v>9</v>
      </c>
      <c r="AA441" s="15">
        <f t="shared" si="8"/>
        <v>1</v>
      </c>
    </row>
    <row r="442" ht="15.75" customHeight="1">
      <c r="A442" s="3">
        <v>3.95562589E8</v>
      </c>
      <c r="B442" s="9">
        <v>40522.0</v>
      </c>
      <c r="C442" s="3">
        <f>IFERROR(__xludf.DUMMYFUNCTION("split(B442,""/"")"),10.0)</f>
        <v>10</v>
      </c>
      <c r="D442" s="10">
        <f>IFERROR(__xludf.DUMMYFUNCTION("""COMPUTED_VALUE"""),12.0)</f>
        <v>12</v>
      </c>
      <c r="E442" s="11">
        <f>IFERROR(__xludf.DUMMYFUNCTION("""COMPUTED_VALUE"""),2010.0)</f>
        <v>2010</v>
      </c>
      <c r="F442" s="12">
        <f t="shared" si="1"/>
        <v>40463</v>
      </c>
      <c r="G442" s="9">
        <v>40190.0</v>
      </c>
      <c r="H442" s="3">
        <f>IFERROR(__xludf.DUMMYFUNCTION("split(G442,""/"")"),12.0)</f>
        <v>12</v>
      </c>
      <c r="I442" s="3">
        <f>IFERROR(__xludf.DUMMYFUNCTION("""COMPUTED_VALUE"""),1.0)</f>
        <v>1</v>
      </c>
      <c r="J442" s="3">
        <f>IFERROR(__xludf.DUMMYFUNCTION("""COMPUTED_VALUE"""),2010.0)</f>
        <v>2010</v>
      </c>
      <c r="K442" s="12">
        <f t="shared" si="2"/>
        <v>40513</v>
      </c>
      <c r="L442" s="3" t="s">
        <v>817</v>
      </c>
      <c r="M442" s="3" t="s">
        <v>635</v>
      </c>
      <c r="N442" s="3">
        <v>1270.0</v>
      </c>
      <c r="O442" s="3" t="s">
        <v>815</v>
      </c>
      <c r="P442" s="10">
        <v>4615.0</v>
      </c>
      <c r="Q442" s="13">
        <v>47.45</v>
      </c>
      <c r="R442" s="13">
        <v>31.79</v>
      </c>
      <c r="S442" s="13">
        <f t="shared" si="3"/>
        <v>218981.75</v>
      </c>
      <c r="T442" s="13">
        <f t="shared" si="4"/>
        <v>146710.85</v>
      </c>
      <c r="U442" s="13">
        <f t="shared" si="5"/>
        <v>72270.9</v>
      </c>
      <c r="V442" s="3" t="str">
        <f>VLOOKUP(N442,products!A:B,2,0)</f>
        <v>Beverages</v>
      </c>
      <c r="W442" s="3" t="s">
        <v>28</v>
      </c>
      <c r="X442" s="3" t="s">
        <v>33</v>
      </c>
      <c r="Y442" s="14">
        <f t="shared" si="10"/>
        <v>0.3300316122</v>
      </c>
      <c r="Z442" s="3">
        <f t="shared" si="7"/>
        <v>50</v>
      </c>
      <c r="AA442" s="15">
        <f t="shared" si="8"/>
        <v>3</v>
      </c>
    </row>
    <row r="443" ht="15.75" customHeight="1">
      <c r="A443" s="3">
        <v>3.96462953E8</v>
      </c>
      <c r="B443" s="3" t="s">
        <v>1287</v>
      </c>
      <c r="C443" s="3">
        <f>IFERROR(__xludf.DUMMYFUNCTION("split(B443,""/"")"),1.0)</f>
        <v>1</v>
      </c>
      <c r="D443" s="10">
        <f>IFERROR(__xludf.DUMMYFUNCTION("""COMPUTED_VALUE"""),21.0)</f>
        <v>21</v>
      </c>
      <c r="E443" s="11">
        <f>IFERROR(__xludf.DUMMYFUNCTION("""COMPUTED_VALUE"""),2016.0)</f>
        <v>2016</v>
      </c>
      <c r="F443" s="12">
        <f t="shared" si="1"/>
        <v>42390</v>
      </c>
      <c r="G443" s="3" t="s">
        <v>1068</v>
      </c>
      <c r="H443" s="3">
        <f>IFERROR(__xludf.DUMMYFUNCTION("split(G443,""/"")"),2.0)</f>
        <v>2</v>
      </c>
      <c r="I443" s="3">
        <f>IFERROR(__xludf.DUMMYFUNCTION("""COMPUTED_VALUE"""),26.0)</f>
        <v>26</v>
      </c>
      <c r="J443" s="3">
        <f>IFERROR(__xludf.DUMMYFUNCTION("""COMPUTED_VALUE"""),2016.0)</f>
        <v>2016</v>
      </c>
      <c r="K443" s="12">
        <f t="shared" si="2"/>
        <v>42426</v>
      </c>
      <c r="L443" s="3" t="s">
        <v>825</v>
      </c>
      <c r="M443" s="3" t="s">
        <v>364</v>
      </c>
      <c r="N443" s="3">
        <v>3127.0</v>
      </c>
      <c r="O443" s="3" t="s">
        <v>818</v>
      </c>
      <c r="P443" s="10">
        <v>1053.0</v>
      </c>
      <c r="Q443" s="13">
        <v>81.73</v>
      </c>
      <c r="R443" s="13">
        <v>56.67</v>
      </c>
      <c r="S443" s="13">
        <f t="shared" si="3"/>
        <v>86061.69</v>
      </c>
      <c r="T443" s="13">
        <f t="shared" si="4"/>
        <v>59673.51</v>
      </c>
      <c r="U443" s="13">
        <f t="shared" si="5"/>
        <v>26388.18</v>
      </c>
      <c r="V443" s="3" t="str">
        <f>VLOOKUP(N443,products!A:B,2,0)</f>
        <v>Personal Care</v>
      </c>
      <c r="W443" s="3" t="s">
        <v>28</v>
      </c>
      <c r="X443" s="3" t="s">
        <v>29</v>
      </c>
      <c r="Y443" s="14">
        <f t="shared" si="10"/>
        <v>0.3066193564</v>
      </c>
      <c r="Z443" s="3">
        <f t="shared" si="7"/>
        <v>36</v>
      </c>
      <c r="AA443" s="15">
        <f t="shared" si="8"/>
        <v>5</v>
      </c>
    </row>
    <row r="444" ht="15.75" customHeight="1">
      <c r="A444" s="3">
        <v>3.96552217E8</v>
      </c>
      <c r="B444" s="9">
        <v>41854.0</v>
      </c>
      <c r="C444" s="3">
        <f>IFERROR(__xludf.DUMMYFUNCTION("split(B444,""/"")"),3.0)</f>
        <v>3</v>
      </c>
      <c r="D444" s="10">
        <f>IFERROR(__xludf.DUMMYFUNCTION("""COMPUTED_VALUE"""),8.0)</f>
        <v>8</v>
      </c>
      <c r="E444" s="11">
        <f>IFERROR(__xludf.DUMMYFUNCTION("""COMPUTED_VALUE"""),2014.0)</f>
        <v>2014</v>
      </c>
      <c r="F444" s="12">
        <f t="shared" si="1"/>
        <v>41706</v>
      </c>
      <c r="G444" s="3" t="s">
        <v>887</v>
      </c>
      <c r="H444" s="3">
        <f>IFERROR(__xludf.DUMMYFUNCTION("split(G444,""/"")"),4.0)</f>
        <v>4</v>
      </c>
      <c r="I444" s="3">
        <f>IFERROR(__xludf.DUMMYFUNCTION("""COMPUTED_VALUE"""),24.0)</f>
        <v>24</v>
      </c>
      <c r="J444" s="3">
        <f>IFERROR(__xludf.DUMMYFUNCTION("""COMPUTED_VALUE"""),2014.0)</f>
        <v>2014</v>
      </c>
      <c r="K444" s="12">
        <f t="shared" si="2"/>
        <v>41753</v>
      </c>
      <c r="L444" s="3" t="s">
        <v>814</v>
      </c>
      <c r="M444" s="3" t="s">
        <v>215</v>
      </c>
      <c r="N444" s="3">
        <v>2455.0</v>
      </c>
      <c r="O444" s="3" t="s">
        <v>818</v>
      </c>
      <c r="P444" s="10">
        <v>7468.0</v>
      </c>
      <c r="Q444" s="13">
        <v>109.28</v>
      </c>
      <c r="R444" s="13">
        <v>35.84</v>
      </c>
      <c r="S444" s="13">
        <f t="shared" si="3"/>
        <v>816103.04</v>
      </c>
      <c r="T444" s="13">
        <f t="shared" si="4"/>
        <v>267653.12</v>
      </c>
      <c r="U444" s="13">
        <f t="shared" si="5"/>
        <v>548449.92</v>
      </c>
      <c r="V444" s="3" t="str">
        <f>VLOOKUP(N444,products!A:B,2,0)</f>
        <v>Clothes</v>
      </c>
      <c r="W444" s="3" t="s">
        <v>23</v>
      </c>
      <c r="X444" s="3" t="s">
        <v>68</v>
      </c>
      <c r="Y444" s="14">
        <f t="shared" si="10"/>
        <v>0.6720351391</v>
      </c>
      <c r="Z444" s="3">
        <f t="shared" si="7"/>
        <v>47</v>
      </c>
      <c r="AA444" s="15">
        <f t="shared" si="8"/>
        <v>7</v>
      </c>
    </row>
    <row r="445" ht="15.75" customHeight="1">
      <c r="A445" s="3">
        <v>3.96718728E8</v>
      </c>
      <c r="B445" s="9">
        <v>40361.0</v>
      </c>
      <c r="C445" s="3">
        <f>IFERROR(__xludf.DUMMYFUNCTION("split(B445,""/"")"),2.0)</f>
        <v>2</v>
      </c>
      <c r="D445" s="10">
        <f>IFERROR(__xludf.DUMMYFUNCTION("""COMPUTED_VALUE"""),7.0)</f>
        <v>7</v>
      </c>
      <c r="E445" s="11">
        <f>IFERROR(__xludf.DUMMYFUNCTION("""COMPUTED_VALUE"""),2010.0)</f>
        <v>2010</v>
      </c>
      <c r="F445" s="12">
        <f t="shared" si="1"/>
        <v>40216</v>
      </c>
      <c r="G445" s="3" t="s">
        <v>1288</v>
      </c>
      <c r="H445" s="3">
        <f>IFERROR(__xludf.DUMMYFUNCTION("split(G445,""/"")"),3.0)</f>
        <v>3</v>
      </c>
      <c r="I445" s="3">
        <f>IFERROR(__xludf.DUMMYFUNCTION("""COMPUTED_VALUE"""),18.0)</f>
        <v>18</v>
      </c>
      <c r="J445" s="3">
        <f>IFERROR(__xludf.DUMMYFUNCTION("""COMPUTED_VALUE"""),2010.0)</f>
        <v>2010</v>
      </c>
      <c r="K445" s="12">
        <f t="shared" si="2"/>
        <v>40255</v>
      </c>
      <c r="L445" s="3" t="s">
        <v>825</v>
      </c>
      <c r="M445" s="3" t="s">
        <v>123</v>
      </c>
      <c r="N445" s="3">
        <v>3127.0</v>
      </c>
      <c r="O445" s="3" t="s">
        <v>818</v>
      </c>
      <c r="P445" s="10">
        <v>6742.0</v>
      </c>
      <c r="Q445" s="13">
        <v>81.73</v>
      </c>
      <c r="R445" s="13">
        <v>56.67</v>
      </c>
      <c r="S445" s="13">
        <f t="shared" si="3"/>
        <v>551023.66</v>
      </c>
      <c r="T445" s="13">
        <f t="shared" si="4"/>
        <v>382069.14</v>
      </c>
      <c r="U445" s="13">
        <f t="shared" si="5"/>
        <v>168954.52</v>
      </c>
      <c r="V445" s="3" t="str">
        <f>VLOOKUP(N445,products!A:B,2,0)</f>
        <v>Personal Care</v>
      </c>
      <c r="W445" s="3" t="s">
        <v>28</v>
      </c>
      <c r="X445" s="3" t="s">
        <v>33</v>
      </c>
      <c r="Y445" s="14">
        <f t="shared" si="10"/>
        <v>0.3066193564</v>
      </c>
      <c r="Z445" s="3">
        <f t="shared" si="7"/>
        <v>39</v>
      </c>
      <c r="AA445" s="15">
        <f t="shared" si="8"/>
        <v>1</v>
      </c>
    </row>
    <row r="446" ht="15.75" customHeight="1">
      <c r="A446" s="3">
        <v>3.96832883E8</v>
      </c>
      <c r="B446" s="3" t="s">
        <v>1289</v>
      </c>
      <c r="C446" s="3">
        <f>IFERROR(__xludf.DUMMYFUNCTION("split(B446,""/"")"),3.0)</f>
        <v>3</v>
      </c>
      <c r="D446" s="10">
        <f>IFERROR(__xludf.DUMMYFUNCTION("""COMPUTED_VALUE"""),29.0)</f>
        <v>29</v>
      </c>
      <c r="E446" s="11">
        <f>IFERROR(__xludf.DUMMYFUNCTION("""COMPUTED_VALUE"""),2013.0)</f>
        <v>2013</v>
      </c>
      <c r="F446" s="12">
        <f t="shared" si="1"/>
        <v>41362</v>
      </c>
      <c r="G446" s="3" t="s">
        <v>1275</v>
      </c>
      <c r="H446" s="3">
        <f>IFERROR(__xludf.DUMMYFUNCTION("split(G446,""/"")"),3.0)</f>
        <v>3</v>
      </c>
      <c r="I446" s="3">
        <f>IFERROR(__xludf.DUMMYFUNCTION("""COMPUTED_VALUE"""),31.0)</f>
        <v>31</v>
      </c>
      <c r="J446" s="3">
        <f>IFERROR(__xludf.DUMMYFUNCTION("""COMPUTED_VALUE"""),2013.0)</f>
        <v>2013</v>
      </c>
      <c r="K446" s="12">
        <f t="shared" si="2"/>
        <v>41364</v>
      </c>
      <c r="L446" s="3" t="s">
        <v>814</v>
      </c>
      <c r="M446" s="3" t="s">
        <v>206</v>
      </c>
      <c r="N446" s="3">
        <v>3127.0</v>
      </c>
      <c r="O446" s="3" t="s">
        <v>818</v>
      </c>
      <c r="P446" s="10">
        <v>523.0</v>
      </c>
      <c r="Q446" s="13">
        <v>81.73</v>
      </c>
      <c r="R446" s="13">
        <v>56.67</v>
      </c>
      <c r="S446" s="13">
        <f t="shared" si="3"/>
        <v>42744.79</v>
      </c>
      <c r="T446" s="13">
        <f t="shared" si="4"/>
        <v>29638.41</v>
      </c>
      <c r="U446" s="13">
        <f t="shared" si="5"/>
        <v>13106.38</v>
      </c>
      <c r="V446" s="3" t="str">
        <f>VLOOKUP(N446,products!A:B,2,0)</f>
        <v>Personal Care</v>
      </c>
      <c r="W446" s="3" t="s">
        <v>28</v>
      </c>
      <c r="X446" s="3" t="s">
        <v>33</v>
      </c>
      <c r="Y446" s="14">
        <f t="shared" si="10"/>
        <v>0.3066193564</v>
      </c>
      <c r="Z446" s="3">
        <f t="shared" si="7"/>
        <v>2</v>
      </c>
      <c r="AA446" s="15">
        <f t="shared" si="8"/>
        <v>6</v>
      </c>
    </row>
    <row r="447" ht="15.75" customHeight="1">
      <c r="A447" s="3">
        <v>3.97874438E8</v>
      </c>
      <c r="B447" s="3" t="s">
        <v>1290</v>
      </c>
      <c r="C447" s="3">
        <f>IFERROR(__xludf.DUMMYFUNCTION("split(B447,""/"")"),10.0)</f>
        <v>10</v>
      </c>
      <c r="D447" s="10">
        <f>IFERROR(__xludf.DUMMYFUNCTION("""COMPUTED_VALUE"""),29.0)</f>
        <v>29</v>
      </c>
      <c r="E447" s="11">
        <f>IFERROR(__xludf.DUMMYFUNCTION("""COMPUTED_VALUE"""),2014.0)</f>
        <v>2014</v>
      </c>
      <c r="F447" s="12">
        <f t="shared" si="1"/>
        <v>41941</v>
      </c>
      <c r="G447" s="9">
        <v>41651.0</v>
      </c>
      <c r="H447" s="3">
        <f>IFERROR(__xludf.DUMMYFUNCTION("split(G447,""/"")"),12.0)</f>
        <v>12</v>
      </c>
      <c r="I447" s="3">
        <f>IFERROR(__xludf.DUMMYFUNCTION("""COMPUTED_VALUE"""),1.0)</f>
        <v>1</v>
      </c>
      <c r="J447" s="3">
        <f>IFERROR(__xludf.DUMMYFUNCTION("""COMPUTED_VALUE"""),2014.0)</f>
        <v>2014</v>
      </c>
      <c r="K447" s="12">
        <f t="shared" si="2"/>
        <v>41974</v>
      </c>
      <c r="L447" s="3" t="s">
        <v>814</v>
      </c>
      <c r="M447" s="3" t="s">
        <v>650</v>
      </c>
      <c r="N447" s="3">
        <v>1270.0</v>
      </c>
      <c r="O447" s="3" t="s">
        <v>815</v>
      </c>
      <c r="P447" s="10">
        <v>8743.0</v>
      </c>
      <c r="Q447" s="13">
        <v>47.45</v>
      </c>
      <c r="R447" s="13">
        <v>31.79</v>
      </c>
      <c r="S447" s="13">
        <f t="shared" si="3"/>
        <v>414855.35</v>
      </c>
      <c r="T447" s="13">
        <f t="shared" si="4"/>
        <v>277939.97</v>
      </c>
      <c r="U447" s="13">
        <f t="shared" si="5"/>
        <v>136915.38</v>
      </c>
      <c r="V447" s="3" t="str">
        <f>VLOOKUP(N447,products!A:B,2,0)</f>
        <v>Beverages</v>
      </c>
      <c r="W447" s="3" t="s">
        <v>28</v>
      </c>
      <c r="X447" s="3" t="s">
        <v>98</v>
      </c>
      <c r="Y447" s="14">
        <f t="shared" si="10"/>
        <v>0.3300316122</v>
      </c>
      <c r="Z447" s="3">
        <f t="shared" si="7"/>
        <v>33</v>
      </c>
      <c r="AA447" s="15">
        <f t="shared" si="8"/>
        <v>4</v>
      </c>
    </row>
    <row r="448" ht="15.75" customHeight="1">
      <c r="A448" s="3">
        <v>3.98104035E8</v>
      </c>
      <c r="B448" s="3" t="s">
        <v>1291</v>
      </c>
      <c r="C448" s="3">
        <f>IFERROR(__xludf.DUMMYFUNCTION("split(B448,""/"")"),6.0)</f>
        <v>6</v>
      </c>
      <c r="D448" s="10">
        <f>IFERROR(__xludf.DUMMYFUNCTION("""COMPUTED_VALUE"""),25.0)</f>
        <v>25</v>
      </c>
      <c r="E448" s="11">
        <f>IFERROR(__xludf.DUMMYFUNCTION("""COMPUTED_VALUE"""),2012.0)</f>
        <v>2012</v>
      </c>
      <c r="F448" s="12">
        <f t="shared" si="1"/>
        <v>41085</v>
      </c>
      <c r="G448" s="9">
        <v>41251.0</v>
      </c>
      <c r="H448" s="3">
        <f>IFERROR(__xludf.DUMMYFUNCTION("split(G448,""/"")"),8.0)</f>
        <v>8</v>
      </c>
      <c r="I448" s="3">
        <f>IFERROR(__xludf.DUMMYFUNCTION("""COMPUTED_VALUE"""),12.0)</f>
        <v>12</v>
      </c>
      <c r="J448" s="3">
        <f>IFERROR(__xludf.DUMMYFUNCTION("""COMPUTED_VALUE"""),2012.0)</f>
        <v>2012</v>
      </c>
      <c r="K448" s="12">
        <f t="shared" si="2"/>
        <v>41133</v>
      </c>
      <c r="L448" s="3" t="s">
        <v>825</v>
      </c>
      <c r="M448" s="3" t="s">
        <v>455</v>
      </c>
      <c r="N448" s="3">
        <v>7331.0</v>
      </c>
      <c r="O448" s="3" t="s">
        <v>818</v>
      </c>
      <c r="P448" s="10">
        <v>6686.0</v>
      </c>
      <c r="Q448" s="13">
        <v>255.28</v>
      </c>
      <c r="R448" s="13">
        <v>159.42</v>
      </c>
      <c r="S448" s="13">
        <f t="shared" si="3"/>
        <v>1706802.08</v>
      </c>
      <c r="T448" s="13">
        <f t="shared" si="4"/>
        <v>1065882.12</v>
      </c>
      <c r="U448" s="13">
        <f t="shared" si="5"/>
        <v>640919.96</v>
      </c>
      <c r="V448" s="3" t="str">
        <f>VLOOKUP(N448,products!A:B,2,0)</f>
        <v>Baby Food</v>
      </c>
      <c r="W448" s="3" t="s">
        <v>28</v>
      </c>
      <c r="X448" s="3" t="s">
        <v>33</v>
      </c>
      <c r="Y448" s="14">
        <f t="shared" si="10"/>
        <v>0.3755092448</v>
      </c>
      <c r="Z448" s="3">
        <f t="shared" si="7"/>
        <v>48</v>
      </c>
      <c r="AA448" s="15">
        <f t="shared" si="8"/>
        <v>2</v>
      </c>
    </row>
    <row r="449" ht="15.75" customHeight="1">
      <c r="A449" s="3">
        <v>3.98333632E8</v>
      </c>
      <c r="B449" s="3" t="s">
        <v>1292</v>
      </c>
      <c r="C449" s="3">
        <f>IFERROR(__xludf.DUMMYFUNCTION("split(B449,""/"")"),2.0)</f>
        <v>2</v>
      </c>
      <c r="D449" s="10">
        <f>IFERROR(__xludf.DUMMYFUNCTION("""COMPUTED_VALUE"""),19.0)</f>
        <v>19</v>
      </c>
      <c r="E449" s="11">
        <f>IFERROR(__xludf.DUMMYFUNCTION("""COMPUTED_VALUE"""),2010.0)</f>
        <v>2010</v>
      </c>
      <c r="F449" s="12">
        <f t="shared" si="1"/>
        <v>40228</v>
      </c>
      <c r="G449" s="9">
        <v>40212.0</v>
      </c>
      <c r="H449" s="3">
        <f>IFERROR(__xludf.DUMMYFUNCTION("split(G449,""/"")"),3.0)</f>
        <v>3</v>
      </c>
      <c r="I449" s="3">
        <f>IFERROR(__xludf.DUMMYFUNCTION("""COMPUTED_VALUE"""),2.0)</f>
        <v>2</v>
      </c>
      <c r="J449" s="3">
        <f>IFERROR(__xludf.DUMMYFUNCTION("""COMPUTED_VALUE"""),2010.0)</f>
        <v>2010</v>
      </c>
      <c r="K449" s="12">
        <f t="shared" si="2"/>
        <v>40239</v>
      </c>
      <c r="L449" s="3" t="s">
        <v>817</v>
      </c>
      <c r="M449" s="3" t="s">
        <v>291</v>
      </c>
      <c r="N449" s="3">
        <v>2103.0</v>
      </c>
      <c r="O449" s="3" t="s">
        <v>818</v>
      </c>
      <c r="P449" s="10">
        <v>4629.0</v>
      </c>
      <c r="Q449" s="13">
        <v>205.7</v>
      </c>
      <c r="R449" s="13">
        <v>117.11</v>
      </c>
      <c r="S449" s="13">
        <f t="shared" si="3"/>
        <v>952185.3</v>
      </c>
      <c r="T449" s="13">
        <f t="shared" si="4"/>
        <v>542102.19</v>
      </c>
      <c r="U449" s="13">
        <f t="shared" si="5"/>
        <v>410083.11</v>
      </c>
      <c r="V449" s="3" t="str">
        <f>VLOOKUP(N449,products!A:B,2,0)</f>
        <v>Cereal</v>
      </c>
      <c r="W449" s="3" t="s">
        <v>28</v>
      </c>
      <c r="X449" s="3" t="s">
        <v>79</v>
      </c>
      <c r="Y449" s="14">
        <f t="shared" si="10"/>
        <v>0.4306757414</v>
      </c>
      <c r="Z449" s="3">
        <f t="shared" si="7"/>
        <v>11</v>
      </c>
      <c r="AA449" s="15">
        <f t="shared" si="8"/>
        <v>6</v>
      </c>
    </row>
    <row r="450" ht="15.75" customHeight="1">
      <c r="A450" s="3">
        <v>3.98645198E8</v>
      </c>
      <c r="B450" s="3" t="s">
        <v>1293</v>
      </c>
      <c r="C450" s="3">
        <f>IFERROR(__xludf.DUMMYFUNCTION("split(B450,""/"")"),5.0)</f>
        <v>5</v>
      </c>
      <c r="D450" s="10">
        <f>IFERROR(__xludf.DUMMYFUNCTION("""COMPUTED_VALUE"""),17.0)</f>
        <v>17</v>
      </c>
      <c r="E450" s="11">
        <f>IFERROR(__xludf.DUMMYFUNCTION("""COMPUTED_VALUE"""),2014.0)</f>
        <v>2014</v>
      </c>
      <c r="F450" s="12">
        <f t="shared" si="1"/>
        <v>41776</v>
      </c>
      <c r="G450" s="3" t="s">
        <v>1294</v>
      </c>
      <c r="H450" s="3">
        <f>IFERROR(__xludf.DUMMYFUNCTION("split(G450,""/"")"),5.0)</f>
        <v>5</v>
      </c>
      <c r="I450" s="3">
        <f>IFERROR(__xludf.DUMMYFUNCTION("""COMPUTED_VALUE"""),26.0)</f>
        <v>26</v>
      </c>
      <c r="J450" s="3">
        <f>IFERROR(__xludf.DUMMYFUNCTION("""COMPUTED_VALUE"""),2014.0)</f>
        <v>2014</v>
      </c>
      <c r="K450" s="12">
        <f t="shared" si="2"/>
        <v>41785</v>
      </c>
      <c r="L450" s="3" t="s">
        <v>827</v>
      </c>
      <c r="M450" s="3" t="s">
        <v>346</v>
      </c>
      <c r="N450" s="3">
        <v>7331.0</v>
      </c>
      <c r="O450" s="3" t="s">
        <v>818</v>
      </c>
      <c r="P450" s="10">
        <v>6828.0</v>
      </c>
      <c r="Q450" s="13">
        <v>255.28</v>
      </c>
      <c r="R450" s="13">
        <v>159.42</v>
      </c>
      <c r="S450" s="13">
        <f t="shared" si="3"/>
        <v>1743051.84</v>
      </c>
      <c r="T450" s="13">
        <f t="shared" si="4"/>
        <v>1088519.76</v>
      </c>
      <c r="U450" s="13">
        <f t="shared" si="5"/>
        <v>654532.08</v>
      </c>
      <c r="V450" s="3" t="str">
        <f>VLOOKUP(N450,products!A:B,2,0)</f>
        <v>Baby Food</v>
      </c>
      <c r="W450" s="3" t="s">
        <v>28</v>
      </c>
      <c r="X450" s="3" t="s">
        <v>98</v>
      </c>
      <c r="Y450" s="14">
        <f t="shared" si="10"/>
        <v>0.3755092448</v>
      </c>
      <c r="Z450" s="3">
        <f t="shared" si="7"/>
        <v>9</v>
      </c>
      <c r="AA450" s="15">
        <f t="shared" si="8"/>
        <v>7</v>
      </c>
    </row>
    <row r="451" ht="15.75" customHeight="1">
      <c r="A451" s="3">
        <v>3.99115979E8</v>
      </c>
      <c r="B451" s="9">
        <v>42010.0</v>
      </c>
      <c r="C451" s="3">
        <f>IFERROR(__xludf.DUMMYFUNCTION("split(B451,""/"")"),6.0)</f>
        <v>6</v>
      </c>
      <c r="D451" s="10">
        <f>IFERROR(__xludf.DUMMYFUNCTION("""COMPUTED_VALUE"""),1.0)</f>
        <v>1</v>
      </c>
      <c r="E451" s="11">
        <f>IFERROR(__xludf.DUMMYFUNCTION("""COMPUTED_VALUE"""),2015.0)</f>
        <v>2015</v>
      </c>
      <c r="F451" s="12">
        <f t="shared" si="1"/>
        <v>42156</v>
      </c>
      <c r="G451" s="3" t="s">
        <v>1012</v>
      </c>
      <c r="H451" s="3">
        <f>IFERROR(__xludf.DUMMYFUNCTION("split(G451,""/"")"),6.0)</f>
        <v>6</v>
      </c>
      <c r="I451" s="3">
        <f>IFERROR(__xludf.DUMMYFUNCTION("""COMPUTED_VALUE"""),24.0)</f>
        <v>24</v>
      </c>
      <c r="J451" s="3">
        <f>IFERROR(__xludf.DUMMYFUNCTION("""COMPUTED_VALUE"""),2015.0)</f>
        <v>2015</v>
      </c>
      <c r="K451" s="12">
        <f t="shared" si="2"/>
        <v>42179</v>
      </c>
      <c r="L451" s="3" t="s">
        <v>827</v>
      </c>
      <c r="M451" s="3" t="s">
        <v>671</v>
      </c>
      <c r="N451" s="3">
        <v>5988.0</v>
      </c>
      <c r="O451" s="3" t="s">
        <v>815</v>
      </c>
      <c r="P451" s="10">
        <v>6142.0</v>
      </c>
      <c r="Q451" s="13">
        <v>154.06</v>
      </c>
      <c r="R451" s="13">
        <v>90.93</v>
      </c>
      <c r="S451" s="13">
        <f t="shared" si="3"/>
        <v>946236.52</v>
      </c>
      <c r="T451" s="13">
        <f t="shared" si="4"/>
        <v>558492.06</v>
      </c>
      <c r="U451" s="13">
        <f t="shared" si="5"/>
        <v>387744.46</v>
      </c>
      <c r="V451" s="3" t="str">
        <f>VLOOKUP(N451,products!A:B,2,0)</f>
        <v>Vegetables</v>
      </c>
      <c r="W451" s="3" t="s">
        <v>28</v>
      </c>
      <c r="X451" s="3" t="s">
        <v>33</v>
      </c>
      <c r="Y451" s="14">
        <f t="shared" si="10"/>
        <v>0.4097754122</v>
      </c>
      <c r="Z451" s="3">
        <f t="shared" si="7"/>
        <v>23</v>
      </c>
      <c r="AA451" s="15">
        <f t="shared" si="8"/>
        <v>2</v>
      </c>
    </row>
    <row r="452" ht="15.75" customHeight="1">
      <c r="A452" s="3">
        <v>3.99256312E8</v>
      </c>
      <c r="B452" s="9">
        <v>41955.0</v>
      </c>
      <c r="C452" s="3">
        <f>IFERROR(__xludf.DUMMYFUNCTION("split(B452,""/"")"),12.0)</f>
        <v>12</v>
      </c>
      <c r="D452" s="10">
        <f>IFERROR(__xludf.DUMMYFUNCTION("""COMPUTED_VALUE"""),11.0)</f>
        <v>11</v>
      </c>
      <c r="E452" s="11">
        <f>IFERROR(__xludf.DUMMYFUNCTION("""COMPUTED_VALUE"""),2014.0)</f>
        <v>2014</v>
      </c>
      <c r="F452" s="12">
        <f t="shared" si="1"/>
        <v>41984</v>
      </c>
      <c r="G452" s="9">
        <v>42125.0</v>
      </c>
      <c r="H452" s="3">
        <f>IFERROR(__xludf.DUMMYFUNCTION("split(G452,""/"")"),1.0)</f>
        <v>1</v>
      </c>
      <c r="I452" s="3">
        <f>IFERROR(__xludf.DUMMYFUNCTION("""COMPUTED_VALUE"""),5.0)</f>
        <v>5</v>
      </c>
      <c r="J452" s="3">
        <f>IFERROR(__xludf.DUMMYFUNCTION("""COMPUTED_VALUE"""),2015.0)</f>
        <v>2015</v>
      </c>
      <c r="K452" s="12">
        <f t="shared" si="2"/>
        <v>42009</v>
      </c>
      <c r="L452" s="3" t="s">
        <v>825</v>
      </c>
      <c r="M452" s="3" t="s">
        <v>653</v>
      </c>
      <c r="N452" s="3">
        <v>4594.0</v>
      </c>
      <c r="O452" s="3" t="s">
        <v>815</v>
      </c>
      <c r="P452" s="10">
        <v>7670.0</v>
      </c>
      <c r="Q452" s="13">
        <v>9.33</v>
      </c>
      <c r="R452" s="13">
        <v>6.92</v>
      </c>
      <c r="S452" s="13">
        <f t="shared" si="3"/>
        <v>71561.1</v>
      </c>
      <c r="T452" s="13">
        <f t="shared" si="4"/>
        <v>53076.4</v>
      </c>
      <c r="U452" s="13">
        <f t="shared" si="5"/>
        <v>18484.7</v>
      </c>
      <c r="V452" s="3" t="str">
        <f>VLOOKUP(N452,products!A:B,2,0)</f>
        <v>Fruits</v>
      </c>
      <c r="W452" s="3" t="s">
        <v>28</v>
      </c>
      <c r="X452" s="3" t="s">
        <v>33</v>
      </c>
      <c r="Y452" s="14">
        <f t="shared" si="10"/>
        <v>0.258306538</v>
      </c>
      <c r="Z452" s="3">
        <f t="shared" si="7"/>
        <v>25</v>
      </c>
      <c r="AA452" s="15">
        <f t="shared" si="8"/>
        <v>5</v>
      </c>
    </row>
    <row r="453" ht="15.75" customHeight="1">
      <c r="A453" s="3">
        <v>4.00267398E8</v>
      </c>
      <c r="B453" s="9">
        <v>41585.0</v>
      </c>
      <c r="C453" s="3">
        <f>IFERROR(__xludf.DUMMYFUNCTION("split(B453,""/"")"),7.0)</f>
        <v>7</v>
      </c>
      <c r="D453" s="10">
        <f>IFERROR(__xludf.DUMMYFUNCTION("""COMPUTED_VALUE"""),11.0)</f>
        <v>11</v>
      </c>
      <c r="E453" s="11">
        <f>IFERROR(__xludf.DUMMYFUNCTION("""COMPUTED_VALUE"""),2013.0)</f>
        <v>2013</v>
      </c>
      <c r="F453" s="12">
        <f t="shared" si="1"/>
        <v>41466</v>
      </c>
      <c r="G453" s="3" t="s">
        <v>1295</v>
      </c>
      <c r="H453" s="3">
        <f>IFERROR(__xludf.DUMMYFUNCTION("split(G453,""/"")"),7.0)</f>
        <v>7</v>
      </c>
      <c r="I453" s="3">
        <f>IFERROR(__xludf.DUMMYFUNCTION("""COMPUTED_VALUE"""),20.0)</f>
        <v>20</v>
      </c>
      <c r="J453" s="3">
        <f>IFERROR(__xludf.DUMMYFUNCTION("""COMPUTED_VALUE"""),2013.0)</f>
        <v>2013</v>
      </c>
      <c r="K453" s="12">
        <f t="shared" si="2"/>
        <v>41475</v>
      </c>
      <c r="L453" s="3" t="s">
        <v>814</v>
      </c>
      <c r="M453" s="3" t="s">
        <v>78</v>
      </c>
      <c r="N453" s="3">
        <v>8969.0</v>
      </c>
      <c r="O453" s="3" t="s">
        <v>818</v>
      </c>
      <c r="P453" s="10">
        <v>6873.0</v>
      </c>
      <c r="Q453" s="13">
        <v>152.58</v>
      </c>
      <c r="R453" s="13">
        <v>97.44</v>
      </c>
      <c r="S453" s="13">
        <f t="shared" si="3"/>
        <v>1048682.34</v>
      </c>
      <c r="T453" s="13">
        <f t="shared" si="4"/>
        <v>669705.12</v>
      </c>
      <c r="U453" s="13">
        <f t="shared" si="5"/>
        <v>378977.22</v>
      </c>
      <c r="V453" s="3" t="str">
        <f>VLOOKUP(N453,products!A:B,2,0)</f>
        <v>Snacks</v>
      </c>
      <c r="W453" s="3" t="s">
        <v>28</v>
      </c>
      <c r="X453" s="3" t="s">
        <v>79</v>
      </c>
      <c r="Y453" s="14">
        <f t="shared" si="10"/>
        <v>0.3613841919</v>
      </c>
      <c r="Z453" s="3">
        <f t="shared" si="7"/>
        <v>9</v>
      </c>
      <c r="AA453" s="15">
        <f t="shared" si="8"/>
        <v>5</v>
      </c>
    </row>
    <row r="454" ht="15.75" customHeight="1">
      <c r="A454" s="3">
        <v>4.00904691E8</v>
      </c>
      <c r="B454" s="3" t="s">
        <v>1296</v>
      </c>
      <c r="C454" s="3">
        <f>IFERROR(__xludf.DUMMYFUNCTION("split(B454,""/"")"),6.0)</f>
        <v>6</v>
      </c>
      <c r="D454" s="10">
        <f>IFERROR(__xludf.DUMMYFUNCTION("""COMPUTED_VALUE"""),28.0)</f>
        <v>28</v>
      </c>
      <c r="E454" s="11">
        <f>IFERROR(__xludf.DUMMYFUNCTION("""COMPUTED_VALUE"""),2010.0)</f>
        <v>2010</v>
      </c>
      <c r="F454" s="12">
        <f t="shared" si="1"/>
        <v>40357</v>
      </c>
      <c r="G454" s="9">
        <v>40519.0</v>
      </c>
      <c r="H454" s="3">
        <f>IFERROR(__xludf.DUMMYFUNCTION("split(G454,""/"")"),7.0)</f>
        <v>7</v>
      </c>
      <c r="I454" s="3">
        <f>IFERROR(__xludf.DUMMYFUNCTION("""COMPUTED_VALUE"""),12.0)</f>
        <v>12</v>
      </c>
      <c r="J454" s="3">
        <f>IFERROR(__xludf.DUMMYFUNCTION("""COMPUTED_VALUE"""),2010.0)</f>
        <v>2010</v>
      </c>
      <c r="K454" s="12">
        <f t="shared" si="2"/>
        <v>40371</v>
      </c>
      <c r="L454" s="3" t="s">
        <v>814</v>
      </c>
      <c r="M454" s="3" t="s">
        <v>413</v>
      </c>
      <c r="N454" s="3">
        <v>2103.0</v>
      </c>
      <c r="O454" s="3" t="s">
        <v>818</v>
      </c>
      <c r="P454" s="10">
        <v>5462.0</v>
      </c>
      <c r="Q454" s="13">
        <v>205.7</v>
      </c>
      <c r="R454" s="13">
        <v>117.11</v>
      </c>
      <c r="S454" s="13">
        <f t="shared" si="3"/>
        <v>1123533.4</v>
      </c>
      <c r="T454" s="13">
        <f t="shared" si="4"/>
        <v>639654.82</v>
      </c>
      <c r="U454" s="13">
        <f t="shared" si="5"/>
        <v>483878.58</v>
      </c>
      <c r="V454" s="3" t="str">
        <f>VLOOKUP(N454,products!A:B,2,0)</f>
        <v>Cereal</v>
      </c>
      <c r="W454" s="3" t="s">
        <v>28</v>
      </c>
      <c r="X454" s="3" t="s">
        <v>29</v>
      </c>
      <c r="Y454" s="14">
        <f t="shared" si="10"/>
        <v>0.4306757414</v>
      </c>
      <c r="Z454" s="3">
        <f t="shared" si="7"/>
        <v>14</v>
      </c>
      <c r="AA454" s="15">
        <f t="shared" si="8"/>
        <v>2</v>
      </c>
    </row>
    <row r="455" ht="15.75" customHeight="1">
      <c r="A455" s="3">
        <v>4.01993882E8</v>
      </c>
      <c r="B455" s="3" t="s">
        <v>1112</v>
      </c>
      <c r="C455" s="3">
        <f>IFERROR(__xludf.DUMMYFUNCTION("split(B455,""/"")"),3.0)</f>
        <v>3</v>
      </c>
      <c r="D455" s="10">
        <f>IFERROR(__xludf.DUMMYFUNCTION("""COMPUTED_VALUE"""),21.0)</f>
        <v>21</v>
      </c>
      <c r="E455" s="11">
        <f>IFERROR(__xludf.DUMMYFUNCTION("""COMPUTED_VALUE"""),2011.0)</f>
        <v>2011</v>
      </c>
      <c r="F455" s="12">
        <f t="shared" si="1"/>
        <v>40623</v>
      </c>
      <c r="G455" s="9">
        <v>40851.0</v>
      </c>
      <c r="H455" s="3">
        <f>IFERROR(__xludf.DUMMYFUNCTION("split(G455,""/"")"),4.0)</f>
        <v>4</v>
      </c>
      <c r="I455" s="3">
        <f>IFERROR(__xludf.DUMMYFUNCTION("""COMPUTED_VALUE"""),11.0)</f>
        <v>11</v>
      </c>
      <c r="J455" s="3">
        <f>IFERROR(__xludf.DUMMYFUNCTION("""COMPUTED_VALUE"""),2011.0)</f>
        <v>2011</v>
      </c>
      <c r="K455" s="12">
        <f t="shared" si="2"/>
        <v>40644</v>
      </c>
      <c r="L455" s="3" t="s">
        <v>814</v>
      </c>
      <c r="M455" s="3" t="s">
        <v>740</v>
      </c>
      <c r="N455" s="3">
        <v>2103.0</v>
      </c>
      <c r="O455" s="3" t="s">
        <v>818</v>
      </c>
      <c r="P455" s="10">
        <v>7778.0</v>
      </c>
      <c r="Q455" s="13">
        <v>205.7</v>
      </c>
      <c r="R455" s="13">
        <v>117.11</v>
      </c>
      <c r="S455" s="13">
        <f t="shared" si="3"/>
        <v>1599934.6</v>
      </c>
      <c r="T455" s="13">
        <f t="shared" si="4"/>
        <v>910881.58</v>
      </c>
      <c r="U455" s="13">
        <f t="shared" si="5"/>
        <v>689053.02</v>
      </c>
      <c r="V455" s="3" t="str">
        <f>VLOOKUP(N455,products!A:B,2,0)</f>
        <v>Cereal</v>
      </c>
      <c r="W455" s="3" t="s">
        <v>28</v>
      </c>
      <c r="X455" s="3" t="s">
        <v>98</v>
      </c>
      <c r="Y455" s="14">
        <f t="shared" si="10"/>
        <v>0.4306757414</v>
      </c>
      <c r="Z455" s="3">
        <f t="shared" si="7"/>
        <v>21</v>
      </c>
      <c r="AA455" s="15">
        <f t="shared" si="8"/>
        <v>2</v>
      </c>
    </row>
    <row r="456" ht="15.75" customHeight="1">
      <c r="A456" s="3">
        <v>4.03337991E8</v>
      </c>
      <c r="B456" s="3" t="s">
        <v>1297</v>
      </c>
      <c r="C456" s="3">
        <f>IFERROR(__xludf.DUMMYFUNCTION("split(B456,""/"")"),10.0)</f>
        <v>10</v>
      </c>
      <c r="D456" s="10">
        <f>IFERROR(__xludf.DUMMYFUNCTION("""COMPUTED_VALUE"""),15.0)</f>
        <v>15</v>
      </c>
      <c r="E456" s="11">
        <f>IFERROR(__xludf.DUMMYFUNCTION("""COMPUTED_VALUE"""),2016.0)</f>
        <v>2016</v>
      </c>
      <c r="F456" s="12">
        <f t="shared" si="1"/>
        <v>42658</v>
      </c>
      <c r="G456" s="3" t="s">
        <v>1084</v>
      </c>
      <c r="H456" s="3">
        <f>IFERROR(__xludf.DUMMYFUNCTION("split(G456,""/"")"),11.0)</f>
        <v>11</v>
      </c>
      <c r="I456" s="3">
        <f>IFERROR(__xludf.DUMMYFUNCTION("""COMPUTED_VALUE"""),24.0)</f>
        <v>24</v>
      </c>
      <c r="J456" s="3">
        <f>IFERROR(__xludf.DUMMYFUNCTION("""COMPUTED_VALUE"""),2016.0)</f>
        <v>2016</v>
      </c>
      <c r="K456" s="12">
        <f t="shared" si="2"/>
        <v>42698</v>
      </c>
      <c r="L456" s="3" t="s">
        <v>825</v>
      </c>
      <c r="M456" s="3" t="s">
        <v>46</v>
      </c>
      <c r="N456" s="3">
        <v>5988.0</v>
      </c>
      <c r="O456" s="3" t="s">
        <v>818</v>
      </c>
      <c r="P456" s="10">
        <v>5529.0</v>
      </c>
      <c r="Q456" s="13">
        <v>154.06</v>
      </c>
      <c r="R456" s="13">
        <v>90.93</v>
      </c>
      <c r="S456" s="13">
        <f t="shared" si="3"/>
        <v>851797.74</v>
      </c>
      <c r="T456" s="13">
        <f t="shared" si="4"/>
        <v>502751.97</v>
      </c>
      <c r="U456" s="13">
        <f t="shared" si="5"/>
        <v>349045.77</v>
      </c>
      <c r="V456" s="3" t="str">
        <f>VLOOKUP(N456,products!A:B,2,0)</f>
        <v>Vegetables</v>
      </c>
      <c r="W456" s="3" t="s">
        <v>28</v>
      </c>
      <c r="X456" s="3" t="s">
        <v>33</v>
      </c>
      <c r="Y456" s="14">
        <f t="shared" si="10"/>
        <v>0.4097754122</v>
      </c>
      <c r="Z456" s="3">
        <f t="shared" si="7"/>
        <v>40</v>
      </c>
      <c r="AA456" s="15">
        <f t="shared" si="8"/>
        <v>7</v>
      </c>
    </row>
    <row r="457" ht="15.75" customHeight="1">
      <c r="A457" s="3">
        <v>4.03665006E8</v>
      </c>
      <c r="B457" s="3" t="s">
        <v>1232</v>
      </c>
      <c r="C457" s="3">
        <f>IFERROR(__xludf.DUMMYFUNCTION("split(B457,""/"")"),1.0)</f>
        <v>1</v>
      </c>
      <c r="D457" s="10">
        <f>IFERROR(__xludf.DUMMYFUNCTION("""COMPUTED_VALUE"""),16.0)</f>
        <v>16</v>
      </c>
      <c r="E457" s="11">
        <f>IFERROR(__xludf.DUMMYFUNCTION("""COMPUTED_VALUE"""),2016.0)</f>
        <v>2016</v>
      </c>
      <c r="F457" s="12">
        <f t="shared" si="1"/>
        <v>42385</v>
      </c>
      <c r="G457" s="3" t="s">
        <v>852</v>
      </c>
      <c r="H457" s="3">
        <f>IFERROR(__xludf.DUMMYFUNCTION("split(G457,""/"")"),2.0)</f>
        <v>2</v>
      </c>
      <c r="I457" s="3">
        <f>IFERROR(__xludf.DUMMYFUNCTION("""COMPUTED_VALUE"""),19.0)</f>
        <v>19</v>
      </c>
      <c r="J457" s="3">
        <f>IFERROR(__xludf.DUMMYFUNCTION("""COMPUTED_VALUE"""),2016.0)</f>
        <v>2016</v>
      </c>
      <c r="K457" s="12">
        <f t="shared" si="2"/>
        <v>42419</v>
      </c>
      <c r="L457" s="3" t="s">
        <v>817</v>
      </c>
      <c r="M457" s="3" t="s">
        <v>97</v>
      </c>
      <c r="N457" s="3">
        <v>8969.0</v>
      </c>
      <c r="O457" s="3" t="s">
        <v>818</v>
      </c>
      <c r="P457" s="10">
        <v>2300.0</v>
      </c>
      <c r="Q457" s="13">
        <v>152.58</v>
      </c>
      <c r="R457" s="13">
        <v>97.44</v>
      </c>
      <c r="S457" s="13">
        <f t="shared" si="3"/>
        <v>350934</v>
      </c>
      <c r="T457" s="13">
        <f t="shared" si="4"/>
        <v>224112</v>
      </c>
      <c r="U457" s="13">
        <f t="shared" si="5"/>
        <v>126822</v>
      </c>
      <c r="V457" s="3" t="str">
        <f>VLOOKUP(N457,products!A:B,2,0)</f>
        <v>Snacks</v>
      </c>
      <c r="W457" s="3" t="s">
        <v>28</v>
      </c>
      <c r="X457" s="3" t="s">
        <v>98</v>
      </c>
      <c r="Y457" s="14">
        <f t="shared" si="10"/>
        <v>0.3613841919</v>
      </c>
      <c r="Z457" s="3">
        <f t="shared" si="7"/>
        <v>34</v>
      </c>
      <c r="AA457" s="15">
        <f t="shared" si="8"/>
        <v>7</v>
      </c>
    </row>
    <row r="458" ht="15.75" customHeight="1">
      <c r="A458" s="3">
        <v>4.04789817E8</v>
      </c>
      <c r="B458" s="9">
        <v>42071.0</v>
      </c>
      <c r="C458" s="3">
        <f>IFERROR(__xludf.DUMMYFUNCTION("split(B458,""/"")"),8.0)</f>
        <v>8</v>
      </c>
      <c r="D458" s="10">
        <f>IFERROR(__xludf.DUMMYFUNCTION("""COMPUTED_VALUE"""),3.0)</f>
        <v>3</v>
      </c>
      <c r="E458" s="11">
        <f>IFERROR(__xludf.DUMMYFUNCTION("""COMPUTED_VALUE"""),2015.0)</f>
        <v>2015</v>
      </c>
      <c r="F458" s="12">
        <f t="shared" si="1"/>
        <v>42219</v>
      </c>
      <c r="G458" s="9">
        <v>42225.0</v>
      </c>
      <c r="H458" s="3">
        <f>IFERROR(__xludf.DUMMYFUNCTION("split(G458,""/"")"),9.0)</f>
        <v>9</v>
      </c>
      <c r="I458" s="3">
        <f>IFERROR(__xludf.DUMMYFUNCTION("""COMPUTED_VALUE"""),8.0)</f>
        <v>8</v>
      </c>
      <c r="J458" s="3">
        <f>IFERROR(__xludf.DUMMYFUNCTION("""COMPUTED_VALUE"""),2015.0)</f>
        <v>2015</v>
      </c>
      <c r="K458" s="12">
        <f t="shared" si="2"/>
        <v>42255</v>
      </c>
      <c r="L458" s="3" t="s">
        <v>825</v>
      </c>
      <c r="M458" s="3" t="s">
        <v>578</v>
      </c>
      <c r="N458" s="3">
        <v>7331.0</v>
      </c>
      <c r="O458" s="3" t="s">
        <v>815</v>
      </c>
      <c r="P458" s="10">
        <v>5157.0</v>
      </c>
      <c r="Q458" s="13">
        <v>255.28</v>
      </c>
      <c r="R458" s="13">
        <v>159.42</v>
      </c>
      <c r="S458" s="13">
        <f t="shared" si="3"/>
        <v>1316478.96</v>
      </c>
      <c r="T458" s="13">
        <f t="shared" si="4"/>
        <v>822128.94</v>
      </c>
      <c r="U458" s="13">
        <f t="shared" si="5"/>
        <v>494350.02</v>
      </c>
      <c r="V458" s="3" t="str">
        <f>VLOOKUP(N458,products!A:B,2,0)</f>
        <v>Baby Food</v>
      </c>
      <c r="W458" s="3" t="s">
        <v>28</v>
      </c>
      <c r="X458" s="3" t="s">
        <v>33</v>
      </c>
      <c r="Y458" s="14">
        <f t="shared" si="10"/>
        <v>0.3755092448</v>
      </c>
      <c r="Z458" s="3">
        <f t="shared" si="7"/>
        <v>36</v>
      </c>
      <c r="AA458" s="15">
        <f t="shared" si="8"/>
        <v>2</v>
      </c>
    </row>
    <row r="459" ht="15.75" customHeight="1">
      <c r="A459" s="3">
        <v>4.05986297E8</v>
      </c>
      <c r="B459" s="9">
        <v>41894.0</v>
      </c>
      <c r="C459" s="3">
        <f>IFERROR(__xludf.DUMMYFUNCTION("split(B459,""/"")"),12.0)</f>
        <v>12</v>
      </c>
      <c r="D459" s="10">
        <f>IFERROR(__xludf.DUMMYFUNCTION("""COMPUTED_VALUE"""),9.0)</f>
        <v>9</v>
      </c>
      <c r="E459" s="11">
        <f>IFERROR(__xludf.DUMMYFUNCTION("""COMPUTED_VALUE"""),2014.0)</f>
        <v>2014</v>
      </c>
      <c r="F459" s="12">
        <f t="shared" si="1"/>
        <v>41982</v>
      </c>
      <c r="G459" s="9">
        <v>42036.0</v>
      </c>
      <c r="H459" s="3">
        <f>IFERROR(__xludf.DUMMYFUNCTION("split(G459,""/"")"),1.0)</f>
        <v>1</v>
      </c>
      <c r="I459" s="3">
        <f>IFERROR(__xludf.DUMMYFUNCTION("""COMPUTED_VALUE"""),2.0)</f>
        <v>2</v>
      </c>
      <c r="J459" s="3">
        <f>IFERROR(__xludf.DUMMYFUNCTION("""COMPUTED_VALUE"""),2015.0)</f>
        <v>2015</v>
      </c>
      <c r="K459" s="12">
        <f t="shared" si="2"/>
        <v>42006</v>
      </c>
      <c r="L459" s="3" t="s">
        <v>825</v>
      </c>
      <c r="M459" s="3" t="s">
        <v>291</v>
      </c>
      <c r="N459" s="3">
        <v>7331.0</v>
      </c>
      <c r="O459" s="3" t="s">
        <v>815</v>
      </c>
      <c r="P459" s="10">
        <v>9222.0</v>
      </c>
      <c r="Q459" s="13">
        <v>255.28</v>
      </c>
      <c r="R459" s="13">
        <v>159.42</v>
      </c>
      <c r="S459" s="13">
        <f t="shared" si="3"/>
        <v>2354192.16</v>
      </c>
      <c r="T459" s="13">
        <f t="shared" si="4"/>
        <v>1470171.24</v>
      </c>
      <c r="U459" s="13">
        <f t="shared" si="5"/>
        <v>884020.92</v>
      </c>
      <c r="V459" s="3" t="str">
        <f>VLOOKUP(N459,products!A:B,2,0)</f>
        <v>Baby Food</v>
      </c>
      <c r="W459" s="3" t="s">
        <v>28</v>
      </c>
      <c r="X459" s="3" t="s">
        <v>79</v>
      </c>
      <c r="Y459" s="14">
        <f t="shared" si="10"/>
        <v>0.3755092448</v>
      </c>
      <c r="Z459" s="3">
        <f t="shared" si="7"/>
        <v>24</v>
      </c>
      <c r="AA459" s="15">
        <f t="shared" si="8"/>
        <v>3</v>
      </c>
    </row>
    <row r="460" ht="15.75" customHeight="1">
      <c r="A460" s="3">
        <v>4.06270396E8</v>
      </c>
      <c r="B460" s="9">
        <v>42433.0</v>
      </c>
      <c r="C460" s="3">
        <f>IFERROR(__xludf.DUMMYFUNCTION("split(B460,""/"")"),4.0)</f>
        <v>4</v>
      </c>
      <c r="D460" s="10">
        <f>IFERROR(__xludf.DUMMYFUNCTION("""COMPUTED_VALUE"""),3.0)</f>
        <v>3</v>
      </c>
      <c r="E460" s="11">
        <f>IFERROR(__xludf.DUMMYFUNCTION("""COMPUTED_VALUE"""),2016.0)</f>
        <v>2016</v>
      </c>
      <c r="F460" s="12">
        <f t="shared" si="1"/>
        <v>42463</v>
      </c>
      <c r="G460" s="3" t="s">
        <v>1298</v>
      </c>
      <c r="H460" s="3">
        <f>IFERROR(__xludf.DUMMYFUNCTION("split(G460,""/"")"),5.0)</f>
        <v>5</v>
      </c>
      <c r="I460" s="3">
        <f>IFERROR(__xludf.DUMMYFUNCTION("""COMPUTED_VALUE"""),19.0)</f>
        <v>19</v>
      </c>
      <c r="J460" s="3">
        <f>IFERROR(__xludf.DUMMYFUNCTION("""COMPUTED_VALUE"""),2016.0)</f>
        <v>2016</v>
      </c>
      <c r="K460" s="12">
        <f t="shared" si="2"/>
        <v>42509</v>
      </c>
      <c r="L460" s="3" t="s">
        <v>825</v>
      </c>
      <c r="M460" s="3" t="s">
        <v>590</v>
      </c>
      <c r="N460" s="3">
        <v>8969.0</v>
      </c>
      <c r="O460" s="3" t="s">
        <v>815</v>
      </c>
      <c r="P460" s="10">
        <v>3293.0</v>
      </c>
      <c r="Q460" s="13">
        <v>152.58</v>
      </c>
      <c r="R460" s="13">
        <v>97.44</v>
      </c>
      <c r="S460" s="13">
        <f t="shared" si="3"/>
        <v>502445.94</v>
      </c>
      <c r="T460" s="13">
        <f t="shared" si="4"/>
        <v>320869.92</v>
      </c>
      <c r="U460" s="13">
        <f t="shared" si="5"/>
        <v>181576.02</v>
      </c>
      <c r="V460" s="3" t="str">
        <f>VLOOKUP(N460,products!A:B,2,0)</f>
        <v>Snacks</v>
      </c>
      <c r="W460" s="3" t="s">
        <v>28</v>
      </c>
      <c r="X460" s="3" t="s">
        <v>98</v>
      </c>
      <c r="Y460" s="14">
        <f t="shared" si="10"/>
        <v>0.3613841919</v>
      </c>
      <c r="Z460" s="3">
        <f t="shared" si="7"/>
        <v>46</v>
      </c>
      <c r="AA460" s="15">
        <f t="shared" si="8"/>
        <v>1</v>
      </c>
    </row>
    <row r="461" ht="15.75" customHeight="1">
      <c r="A461" s="3">
        <v>4.06564366E8</v>
      </c>
      <c r="B461" s="9">
        <v>41828.0</v>
      </c>
      <c r="C461" s="3">
        <f>IFERROR(__xludf.DUMMYFUNCTION("split(B461,""/"")"),8.0)</f>
        <v>8</v>
      </c>
      <c r="D461" s="10">
        <f>IFERROR(__xludf.DUMMYFUNCTION("""COMPUTED_VALUE"""),7.0)</f>
        <v>7</v>
      </c>
      <c r="E461" s="11">
        <f>IFERROR(__xludf.DUMMYFUNCTION("""COMPUTED_VALUE"""),2014.0)</f>
        <v>2014</v>
      </c>
      <c r="F461" s="12">
        <f t="shared" si="1"/>
        <v>41858</v>
      </c>
      <c r="G461" s="3" t="s">
        <v>1299</v>
      </c>
      <c r="H461" s="3">
        <f>IFERROR(__xludf.DUMMYFUNCTION("split(G461,""/"")"),8.0)</f>
        <v>8</v>
      </c>
      <c r="I461" s="3">
        <f>IFERROR(__xludf.DUMMYFUNCTION("""COMPUTED_VALUE"""),25.0)</f>
        <v>25</v>
      </c>
      <c r="J461" s="3">
        <f>IFERROR(__xludf.DUMMYFUNCTION("""COMPUTED_VALUE"""),2014.0)</f>
        <v>2014</v>
      </c>
      <c r="K461" s="12">
        <f t="shared" si="2"/>
        <v>41876</v>
      </c>
      <c r="L461" s="3" t="s">
        <v>814</v>
      </c>
      <c r="M461" s="3" t="s">
        <v>32</v>
      </c>
      <c r="N461" s="3">
        <v>5988.0</v>
      </c>
      <c r="O461" s="3" t="s">
        <v>815</v>
      </c>
      <c r="P461" s="10">
        <v>286.0</v>
      </c>
      <c r="Q461" s="13">
        <v>154.06</v>
      </c>
      <c r="R461" s="13">
        <v>90.93</v>
      </c>
      <c r="S461" s="13">
        <f t="shared" si="3"/>
        <v>44061.16</v>
      </c>
      <c r="T461" s="13">
        <f t="shared" si="4"/>
        <v>26005.98</v>
      </c>
      <c r="U461" s="13">
        <f t="shared" si="5"/>
        <v>18055.18</v>
      </c>
      <c r="V461" s="3" t="str">
        <f>VLOOKUP(N461,products!A:B,2,0)</f>
        <v>Vegetables</v>
      </c>
      <c r="W461" s="3" t="s">
        <v>28</v>
      </c>
      <c r="X461" s="3" t="s">
        <v>33</v>
      </c>
      <c r="Y461" s="14">
        <f t="shared" si="10"/>
        <v>0.4097754122</v>
      </c>
      <c r="Z461" s="3">
        <f t="shared" si="7"/>
        <v>18</v>
      </c>
      <c r="AA461" s="15">
        <f t="shared" si="8"/>
        <v>5</v>
      </c>
    </row>
    <row r="462" ht="15.75" customHeight="1">
      <c r="A462" s="3">
        <v>4.07220542E8</v>
      </c>
      <c r="B462" s="3" t="s">
        <v>1175</v>
      </c>
      <c r="C462" s="3">
        <f>IFERROR(__xludf.DUMMYFUNCTION("split(B462,""/"")"),5.0)</f>
        <v>5</v>
      </c>
      <c r="D462" s="10">
        <f>IFERROR(__xludf.DUMMYFUNCTION("""COMPUTED_VALUE"""),29.0)</f>
        <v>29</v>
      </c>
      <c r="E462" s="11">
        <f>IFERROR(__xludf.DUMMYFUNCTION("""COMPUTED_VALUE"""),2016.0)</f>
        <v>2016</v>
      </c>
      <c r="F462" s="12">
        <f t="shared" si="1"/>
        <v>42519</v>
      </c>
      <c r="G462" s="9">
        <v>42467.0</v>
      </c>
      <c r="H462" s="3">
        <f>IFERROR(__xludf.DUMMYFUNCTION("split(G462,""/"")"),7.0)</f>
        <v>7</v>
      </c>
      <c r="I462" s="3">
        <f>IFERROR(__xludf.DUMMYFUNCTION("""COMPUTED_VALUE"""),4.0)</f>
        <v>4</v>
      </c>
      <c r="J462" s="3">
        <f>IFERROR(__xludf.DUMMYFUNCTION("""COMPUTED_VALUE"""),2016.0)</f>
        <v>2016</v>
      </c>
      <c r="K462" s="12">
        <f t="shared" si="2"/>
        <v>42555</v>
      </c>
      <c r="L462" s="3" t="s">
        <v>825</v>
      </c>
      <c r="M462" s="3" t="s">
        <v>686</v>
      </c>
      <c r="N462" s="3">
        <v>2103.0</v>
      </c>
      <c r="O462" s="3" t="s">
        <v>815</v>
      </c>
      <c r="P462" s="10">
        <v>4463.0</v>
      </c>
      <c r="Q462" s="13">
        <v>205.7</v>
      </c>
      <c r="R462" s="13">
        <v>117.11</v>
      </c>
      <c r="S462" s="13">
        <f t="shared" si="3"/>
        <v>918039.1</v>
      </c>
      <c r="T462" s="13">
        <f t="shared" si="4"/>
        <v>522661.93</v>
      </c>
      <c r="U462" s="13">
        <f t="shared" si="5"/>
        <v>395377.17</v>
      </c>
      <c r="V462" s="3" t="str">
        <f>VLOOKUP(N462,products!A:B,2,0)</f>
        <v>Cereal</v>
      </c>
      <c r="W462" s="3" t="s">
        <v>28</v>
      </c>
      <c r="X462" s="3" t="s">
        <v>29</v>
      </c>
      <c r="Y462" s="14">
        <f t="shared" si="10"/>
        <v>0.4306757414</v>
      </c>
      <c r="Z462" s="3">
        <f t="shared" si="7"/>
        <v>36</v>
      </c>
      <c r="AA462" s="15">
        <f t="shared" si="8"/>
        <v>1</v>
      </c>
    </row>
    <row r="463" ht="15.75" customHeight="1">
      <c r="A463" s="3">
        <v>4.08540618E8</v>
      </c>
      <c r="B463" s="3" t="s">
        <v>1300</v>
      </c>
      <c r="C463" s="3">
        <f>IFERROR(__xludf.DUMMYFUNCTION("split(B463,""/"")"),9.0)</f>
        <v>9</v>
      </c>
      <c r="D463" s="10">
        <f>IFERROR(__xludf.DUMMYFUNCTION("""COMPUTED_VALUE"""),30.0)</f>
        <v>30</v>
      </c>
      <c r="E463" s="11">
        <f>IFERROR(__xludf.DUMMYFUNCTION("""COMPUTED_VALUE"""),2013.0)</f>
        <v>2013</v>
      </c>
      <c r="F463" s="12">
        <f t="shared" si="1"/>
        <v>41547</v>
      </c>
      <c r="G463" s="3" t="s">
        <v>1301</v>
      </c>
      <c r="H463" s="3">
        <f>IFERROR(__xludf.DUMMYFUNCTION("split(G463,""/"")"),11.0)</f>
        <v>11</v>
      </c>
      <c r="I463" s="3">
        <f>IFERROR(__xludf.DUMMYFUNCTION("""COMPUTED_VALUE"""),13.0)</f>
        <v>13</v>
      </c>
      <c r="J463" s="3">
        <f>IFERROR(__xludf.DUMMYFUNCTION("""COMPUTED_VALUE"""),2013.0)</f>
        <v>2013</v>
      </c>
      <c r="K463" s="12">
        <f t="shared" si="2"/>
        <v>41591</v>
      </c>
      <c r="L463" s="3" t="s">
        <v>814</v>
      </c>
      <c r="M463" s="3" t="s">
        <v>623</v>
      </c>
      <c r="N463" s="3">
        <v>5988.0</v>
      </c>
      <c r="O463" s="3" t="s">
        <v>818</v>
      </c>
      <c r="P463" s="10">
        <v>5102.0</v>
      </c>
      <c r="Q463" s="13">
        <v>154.06</v>
      </c>
      <c r="R463" s="13">
        <v>90.93</v>
      </c>
      <c r="S463" s="13">
        <f t="shared" si="3"/>
        <v>786014.12</v>
      </c>
      <c r="T463" s="13">
        <f t="shared" si="4"/>
        <v>463924.86</v>
      </c>
      <c r="U463" s="13">
        <f t="shared" si="5"/>
        <v>322089.26</v>
      </c>
      <c r="V463" s="3" t="str">
        <f>VLOOKUP(N463,products!A:B,2,0)</f>
        <v>Vegetables</v>
      </c>
      <c r="W463" s="3" t="s">
        <v>28</v>
      </c>
      <c r="X463" s="3" t="s">
        <v>33</v>
      </c>
      <c r="Y463" s="14">
        <f t="shared" si="10"/>
        <v>0.4097754122</v>
      </c>
      <c r="Z463" s="3">
        <f t="shared" si="7"/>
        <v>44</v>
      </c>
      <c r="AA463" s="15">
        <f t="shared" si="8"/>
        <v>2</v>
      </c>
    </row>
    <row r="464" ht="15.75" customHeight="1">
      <c r="A464" s="3">
        <v>4.09112679E8</v>
      </c>
      <c r="B464" s="3" t="s">
        <v>1302</v>
      </c>
      <c r="C464" s="3">
        <f>IFERROR(__xludf.DUMMYFUNCTION("split(B464,""/"")"),3.0)</f>
        <v>3</v>
      </c>
      <c r="D464" s="10">
        <f>IFERROR(__xludf.DUMMYFUNCTION("""COMPUTED_VALUE"""),30.0)</f>
        <v>30</v>
      </c>
      <c r="E464" s="11">
        <f>IFERROR(__xludf.DUMMYFUNCTION("""COMPUTED_VALUE"""),2013.0)</f>
        <v>2013</v>
      </c>
      <c r="F464" s="12">
        <f t="shared" si="1"/>
        <v>41363</v>
      </c>
      <c r="G464" s="3" t="s">
        <v>1303</v>
      </c>
      <c r="H464" s="3">
        <f>IFERROR(__xludf.DUMMYFUNCTION("split(G464,""/"")"),5.0)</f>
        <v>5</v>
      </c>
      <c r="I464" s="3">
        <f>IFERROR(__xludf.DUMMYFUNCTION("""COMPUTED_VALUE"""),18.0)</f>
        <v>18</v>
      </c>
      <c r="J464" s="3">
        <f>IFERROR(__xludf.DUMMYFUNCTION("""COMPUTED_VALUE"""),2013.0)</f>
        <v>2013</v>
      </c>
      <c r="K464" s="12">
        <f t="shared" si="2"/>
        <v>41412</v>
      </c>
      <c r="L464" s="3" t="s">
        <v>827</v>
      </c>
      <c r="M464" s="3" t="s">
        <v>488</v>
      </c>
      <c r="N464" s="3">
        <v>5988.0</v>
      </c>
      <c r="O464" s="3" t="s">
        <v>815</v>
      </c>
      <c r="P464" s="10">
        <v>4388.0</v>
      </c>
      <c r="Q464" s="13">
        <v>154.06</v>
      </c>
      <c r="R464" s="13">
        <v>90.93</v>
      </c>
      <c r="S464" s="13">
        <f t="shared" si="3"/>
        <v>676015.28</v>
      </c>
      <c r="T464" s="13">
        <f t="shared" si="4"/>
        <v>399000.84</v>
      </c>
      <c r="U464" s="13">
        <f t="shared" si="5"/>
        <v>277014.44</v>
      </c>
      <c r="V464" s="3" t="str">
        <f>VLOOKUP(N464,products!A:B,2,0)</f>
        <v>Vegetables</v>
      </c>
      <c r="W464" s="3" t="s">
        <v>28</v>
      </c>
      <c r="X464" s="3" t="s">
        <v>33</v>
      </c>
      <c r="Y464" s="14">
        <f t="shared" si="10"/>
        <v>0.4097754122</v>
      </c>
      <c r="Z464" s="3">
        <f t="shared" si="7"/>
        <v>49</v>
      </c>
      <c r="AA464" s="15">
        <f t="shared" si="8"/>
        <v>7</v>
      </c>
    </row>
    <row r="465" ht="15.75" customHeight="1">
      <c r="A465" s="3">
        <v>4.09514796E8</v>
      </c>
      <c r="B465" s="3" t="s">
        <v>1304</v>
      </c>
      <c r="C465" s="3">
        <f>IFERROR(__xludf.DUMMYFUNCTION("split(B465,""/"")"),7.0)</f>
        <v>7</v>
      </c>
      <c r="D465" s="10">
        <f>IFERROR(__xludf.DUMMYFUNCTION("""COMPUTED_VALUE"""),24.0)</f>
        <v>24</v>
      </c>
      <c r="E465" s="11">
        <f>IFERROR(__xludf.DUMMYFUNCTION("""COMPUTED_VALUE"""),2014.0)</f>
        <v>2014</v>
      </c>
      <c r="F465" s="12">
        <f t="shared" si="1"/>
        <v>41844</v>
      </c>
      <c r="G465" s="9">
        <v>41829.0</v>
      </c>
      <c r="H465" s="3">
        <f>IFERROR(__xludf.DUMMYFUNCTION("split(G465,""/"")"),9.0)</f>
        <v>9</v>
      </c>
      <c r="I465" s="3">
        <f>IFERROR(__xludf.DUMMYFUNCTION("""COMPUTED_VALUE"""),7.0)</f>
        <v>7</v>
      </c>
      <c r="J465" s="3">
        <f>IFERROR(__xludf.DUMMYFUNCTION("""COMPUTED_VALUE"""),2014.0)</f>
        <v>2014</v>
      </c>
      <c r="K465" s="12">
        <f t="shared" si="2"/>
        <v>41889</v>
      </c>
      <c r="L465" s="3" t="s">
        <v>825</v>
      </c>
      <c r="M465" s="3" t="s">
        <v>123</v>
      </c>
      <c r="N465" s="3">
        <v>3127.0</v>
      </c>
      <c r="O465" s="3" t="s">
        <v>815</v>
      </c>
      <c r="P465" s="10">
        <v>3383.0</v>
      </c>
      <c r="Q465" s="13">
        <v>81.73</v>
      </c>
      <c r="R465" s="13">
        <v>56.67</v>
      </c>
      <c r="S465" s="13">
        <f t="shared" si="3"/>
        <v>276492.59</v>
      </c>
      <c r="T465" s="13">
        <f t="shared" si="4"/>
        <v>191714.61</v>
      </c>
      <c r="U465" s="13">
        <f t="shared" si="5"/>
        <v>84777.98</v>
      </c>
      <c r="V465" s="3" t="str">
        <f>VLOOKUP(N465,products!A:B,2,0)</f>
        <v>Personal Care</v>
      </c>
      <c r="W465" s="3" t="s">
        <v>28</v>
      </c>
      <c r="X465" s="3" t="s">
        <v>33</v>
      </c>
      <c r="Y465" s="14">
        <f t="shared" si="10"/>
        <v>0.3066193564</v>
      </c>
      <c r="Z465" s="3">
        <f t="shared" si="7"/>
        <v>45</v>
      </c>
      <c r="AA465" s="15">
        <f t="shared" si="8"/>
        <v>5</v>
      </c>
    </row>
    <row r="466" ht="15.75" customHeight="1">
      <c r="A466" s="3">
        <v>4.10229337E8</v>
      </c>
      <c r="B466" s="3" t="s">
        <v>860</v>
      </c>
      <c r="C466" s="3">
        <f>IFERROR(__xludf.DUMMYFUNCTION("split(B466,""/"")"),11.0)</f>
        <v>11</v>
      </c>
      <c r="D466" s="10">
        <f>IFERROR(__xludf.DUMMYFUNCTION("""COMPUTED_VALUE"""),21.0)</f>
        <v>21</v>
      </c>
      <c r="E466" s="11">
        <f>IFERROR(__xludf.DUMMYFUNCTION("""COMPUTED_VALUE"""),2016.0)</f>
        <v>2016</v>
      </c>
      <c r="F466" s="12">
        <f t="shared" si="1"/>
        <v>42695</v>
      </c>
      <c r="G466" s="3" t="s">
        <v>1305</v>
      </c>
      <c r="H466" s="3">
        <f>IFERROR(__xludf.DUMMYFUNCTION("split(G466,""/"")"),12.0)</f>
        <v>12</v>
      </c>
      <c r="I466" s="3">
        <f>IFERROR(__xludf.DUMMYFUNCTION("""COMPUTED_VALUE"""),22.0)</f>
        <v>22</v>
      </c>
      <c r="J466" s="3">
        <f>IFERROR(__xludf.DUMMYFUNCTION("""COMPUTED_VALUE"""),2016.0)</f>
        <v>2016</v>
      </c>
      <c r="K466" s="12">
        <f t="shared" si="2"/>
        <v>42726</v>
      </c>
      <c r="L466" s="3" t="s">
        <v>814</v>
      </c>
      <c r="M466" s="3" t="s">
        <v>578</v>
      </c>
      <c r="N466" s="3">
        <v>8681.0</v>
      </c>
      <c r="O466" s="3" t="s">
        <v>815</v>
      </c>
      <c r="P466" s="10">
        <v>4832.0</v>
      </c>
      <c r="Q466" s="13">
        <v>651.21</v>
      </c>
      <c r="R466" s="13">
        <v>524.96</v>
      </c>
      <c r="S466" s="13">
        <f t="shared" si="3"/>
        <v>3146646.72</v>
      </c>
      <c r="T466" s="13">
        <f t="shared" si="4"/>
        <v>2536606.72</v>
      </c>
      <c r="U466" s="13">
        <f t="shared" si="5"/>
        <v>610040</v>
      </c>
      <c r="V466" s="3" t="str">
        <f>VLOOKUP(N466,products!A:B,2,0)</f>
        <v>Office Supplies</v>
      </c>
      <c r="W466" s="3" t="s">
        <v>28</v>
      </c>
      <c r="X466" s="3" t="s">
        <v>33</v>
      </c>
      <c r="Y466" s="14">
        <f t="shared" si="10"/>
        <v>0.193869873</v>
      </c>
      <c r="Z466" s="3">
        <f t="shared" si="7"/>
        <v>31</v>
      </c>
      <c r="AA466" s="15">
        <f t="shared" si="8"/>
        <v>2</v>
      </c>
    </row>
    <row r="467" ht="15.75" customHeight="1">
      <c r="A467" s="3">
        <v>4.10291135E8</v>
      </c>
      <c r="B467" s="9">
        <v>41062.0</v>
      </c>
      <c r="C467" s="3">
        <f>IFERROR(__xludf.DUMMYFUNCTION("split(B467,""/"")"),2.0)</f>
        <v>2</v>
      </c>
      <c r="D467" s="10">
        <f>IFERROR(__xludf.DUMMYFUNCTION("""COMPUTED_VALUE"""),6.0)</f>
        <v>6</v>
      </c>
      <c r="E467" s="11">
        <f>IFERROR(__xludf.DUMMYFUNCTION("""COMPUTED_VALUE"""),2012.0)</f>
        <v>2012</v>
      </c>
      <c r="F467" s="12">
        <f t="shared" si="1"/>
        <v>40945</v>
      </c>
      <c r="G467" s="3" t="s">
        <v>1306</v>
      </c>
      <c r="H467" s="3">
        <f>IFERROR(__xludf.DUMMYFUNCTION("split(G467,""/"")"),2.0)</f>
        <v>2</v>
      </c>
      <c r="I467" s="3">
        <f>IFERROR(__xludf.DUMMYFUNCTION("""COMPUTED_VALUE"""),22.0)</f>
        <v>22</v>
      </c>
      <c r="J467" s="3">
        <f>IFERROR(__xludf.DUMMYFUNCTION("""COMPUTED_VALUE"""),2012.0)</f>
        <v>2012</v>
      </c>
      <c r="K467" s="12">
        <f t="shared" si="2"/>
        <v>40961</v>
      </c>
      <c r="L467" s="3" t="s">
        <v>825</v>
      </c>
      <c r="M467" s="3" t="s">
        <v>653</v>
      </c>
      <c r="N467" s="3">
        <v>3127.0</v>
      </c>
      <c r="O467" s="3" t="s">
        <v>818</v>
      </c>
      <c r="P467" s="10">
        <v>3119.0</v>
      </c>
      <c r="Q467" s="13">
        <v>81.73</v>
      </c>
      <c r="R467" s="13">
        <v>56.67</v>
      </c>
      <c r="S467" s="13">
        <f t="shared" si="3"/>
        <v>254915.87</v>
      </c>
      <c r="T467" s="13">
        <f t="shared" si="4"/>
        <v>176753.73</v>
      </c>
      <c r="U467" s="13">
        <f t="shared" si="5"/>
        <v>78162.14</v>
      </c>
      <c r="V467" s="3" t="str">
        <f>VLOOKUP(N467,products!A:B,2,0)</f>
        <v>Personal Care</v>
      </c>
      <c r="W467" s="3" t="s">
        <v>28</v>
      </c>
      <c r="X467" s="3" t="s">
        <v>33</v>
      </c>
      <c r="Y467" s="14">
        <f t="shared" si="10"/>
        <v>0.3066193564</v>
      </c>
      <c r="Z467" s="3">
        <f t="shared" si="7"/>
        <v>16</v>
      </c>
      <c r="AA467" s="15">
        <f t="shared" si="8"/>
        <v>2</v>
      </c>
    </row>
    <row r="468" ht="15.75" customHeight="1">
      <c r="A468" s="3">
        <v>4.10514724E8</v>
      </c>
      <c r="B468" s="9">
        <v>42738.0</v>
      </c>
      <c r="C468" s="3">
        <f>IFERROR(__xludf.DUMMYFUNCTION("split(B468,""/"")"),3.0)</f>
        <v>3</v>
      </c>
      <c r="D468" s="10">
        <f>IFERROR(__xludf.DUMMYFUNCTION("""COMPUTED_VALUE"""),1.0)</f>
        <v>1</v>
      </c>
      <c r="E468" s="11">
        <f>IFERROR(__xludf.DUMMYFUNCTION("""COMPUTED_VALUE"""),2017.0)</f>
        <v>2017</v>
      </c>
      <c r="F468" s="12">
        <f t="shared" si="1"/>
        <v>42795</v>
      </c>
      <c r="G468" s="9">
        <v>43012.0</v>
      </c>
      <c r="H468" s="3">
        <f>IFERROR(__xludf.DUMMYFUNCTION("split(G468,""/"")"),4.0)</f>
        <v>4</v>
      </c>
      <c r="I468" s="3">
        <f>IFERROR(__xludf.DUMMYFUNCTION("""COMPUTED_VALUE"""),10.0)</f>
        <v>10</v>
      </c>
      <c r="J468" s="3">
        <f>IFERROR(__xludf.DUMMYFUNCTION("""COMPUTED_VALUE"""),2017.0)</f>
        <v>2017</v>
      </c>
      <c r="K468" s="12">
        <f t="shared" si="2"/>
        <v>42835</v>
      </c>
      <c r="L468" s="3" t="s">
        <v>817</v>
      </c>
      <c r="M468" s="3" t="s">
        <v>635</v>
      </c>
      <c r="N468" s="3">
        <v>8681.0</v>
      </c>
      <c r="O468" s="3" t="s">
        <v>818</v>
      </c>
      <c r="P468" s="10">
        <v>9284.0</v>
      </c>
      <c r="Q468" s="13">
        <v>651.21</v>
      </c>
      <c r="R468" s="13">
        <v>524.96</v>
      </c>
      <c r="S468" s="13">
        <f t="shared" si="3"/>
        <v>6045833.64</v>
      </c>
      <c r="T468" s="13">
        <f t="shared" si="4"/>
        <v>4873728.64</v>
      </c>
      <c r="U468" s="13">
        <f t="shared" si="5"/>
        <v>1172105</v>
      </c>
      <c r="V468" s="3" t="str">
        <f>VLOOKUP(N468,products!A:B,2,0)</f>
        <v>Office Supplies</v>
      </c>
      <c r="W468" s="3" t="s">
        <v>28</v>
      </c>
      <c r="X468" s="3" t="s">
        <v>33</v>
      </c>
      <c r="Y468" s="14">
        <f t="shared" si="10"/>
        <v>0.193869873</v>
      </c>
      <c r="Z468" s="3">
        <f t="shared" si="7"/>
        <v>40</v>
      </c>
      <c r="AA468" s="15">
        <f t="shared" si="8"/>
        <v>4</v>
      </c>
    </row>
    <row r="469" ht="15.75" customHeight="1">
      <c r="A469" s="3">
        <v>4.10740888E8</v>
      </c>
      <c r="B469" s="3" t="s">
        <v>870</v>
      </c>
      <c r="C469" s="3">
        <f>IFERROR(__xludf.DUMMYFUNCTION("split(B469,""/"")"),7.0)</f>
        <v>7</v>
      </c>
      <c r="D469" s="10">
        <f>IFERROR(__xludf.DUMMYFUNCTION("""COMPUTED_VALUE"""),24.0)</f>
        <v>24</v>
      </c>
      <c r="E469" s="11">
        <f>IFERROR(__xludf.DUMMYFUNCTION("""COMPUTED_VALUE"""),2012.0)</f>
        <v>2012</v>
      </c>
      <c r="F469" s="12">
        <f t="shared" si="1"/>
        <v>41114</v>
      </c>
      <c r="G469" s="9">
        <v>40917.0</v>
      </c>
      <c r="H469" s="3">
        <f>IFERROR(__xludf.DUMMYFUNCTION("split(G469,""/"")"),9.0)</f>
        <v>9</v>
      </c>
      <c r="I469" s="3">
        <f>IFERROR(__xludf.DUMMYFUNCTION("""COMPUTED_VALUE"""),1.0)</f>
        <v>1</v>
      </c>
      <c r="J469" s="3">
        <f>IFERROR(__xludf.DUMMYFUNCTION("""COMPUTED_VALUE"""),2012.0)</f>
        <v>2012</v>
      </c>
      <c r="K469" s="12">
        <f t="shared" si="2"/>
        <v>41153</v>
      </c>
      <c r="L469" s="3" t="s">
        <v>827</v>
      </c>
      <c r="M469" s="3" t="s">
        <v>123</v>
      </c>
      <c r="N469" s="3">
        <v>8875.0</v>
      </c>
      <c r="O469" s="3" t="s">
        <v>815</v>
      </c>
      <c r="P469" s="10">
        <v>6211.0</v>
      </c>
      <c r="Q469" s="13">
        <v>421.89</v>
      </c>
      <c r="R469" s="13">
        <v>364.69</v>
      </c>
      <c r="S469" s="13">
        <f t="shared" si="3"/>
        <v>2620358.79</v>
      </c>
      <c r="T469" s="13">
        <f t="shared" si="4"/>
        <v>2265089.59</v>
      </c>
      <c r="U469" s="13">
        <f t="shared" si="5"/>
        <v>355269.2</v>
      </c>
      <c r="V469" s="3" t="str">
        <f>VLOOKUP(N469,products!A:B,2,0)</f>
        <v>Meat</v>
      </c>
      <c r="W469" s="3" t="s">
        <v>28</v>
      </c>
      <c r="X469" s="3" t="s">
        <v>33</v>
      </c>
      <c r="Y469" s="14">
        <f t="shared" si="10"/>
        <v>0.1355803646</v>
      </c>
      <c r="Z469" s="3">
        <f t="shared" si="7"/>
        <v>39</v>
      </c>
      <c r="AA469" s="15">
        <f t="shared" si="8"/>
        <v>3</v>
      </c>
    </row>
    <row r="470" ht="15.75" customHeight="1">
      <c r="A470" s="3">
        <v>4.12215459E8</v>
      </c>
      <c r="B470" s="3" t="s">
        <v>1307</v>
      </c>
      <c r="C470" s="3">
        <f>IFERROR(__xludf.DUMMYFUNCTION("split(B470,""/"")"),1.0)</f>
        <v>1</v>
      </c>
      <c r="D470" s="10">
        <f>IFERROR(__xludf.DUMMYFUNCTION("""COMPUTED_VALUE"""),24.0)</f>
        <v>24</v>
      </c>
      <c r="E470" s="11">
        <f>IFERROR(__xludf.DUMMYFUNCTION("""COMPUTED_VALUE"""),2013.0)</f>
        <v>2013</v>
      </c>
      <c r="F470" s="12">
        <f t="shared" si="1"/>
        <v>41298</v>
      </c>
      <c r="G470" s="3" t="s">
        <v>1308</v>
      </c>
      <c r="H470" s="3">
        <f>IFERROR(__xludf.DUMMYFUNCTION("split(G470,""/"")"),1.0)</f>
        <v>1</v>
      </c>
      <c r="I470" s="3">
        <f>IFERROR(__xludf.DUMMYFUNCTION("""COMPUTED_VALUE"""),31.0)</f>
        <v>31</v>
      </c>
      <c r="J470" s="3">
        <f>IFERROR(__xludf.DUMMYFUNCTION("""COMPUTED_VALUE"""),2013.0)</f>
        <v>2013</v>
      </c>
      <c r="K470" s="12">
        <f t="shared" si="2"/>
        <v>41305</v>
      </c>
      <c r="L470" s="3" t="s">
        <v>827</v>
      </c>
      <c r="M470" s="3" t="s">
        <v>300</v>
      </c>
      <c r="N470" s="3">
        <v>2103.0</v>
      </c>
      <c r="O470" s="3" t="s">
        <v>815</v>
      </c>
      <c r="P470" s="10">
        <v>2569.0</v>
      </c>
      <c r="Q470" s="13">
        <v>205.7</v>
      </c>
      <c r="R470" s="13">
        <v>117.11</v>
      </c>
      <c r="S470" s="13">
        <f t="shared" si="3"/>
        <v>528443.3</v>
      </c>
      <c r="T470" s="13">
        <f t="shared" si="4"/>
        <v>300855.59</v>
      </c>
      <c r="U470" s="13">
        <f t="shared" si="5"/>
        <v>227587.71</v>
      </c>
      <c r="V470" s="3" t="str">
        <f>VLOOKUP(N470,products!A:B,2,0)</f>
        <v>Cereal</v>
      </c>
      <c r="W470" s="3" t="s">
        <v>28</v>
      </c>
      <c r="X470" s="3" t="s">
        <v>33</v>
      </c>
      <c r="Y470" s="14">
        <f t="shared" si="10"/>
        <v>0.4306757414</v>
      </c>
      <c r="Z470" s="3">
        <f t="shared" si="7"/>
        <v>7</v>
      </c>
      <c r="AA470" s="15">
        <f t="shared" si="8"/>
        <v>5</v>
      </c>
    </row>
    <row r="471" ht="15.75" customHeight="1">
      <c r="A471" s="3">
        <v>4.12416303E8</v>
      </c>
      <c r="B471" s="9">
        <v>42435.0</v>
      </c>
      <c r="C471" s="3">
        <f>IFERROR(__xludf.DUMMYFUNCTION("split(B471,""/"")"),6.0)</f>
        <v>6</v>
      </c>
      <c r="D471" s="10">
        <f>IFERROR(__xludf.DUMMYFUNCTION("""COMPUTED_VALUE"""),3.0)</f>
        <v>3</v>
      </c>
      <c r="E471" s="11">
        <f>IFERROR(__xludf.DUMMYFUNCTION("""COMPUTED_VALUE"""),2016.0)</f>
        <v>2016</v>
      </c>
      <c r="F471" s="12">
        <f t="shared" si="1"/>
        <v>42524</v>
      </c>
      <c r="G471" s="9">
        <v>42680.0</v>
      </c>
      <c r="H471" s="3">
        <f>IFERROR(__xludf.DUMMYFUNCTION("split(G471,""/"")"),6.0)</f>
        <v>6</v>
      </c>
      <c r="I471" s="3">
        <f>IFERROR(__xludf.DUMMYFUNCTION("""COMPUTED_VALUE"""),11.0)</f>
        <v>11</v>
      </c>
      <c r="J471" s="3">
        <f>IFERROR(__xludf.DUMMYFUNCTION("""COMPUTED_VALUE"""),2016.0)</f>
        <v>2016</v>
      </c>
      <c r="K471" s="12">
        <f t="shared" si="2"/>
        <v>42532</v>
      </c>
      <c r="L471" s="3" t="s">
        <v>814</v>
      </c>
      <c r="M471" s="3" t="s">
        <v>623</v>
      </c>
      <c r="N471" s="3">
        <v>7331.0</v>
      </c>
      <c r="O471" s="3" t="s">
        <v>818</v>
      </c>
      <c r="P471" s="10">
        <v>2004.0</v>
      </c>
      <c r="Q471" s="13">
        <v>255.28</v>
      </c>
      <c r="R471" s="13">
        <v>159.42</v>
      </c>
      <c r="S471" s="13">
        <f t="shared" si="3"/>
        <v>511581.12</v>
      </c>
      <c r="T471" s="13">
        <f t="shared" si="4"/>
        <v>319477.68</v>
      </c>
      <c r="U471" s="13">
        <f t="shared" si="5"/>
        <v>192103.44</v>
      </c>
      <c r="V471" s="3" t="str">
        <f>VLOOKUP(N471,products!A:B,2,0)</f>
        <v>Baby Food</v>
      </c>
      <c r="W471" s="3" t="s">
        <v>28</v>
      </c>
      <c r="X471" s="3" t="s">
        <v>33</v>
      </c>
      <c r="Y471" s="14">
        <f t="shared" si="10"/>
        <v>0.3755092448</v>
      </c>
      <c r="Z471" s="3">
        <f t="shared" si="7"/>
        <v>8</v>
      </c>
      <c r="AA471" s="15">
        <f t="shared" si="8"/>
        <v>6</v>
      </c>
    </row>
    <row r="472" ht="15.75" customHeight="1">
      <c r="A472" s="3">
        <v>4.13078916E8</v>
      </c>
      <c r="B472" s="3" t="s">
        <v>1309</v>
      </c>
      <c r="C472" s="3">
        <f>IFERROR(__xludf.DUMMYFUNCTION("split(B472,""/"")"),12.0)</f>
        <v>12</v>
      </c>
      <c r="D472" s="10">
        <f>IFERROR(__xludf.DUMMYFUNCTION("""COMPUTED_VALUE"""),31.0)</f>
        <v>31</v>
      </c>
      <c r="E472" s="11">
        <f>IFERROR(__xludf.DUMMYFUNCTION("""COMPUTED_VALUE"""),2012.0)</f>
        <v>2012</v>
      </c>
      <c r="F472" s="12">
        <f t="shared" si="1"/>
        <v>41274</v>
      </c>
      <c r="G472" s="9">
        <v>41579.0</v>
      </c>
      <c r="H472" s="3">
        <f>IFERROR(__xludf.DUMMYFUNCTION("split(G472,""/"")"),1.0)</f>
        <v>1</v>
      </c>
      <c r="I472" s="3">
        <f>IFERROR(__xludf.DUMMYFUNCTION("""COMPUTED_VALUE"""),11.0)</f>
        <v>11</v>
      </c>
      <c r="J472" s="3">
        <f>IFERROR(__xludf.DUMMYFUNCTION("""COMPUTED_VALUE"""),2013.0)</f>
        <v>2013</v>
      </c>
      <c r="K472" s="12">
        <f t="shared" si="2"/>
        <v>41285</v>
      </c>
      <c r="L472" s="3" t="s">
        <v>825</v>
      </c>
      <c r="M472" s="3" t="s">
        <v>97</v>
      </c>
      <c r="N472" s="3">
        <v>5988.0</v>
      </c>
      <c r="O472" s="3" t="s">
        <v>815</v>
      </c>
      <c r="P472" s="10">
        <v>8086.0</v>
      </c>
      <c r="Q472" s="13">
        <v>154.06</v>
      </c>
      <c r="R472" s="13">
        <v>90.93</v>
      </c>
      <c r="S472" s="13">
        <f t="shared" si="3"/>
        <v>1245729.16</v>
      </c>
      <c r="T472" s="13">
        <f t="shared" si="4"/>
        <v>735259.98</v>
      </c>
      <c r="U472" s="13">
        <f t="shared" si="5"/>
        <v>510469.18</v>
      </c>
      <c r="V472" s="3" t="str">
        <f>VLOOKUP(N472,products!A:B,2,0)</f>
        <v>Vegetables</v>
      </c>
      <c r="W472" s="3" t="s">
        <v>28</v>
      </c>
      <c r="X472" s="3" t="s">
        <v>98</v>
      </c>
      <c r="Y472" s="14">
        <f t="shared" si="10"/>
        <v>0.4097754122</v>
      </c>
      <c r="Z472" s="3">
        <f t="shared" si="7"/>
        <v>11</v>
      </c>
      <c r="AA472" s="15">
        <f t="shared" si="8"/>
        <v>2</v>
      </c>
    </row>
    <row r="473" ht="15.75" customHeight="1">
      <c r="A473" s="3">
        <v>4.13245427E8</v>
      </c>
      <c r="B473" s="3" t="s">
        <v>1310</v>
      </c>
      <c r="C473" s="3">
        <f>IFERROR(__xludf.DUMMYFUNCTION("split(B473,""/"")"),6.0)</f>
        <v>6</v>
      </c>
      <c r="D473" s="10">
        <f>IFERROR(__xludf.DUMMYFUNCTION("""COMPUTED_VALUE"""),29.0)</f>
        <v>29</v>
      </c>
      <c r="E473" s="11">
        <f>IFERROR(__xludf.DUMMYFUNCTION("""COMPUTED_VALUE"""),2016.0)</f>
        <v>2016</v>
      </c>
      <c r="F473" s="12">
        <f t="shared" si="1"/>
        <v>42550</v>
      </c>
      <c r="G473" s="9">
        <v>42407.0</v>
      </c>
      <c r="H473" s="3">
        <f>IFERROR(__xludf.DUMMYFUNCTION("split(G473,""/"")"),7.0)</f>
        <v>7</v>
      </c>
      <c r="I473" s="3">
        <f>IFERROR(__xludf.DUMMYFUNCTION("""COMPUTED_VALUE"""),2.0)</f>
        <v>2</v>
      </c>
      <c r="J473" s="3">
        <f>IFERROR(__xludf.DUMMYFUNCTION("""COMPUTED_VALUE"""),2016.0)</f>
        <v>2016</v>
      </c>
      <c r="K473" s="12">
        <f t="shared" si="2"/>
        <v>42553</v>
      </c>
      <c r="L473" s="3" t="s">
        <v>817</v>
      </c>
      <c r="M473" s="3" t="s">
        <v>46</v>
      </c>
      <c r="N473" s="3">
        <v>4594.0</v>
      </c>
      <c r="O473" s="3" t="s">
        <v>818</v>
      </c>
      <c r="P473" s="10">
        <v>7360.0</v>
      </c>
      <c r="Q473" s="13">
        <v>9.33</v>
      </c>
      <c r="R473" s="13">
        <v>6.92</v>
      </c>
      <c r="S473" s="13">
        <f t="shared" si="3"/>
        <v>68668.8</v>
      </c>
      <c r="T473" s="13">
        <f t="shared" si="4"/>
        <v>50931.2</v>
      </c>
      <c r="U473" s="13">
        <f t="shared" si="5"/>
        <v>17737.6</v>
      </c>
      <c r="V473" s="3" t="str">
        <f>VLOOKUP(N473,products!A:B,2,0)</f>
        <v>Fruits</v>
      </c>
      <c r="W473" s="3" t="s">
        <v>28</v>
      </c>
      <c r="X473" s="3" t="s">
        <v>33</v>
      </c>
      <c r="Y473" s="14">
        <f t="shared" si="10"/>
        <v>0.258306538</v>
      </c>
      <c r="Z473" s="3">
        <f t="shared" si="7"/>
        <v>3</v>
      </c>
      <c r="AA473" s="15">
        <f t="shared" si="8"/>
        <v>4</v>
      </c>
    </row>
    <row r="474" ht="15.75" customHeight="1">
      <c r="A474" s="3">
        <v>4.13951814E8</v>
      </c>
      <c r="B474" s="9">
        <v>42282.0</v>
      </c>
      <c r="C474" s="3">
        <f>IFERROR(__xludf.DUMMYFUNCTION("split(B474,""/"")"),5.0)</f>
        <v>5</v>
      </c>
      <c r="D474" s="10">
        <f>IFERROR(__xludf.DUMMYFUNCTION("""COMPUTED_VALUE"""),10.0)</f>
        <v>10</v>
      </c>
      <c r="E474" s="11">
        <f>IFERROR(__xludf.DUMMYFUNCTION("""COMPUTED_VALUE"""),2015.0)</f>
        <v>2015</v>
      </c>
      <c r="F474" s="12">
        <f t="shared" si="1"/>
        <v>42134</v>
      </c>
      <c r="G474" s="3" t="s">
        <v>1311</v>
      </c>
      <c r="H474" s="3">
        <f>IFERROR(__xludf.DUMMYFUNCTION("split(G474,""/"")"),5.0)</f>
        <v>5</v>
      </c>
      <c r="I474" s="3">
        <f>IFERROR(__xludf.DUMMYFUNCTION("""COMPUTED_VALUE"""),31.0)</f>
        <v>31</v>
      </c>
      <c r="J474" s="3">
        <f>IFERROR(__xludf.DUMMYFUNCTION("""COMPUTED_VALUE"""),2015.0)</f>
        <v>2015</v>
      </c>
      <c r="K474" s="12">
        <f t="shared" si="2"/>
        <v>42155</v>
      </c>
      <c r="L474" s="3" t="s">
        <v>817</v>
      </c>
      <c r="M474" s="3" t="s">
        <v>78</v>
      </c>
      <c r="N474" s="3">
        <v>1270.0</v>
      </c>
      <c r="O474" s="3" t="s">
        <v>818</v>
      </c>
      <c r="P474" s="10">
        <v>6395.0</v>
      </c>
      <c r="Q474" s="13">
        <v>47.45</v>
      </c>
      <c r="R474" s="13">
        <v>31.79</v>
      </c>
      <c r="S474" s="13">
        <f t="shared" si="3"/>
        <v>303442.75</v>
      </c>
      <c r="T474" s="13">
        <f t="shared" si="4"/>
        <v>203297.05</v>
      </c>
      <c r="U474" s="13">
        <f t="shared" si="5"/>
        <v>100145.7</v>
      </c>
      <c r="V474" s="3" t="str">
        <f>VLOOKUP(N474,products!A:B,2,0)</f>
        <v>Beverages</v>
      </c>
      <c r="W474" s="3" t="s">
        <v>28</v>
      </c>
      <c r="X474" s="3" t="s">
        <v>79</v>
      </c>
      <c r="Y474" s="14">
        <f t="shared" si="10"/>
        <v>0.3300316122</v>
      </c>
      <c r="Z474" s="3">
        <f t="shared" si="7"/>
        <v>21</v>
      </c>
      <c r="AA474" s="15">
        <f t="shared" si="8"/>
        <v>1</v>
      </c>
    </row>
    <row r="475" ht="15.75" customHeight="1">
      <c r="A475" s="3">
        <v>4.14359509E8</v>
      </c>
      <c r="B475" s="3" t="s">
        <v>1312</v>
      </c>
      <c r="C475" s="3">
        <f>IFERROR(__xludf.DUMMYFUNCTION("split(B475,""/"")"),8.0)</f>
        <v>8</v>
      </c>
      <c r="D475" s="10">
        <f>IFERROR(__xludf.DUMMYFUNCTION("""COMPUTED_VALUE"""),30.0)</f>
        <v>30</v>
      </c>
      <c r="E475" s="11">
        <f>IFERROR(__xludf.DUMMYFUNCTION("""COMPUTED_VALUE"""),2014.0)</f>
        <v>2014</v>
      </c>
      <c r="F475" s="12">
        <f t="shared" si="1"/>
        <v>41881</v>
      </c>
      <c r="G475" s="9">
        <v>41952.0</v>
      </c>
      <c r="H475" s="3">
        <f>IFERROR(__xludf.DUMMYFUNCTION("split(G475,""/"")"),9.0)</f>
        <v>9</v>
      </c>
      <c r="I475" s="3">
        <f>IFERROR(__xludf.DUMMYFUNCTION("""COMPUTED_VALUE"""),11.0)</f>
        <v>11</v>
      </c>
      <c r="J475" s="3">
        <f>IFERROR(__xludf.DUMMYFUNCTION("""COMPUTED_VALUE"""),2014.0)</f>
        <v>2014</v>
      </c>
      <c r="K475" s="12">
        <f t="shared" si="2"/>
        <v>41893</v>
      </c>
      <c r="L475" s="3" t="s">
        <v>817</v>
      </c>
      <c r="M475" s="3" t="s">
        <v>590</v>
      </c>
      <c r="N475" s="3">
        <v>7331.0</v>
      </c>
      <c r="O475" s="3" t="s">
        <v>818</v>
      </c>
      <c r="P475" s="10">
        <v>7042.0</v>
      </c>
      <c r="Q475" s="13">
        <v>255.28</v>
      </c>
      <c r="R475" s="13">
        <v>159.42</v>
      </c>
      <c r="S475" s="13">
        <f t="shared" si="3"/>
        <v>1797681.76</v>
      </c>
      <c r="T475" s="13">
        <f t="shared" si="4"/>
        <v>1122635.64</v>
      </c>
      <c r="U475" s="13">
        <f t="shared" si="5"/>
        <v>675046.12</v>
      </c>
      <c r="V475" s="3" t="str">
        <f>VLOOKUP(N475,products!A:B,2,0)</f>
        <v>Baby Food</v>
      </c>
      <c r="W475" s="3" t="s">
        <v>28</v>
      </c>
      <c r="X475" s="3" t="s">
        <v>98</v>
      </c>
      <c r="Y475" s="14">
        <f t="shared" si="10"/>
        <v>0.3755092448</v>
      </c>
      <c r="Z475" s="3">
        <f t="shared" si="7"/>
        <v>12</v>
      </c>
      <c r="AA475" s="15">
        <f t="shared" si="8"/>
        <v>7</v>
      </c>
    </row>
    <row r="476" ht="15.75" customHeight="1">
      <c r="A476" s="3">
        <v>4.14579665E8</v>
      </c>
      <c r="B476" s="3" t="s">
        <v>991</v>
      </c>
      <c r="C476" s="3">
        <f>IFERROR(__xludf.DUMMYFUNCTION("split(B476,""/"")"),6.0)</f>
        <v>6</v>
      </c>
      <c r="D476" s="10">
        <f>IFERROR(__xludf.DUMMYFUNCTION("""COMPUTED_VALUE"""),20.0)</f>
        <v>20</v>
      </c>
      <c r="E476" s="11">
        <f>IFERROR(__xludf.DUMMYFUNCTION("""COMPUTED_VALUE"""),2017.0)</f>
        <v>2017</v>
      </c>
      <c r="F476" s="12">
        <f t="shared" si="1"/>
        <v>42906</v>
      </c>
      <c r="G476" s="9">
        <v>43015.0</v>
      </c>
      <c r="H476" s="3">
        <f>IFERROR(__xludf.DUMMYFUNCTION("split(G476,""/"")"),7.0)</f>
        <v>7</v>
      </c>
      <c r="I476" s="3">
        <f>IFERROR(__xludf.DUMMYFUNCTION("""COMPUTED_VALUE"""),10.0)</f>
        <v>10</v>
      </c>
      <c r="J476" s="3">
        <f>IFERROR(__xludf.DUMMYFUNCTION("""COMPUTED_VALUE"""),2017.0)</f>
        <v>2017</v>
      </c>
      <c r="K476" s="12">
        <f t="shared" si="2"/>
        <v>42926</v>
      </c>
      <c r="L476" s="3" t="s">
        <v>827</v>
      </c>
      <c r="M476" s="3" t="s">
        <v>267</v>
      </c>
      <c r="N476" s="3">
        <v>8969.0</v>
      </c>
      <c r="O476" s="3" t="s">
        <v>815</v>
      </c>
      <c r="P476" s="10">
        <v>2191.0</v>
      </c>
      <c r="Q476" s="13">
        <v>152.58</v>
      </c>
      <c r="R476" s="13">
        <v>97.44</v>
      </c>
      <c r="S476" s="13">
        <f t="shared" si="3"/>
        <v>334302.78</v>
      </c>
      <c r="T476" s="13">
        <f t="shared" si="4"/>
        <v>213491.04</v>
      </c>
      <c r="U476" s="13">
        <f t="shared" si="5"/>
        <v>120811.74</v>
      </c>
      <c r="V476" s="3" t="str">
        <f>VLOOKUP(N476,products!A:B,2,0)</f>
        <v>Snacks</v>
      </c>
      <c r="W476" s="3" t="s">
        <v>28</v>
      </c>
      <c r="X476" s="3" t="s">
        <v>29</v>
      </c>
      <c r="Y476" s="14">
        <f t="shared" si="10"/>
        <v>0.3613841919</v>
      </c>
      <c r="Z476" s="3">
        <f t="shared" si="7"/>
        <v>20</v>
      </c>
      <c r="AA476" s="15">
        <f t="shared" si="8"/>
        <v>3</v>
      </c>
    </row>
    <row r="477" ht="15.75" customHeight="1">
      <c r="A477" s="3">
        <v>4.15837943E8</v>
      </c>
      <c r="B477" s="9">
        <v>41183.0</v>
      </c>
      <c r="C477" s="3">
        <f>IFERROR(__xludf.DUMMYFUNCTION("split(B477,""/"")"),1.0)</f>
        <v>1</v>
      </c>
      <c r="D477" s="10">
        <f>IFERROR(__xludf.DUMMYFUNCTION("""COMPUTED_VALUE"""),10.0)</f>
        <v>10</v>
      </c>
      <c r="E477" s="11">
        <f>IFERROR(__xludf.DUMMYFUNCTION("""COMPUTED_VALUE"""),2012.0)</f>
        <v>2012</v>
      </c>
      <c r="F477" s="12">
        <f t="shared" si="1"/>
        <v>40918</v>
      </c>
      <c r="G477" s="3" t="s">
        <v>1313</v>
      </c>
      <c r="H477" s="3">
        <f>IFERROR(__xludf.DUMMYFUNCTION("split(G477,""/"")"),2.0)</f>
        <v>2</v>
      </c>
      <c r="I477" s="3">
        <f>IFERROR(__xludf.DUMMYFUNCTION("""COMPUTED_VALUE"""),23.0)</f>
        <v>23</v>
      </c>
      <c r="J477" s="3">
        <f>IFERROR(__xludf.DUMMYFUNCTION("""COMPUTED_VALUE"""),2012.0)</f>
        <v>2012</v>
      </c>
      <c r="K477" s="12">
        <f t="shared" si="2"/>
        <v>40962</v>
      </c>
      <c r="L477" s="3" t="s">
        <v>814</v>
      </c>
      <c r="M477" s="3" t="s">
        <v>46</v>
      </c>
      <c r="N477" s="3">
        <v>7331.0</v>
      </c>
      <c r="O477" s="3" t="s">
        <v>818</v>
      </c>
      <c r="P477" s="10">
        <v>4543.0</v>
      </c>
      <c r="Q477" s="13">
        <v>255.28</v>
      </c>
      <c r="R477" s="13">
        <v>159.42</v>
      </c>
      <c r="S477" s="13">
        <f t="shared" si="3"/>
        <v>1159737.04</v>
      </c>
      <c r="T477" s="13">
        <f t="shared" si="4"/>
        <v>724245.06</v>
      </c>
      <c r="U477" s="13">
        <f t="shared" si="5"/>
        <v>435491.98</v>
      </c>
      <c r="V477" s="3" t="str">
        <f>VLOOKUP(N477,products!A:B,2,0)</f>
        <v>Baby Food</v>
      </c>
      <c r="W477" s="3" t="s">
        <v>28</v>
      </c>
      <c r="X477" s="3" t="s">
        <v>33</v>
      </c>
      <c r="Y477" s="14">
        <f t="shared" si="10"/>
        <v>0.3755092448</v>
      </c>
      <c r="Z477" s="3">
        <f t="shared" si="7"/>
        <v>44</v>
      </c>
      <c r="AA477" s="15">
        <f t="shared" si="8"/>
        <v>3</v>
      </c>
    </row>
    <row r="478" ht="15.75" customHeight="1">
      <c r="A478" s="3">
        <v>4.16682088E8</v>
      </c>
      <c r="B478" s="9">
        <v>41036.0</v>
      </c>
      <c r="C478" s="3">
        <f>IFERROR(__xludf.DUMMYFUNCTION("split(B478,""/"")"),7.0)</f>
        <v>7</v>
      </c>
      <c r="D478" s="10">
        <f>IFERROR(__xludf.DUMMYFUNCTION("""COMPUTED_VALUE"""),5.0)</f>
        <v>5</v>
      </c>
      <c r="E478" s="11">
        <f>IFERROR(__xludf.DUMMYFUNCTION("""COMPUTED_VALUE"""),2012.0)</f>
        <v>2012</v>
      </c>
      <c r="F478" s="12">
        <f t="shared" si="1"/>
        <v>41095</v>
      </c>
      <c r="G478" s="3" t="s">
        <v>1082</v>
      </c>
      <c r="H478" s="3">
        <f>IFERROR(__xludf.DUMMYFUNCTION("split(G478,""/"")"),8.0)</f>
        <v>8</v>
      </c>
      <c r="I478" s="3">
        <f>IFERROR(__xludf.DUMMYFUNCTION("""COMPUTED_VALUE"""),14.0)</f>
        <v>14</v>
      </c>
      <c r="J478" s="3">
        <f>IFERROR(__xludf.DUMMYFUNCTION("""COMPUTED_VALUE"""),2012.0)</f>
        <v>2012</v>
      </c>
      <c r="K478" s="12">
        <f t="shared" si="2"/>
        <v>41135</v>
      </c>
      <c r="L478" s="3" t="s">
        <v>827</v>
      </c>
      <c r="M478" s="3" t="s">
        <v>542</v>
      </c>
      <c r="N478" s="3">
        <v>5988.0</v>
      </c>
      <c r="O478" s="3" t="s">
        <v>818</v>
      </c>
      <c r="P478" s="10">
        <v>4344.0</v>
      </c>
      <c r="Q478" s="13">
        <v>154.06</v>
      </c>
      <c r="R478" s="13">
        <v>90.93</v>
      </c>
      <c r="S478" s="13">
        <f t="shared" si="3"/>
        <v>669236.64</v>
      </c>
      <c r="T478" s="13">
        <f t="shared" si="4"/>
        <v>394999.92</v>
      </c>
      <c r="U478" s="13">
        <f t="shared" si="5"/>
        <v>274236.72</v>
      </c>
      <c r="V478" s="3" t="str">
        <f>VLOOKUP(N478,products!A:B,2,0)</f>
        <v>Vegetables</v>
      </c>
      <c r="W478" s="3" t="s">
        <v>28</v>
      </c>
      <c r="X478" s="3" t="s">
        <v>29</v>
      </c>
      <c r="Y478" s="14">
        <f t="shared" si="10"/>
        <v>0.4097754122</v>
      </c>
      <c r="Z478" s="3">
        <f t="shared" si="7"/>
        <v>40</v>
      </c>
      <c r="AA478" s="15">
        <f t="shared" si="8"/>
        <v>5</v>
      </c>
    </row>
    <row r="479" ht="15.75" customHeight="1">
      <c r="A479" s="3">
        <v>4.16953313E8</v>
      </c>
      <c r="B479" s="3" t="s">
        <v>1314</v>
      </c>
      <c r="C479" s="3">
        <f>IFERROR(__xludf.DUMMYFUNCTION("split(B479,""/"")"),9.0)</f>
        <v>9</v>
      </c>
      <c r="D479" s="10">
        <f>IFERROR(__xludf.DUMMYFUNCTION("""COMPUTED_VALUE"""),20.0)</f>
        <v>20</v>
      </c>
      <c r="E479" s="11">
        <f>IFERROR(__xludf.DUMMYFUNCTION("""COMPUTED_VALUE"""),2016.0)</f>
        <v>2016</v>
      </c>
      <c r="F479" s="12">
        <f t="shared" si="1"/>
        <v>42633</v>
      </c>
      <c r="G479" s="3" t="s">
        <v>1133</v>
      </c>
      <c r="H479" s="3">
        <f>IFERROR(__xludf.DUMMYFUNCTION("split(G479,""/"")"),10.0)</f>
        <v>10</v>
      </c>
      <c r="I479" s="3">
        <f>IFERROR(__xludf.DUMMYFUNCTION("""COMPUTED_VALUE"""),29.0)</f>
        <v>29</v>
      </c>
      <c r="J479" s="3">
        <f>IFERROR(__xludf.DUMMYFUNCTION("""COMPUTED_VALUE"""),2016.0)</f>
        <v>2016</v>
      </c>
      <c r="K479" s="12">
        <f t="shared" si="2"/>
        <v>42672</v>
      </c>
      <c r="L479" s="3" t="s">
        <v>827</v>
      </c>
      <c r="M479" s="3" t="s">
        <v>364</v>
      </c>
      <c r="N479" s="3">
        <v>1270.0</v>
      </c>
      <c r="O479" s="3" t="s">
        <v>818</v>
      </c>
      <c r="P479" s="10">
        <v>4606.0</v>
      </c>
      <c r="Q479" s="13">
        <v>47.45</v>
      </c>
      <c r="R479" s="13">
        <v>31.79</v>
      </c>
      <c r="S479" s="13">
        <f t="shared" si="3"/>
        <v>218554.7</v>
      </c>
      <c r="T479" s="13">
        <f t="shared" si="4"/>
        <v>146424.74</v>
      </c>
      <c r="U479" s="13">
        <f t="shared" si="5"/>
        <v>72129.96</v>
      </c>
      <c r="V479" s="3" t="str">
        <f>VLOOKUP(N479,products!A:B,2,0)</f>
        <v>Beverages</v>
      </c>
      <c r="W479" s="3" t="s">
        <v>28</v>
      </c>
      <c r="X479" s="3" t="s">
        <v>29</v>
      </c>
      <c r="Y479" s="14">
        <f t="shared" si="10"/>
        <v>0.3300316122</v>
      </c>
      <c r="Z479" s="3">
        <f t="shared" si="7"/>
        <v>39</v>
      </c>
      <c r="AA479" s="15">
        <f t="shared" si="8"/>
        <v>3</v>
      </c>
    </row>
    <row r="480" ht="15.75" customHeight="1">
      <c r="A480" s="3">
        <v>4.18404281E8</v>
      </c>
      <c r="B480" s="9">
        <v>40577.0</v>
      </c>
      <c r="C480" s="3">
        <f>IFERROR(__xludf.DUMMYFUNCTION("split(B480,""/"")"),3.0)</f>
        <v>3</v>
      </c>
      <c r="D480" s="10">
        <f>IFERROR(__xludf.DUMMYFUNCTION("""COMPUTED_VALUE"""),2.0)</f>
        <v>2</v>
      </c>
      <c r="E480" s="11">
        <f>IFERROR(__xludf.DUMMYFUNCTION("""COMPUTED_VALUE"""),2011.0)</f>
        <v>2011</v>
      </c>
      <c r="F480" s="12">
        <f t="shared" si="1"/>
        <v>40604</v>
      </c>
      <c r="G480" s="3" t="s">
        <v>1315</v>
      </c>
      <c r="H480" s="3">
        <f>IFERROR(__xludf.DUMMYFUNCTION("split(G480,""/"")"),4.0)</f>
        <v>4</v>
      </c>
      <c r="I480" s="3">
        <f>IFERROR(__xludf.DUMMYFUNCTION("""COMPUTED_VALUE"""),15.0)</f>
        <v>15</v>
      </c>
      <c r="J480" s="3">
        <f>IFERROR(__xludf.DUMMYFUNCTION("""COMPUTED_VALUE"""),2011.0)</f>
        <v>2011</v>
      </c>
      <c r="K480" s="12">
        <f t="shared" si="2"/>
        <v>40648</v>
      </c>
      <c r="L480" s="3" t="s">
        <v>814</v>
      </c>
      <c r="M480" s="3" t="s">
        <v>67</v>
      </c>
      <c r="N480" s="3">
        <v>8969.0</v>
      </c>
      <c r="O480" s="3" t="s">
        <v>818</v>
      </c>
      <c r="P480" s="10">
        <v>3979.0</v>
      </c>
      <c r="Q480" s="13">
        <v>152.58</v>
      </c>
      <c r="R480" s="13">
        <v>97.44</v>
      </c>
      <c r="S480" s="13">
        <f t="shared" si="3"/>
        <v>607115.82</v>
      </c>
      <c r="T480" s="13">
        <f t="shared" si="4"/>
        <v>387713.76</v>
      </c>
      <c r="U480" s="13">
        <f t="shared" si="5"/>
        <v>219402.06</v>
      </c>
      <c r="V480" s="3" t="str">
        <f>VLOOKUP(N480,products!A:B,2,0)</f>
        <v>Snacks</v>
      </c>
      <c r="W480" s="3" t="s">
        <v>23</v>
      </c>
      <c r="X480" s="3" t="s">
        <v>68</v>
      </c>
      <c r="Y480" s="14">
        <f t="shared" si="10"/>
        <v>0.3613841919</v>
      </c>
      <c r="Z480" s="3">
        <f t="shared" si="7"/>
        <v>44</v>
      </c>
      <c r="AA480" s="15">
        <f t="shared" si="8"/>
        <v>4</v>
      </c>
    </row>
    <row r="481" ht="15.75" customHeight="1">
      <c r="A481" s="3">
        <v>4.20875346E8</v>
      </c>
      <c r="B481" s="9">
        <v>41061.0</v>
      </c>
      <c r="C481" s="3">
        <f>IFERROR(__xludf.DUMMYFUNCTION("split(B481,""/"")"),1.0)</f>
        <v>1</v>
      </c>
      <c r="D481" s="10">
        <f>IFERROR(__xludf.DUMMYFUNCTION("""COMPUTED_VALUE"""),6.0)</f>
        <v>6</v>
      </c>
      <c r="E481" s="11">
        <f>IFERROR(__xludf.DUMMYFUNCTION("""COMPUTED_VALUE"""),2012.0)</f>
        <v>2012</v>
      </c>
      <c r="F481" s="12">
        <f t="shared" si="1"/>
        <v>40914</v>
      </c>
      <c r="G481" s="3" t="s">
        <v>1316</v>
      </c>
      <c r="H481" s="3">
        <f>IFERROR(__xludf.DUMMYFUNCTION("split(G481,""/"")"),2.0)</f>
        <v>2</v>
      </c>
      <c r="I481" s="3">
        <f>IFERROR(__xludf.DUMMYFUNCTION("""COMPUTED_VALUE"""),18.0)</f>
        <v>18</v>
      </c>
      <c r="J481" s="3">
        <f>IFERROR(__xludf.DUMMYFUNCTION("""COMPUTED_VALUE"""),2012.0)</f>
        <v>2012</v>
      </c>
      <c r="K481" s="12">
        <f t="shared" si="2"/>
        <v>40957</v>
      </c>
      <c r="L481" s="3" t="s">
        <v>825</v>
      </c>
      <c r="M481" s="3" t="s">
        <v>431</v>
      </c>
      <c r="N481" s="3">
        <v>8293.0</v>
      </c>
      <c r="O481" s="3" t="s">
        <v>818</v>
      </c>
      <c r="P481" s="10">
        <v>5223.0</v>
      </c>
      <c r="Q481" s="13">
        <v>437.2</v>
      </c>
      <c r="R481" s="13">
        <v>263.33</v>
      </c>
      <c r="S481" s="13">
        <f t="shared" si="3"/>
        <v>2283495.6</v>
      </c>
      <c r="T481" s="13">
        <f t="shared" si="4"/>
        <v>1375372.59</v>
      </c>
      <c r="U481" s="13">
        <f t="shared" si="5"/>
        <v>908123.01</v>
      </c>
      <c r="V481" s="3" t="str">
        <f>VLOOKUP(N481,products!A:B,2,0)</f>
        <v>Cosmetics</v>
      </c>
      <c r="W481" s="3" t="s">
        <v>28</v>
      </c>
      <c r="X481" s="3" t="s">
        <v>29</v>
      </c>
      <c r="Y481" s="14">
        <f t="shared" si="10"/>
        <v>0.3976898445</v>
      </c>
      <c r="Z481" s="3">
        <f t="shared" si="7"/>
        <v>43</v>
      </c>
      <c r="AA481" s="15">
        <f t="shared" si="8"/>
        <v>6</v>
      </c>
    </row>
    <row r="482" ht="15.75" customHeight="1">
      <c r="A482" s="3">
        <v>4.21456849E8</v>
      </c>
      <c r="B482" s="9">
        <v>41467.0</v>
      </c>
      <c r="C482" s="3">
        <f>IFERROR(__xludf.DUMMYFUNCTION("split(B482,""/"")"),12.0)</f>
        <v>12</v>
      </c>
      <c r="D482" s="10">
        <f>IFERROR(__xludf.DUMMYFUNCTION("""COMPUTED_VALUE"""),7.0)</f>
        <v>7</v>
      </c>
      <c r="E482" s="11">
        <f>IFERROR(__xludf.DUMMYFUNCTION("""COMPUTED_VALUE"""),2013.0)</f>
        <v>2013</v>
      </c>
      <c r="F482" s="12">
        <f t="shared" si="1"/>
        <v>41615</v>
      </c>
      <c r="G482" s="9">
        <v>41559.0</v>
      </c>
      <c r="H482" s="3">
        <f>IFERROR(__xludf.DUMMYFUNCTION("split(G482,""/"")"),12.0)</f>
        <v>12</v>
      </c>
      <c r="I482" s="3">
        <f>IFERROR(__xludf.DUMMYFUNCTION("""COMPUTED_VALUE"""),10.0)</f>
        <v>10</v>
      </c>
      <c r="J482" s="3">
        <f>IFERROR(__xludf.DUMMYFUNCTION("""COMPUTED_VALUE"""),2013.0)</f>
        <v>2013</v>
      </c>
      <c r="K482" s="12">
        <f t="shared" si="2"/>
        <v>41618</v>
      </c>
      <c r="L482" s="3" t="s">
        <v>814</v>
      </c>
      <c r="M482" s="3" t="s">
        <v>821</v>
      </c>
      <c r="N482" s="3">
        <v>8875.0</v>
      </c>
      <c r="O482" s="3" t="s">
        <v>815</v>
      </c>
      <c r="P482" s="10">
        <v>7302.0</v>
      </c>
      <c r="Q482" s="13">
        <v>421.89</v>
      </c>
      <c r="R482" s="13">
        <v>364.69</v>
      </c>
      <c r="S482" s="13">
        <f t="shared" si="3"/>
        <v>3080640.78</v>
      </c>
      <c r="T482" s="13">
        <f t="shared" si="4"/>
        <v>2662966.38</v>
      </c>
      <c r="U482" s="13">
        <f t="shared" si="5"/>
        <v>417674.4</v>
      </c>
      <c r="V482" s="3" t="str">
        <f>VLOOKUP(N482,products!A:B,2,0)</f>
        <v>Meat</v>
      </c>
      <c r="W482" s="3" t="s">
        <v>821</v>
      </c>
      <c r="X482" s="3" t="s">
        <v>821</v>
      </c>
      <c r="Y482" s="14">
        <f t="shared" si="10"/>
        <v>0.1355803646</v>
      </c>
      <c r="Z482" s="3">
        <f t="shared" si="7"/>
        <v>3</v>
      </c>
      <c r="AA482" s="15">
        <f t="shared" si="8"/>
        <v>7</v>
      </c>
    </row>
    <row r="483" ht="15.75" customHeight="1">
      <c r="A483" s="3">
        <v>4.21660268E8</v>
      </c>
      <c r="B483" s="3" t="s">
        <v>1317</v>
      </c>
      <c r="C483" s="3">
        <f>IFERROR(__xludf.DUMMYFUNCTION("split(B483,""/"")"),3.0)</f>
        <v>3</v>
      </c>
      <c r="D483" s="10">
        <f>IFERROR(__xludf.DUMMYFUNCTION("""COMPUTED_VALUE"""),14.0)</f>
        <v>14</v>
      </c>
      <c r="E483" s="11">
        <f>IFERROR(__xludf.DUMMYFUNCTION("""COMPUTED_VALUE"""),2015.0)</f>
        <v>2015</v>
      </c>
      <c r="F483" s="12">
        <f t="shared" si="1"/>
        <v>42077</v>
      </c>
      <c r="G483" s="9">
        <v>42312.0</v>
      </c>
      <c r="H483" s="3">
        <f>IFERROR(__xludf.DUMMYFUNCTION("split(G483,""/"")"),4.0)</f>
        <v>4</v>
      </c>
      <c r="I483" s="3">
        <f>IFERROR(__xludf.DUMMYFUNCTION("""COMPUTED_VALUE"""),11.0)</f>
        <v>11</v>
      </c>
      <c r="J483" s="3">
        <f>IFERROR(__xludf.DUMMYFUNCTION("""COMPUTED_VALUE"""),2015.0)</f>
        <v>2015</v>
      </c>
      <c r="K483" s="12">
        <f t="shared" si="2"/>
        <v>42105</v>
      </c>
      <c r="L483" s="3" t="s">
        <v>817</v>
      </c>
      <c r="M483" s="3" t="s">
        <v>364</v>
      </c>
      <c r="N483" s="3">
        <v>7940.0</v>
      </c>
      <c r="O483" s="3" t="s">
        <v>818</v>
      </c>
      <c r="P483" s="10">
        <v>7498.0</v>
      </c>
      <c r="Q483" s="13">
        <v>668.27</v>
      </c>
      <c r="R483" s="13">
        <v>502.54</v>
      </c>
      <c r="S483" s="13">
        <f t="shared" si="3"/>
        <v>5010688.46</v>
      </c>
      <c r="T483" s="13">
        <f t="shared" si="4"/>
        <v>3768044.92</v>
      </c>
      <c r="U483" s="13">
        <f t="shared" si="5"/>
        <v>1242643.54</v>
      </c>
      <c r="V483" s="3" t="str">
        <f>VLOOKUP(N483,products!A:B,2,0)</f>
        <v>Household</v>
      </c>
      <c r="W483" s="3" t="s">
        <v>28</v>
      </c>
      <c r="X483" s="3" t="s">
        <v>29</v>
      </c>
      <c r="Y483" s="14">
        <f t="shared" si="10"/>
        <v>0.2479985635</v>
      </c>
      <c r="Z483" s="3">
        <f t="shared" si="7"/>
        <v>28</v>
      </c>
      <c r="AA483" s="15">
        <f t="shared" si="8"/>
        <v>7</v>
      </c>
    </row>
    <row r="484" ht="15.75" customHeight="1">
      <c r="A484" s="3">
        <v>4.22568786E8</v>
      </c>
      <c r="B484" s="3" t="s">
        <v>1318</v>
      </c>
      <c r="C484" s="3">
        <f>IFERROR(__xludf.DUMMYFUNCTION("split(B484,""/"")"),5.0)</f>
        <v>5</v>
      </c>
      <c r="D484" s="10">
        <f>IFERROR(__xludf.DUMMYFUNCTION("""COMPUTED_VALUE"""),15.0)</f>
        <v>15</v>
      </c>
      <c r="E484" s="11">
        <f>IFERROR(__xludf.DUMMYFUNCTION("""COMPUTED_VALUE"""),2016.0)</f>
        <v>2016</v>
      </c>
      <c r="F484" s="12">
        <f t="shared" si="1"/>
        <v>42505</v>
      </c>
      <c r="G484" s="3" t="s">
        <v>1319</v>
      </c>
      <c r="H484" s="3">
        <f>IFERROR(__xludf.DUMMYFUNCTION("split(G484,""/"")"),6.0)</f>
        <v>6</v>
      </c>
      <c r="I484" s="3">
        <f>IFERROR(__xludf.DUMMYFUNCTION("""COMPUTED_VALUE"""),17.0)</f>
        <v>17</v>
      </c>
      <c r="J484" s="3">
        <f>IFERROR(__xludf.DUMMYFUNCTION("""COMPUTED_VALUE"""),2016.0)</f>
        <v>2016</v>
      </c>
      <c r="K484" s="12">
        <f t="shared" si="2"/>
        <v>42538</v>
      </c>
      <c r="L484" s="3" t="s">
        <v>827</v>
      </c>
      <c r="M484" s="3" t="s">
        <v>455</v>
      </c>
      <c r="N484" s="3">
        <v>8875.0</v>
      </c>
      <c r="O484" s="3" t="s">
        <v>815</v>
      </c>
      <c r="P484" s="10">
        <v>6349.0</v>
      </c>
      <c r="Q484" s="13">
        <v>421.89</v>
      </c>
      <c r="R484" s="13">
        <v>364.69</v>
      </c>
      <c r="S484" s="13">
        <f t="shared" si="3"/>
        <v>2678579.61</v>
      </c>
      <c r="T484" s="13">
        <f t="shared" si="4"/>
        <v>2315416.81</v>
      </c>
      <c r="U484" s="13">
        <f t="shared" si="5"/>
        <v>363162.8</v>
      </c>
      <c r="V484" s="3" t="str">
        <f>VLOOKUP(N484,products!A:B,2,0)</f>
        <v>Meat</v>
      </c>
      <c r="W484" s="3" t="s">
        <v>28</v>
      </c>
      <c r="X484" s="3" t="s">
        <v>33</v>
      </c>
      <c r="Y484" s="14">
        <f t="shared" si="10"/>
        <v>0.1355803646</v>
      </c>
      <c r="Z484" s="3">
        <f t="shared" si="7"/>
        <v>33</v>
      </c>
      <c r="AA484" s="15">
        <f t="shared" si="8"/>
        <v>1</v>
      </c>
    </row>
    <row r="485" ht="15.75" customHeight="1">
      <c r="A485" s="3">
        <v>4.24181544E8</v>
      </c>
      <c r="B485" s="9">
        <v>41396.0</v>
      </c>
      <c r="C485" s="3">
        <f>IFERROR(__xludf.DUMMYFUNCTION("split(B485,""/"")"),2.0)</f>
        <v>2</v>
      </c>
      <c r="D485" s="10">
        <f>IFERROR(__xludf.DUMMYFUNCTION("""COMPUTED_VALUE"""),5.0)</f>
        <v>5</v>
      </c>
      <c r="E485" s="11">
        <f>IFERROR(__xludf.DUMMYFUNCTION("""COMPUTED_VALUE"""),2013.0)</f>
        <v>2013</v>
      </c>
      <c r="F485" s="12">
        <f t="shared" si="1"/>
        <v>41310</v>
      </c>
      <c r="G485" s="9">
        <v>41367.0</v>
      </c>
      <c r="H485" s="3">
        <f>IFERROR(__xludf.DUMMYFUNCTION("split(G485,""/"")"),3.0)</f>
        <v>3</v>
      </c>
      <c r="I485" s="3">
        <f>IFERROR(__xludf.DUMMYFUNCTION("""COMPUTED_VALUE"""),4.0)</f>
        <v>4</v>
      </c>
      <c r="J485" s="3">
        <f>IFERROR(__xludf.DUMMYFUNCTION("""COMPUTED_VALUE"""),2013.0)</f>
        <v>2013</v>
      </c>
      <c r="K485" s="12">
        <f t="shared" si="2"/>
        <v>41337</v>
      </c>
      <c r="L485" s="3" t="s">
        <v>827</v>
      </c>
      <c r="M485" s="3" t="s">
        <v>67</v>
      </c>
      <c r="N485" s="3">
        <v>2103.0</v>
      </c>
      <c r="O485" s="3" t="s">
        <v>815</v>
      </c>
      <c r="P485" s="10">
        <v>3600.0</v>
      </c>
      <c r="Q485" s="13">
        <v>205.7</v>
      </c>
      <c r="R485" s="13">
        <v>117.11</v>
      </c>
      <c r="S485" s="13">
        <f t="shared" si="3"/>
        <v>740520</v>
      </c>
      <c r="T485" s="13">
        <f t="shared" si="4"/>
        <v>421596</v>
      </c>
      <c r="U485" s="13">
        <f t="shared" si="5"/>
        <v>318924</v>
      </c>
      <c r="V485" s="3" t="str">
        <f>VLOOKUP(N485,products!A:B,2,0)</f>
        <v>Cereal</v>
      </c>
      <c r="W485" s="3" t="s">
        <v>23</v>
      </c>
      <c r="X485" s="3" t="s">
        <v>68</v>
      </c>
      <c r="Y485" s="14">
        <f t="shared" si="10"/>
        <v>0.4306757414</v>
      </c>
      <c r="Z485" s="3">
        <f t="shared" si="7"/>
        <v>27</v>
      </c>
      <c r="AA485" s="15">
        <f t="shared" si="8"/>
        <v>3</v>
      </c>
    </row>
    <row r="486" ht="15.75" customHeight="1">
      <c r="A486" s="3">
        <v>4.24297845E8</v>
      </c>
      <c r="B486" s="3" t="s">
        <v>1320</v>
      </c>
      <c r="C486" s="3">
        <f>IFERROR(__xludf.DUMMYFUNCTION("split(B486,""/"")"),12.0)</f>
        <v>12</v>
      </c>
      <c r="D486" s="10">
        <f>IFERROR(__xludf.DUMMYFUNCTION("""COMPUTED_VALUE"""),20.0)</f>
        <v>20</v>
      </c>
      <c r="E486" s="11">
        <f>IFERROR(__xludf.DUMMYFUNCTION("""COMPUTED_VALUE"""),2011.0)</f>
        <v>2011</v>
      </c>
      <c r="F486" s="12">
        <f t="shared" si="1"/>
        <v>40897</v>
      </c>
      <c r="G486" s="9">
        <v>41122.0</v>
      </c>
      <c r="H486" s="3">
        <f>IFERROR(__xludf.DUMMYFUNCTION("split(G486,""/"")"),1.0)</f>
        <v>1</v>
      </c>
      <c r="I486" s="3">
        <f>IFERROR(__xludf.DUMMYFUNCTION("""COMPUTED_VALUE"""),8.0)</f>
        <v>8</v>
      </c>
      <c r="J486" s="3">
        <f>IFERROR(__xludf.DUMMYFUNCTION("""COMPUTED_VALUE"""),2012.0)</f>
        <v>2012</v>
      </c>
      <c r="K486" s="12">
        <f t="shared" si="2"/>
        <v>40916</v>
      </c>
      <c r="L486" s="3" t="s">
        <v>814</v>
      </c>
      <c r="M486" s="3" t="s">
        <v>635</v>
      </c>
      <c r="N486" s="3">
        <v>1270.0</v>
      </c>
      <c r="O486" s="3" t="s">
        <v>815</v>
      </c>
      <c r="P486" s="10">
        <v>8016.0</v>
      </c>
      <c r="Q486" s="13">
        <v>47.45</v>
      </c>
      <c r="R486" s="13">
        <v>31.79</v>
      </c>
      <c r="S486" s="13">
        <f t="shared" si="3"/>
        <v>380359.2</v>
      </c>
      <c r="T486" s="13">
        <f t="shared" si="4"/>
        <v>254828.64</v>
      </c>
      <c r="U486" s="13">
        <f t="shared" si="5"/>
        <v>125530.56</v>
      </c>
      <c r="V486" s="3" t="str">
        <f>VLOOKUP(N486,products!A:B,2,0)</f>
        <v>Beverages</v>
      </c>
      <c r="W486" s="3" t="s">
        <v>28</v>
      </c>
      <c r="X486" s="3" t="s">
        <v>33</v>
      </c>
      <c r="Y486" s="14">
        <f t="shared" si="10"/>
        <v>0.3300316122</v>
      </c>
      <c r="Z486" s="3">
        <f t="shared" si="7"/>
        <v>19</v>
      </c>
      <c r="AA486" s="15">
        <f t="shared" si="8"/>
        <v>3</v>
      </c>
    </row>
    <row r="487" ht="15.75" customHeight="1">
      <c r="A487" s="3">
        <v>4.24541604E8</v>
      </c>
      <c r="B487" s="9">
        <v>41398.0</v>
      </c>
      <c r="C487" s="3">
        <f>IFERROR(__xludf.DUMMYFUNCTION("split(B487,""/"")"),4.0)</f>
        <v>4</v>
      </c>
      <c r="D487" s="10">
        <f>IFERROR(__xludf.DUMMYFUNCTION("""COMPUTED_VALUE"""),5.0)</f>
        <v>5</v>
      </c>
      <c r="E487" s="11">
        <f>IFERROR(__xludf.DUMMYFUNCTION("""COMPUTED_VALUE"""),2013.0)</f>
        <v>2013</v>
      </c>
      <c r="F487" s="12">
        <f t="shared" si="1"/>
        <v>41369</v>
      </c>
      <c r="G487" s="3" t="s">
        <v>1321</v>
      </c>
      <c r="H487" s="3">
        <f>IFERROR(__xludf.DUMMYFUNCTION("split(G487,""/"")"),5.0)</f>
        <v>5</v>
      </c>
      <c r="I487" s="3">
        <f>IFERROR(__xludf.DUMMYFUNCTION("""COMPUTED_VALUE"""),17.0)</f>
        <v>17</v>
      </c>
      <c r="J487" s="3">
        <f>IFERROR(__xludf.DUMMYFUNCTION("""COMPUTED_VALUE"""),2013.0)</f>
        <v>2013</v>
      </c>
      <c r="K487" s="12">
        <f t="shared" si="2"/>
        <v>41411</v>
      </c>
      <c r="L487" s="3" t="s">
        <v>827</v>
      </c>
      <c r="M487" s="3" t="s">
        <v>689</v>
      </c>
      <c r="N487" s="3">
        <v>8681.0</v>
      </c>
      <c r="O487" s="3" t="s">
        <v>818</v>
      </c>
      <c r="P487" s="10">
        <v>150.0</v>
      </c>
      <c r="Q487" s="13">
        <v>651.21</v>
      </c>
      <c r="R487" s="13">
        <v>524.96</v>
      </c>
      <c r="S487" s="13">
        <f t="shared" si="3"/>
        <v>97681.5</v>
      </c>
      <c r="T487" s="13">
        <f t="shared" si="4"/>
        <v>78744</v>
      </c>
      <c r="U487" s="13">
        <f t="shared" si="5"/>
        <v>18937.5</v>
      </c>
      <c r="V487" s="3" t="str">
        <f>VLOOKUP(N487,products!A:B,2,0)</f>
        <v>Office Supplies</v>
      </c>
      <c r="W487" s="3" t="s">
        <v>28</v>
      </c>
      <c r="X487" s="3" t="s">
        <v>79</v>
      </c>
      <c r="Y487" s="14">
        <f t="shared" si="10"/>
        <v>0.193869873</v>
      </c>
      <c r="Z487" s="3">
        <f t="shared" si="7"/>
        <v>42</v>
      </c>
      <c r="AA487" s="15">
        <f t="shared" si="8"/>
        <v>6</v>
      </c>
    </row>
    <row r="488" ht="15.75" customHeight="1">
      <c r="A488" s="3">
        <v>4.25547969E8</v>
      </c>
      <c r="B488" s="3" t="s">
        <v>1322</v>
      </c>
      <c r="C488" s="3">
        <f>IFERROR(__xludf.DUMMYFUNCTION("split(B488,""/"")"),8.0)</f>
        <v>8</v>
      </c>
      <c r="D488" s="10">
        <f>IFERROR(__xludf.DUMMYFUNCTION("""COMPUTED_VALUE"""),19.0)</f>
        <v>19</v>
      </c>
      <c r="E488" s="11">
        <f>IFERROR(__xludf.DUMMYFUNCTION("""COMPUTED_VALUE"""),2010.0)</f>
        <v>2010</v>
      </c>
      <c r="F488" s="12">
        <f t="shared" si="1"/>
        <v>40409</v>
      </c>
      <c r="G488" s="9">
        <v>40491.0</v>
      </c>
      <c r="H488" s="3">
        <f>IFERROR(__xludf.DUMMYFUNCTION("split(G488,""/"")"),9.0)</f>
        <v>9</v>
      </c>
      <c r="I488" s="3">
        <f>IFERROR(__xludf.DUMMYFUNCTION("""COMPUTED_VALUE"""),11.0)</f>
        <v>11</v>
      </c>
      <c r="J488" s="3">
        <f>IFERROR(__xludf.DUMMYFUNCTION("""COMPUTED_VALUE"""),2010.0)</f>
        <v>2010</v>
      </c>
      <c r="K488" s="12">
        <f t="shared" si="2"/>
        <v>40432</v>
      </c>
      <c r="L488" s="3" t="s">
        <v>827</v>
      </c>
      <c r="M488" s="3" t="s">
        <v>46</v>
      </c>
      <c r="N488" s="3">
        <v>1270.0</v>
      </c>
      <c r="O488" s="3" t="s">
        <v>815</v>
      </c>
      <c r="P488" s="10">
        <v>7955.0</v>
      </c>
      <c r="Q488" s="13">
        <v>47.45</v>
      </c>
      <c r="R488" s="13">
        <v>31.79</v>
      </c>
      <c r="S488" s="13">
        <f t="shared" si="3"/>
        <v>377464.75</v>
      </c>
      <c r="T488" s="13">
        <f t="shared" si="4"/>
        <v>252889.45</v>
      </c>
      <c r="U488" s="13">
        <f t="shared" si="5"/>
        <v>124575.3</v>
      </c>
      <c r="V488" s="3" t="str">
        <f>VLOOKUP(N488,products!A:B,2,0)</f>
        <v>Beverages</v>
      </c>
      <c r="W488" s="3" t="s">
        <v>28</v>
      </c>
      <c r="X488" s="3" t="s">
        <v>33</v>
      </c>
      <c r="Y488" s="14">
        <f t="shared" si="10"/>
        <v>0.3300316122</v>
      </c>
      <c r="Z488" s="3">
        <f t="shared" si="7"/>
        <v>23</v>
      </c>
      <c r="AA488" s="15">
        <f t="shared" si="8"/>
        <v>5</v>
      </c>
    </row>
    <row r="489" ht="15.75" customHeight="1">
      <c r="A489" s="3">
        <v>4.27432811E8</v>
      </c>
      <c r="B489" s="9">
        <v>42075.0</v>
      </c>
      <c r="C489" s="3">
        <f>IFERROR(__xludf.DUMMYFUNCTION("split(B489,""/"")"),12.0)</f>
        <v>12</v>
      </c>
      <c r="D489" s="10">
        <f>IFERROR(__xludf.DUMMYFUNCTION("""COMPUTED_VALUE"""),3.0)</f>
        <v>3</v>
      </c>
      <c r="E489" s="11">
        <f>IFERROR(__xludf.DUMMYFUNCTION("""COMPUTED_VALUE"""),2015.0)</f>
        <v>2015</v>
      </c>
      <c r="F489" s="12">
        <f t="shared" si="1"/>
        <v>42341</v>
      </c>
      <c r="G489" s="9">
        <v>42320.0</v>
      </c>
      <c r="H489" s="3">
        <f>IFERROR(__xludf.DUMMYFUNCTION("split(G489,""/"")"),12.0)</f>
        <v>12</v>
      </c>
      <c r="I489" s="3">
        <f>IFERROR(__xludf.DUMMYFUNCTION("""COMPUTED_VALUE"""),11.0)</f>
        <v>11</v>
      </c>
      <c r="J489" s="3">
        <f>IFERROR(__xludf.DUMMYFUNCTION("""COMPUTED_VALUE"""),2015.0)</f>
        <v>2015</v>
      </c>
      <c r="K489" s="12">
        <f t="shared" si="2"/>
        <v>42349</v>
      </c>
      <c r="L489" s="3" t="s">
        <v>827</v>
      </c>
      <c r="M489" s="3" t="s">
        <v>267</v>
      </c>
      <c r="N489" s="3">
        <v>8969.0</v>
      </c>
      <c r="O489" s="3" t="s">
        <v>815</v>
      </c>
      <c r="P489" s="10">
        <v>5722.0</v>
      </c>
      <c r="Q489" s="13">
        <v>152.58</v>
      </c>
      <c r="R489" s="13">
        <v>97.44</v>
      </c>
      <c r="S489" s="13">
        <f t="shared" si="3"/>
        <v>873062.76</v>
      </c>
      <c r="T489" s="13">
        <f t="shared" si="4"/>
        <v>557551.68</v>
      </c>
      <c r="U489" s="13">
        <f t="shared" si="5"/>
        <v>315511.08</v>
      </c>
      <c r="V489" s="3" t="str">
        <f>VLOOKUP(N489,products!A:B,2,0)</f>
        <v>Snacks</v>
      </c>
      <c r="W489" s="3" t="s">
        <v>28</v>
      </c>
      <c r="X489" s="3" t="s">
        <v>29</v>
      </c>
      <c r="Y489" s="14">
        <f t="shared" si="10"/>
        <v>0.3613841919</v>
      </c>
      <c r="Z489" s="3">
        <f t="shared" si="7"/>
        <v>8</v>
      </c>
      <c r="AA489" s="15">
        <f t="shared" si="8"/>
        <v>5</v>
      </c>
    </row>
    <row r="490" ht="15.75" customHeight="1">
      <c r="A490" s="3">
        <v>4.28419864E8</v>
      </c>
      <c r="B490" s="9">
        <v>41375.0</v>
      </c>
      <c r="C490" s="3">
        <f>IFERROR(__xludf.DUMMYFUNCTION("split(B490,""/"")"),11.0)</f>
        <v>11</v>
      </c>
      <c r="D490" s="10">
        <f>IFERROR(__xludf.DUMMYFUNCTION("""COMPUTED_VALUE"""),4.0)</f>
        <v>4</v>
      </c>
      <c r="E490" s="11">
        <f>IFERROR(__xludf.DUMMYFUNCTION("""COMPUTED_VALUE"""),2013.0)</f>
        <v>2013</v>
      </c>
      <c r="F490" s="12">
        <f t="shared" si="1"/>
        <v>41582</v>
      </c>
      <c r="G490" s="9">
        <v>41406.0</v>
      </c>
      <c r="H490" s="3">
        <f>IFERROR(__xludf.DUMMYFUNCTION("split(G490,""/"")"),12.0)</f>
        <v>12</v>
      </c>
      <c r="I490" s="3">
        <f>IFERROR(__xludf.DUMMYFUNCTION("""COMPUTED_VALUE"""),5.0)</f>
        <v>5</v>
      </c>
      <c r="J490" s="3">
        <f>IFERROR(__xludf.DUMMYFUNCTION("""COMPUTED_VALUE"""),2013.0)</f>
        <v>2013</v>
      </c>
      <c r="K490" s="12">
        <f t="shared" si="2"/>
        <v>41613</v>
      </c>
      <c r="L490" s="3" t="s">
        <v>814</v>
      </c>
      <c r="M490" s="3" t="s">
        <v>270</v>
      </c>
      <c r="N490" s="3">
        <v>8681.0</v>
      </c>
      <c r="O490" s="3" t="s">
        <v>818</v>
      </c>
      <c r="P490" s="10">
        <v>7813.0</v>
      </c>
      <c r="Q490" s="13">
        <v>651.21</v>
      </c>
      <c r="R490" s="13">
        <v>524.96</v>
      </c>
      <c r="S490" s="13">
        <f t="shared" si="3"/>
        <v>5087903.73</v>
      </c>
      <c r="T490" s="13">
        <f t="shared" si="4"/>
        <v>4101512.48</v>
      </c>
      <c r="U490" s="13">
        <f t="shared" si="5"/>
        <v>986391.25</v>
      </c>
      <c r="V490" s="3" t="str">
        <f>VLOOKUP(N490,products!A:B,2,0)</f>
        <v>Office Supplies</v>
      </c>
      <c r="W490" s="3" t="s">
        <v>28</v>
      </c>
      <c r="X490" s="3" t="s">
        <v>79</v>
      </c>
      <c r="Y490" s="14">
        <f t="shared" si="10"/>
        <v>0.193869873</v>
      </c>
      <c r="Z490" s="3">
        <f t="shared" si="7"/>
        <v>31</v>
      </c>
      <c r="AA490" s="15">
        <f t="shared" si="8"/>
        <v>2</v>
      </c>
    </row>
    <row r="491" ht="15.75" customHeight="1">
      <c r="A491" s="3">
        <v>4.29123675E8</v>
      </c>
      <c r="B491" s="3" t="s">
        <v>813</v>
      </c>
      <c r="C491" s="3">
        <f>IFERROR(__xludf.DUMMYFUNCTION("split(B491,""/"")"),10.0)</f>
        <v>10</v>
      </c>
      <c r="D491" s="10">
        <f>IFERROR(__xludf.DUMMYFUNCTION("""COMPUTED_VALUE"""),18.0)</f>
        <v>18</v>
      </c>
      <c r="E491" s="11">
        <f>IFERROR(__xludf.DUMMYFUNCTION("""COMPUTED_VALUE"""),2014.0)</f>
        <v>2014</v>
      </c>
      <c r="F491" s="12">
        <f t="shared" si="1"/>
        <v>41930</v>
      </c>
      <c r="G491" s="9">
        <v>41954.0</v>
      </c>
      <c r="H491" s="3">
        <f>IFERROR(__xludf.DUMMYFUNCTION("split(G491,""/"")"),11.0)</f>
        <v>11</v>
      </c>
      <c r="I491" s="3">
        <f>IFERROR(__xludf.DUMMYFUNCTION("""COMPUTED_VALUE"""),11.0)</f>
        <v>11</v>
      </c>
      <c r="J491" s="3">
        <f>IFERROR(__xludf.DUMMYFUNCTION("""COMPUTED_VALUE"""),2014.0)</f>
        <v>2014</v>
      </c>
      <c r="K491" s="12">
        <f t="shared" si="2"/>
        <v>41954</v>
      </c>
      <c r="L491" s="3" t="s">
        <v>814</v>
      </c>
      <c r="M491" s="3" t="s">
        <v>821</v>
      </c>
      <c r="N491" s="3">
        <v>8969.0</v>
      </c>
      <c r="O491" s="3" t="s">
        <v>818</v>
      </c>
      <c r="P491" s="10">
        <v>6086.0</v>
      </c>
      <c r="Q491" s="13">
        <v>152.58</v>
      </c>
      <c r="R491" s="13">
        <v>97.44</v>
      </c>
      <c r="S491" s="13">
        <f t="shared" si="3"/>
        <v>928601.88</v>
      </c>
      <c r="T491" s="13">
        <f t="shared" si="4"/>
        <v>593019.84</v>
      </c>
      <c r="U491" s="13">
        <f t="shared" si="5"/>
        <v>335582.04</v>
      </c>
      <c r="V491" s="3" t="str">
        <f>VLOOKUP(N491,products!A:B,2,0)</f>
        <v>Snacks</v>
      </c>
      <c r="W491" s="3" t="s">
        <v>821</v>
      </c>
      <c r="X491" s="3" t="s">
        <v>821</v>
      </c>
      <c r="Y491" s="14">
        <f t="shared" si="10"/>
        <v>0.3613841919</v>
      </c>
      <c r="Z491" s="3">
        <f t="shared" si="7"/>
        <v>24</v>
      </c>
      <c r="AA491" s="15">
        <f t="shared" si="8"/>
        <v>7</v>
      </c>
    </row>
    <row r="492" ht="15.75" customHeight="1">
      <c r="A492" s="3">
        <v>4.3068751E8</v>
      </c>
      <c r="B492" s="9">
        <v>41400.0</v>
      </c>
      <c r="C492" s="3">
        <f>IFERROR(__xludf.DUMMYFUNCTION("split(B492,""/"")"),6.0)</f>
        <v>6</v>
      </c>
      <c r="D492" s="10">
        <f>IFERROR(__xludf.DUMMYFUNCTION("""COMPUTED_VALUE"""),5.0)</f>
        <v>5</v>
      </c>
      <c r="E492" s="11">
        <f>IFERROR(__xludf.DUMMYFUNCTION("""COMPUTED_VALUE"""),2013.0)</f>
        <v>2013</v>
      </c>
      <c r="F492" s="12">
        <f t="shared" si="1"/>
        <v>41430</v>
      </c>
      <c r="G492" s="9">
        <v>41553.0</v>
      </c>
      <c r="H492" s="3">
        <f>IFERROR(__xludf.DUMMYFUNCTION("split(G492,""/"")"),6.0)</f>
        <v>6</v>
      </c>
      <c r="I492" s="3">
        <f>IFERROR(__xludf.DUMMYFUNCTION("""COMPUTED_VALUE"""),10.0)</f>
        <v>10</v>
      </c>
      <c r="J492" s="3">
        <f>IFERROR(__xludf.DUMMYFUNCTION("""COMPUTED_VALUE"""),2013.0)</f>
        <v>2013</v>
      </c>
      <c r="K492" s="12">
        <f t="shared" si="2"/>
        <v>41435</v>
      </c>
      <c r="L492" s="3" t="s">
        <v>817</v>
      </c>
      <c r="M492" s="3" t="s">
        <v>746</v>
      </c>
      <c r="N492" s="3">
        <v>3127.0</v>
      </c>
      <c r="O492" s="3" t="s">
        <v>815</v>
      </c>
      <c r="P492" s="10">
        <v>8860.0</v>
      </c>
      <c r="Q492" s="13">
        <v>81.73</v>
      </c>
      <c r="R492" s="13">
        <v>56.67</v>
      </c>
      <c r="S492" s="13">
        <f t="shared" si="3"/>
        <v>724127.8</v>
      </c>
      <c r="T492" s="13">
        <f t="shared" si="4"/>
        <v>502096.2</v>
      </c>
      <c r="U492" s="13">
        <f t="shared" si="5"/>
        <v>222031.6</v>
      </c>
      <c r="V492" s="3" t="str">
        <f>VLOOKUP(N492,products!A:B,2,0)</f>
        <v>Personal Care</v>
      </c>
      <c r="W492" s="3" t="s">
        <v>28</v>
      </c>
      <c r="X492" s="3" t="s">
        <v>29</v>
      </c>
      <c r="Y492" s="14">
        <f t="shared" si="10"/>
        <v>0.3066193564</v>
      </c>
      <c r="Z492" s="3">
        <f t="shared" si="7"/>
        <v>5</v>
      </c>
      <c r="AA492" s="15">
        <f t="shared" si="8"/>
        <v>4</v>
      </c>
    </row>
    <row r="493" ht="15.75" customHeight="1">
      <c r="A493" s="3">
        <v>4.31240689E8</v>
      </c>
      <c r="B493" s="3" t="s">
        <v>1323</v>
      </c>
      <c r="C493" s="3">
        <f>IFERROR(__xludf.DUMMYFUNCTION("split(B493,""/"")"),8.0)</f>
        <v>8</v>
      </c>
      <c r="D493" s="10">
        <f>IFERROR(__xludf.DUMMYFUNCTION("""COMPUTED_VALUE"""),26.0)</f>
        <v>26</v>
      </c>
      <c r="E493" s="11">
        <f>IFERROR(__xludf.DUMMYFUNCTION("""COMPUTED_VALUE"""),2015.0)</f>
        <v>2015</v>
      </c>
      <c r="F493" s="12">
        <f t="shared" si="1"/>
        <v>42242</v>
      </c>
      <c r="G493" s="3" t="s">
        <v>1324</v>
      </c>
      <c r="H493" s="3">
        <f>IFERROR(__xludf.DUMMYFUNCTION("split(G493,""/"")"),10.0)</f>
        <v>10</v>
      </c>
      <c r="I493" s="3">
        <f>IFERROR(__xludf.DUMMYFUNCTION("""COMPUTED_VALUE"""),13.0)</f>
        <v>13</v>
      </c>
      <c r="J493" s="3">
        <f>IFERROR(__xludf.DUMMYFUNCTION("""COMPUTED_VALUE"""),2015.0)</f>
        <v>2015</v>
      </c>
      <c r="K493" s="12">
        <f t="shared" si="2"/>
        <v>42290</v>
      </c>
      <c r="L493" s="3" t="s">
        <v>825</v>
      </c>
      <c r="M493" s="3" t="s">
        <v>300</v>
      </c>
      <c r="N493" s="3">
        <v>2103.0</v>
      </c>
      <c r="O493" s="3" t="s">
        <v>815</v>
      </c>
      <c r="P493" s="10">
        <v>2558.0</v>
      </c>
      <c r="Q493" s="13">
        <v>205.7</v>
      </c>
      <c r="R493" s="13">
        <v>117.11</v>
      </c>
      <c r="S493" s="13">
        <f t="shared" si="3"/>
        <v>526180.6</v>
      </c>
      <c r="T493" s="13">
        <f t="shared" si="4"/>
        <v>299567.38</v>
      </c>
      <c r="U493" s="13">
        <f t="shared" si="5"/>
        <v>226613.22</v>
      </c>
      <c r="V493" s="3" t="str">
        <f>VLOOKUP(N493,products!A:B,2,0)</f>
        <v>Cereal</v>
      </c>
      <c r="W493" s="3" t="s">
        <v>28</v>
      </c>
      <c r="X493" s="3" t="s">
        <v>33</v>
      </c>
      <c r="Y493" s="14">
        <f t="shared" si="10"/>
        <v>0.4306757414</v>
      </c>
      <c r="Z493" s="3">
        <f t="shared" si="7"/>
        <v>48</v>
      </c>
      <c r="AA493" s="15">
        <f t="shared" si="8"/>
        <v>4</v>
      </c>
    </row>
    <row r="494" ht="15.75" customHeight="1">
      <c r="A494" s="3">
        <v>4.31432092E8</v>
      </c>
      <c r="B494" s="9">
        <v>42377.0</v>
      </c>
      <c r="C494" s="3">
        <f>IFERROR(__xludf.DUMMYFUNCTION("split(B494,""/"")"),8.0)</f>
        <v>8</v>
      </c>
      <c r="D494" s="10">
        <f>IFERROR(__xludf.DUMMYFUNCTION("""COMPUTED_VALUE"""),1.0)</f>
        <v>1</v>
      </c>
      <c r="E494" s="11">
        <f>IFERROR(__xludf.DUMMYFUNCTION("""COMPUTED_VALUE"""),2016.0)</f>
        <v>2016</v>
      </c>
      <c r="F494" s="12">
        <f t="shared" si="1"/>
        <v>42583</v>
      </c>
      <c r="G494" s="3" t="s">
        <v>995</v>
      </c>
      <c r="H494" s="3">
        <f>IFERROR(__xludf.DUMMYFUNCTION("split(G494,""/"")"),9.0)</f>
        <v>9</v>
      </c>
      <c r="I494" s="3">
        <f>IFERROR(__xludf.DUMMYFUNCTION("""COMPUTED_VALUE"""),13.0)</f>
        <v>13</v>
      </c>
      <c r="J494" s="3">
        <f>IFERROR(__xludf.DUMMYFUNCTION("""COMPUTED_VALUE"""),2016.0)</f>
        <v>2016</v>
      </c>
      <c r="K494" s="12">
        <f t="shared" si="2"/>
        <v>42626</v>
      </c>
      <c r="L494" s="3" t="s">
        <v>827</v>
      </c>
      <c r="M494" s="3" t="s">
        <v>536</v>
      </c>
      <c r="N494" s="3">
        <v>2455.0</v>
      </c>
      <c r="O494" s="3" t="s">
        <v>818</v>
      </c>
      <c r="P494" s="10">
        <v>9198.0</v>
      </c>
      <c r="Q494" s="13">
        <v>109.28</v>
      </c>
      <c r="R494" s="13">
        <v>35.84</v>
      </c>
      <c r="S494" s="13">
        <f t="shared" si="3"/>
        <v>1005157.44</v>
      </c>
      <c r="T494" s="13">
        <f t="shared" si="4"/>
        <v>329656.32</v>
      </c>
      <c r="U494" s="13">
        <f t="shared" si="5"/>
        <v>675501.12</v>
      </c>
      <c r="V494" s="3" t="str">
        <f>VLOOKUP(N494,products!A:B,2,0)</f>
        <v>Clothes</v>
      </c>
      <c r="W494" s="3" t="s">
        <v>28</v>
      </c>
      <c r="X494" s="3" t="s">
        <v>33</v>
      </c>
      <c r="Y494" s="14">
        <f t="shared" si="10"/>
        <v>0.6720351391</v>
      </c>
      <c r="Z494" s="3">
        <f t="shared" si="7"/>
        <v>43</v>
      </c>
      <c r="AA494" s="15">
        <f t="shared" si="8"/>
        <v>2</v>
      </c>
    </row>
    <row r="495" ht="15.75" customHeight="1">
      <c r="A495" s="3">
        <v>4.31753098E8</v>
      </c>
      <c r="B495" s="9">
        <v>42044.0</v>
      </c>
      <c r="C495" s="3">
        <f>IFERROR(__xludf.DUMMYFUNCTION("split(B495,""/"")"),9.0)</f>
        <v>9</v>
      </c>
      <c r="D495" s="10">
        <f>IFERROR(__xludf.DUMMYFUNCTION("""COMPUTED_VALUE"""),2.0)</f>
        <v>2</v>
      </c>
      <c r="E495" s="11">
        <f>IFERROR(__xludf.DUMMYFUNCTION("""COMPUTED_VALUE"""),2015.0)</f>
        <v>2015</v>
      </c>
      <c r="F495" s="12">
        <f t="shared" si="1"/>
        <v>42249</v>
      </c>
      <c r="G495" s="3" t="s">
        <v>1325</v>
      </c>
      <c r="H495" s="3">
        <f>IFERROR(__xludf.DUMMYFUNCTION("split(G495,""/"")"),10.0)</f>
        <v>10</v>
      </c>
      <c r="I495" s="3">
        <f>IFERROR(__xludf.DUMMYFUNCTION("""COMPUTED_VALUE"""),19.0)</f>
        <v>19</v>
      </c>
      <c r="J495" s="3">
        <f>IFERROR(__xludf.DUMMYFUNCTION("""COMPUTED_VALUE"""),2015.0)</f>
        <v>2015</v>
      </c>
      <c r="K495" s="12">
        <f t="shared" si="2"/>
        <v>42296</v>
      </c>
      <c r="L495" s="3" t="s">
        <v>814</v>
      </c>
      <c r="M495" s="3" t="s">
        <v>650</v>
      </c>
      <c r="N495" s="3">
        <v>1270.0</v>
      </c>
      <c r="O495" s="3" t="s">
        <v>815</v>
      </c>
      <c r="P495" s="10">
        <v>4191.0</v>
      </c>
      <c r="Q495" s="13">
        <v>47.45</v>
      </c>
      <c r="R495" s="13">
        <v>31.79</v>
      </c>
      <c r="S495" s="13">
        <f t="shared" si="3"/>
        <v>198862.95</v>
      </c>
      <c r="T495" s="13">
        <f t="shared" si="4"/>
        <v>133231.89</v>
      </c>
      <c r="U495" s="13">
        <f t="shared" si="5"/>
        <v>65631.06</v>
      </c>
      <c r="V495" s="3" t="str">
        <f>VLOOKUP(N495,products!A:B,2,0)</f>
        <v>Beverages</v>
      </c>
      <c r="W495" s="3" t="s">
        <v>28</v>
      </c>
      <c r="X495" s="3" t="s">
        <v>98</v>
      </c>
      <c r="Y495" s="14">
        <f t="shared" si="10"/>
        <v>0.3300316122</v>
      </c>
      <c r="Z495" s="3">
        <f t="shared" si="7"/>
        <v>47</v>
      </c>
      <c r="AA495" s="15">
        <f t="shared" si="8"/>
        <v>4</v>
      </c>
    </row>
    <row r="496" ht="15.75" customHeight="1">
      <c r="A496" s="3">
        <v>4.32031619E8</v>
      </c>
      <c r="B496" s="9">
        <v>40669.0</v>
      </c>
      <c r="C496" s="3">
        <f>IFERROR(__xludf.DUMMYFUNCTION("split(B496,""/"")"),6.0)</f>
        <v>6</v>
      </c>
      <c r="D496" s="10">
        <f>IFERROR(__xludf.DUMMYFUNCTION("""COMPUTED_VALUE"""),5.0)</f>
        <v>5</v>
      </c>
      <c r="E496" s="11">
        <f>IFERROR(__xludf.DUMMYFUNCTION("""COMPUTED_VALUE"""),2011.0)</f>
        <v>2011</v>
      </c>
      <c r="F496" s="12">
        <f t="shared" si="1"/>
        <v>40699</v>
      </c>
      <c r="G496" s="3" t="s">
        <v>1326</v>
      </c>
      <c r="H496" s="3">
        <f>IFERROR(__xludf.DUMMYFUNCTION("split(G496,""/"")"),6.0)</f>
        <v>6</v>
      </c>
      <c r="I496" s="3">
        <f>IFERROR(__xludf.DUMMYFUNCTION("""COMPUTED_VALUE"""),29.0)</f>
        <v>29</v>
      </c>
      <c r="J496" s="3">
        <f>IFERROR(__xludf.DUMMYFUNCTION("""COMPUTED_VALUE"""),2011.0)</f>
        <v>2011</v>
      </c>
      <c r="K496" s="12">
        <f t="shared" si="2"/>
        <v>40723</v>
      </c>
      <c r="L496" s="3" t="s">
        <v>827</v>
      </c>
      <c r="M496" s="3" t="s">
        <v>67</v>
      </c>
      <c r="N496" s="3">
        <v>1270.0</v>
      </c>
      <c r="O496" s="3" t="s">
        <v>815</v>
      </c>
      <c r="P496" s="10">
        <v>6612.0</v>
      </c>
      <c r="Q496" s="13">
        <v>47.45</v>
      </c>
      <c r="R496" s="13">
        <v>31.79</v>
      </c>
      <c r="S496" s="13">
        <f t="shared" si="3"/>
        <v>313739.4</v>
      </c>
      <c r="T496" s="13">
        <f t="shared" si="4"/>
        <v>210195.48</v>
      </c>
      <c r="U496" s="13">
        <f t="shared" si="5"/>
        <v>103543.92</v>
      </c>
      <c r="V496" s="3" t="str">
        <f>VLOOKUP(N496,products!A:B,2,0)</f>
        <v>Beverages</v>
      </c>
      <c r="W496" s="3" t="s">
        <v>23</v>
      </c>
      <c r="X496" s="3" t="s">
        <v>68</v>
      </c>
      <c r="Y496" s="14">
        <f t="shared" si="10"/>
        <v>0.3300316122</v>
      </c>
      <c r="Z496" s="3">
        <f t="shared" si="7"/>
        <v>24</v>
      </c>
      <c r="AA496" s="15">
        <f t="shared" si="8"/>
        <v>1</v>
      </c>
    </row>
    <row r="497" ht="15.75" customHeight="1">
      <c r="A497" s="3">
        <v>4.33079183E8</v>
      </c>
      <c r="B497" s="9">
        <v>41397.0</v>
      </c>
      <c r="C497" s="3">
        <f>IFERROR(__xludf.DUMMYFUNCTION("split(B497,""/"")"),3.0)</f>
        <v>3</v>
      </c>
      <c r="D497" s="10">
        <f>IFERROR(__xludf.DUMMYFUNCTION("""COMPUTED_VALUE"""),5.0)</f>
        <v>5</v>
      </c>
      <c r="E497" s="11">
        <f>IFERROR(__xludf.DUMMYFUNCTION("""COMPUTED_VALUE"""),2013.0)</f>
        <v>2013</v>
      </c>
      <c r="F497" s="12">
        <f t="shared" si="1"/>
        <v>41338</v>
      </c>
      <c r="G497" s="3" t="s">
        <v>1327</v>
      </c>
      <c r="H497" s="3">
        <f>IFERROR(__xludf.DUMMYFUNCTION("split(G497,""/"")"),4.0)</f>
        <v>4</v>
      </c>
      <c r="I497" s="3">
        <f>IFERROR(__xludf.DUMMYFUNCTION("""COMPUTED_VALUE"""),19.0)</f>
        <v>19</v>
      </c>
      <c r="J497" s="3">
        <f>IFERROR(__xludf.DUMMYFUNCTION("""COMPUTED_VALUE"""),2013.0)</f>
        <v>2013</v>
      </c>
      <c r="K497" s="12">
        <f t="shared" si="2"/>
        <v>41383</v>
      </c>
      <c r="L497" s="3" t="s">
        <v>814</v>
      </c>
      <c r="M497" s="3" t="s">
        <v>431</v>
      </c>
      <c r="N497" s="3">
        <v>8681.0</v>
      </c>
      <c r="O497" s="3" t="s">
        <v>818</v>
      </c>
      <c r="P497" s="10">
        <v>6609.0</v>
      </c>
      <c r="Q497" s="13">
        <v>651.21</v>
      </c>
      <c r="R497" s="13">
        <v>524.96</v>
      </c>
      <c r="S497" s="13">
        <f t="shared" si="3"/>
        <v>4303846.89</v>
      </c>
      <c r="T497" s="13">
        <f t="shared" si="4"/>
        <v>3469460.64</v>
      </c>
      <c r="U497" s="13">
        <f t="shared" si="5"/>
        <v>834386.25</v>
      </c>
      <c r="V497" s="3" t="str">
        <f>VLOOKUP(N497,products!A:B,2,0)</f>
        <v>Office Supplies</v>
      </c>
      <c r="W497" s="3" t="s">
        <v>28</v>
      </c>
      <c r="X497" s="3" t="s">
        <v>29</v>
      </c>
      <c r="Y497" s="14">
        <f t="shared" si="10"/>
        <v>0.193869873</v>
      </c>
      <c r="Z497" s="3">
        <f t="shared" si="7"/>
        <v>45</v>
      </c>
      <c r="AA497" s="15">
        <f t="shared" si="8"/>
        <v>3</v>
      </c>
    </row>
    <row r="498" ht="15.75" customHeight="1">
      <c r="A498" s="3">
        <v>4.337345E8</v>
      </c>
      <c r="B498" s="3" t="s">
        <v>1322</v>
      </c>
      <c r="C498" s="3">
        <f>IFERROR(__xludf.DUMMYFUNCTION("split(B498,""/"")"),8.0)</f>
        <v>8</v>
      </c>
      <c r="D498" s="10">
        <f>IFERROR(__xludf.DUMMYFUNCTION("""COMPUTED_VALUE"""),19.0)</f>
        <v>19</v>
      </c>
      <c r="E498" s="11">
        <f>IFERROR(__xludf.DUMMYFUNCTION("""COMPUTED_VALUE"""),2010.0)</f>
        <v>2010</v>
      </c>
      <c r="F498" s="12">
        <f t="shared" si="1"/>
        <v>40409</v>
      </c>
      <c r="G498" s="9">
        <v>40399.0</v>
      </c>
      <c r="H498" s="3">
        <f>IFERROR(__xludf.DUMMYFUNCTION("split(G498,""/"")"),9.0)</f>
        <v>9</v>
      </c>
      <c r="I498" s="3">
        <f>IFERROR(__xludf.DUMMYFUNCTION("""COMPUTED_VALUE"""),8.0)</f>
        <v>8</v>
      </c>
      <c r="J498" s="3">
        <f>IFERROR(__xludf.DUMMYFUNCTION("""COMPUTED_VALUE"""),2010.0)</f>
        <v>2010</v>
      </c>
      <c r="K498" s="12">
        <f t="shared" si="2"/>
        <v>40429</v>
      </c>
      <c r="L498" s="3" t="s">
        <v>825</v>
      </c>
      <c r="M498" s="3" t="s">
        <v>291</v>
      </c>
      <c r="N498" s="3">
        <v>8681.0</v>
      </c>
      <c r="O498" s="3" t="s">
        <v>818</v>
      </c>
      <c r="P498" s="10">
        <v>532.0</v>
      </c>
      <c r="Q498" s="13">
        <v>651.21</v>
      </c>
      <c r="R498" s="13">
        <v>524.96</v>
      </c>
      <c r="S498" s="13">
        <f t="shared" si="3"/>
        <v>346443.72</v>
      </c>
      <c r="T498" s="13">
        <f t="shared" si="4"/>
        <v>279278.72</v>
      </c>
      <c r="U498" s="13">
        <f t="shared" si="5"/>
        <v>67165</v>
      </c>
      <c r="V498" s="3" t="str">
        <f>VLOOKUP(N498,products!A:B,2,0)</f>
        <v>Office Supplies</v>
      </c>
      <c r="W498" s="3" t="s">
        <v>28</v>
      </c>
      <c r="X498" s="3" t="s">
        <v>79</v>
      </c>
      <c r="Y498" s="14">
        <f t="shared" si="10"/>
        <v>0.193869873</v>
      </c>
      <c r="Z498" s="3">
        <f t="shared" si="7"/>
        <v>20</v>
      </c>
      <c r="AA498" s="15">
        <f t="shared" si="8"/>
        <v>5</v>
      </c>
    </row>
    <row r="499" ht="15.75" customHeight="1">
      <c r="A499" s="3">
        <v>4.34013879E8</v>
      </c>
      <c r="B499" s="3" t="s">
        <v>1328</v>
      </c>
      <c r="C499" s="3">
        <f>IFERROR(__xludf.DUMMYFUNCTION("split(B499,""/"")"),9.0)</f>
        <v>9</v>
      </c>
      <c r="D499" s="10">
        <f>IFERROR(__xludf.DUMMYFUNCTION("""COMPUTED_VALUE"""),27.0)</f>
        <v>27</v>
      </c>
      <c r="E499" s="11">
        <f>IFERROR(__xludf.DUMMYFUNCTION("""COMPUTED_VALUE"""),2010.0)</f>
        <v>2010</v>
      </c>
      <c r="F499" s="12">
        <f t="shared" si="1"/>
        <v>40448</v>
      </c>
      <c r="G499" s="9">
        <v>40309.0</v>
      </c>
      <c r="H499" s="3">
        <f>IFERROR(__xludf.DUMMYFUNCTION("split(G499,""/"")"),11.0)</f>
        <v>11</v>
      </c>
      <c r="I499" s="3">
        <f>IFERROR(__xludf.DUMMYFUNCTION("""COMPUTED_VALUE"""),5.0)</f>
        <v>5</v>
      </c>
      <c r="J499" s="3">
        <f>IFERROR(__xludf.DUMMYFUNCTION("""COMPUTED_VALUE"""),2010.0)</f>
        <v>2010</v>
      </c>
      <c r="K499" s="12">
        <f t="shared" si="2"/>
        <v>40487</v>
      </c>
      <c r="L499" s="3" t="s">
        <v>827</v>
      </c>
      <c r="M499" s="3" t="s">
        <v>482</v>
      </c>
      <c r="N499" s="3">
        <v>8293.0</v>
      </c>
      <c r="O499" s="3" t="s">
        <v>818</v>
      </c>
      <c r="P499" s="10">
        <v>3206.0</v>
      </c>
      <c r="Q499" s="13">
        <v>437.2</v>
      </c>
      <c r="R499" s="13">
        <v>263.33</v>
      </c>
      <c r="S499" s="13">
        <f t="shared" si="3"/>
        <v>1401663.2</v>
      </c>
      <c r="T499" s="13">
        <f t="shared" si="4"/>
        <v>844235.98</v>
      </c>
      <c r="U499" s="13">
        <f t="shared" si="5"/>
        <v>557427.22</v>
      </c>
      <c r="V499" s="3" t="str">
        <f>VLOOKUP(N499,products!A:B,2,0)</f>
        <v>Cosmetics</v>
      </c>
      <c r="W499" s="3" t="s">
        <v>28</v>
      </c>
      <c r="X499" s="3" t="s">
        <v>79</v>
      </c>
      <c r="Y499" s="14">
        <f t="shared" si="10"/>
        <v>0.3976898445</v>
      </c>
      <c r="Z499" s="3">
        <f t="shared" si="7"/>
        <v>39</v>
      </c>
      <c r="AA499" s="15">
        <f t="shared" si="8"/>
        <v>2</v>
      </c>
    </row>
    <row r="500" ht="15.75" customHeight="1">
      <c r="A500" s="3">
        <v>4.34275662E8</v>
      </c>
      <c r="B500" s="9">
        <v>41220.0</v>
      </c>
      <c r="C500" s="3">
        <f>IFERROR(__xludf.DUMMYFUNCTION("split(B500,""/"")"),7.0)</f>
        <v>7</v>
      </c>
      <c r="D500" s="10">
        <f>IFERROR(__xludf.DUMMYFUNCTION("""COMPUTED_VALUE"""),11.0)</f>
        <v>11</v>
      </c>
      <c r="E500" s="11">
        <f>IFERROR(__xludf.DUMMYFUNCTION("""COMPUTED_VALUE"""),2012.0)</f>
        <v>2012</v>
      </c>
      <c r="F500" s="12">
        <f t="shared" si="1"/>
        <v>41101</v>
      </c>
      <c r="G500" s="3" t="s">
        <v>1329</v>
      </c>
      <c r="H500" s="3">
        <f>IFERROR(__xludf.DUMMYFUNCTION("split(G500,""/"")"),8.0)</f>
        <v>8</v>
      </c>
      <c r="I500" s="3">
        <f>IFERROR(__xludf.DUMMYFUNCTION("""COMPUTED_VALUE"""),13.0)</f>
        <v>13</v>
      </c>
      <c r="J500" s="3">
        <f>IFERROR(__xludf.DUMMYFUNCTION("""COMPUTED_VALUE"""),2012.0)</f>
        <v>2012</v>
      </c>
      <c r="K500" s="12">
        <f t="shared" si="2"/>
        <v>41134</v>
      </c>
      <c r="L500" s="3" t="s">
        <v>827</v>
      </c>
      <c r="M500" s="3" t="s">
        <v>123</v>
      </c>
      <c r="N500" s="3">
        <v>8681.0</v>
      </c>
      <c r="O500" s="3" t="s">
        <v>818</v>
      </c>
      <c r="P500" s="10">
        <v>674.0</v>
      </c>
      <c r="Q500" s="13">
        <v>651.21</v>
      </c>
      <c r="R500" s="13">
        <v>524.96</v>
      </c>
      <c r="S500" s="13">
        <f t="shared" si="3"/>
        <v>438915.54</v>
      </c>
      <c r="T500" s="13">
        <f t="shared" si="4"/>
        <v>353823.04</v>
      </c>
      <c r="U500" s="13">
        <f t="shared" si="5"/>
        <v>85092.5</v>
      </c>
      <c r="V500" s="3" t="str">
        <f>VLOOKUP(N500,products!A:B,2,0)</f>
        <v>Office Supplies</v>
      </c>
      <c r="W500" s="3" t="s">
        <v>28</v>
      </c>
      <c r="X500" s="3" t="s">
        <v>33</v>
      </c>
      <c r="Y500" s="14">
        <f t="shared" si="10"/>
        <v>0.193869873</v>
      </c>
      <c r="Z500" s="3">
        <f t="shared" si="7"/>
        <v>33</v>
      </c>
      <c r="AA500" s="15">
        <f t="shared" si="8"/>
        <v>4</v>
      </c>
    </row>
    <row r="501" ht="15.75" customHeight="1">
      <c r="A501" s="3">
        <v>4.34485948E8</v>
      </c>
      <c r="B501" s="3" t="s">
        <v>1330</v>
      </c>
      <c r="C501" s="3">
        <f>IFERROR(__xludf.DUMMYFUNCTION("split(B501,""/"")"),9.0)</f>
        <v>9</v>
      </c>
      <c r="D501" s="10">
        <f>IFERROR(__xludf.DUMMYFUNCTION("""COMPUTED_VALUE"""),25.0)</f>
        <v>25</v>
      </c>
      <c r="E501" s="11">
        <f>IFERROR(__xludf.DUMMYFUNCTION("""COMPUTED_VALUE"""),2010.0)</f>
        <v>2010</v>
      </c>
      <c r="F501" s="12">
        <f t="shared" si="1"/>
        <v>40446</v>
      </c>
      <c r="G501" s="9">
        <v>40248.0</v>
      </c>
      <c r="H501" s="3">
        <f>IFERROR(__xludf.DUMMYFUNCTION("split(G501,""/"")"),11.0)</f>
        <v>11</v>
      </c>
      <c r="I501" s="3">
        <f>IFERROR(__xludf.DUMMYFUNCTION("""COMPUTED_VALUE"""),3.0)</f>
        <v>3</v>
      </c>
      <c r="J501" s="3">
        <f>IFERROR(__xludf.DUMMYFUNCTION("""COMPUTED_VALUE"""),2010.0)</f>
        <v>2010</v>
      </c>
      <c r="K501" s="12">
        <f t="shared" si="2"/>
        <v>40485</v>
      </c>
      <c r="L501" s="3" t="s">
        <v>825</v>
      </c>
      <c r="M501" s="3" t="s">
        <v>623</v>
      </c>
      <c r="N501" s="3">
        <v>3127.0</v>
      </c>
      <c r="O501" s="3" t="s">
        <v>815</v>
      </c>
      <c r="P501" s="10">
        <v>2902.0</v>
      </c>
      <c r="Q501" s="13">
        <v>81.73</v>
      </c>
      <c r="R501" s="13">
        <v>56.67</v>
      </c>
      <c r="S501" s="13">
        <f t="shared" si="3"/>
        <v>237180.46</v>
      </c>
      <c r="T501" s="13">
        <f t="shared" si="4"/>
        <v>164456.34</v>
      </c>
      <c r="U501" s="13">
        <f t="shared" si="5"/>
        <v>72724.12</v>
      </c>
      <c r="V501" s="3" t="str">
        <f>VLOOKUP(N501,products!A:B,2,0)</f>
        <v>Personal Care</v>
      </c>
      <c r="W501" s="3" t="s">
        <v>28</v>
      </c>
      <c r="X501" s="3" t="s">
        <v>33</v>
      </c>
      <c r="Y501" s="14">
        <f t="shared" si="10"/>
        <v>0.3066193564</v>
      </c>
      <c r="Z501" s="3">
        <f t="shared" si="7"/>
        <v>39</v>
      </c>
      <c r="AA501" s="15">
        <f t="shared" si="8"/>
        <v>7</v>
      </c>
    </row>
    <row r="502" ht="15.75" customHeight="1">
      <c r="A502" s="3">
        <v>4.35463559E8</v>
      </c>
      <c r="B502" s="3" t="s">
        <v>1331</v>
      </c>
      <c r="C502" s="3">
        <f>IFERROR(__xludf.DUMMYFUNCTION("split(B502,""/"")"),10.0)</f>
        <v>10</v>
      </c>
      <c r="D502" s="10">
        <f>IFERROR(__xludf.DUMMYFUNCTION("""COMPUTED_VALUE"""),21.0)</f>
        <v>21</v>
      </c>
      <c r="E502" s="11">
        <f>IFERROR(__xludf.DUMMYFUNCTION("""COMPUTED_VALUE"""),2013.0)</f>
        <v>2013</v>
      </c>
      <c r="F502" s="12">
        <f t="shared" si="1"/>
        <v>41568</v>
      </c>
      <c r="G502" s="3" t="s">
        <v>889</v>
      </c>
      <c r="H502" s="3">
        <f>IFERROR(__xludf.DUMMYFUNCTION("split(G502,""/"")"),10.0)</f>
        <v>10</v>
      </c>
      <c r="I502" s="3">
        <f>IFERROR(__xludf.DUMMYFUNCTION("""COMPUTED_VALUE"""),27.0)</f>
        <v>27</v>
      </c>
      <c r="J502" s="3">
        <f>IFERROR(__xludf.DUMMYFUNCTION("""COMPUTED_VALUE"""),2013.0)</f>
        <v>2013</v>
      </c>
      <c r="K502" s="12">
        <f t="shared" si="2"/>
        <v>41574</v>
      </c>
      <c r="L502" s="3" t="s">
        <v>817</v>
      </c>
      <c r="M502" s="3" t="s">
        <v>455</v>
      </c>
      <c r="N502" s="3">
        <v>1270.0</v>
      </c>
      <c r="O502" s="3" t="s">
        <v>815</v>
      </c>
      <c r="P502" s="10">
        <v>2199.0</v>
      </c>
      <c r="Q502" s="13">
        <v>47.45</v>
      </c>
      <c r="R502" s="13">
        <v>31.79</v>
      </c>
      <c r="S502" s="13">
        <f t="shared" si="3"/>
        <v>104342.55</v>
      </c>
      <c r="T502" s="13">
        <f t="shared" si="4"/>
        <v>69906.21</v>
      </c>
      <c r="U502" s="13">
        <f t="shared" si="5"/>
        <v>34436.34</v>
      </c>
      <c r="V502" s="3" t="str">
        <f>VLOOKUP(N502,products!A:B,2,0)</f>
        <v>Beverages</v>
      </c>
      <c r="W502" s="3" t="s">
        <v>28</v>
      </c>
      <c r="X502" s="3" t="s">
        <v>33</v>
      </c>
      <c r="Y502" s="14">
        <f t="shared" si="10"/>
        <v>0.3300316122</v>
      </c>
      <c r="Z502" s="3">
        <f t="shared" si="7"/>
        <v>6</v>
      </c>
      <c r="AA502" s="15">
        <f t="shared" si="8"/>
        <v>2</v>
      </c>
    </row>
    <row r="503" ht="15.75" customHeight="1">
      <c r="A503" s="3">
        <v>4.36606395E8</v>
      </c>
      <c r="B503" s="9">
        <v>41375.0</v>
      </c>
      <c r="C503" s="3">
        <f>IFERROR(__xludf.DUMMYFUNCTION("split(B503,""/"")"),11.0)</f>
        <v>11</v>
      </c>
      <c r="D503" s="10">
        <f>IFERROR(__xludf.DUMMYFUNCTION("""COMPUTED_VALUE"""),4.0)</f>
        <v>4</v>
      </c>
      <c r="E503" s="11">
        <f>IFERROR(__xludf.DUMMYFUNCTION("""COMPUTED_VALUE"""),2013.0)</f>
        <v>2013</v>
      </c>
      <c r="F503" s="12">
        <f t="shared" si="1"/>
        <v>41582</v>
      </c>
      <c r="G503" s="9">
        <v>41345.0</v>
      </c>
      <c r="H503" s="3">
        <f>IFERROR(__xludf.DUMMYFUNCTION("split(G503,""/"")"),12.0)</f>
        <v>12</v>
      </c>
      <c r="I503" s="3">
        <f>IFERROR(__xludf.DUMMYFUNCTION("""COMPUTED_VALUE"""),3.0)</f>
        <v>3</v>
      </c>
      <c r="J503" s="3">
        <f>IFERROR(__xludf.DUMMYFUNCTION("""COMPUTED_VALUE"""),2013.0)</f>
        <v>2013</v>
      </c>
      <c r="K503" s="12">
        <f t="shared" si="2"/>
        <v>41611</v>
      </c>
      <c r="L503" s="3" t="s">
        <v>817</v>
      </c>
      <c r="M503" s="3" t="s">
        <v>821</v>
      </c>
      <c r="N503" s="3">
        <v>1270.0</v>
      </c>
      <c r="O503" s="3" t="s">
        <v>818</v>
      </c>
      <c r="P503" s="10">
        <v>389.0</v>
      </c>
      <c r="Q503" s="13">
        <v>47.45</v>
      </c>
      <c r="R503" s="13">
        <v>31.79</v>
      </c>
      <c r="S503" s="13">
        <f t="shared" si="3"/>
        <v>18458.05</v>
      </c>
      <c r="T503" s="13">
        <f t="shared" si="4"/>
        <v>12366.31</v>
      </c>
      <c r="U503" s="13">
        <f t="shared" si="5"/>
        <v>6091.74</v>
      </c>
      <c r="V503" s="3" t="str">
        <f>VLOOKUP(N503,products!A:B,2,0)</f>
        <v>Beverages</v>
      </c>
      <c r="W503" s="3" t="s">
        <v>821</v>
      </c>
      <c r="X503" s="3" t="s">
        <v>821</v>
      </c>
      <c r="Y503" s="14">
        <f t="shared" si="10"/>
        <v>0.3300316122</v>
      </c>
      <c r="Z503" s="3">
        <f t="shared" si="7"/>
        <v>29</v>
      </c>
      <c r="AA503" s="15">
        <f t="shared" si="8"/>
        <v>2</v>
      </c>
    </row>
    <row r="504" ht="15.75" customHeight="1">
      <c r="A504" s="3">
        <v>4.36969029E8</v>
      </c>
      <c r="B504" s="3" t="s">
        <v>1332</v>
      </c>
      <c r="C504" s="3">
        <f>IFERROR(__xludf.DUMMYFUNCTION("split(B504,""/"")"),11.0)</f>
        <v>11</v>
      </c>
      <c r="D504" s="10">
        <f>IFERROR(__xludf.DUMMYFUNCTION("""COMPUTED_VALUE"""),29.0)</f>
        <v>29</v>
      </c>
      <c r="E504" s="11">
        <f>IFERROR(__xludf.DUMMYFUNCTION("""COMPUTED_VALUE"""),2011.0)</f>
        <v>2011</v>
      </c>
      <c r="F504" s="12">
        <f t="shared" si="1"/>
        <v>40876</v>
      </c>
      <c r="G504" s="3" t="s">
        <v>1333</v>
      </c>
      <c r="H504" s="3">
        <f>IFERROR(__xludf.DUMMYFUNCTION("split(G504,""/"")"),12.0)</f>
        <v>12</v>
      </c>
      <c r="I504" s="3">
        <f>IFERROR(__xludf.DUMMYFUNCTION("""COMPUTED_VALUE"""),17.0)</f>
        <v>17</v>
      </c>
      <c r="J504" s="3">
        <f>IFERROR(__xludf.DUMMYFUNCTION("""COMPUTED_VALUE"""),2011.0)</f>
        <v>2011</v>
      </c>
      <c r="K504" s="12">
        <f t="shared" si="2"/>
        <v>40894</v>
      </c>
      <c r="L504" s="3" t="s">
        <v>817</v>
      </c>
      <c r="M504" s="3" t="s">
        <v>671</v>
      </c>
      <c r="N504" s="3">
        <v>8875.0</v>
      </c>
      <c r="O504" s="3" t="s">
        <v>818</v>
      </c>
      <c r="P504" s="10">
        <v>7701.0</v>
      </c>
      <c r="Q504" s="13">
        <v>421.89</v>
      </c>
      <c r="R504" s="13">
        <v>364.69</v>
      </c>
      <c r="S504" s="13">
        <f t="shared" si="3"/>
        <v>3248974.89</v>
      </c>
      <c r="T504" s="13">
        <f t="shared" si="4"/>
        <v>2808477.69</v>
      </c>
      <c r="U504" s="13">
        <f t="shared" si="5"/>
        <v>440497.2</v>
      </c>
      <c r="V504" s="3" t="str">
        <f>VLOOKUP(N504,products!A:B,2,0)</f>
        <v>Meat</v>
      </c>
      <c r="W504" s="3" t="s">
        <v>28</v>
      </c>
      <c r="X504" s="3" t="s">
        <v>33</v>
      </c>
      <c r="Y504" s="14">
        <f t="shared" si="10"/>
        <v>0.1355803646</v>
      </c>
      <c r="Z504" s="3">
        <f t="shared" si="7"/>
        <v>18</v>
      </c>
      <c r="AA504" s="15">
        <f t="shared" si="8"/>
        <v>3</v>
      </c>
    </row>
    <row r="505" ht="15.75" customHeight="1">
      <c r="A505" s="3">
        <v>4.37083184E8</v>
      </c>
      <c r="B505" s="3" t="s">
        <v>1148</v>
      </c>
      <c r="C505" s="3">
        <f>IFERROR(__xludf.DUMMYFUNCTION("split(B505,""/"")"),1.0)</f>
        <v>1</v>
      </c>
      <c r="D505" s="10">
        <f>IFERROR(__xludf.DUMMYFUNCTION("""COMPUTED_VALUE"""),18.0)</f>
        <v>18</v>
      </c>
      <c r="E505" s="11">
        <f>IFERROR(__xludf.DUMMYFUNCTION("""COMPUTED_VALUE"""),2015.0)</f>
        <v>2015</v>
      </c>
      <c r="F505" s="12">
        <f t="shared" si="1"/>
        <v>42022</v>
      </c>
      <c r="G505" s="3" t="s">
        <v>842</v>
      </c>
      <c r="H505" s="3">
        <f>IFERROR(__xludf.DUMMYFUNCTION("split(G505,""/"")"),2.0)</f>
        <v>2</v>
      </c>
      <c r="I505" s="3">
        <f>IFERROR(__xludf.DUMMYFUNCTION("""COMPUTED_VALUE"""),19.0)</f>
        <v>19</v>
      </c>
      <c r="J505" s="3">
        <f>IFERROR(__xludf.DUMMYFUNCTION("""COMPUTED_VALUE"""),2015.0)</f>
        <v>2015</v>
      </c>
      <c r="K505" s="12">
        <f t="shared" si="2"/>
        <v>42054</v>
      </c>
      <c r="L505" s="3" t="s">
        <v>817</v>
      </c>
      <c r="M505" s="3" t="s">
        <v>686</v>
      </c>
      <c r="N505" s="3">
        <v>8875.0</v>
      </c>
      <c r="O505" s="3" t="s">
        <v>815</v>
      </c>
      <c r="P505" s="10">
        <v>1482.0</v>
      </c>
      <c r="Q505" s="13">
        <v>421.89</v>
      </c>
      <c r="R505" s="13">
        <v>364.69</v>
      </c>
      <c r="S505" s="13">
        <f t="shared" si="3"/>
        <v>625240.98</v>
      </c>
      <c r="T505" s="13">
        <f t="shared" si="4"/>
        <v>540470.58</v>
      </c>
      <c r="U505" s="13">
        <f t="shared" si="5"/>
        <v>84770.4</v>
      </c>
      <c r="V505" s="3" t="str">
        <f>VLOOKUP(N505,products!A:B,2,0)</f>
        <v>Meat</v>
      </c>
      <c r="W505" s="3" t="s">
        <v>28</v>
      </c>
      <c r="X505" s="3" t="s">
        <v>29</v>
      </c>
      <c r="Y505" s="14">
        <f t="shared" si="10"/>
        <v>0.1355803646</v>
      </c>
      <c r="Z505" s="3">
        <f t="shared" si="7"/>
        <v>32</v>
      </c>
      <c r="AA505" s="15">
        <f t="shared" si="8"/>
        <v>1</v>
      </c>
    </row>
    <row r="506" ht="15.75" customHeight="1">
      <c r="A506" s="3">
        <v>4.37604176E8</v>
      </c>
      <c r="B506" s="3" t="s">
        <v>923</v>
      </c>
      <c r="C506" s="3">
        <f>IFERROR(__xludf.DUMMYFUNCTION("split(B506,""/"")"),2.0)</f>
        <v>2</v>
      </c>
      <c r="D506" s="10">
        <f>IFERROR(__xludf.DUMMYFUNCTION("""COMPUTED_VALUE"""),21.0)</f>
        <v>21</v>
      </c>
      <c r="E506" s="11">
        <f>IFERROR(__xludf.DUMMYFUNCTION("""COMPUTED_VALUE"""),2013.0)</f>
        <v>2013</v>
      </c>
      <c r="F506" s="12">
        <f t="shared" si="1"/>
        <v>41326</v>
      </c>
      <c r="G506" s="9">
        <v>41459.0</v>
      </c>
      <c r="H506" s="3">
        <f>IFERROR(__xludf.DUMMYFUNCTION("split(G506,""/"")"),4.0)</f>
        <v>4</v>
      </c>
      <c r="I506" s="3">
        <f>IFERROR(__xludf.DUMMYFUNCTION("""COMPUTED_VALUE"""),7.0)</f>
        <v>7</v>
      </c>
      <c r="J506" s="3">
        <f>IFERROR(__xludf.DUMMYFUNCTION("""COMPUTED_VALUE"""),2013.0)</f>
        <v>2013</v>
      </c>
      <c r="K506" s="12">
        <f t="shared" si="2"/>
        <v>41371</v>
      </c>
      <c r="L506" s="3" t="s">
        <v>825</v>
      </c>
      <c r="M506" s="3" t="s">
        <v>434</v>
      </c>
      <c r="N506" s="3">
        <v>8969.0</v>
      </c>
      <c r="O506" s="3" t="s">
        <v>815</v>
      </c>
      <c r="P506" s="10">
        <v>5655.0</v>
      </c>
      <c r="Q506" s="13">
        <v>152.58</v>
      </c>
      <c r="R506" s="13">
        <v>97.44</v>
      </c>
      <c r="S506" s="13">
        <f t="shared" si="3"/>
        <v>862839.9</v>
      </c>
      <c r="T506" s="13">
        <f t="shared" si="4"/>
        <v>551023.2</v>
      </c>
      <c r="U506" s="13">
        <f t="shared" si="5"/>
        <v>311816.7</v>
      </c>
      <c r="V506" s="3" t="str">
        <f>VLOOKUP(N506,products!A:B,2,0)</f>
        <v>Snacks</v>
      </c>
      <c r="W506" s="3" t="s">
        <v>28</v>
      </c>
      <c r="X506" s="3" t="s">
        <v>79</v>
      </c>
      <c r="Y506" s="14">
        <f t="shared" si="10"/>
        <v>0.3613841919</v>
      </c>
      <c r="Z506" s="3">
        <f t="shared" si="7"/>
        <v>45</v>
      </c>
      <c r="AA506" s="15">
        <f t="shared" si="8"/>
        <v>5</v>
      </c>
    </row>
    <row r="507" ht="15.75" customHeight="1">
      <c r="A507" s="3">
        <v>4.38683927E8</v>
      </c>
      <c r="B507" s="3" t="s">
        <v>1334</v>
      </c>
      <c r="C507" s="3">
        <f>IFERROR(__xludf.DUMMYFUNCTION("split(B507,""/"")"),6.0)</f>
        <v>6</v>
      </c>
      <c r="D507" s="10">
        <f>IFERROR(__xludf.DUMMYFUNCTION("""COMPUTED_VALUE"""),13.0)</f>
        <v>13</v>
      </c>
      <c r="E507" s="11">
        <f>IFERROR(__xludf.DUMMYFUNCTION("""COMPUTED_VALUE"""),2011.0)</f>
        <v>2011</v>
      </c>
      <c r="F507" s="12">
        <f t="shared" si="1"/>
        <v>40707</v>
      </c>
      <c r="G507" s="3" t="s">
        <v>1335</v>
      </c>
      <c r="H507" s="3">
        <f>IFERROR(__xludf.DUMMYFUNCTION("split(G507,""/"")"),7.0)</f>
        <v>7</v>
      </c>
      <c r="I507" s="3">
        <f>IFERROR(__xludf.DUMMYFUNCTION("""COMPUTED_VALUE"""),29.0)</f>
        <v>29</v>
      </c>
      <c r="J507" s="3">
        <f>IFERROR(__xludf.DUMMYFUNCTION("""COMPUTED_VALUE"""),2011.0)</f>
        <v>2011</v>
      </c>
      <c r="K507" s="12">
        <f t="shared" si="2"/>
        <v>40753</v>
      </c>
      <c r="L507" s="3" t="s">
        <v>825</v>
      </c>
      <c r="M507" s="3" t="s">
        <v>590</v>
      </c>
      <c r="N507" s="3">
        <v>3127.0</v>
      </c>
      <c r="O507" s="3" t="s">
        <v>815</v>
      </c>
      <c r="P507" s="10">
        <v>5177.0</v>
      </c>
      <c r="Q507" s="13">
        <v>81.73</v>
      </c>
      <c r="R507" s="13">
        <v>56.67</v>
      </c>
      <c r="S507" s="13">
        <f t="shared" si="3"/>
        <v>423116.21</v>
      </c>
      <c r="T507" s="13">
        <f t="shared" si="4"/>
        <v>293380.59</v>
      </c>
      <c r="U507" s="13">
        <f t="shared" si="5"/>
        <v>129735.62</v>
      </c>
      <c r="V507" s="3" t="str">
        <f>VLOOKUP(N507,products!A:B,2,0)</f>
        <v>Personal Care</v>
      </c>
      <c r="W507" s="3" t="s">
        <v>28</v>
      </c>
      <c r="X507" s="3" t="s">
        <v>98</v>
      </c>
      <c r="Y507" s="14">
        <f t="shared" si="10"/>
        <v>0.3066193564</v>
      </c>
      <c r="Z507" s="3">
        <f t="shared" si="7"/>
        <v>46</v>
      </c>
      <c r="AA507" s="15">
        <f t="shared" si="8"/>
        <v>2</v>
      </c>
    </row>
    <row r="508" ht="15.75" customHeight="1">
      <c r="A508" s="3">
        <v>4.39114367E8</v>
      </c>
      <c r="B508" s="3" t="s">
        <v>1336</v>
      </c>
      <c r="C508" s="3">
        <f>IFERROR(__xludf.DUMMYFUNCTION("split(B508,""/"")"),6.0)</f>
        <v>6</v>
      </c>
      <c r="D508" s="10">
        <f>IFERROR(__xludf.DUMMYFUNCTION("""COMPUTED_VALUE"""),17.0)</f>
        <v>17</v>
      </c>
      <c r="E508" s="11">
        <f>IFERROR(__xludf.DUMMYFUNCTION("""COMPUTED_VALUE"""),2012.0)</f>
        <v>2012</v>
      </c>
      <c r="F508" s="12">
        <f t="shared" si="1"/>
        <v>41077</v>
      </c>
      <c r="G508" s="3" t="s">
        <v>1337</v>
      </c>
      <c r="H508" s="3">
        <f>IFERROR(__xludf.DUMMYFUNCTION("split(G508,""/"")"),6.0)</f>
        <v>6</v>
      </c>
      <c r="I508" s="3">
        <f>IFERROR(__xludf.DUMMYFUNCTION("""COMPUTED_VALUE"""),26.0)</f>
        <v>26</v>
      </c>
      <c r="J508" s="3">
        <f>IFERROR(__xludf.DUMMYFUNCTION("""COMPUTED_VALUE"""),2012.0)</f>
        <v>2012</v>
      </c>
      <c r="K508" s="12">
        <f t="shared" si="2"/>
        <v>41086</v>
      </c>
      <c r="L508" s="3" t="s">
        <v>814</v>
      </c>
      <c r="M508" s="3" t="s">
        <v>746</v>
      </c>
      <c r="N508" s="3">
        <v>3127.0</v>
      </c>
      <c r="O508" s="3" t="s">
        <v>815</v>
      </c>
      <c r="P508" s="10">
        <v>2554.0</v>
      </c>
      <c r="Q508" s="13">
        <v>81.73</v>
      </c>
      <c r="R508" s="13">
        <v>56.67</v>
      </c>
      <c r="S508" s="13">
        <f t="shared" si="3"/>
        <v>208738.42</v>
      </c>
      <c r="T508" s="13">
        <f t="shared" si="4"/>
        <v>144735.18</v>
      </c>
      <c r="U508" s="13">
        <f t="shared" si="5"/>
        <v>64003.24</v>
      </c>
      <c r="V508" s="3" t="str">
        <f>VLOOKUP(N508,products!A:B,2,0)</f>
        <v>Personal Care</v>
      </c>
      <c r="W508" s="3" t="s">
        <v>28</v>
      </c>
      <c r="X508" s="3" t="s">
        <v>29</v>
      </c>
      <c r="Y508" s="14">
        <f t="shared" si="10"/>
        <v>0.3066193564</v>
      </c>
      <c r="Z508" s="3">
        <f t="shared" si="7"/>
        <v>9</v>
      </c>
      <c r="AA508" s="15">
        <f t="shared" si="8"/>
        <v>1</v>
      </c>
    </row>
    <row r="509" ht="15.75" customHeight="1">
      <c r="A509" s="3">
        <v>4.39204919E8</v>
      </c>
      <c r="B509" s="9">
        <v>43041.0</v>
      </c>
      <c r="C509" s="3">
        <f>IFERROR(__xludf.DUMMYFUNCTION("split(B509,""/"")"),2.0)</f>
        <v>2</v>
      </c>
      <c r="D509" s="10">
        <f>IFERROR(__xludf.DUMMYFUNCTION("""COMPUTED_VALUE"""),11.0)</f>
        <v>11</v>
      </c>
      <c r="E509" s="11">
        <f>IFERROR(__xludf.DUMMYFUNCTION("""COMPUTED_VALUE"""),2017.0)</f>
        <v>2017</v>
      </c>
      <c r="F509" s="12">
        <f t="shared" si="1"/>
        <v>42777</v>
      </c>
      <c r="G509" s="3" t="s">
        <v>1216</v>
      </c>
      <c r="H509" s="3">
        <f>IFERROR(__xludf.DUMMYFUNCTION("split(G509,""/"")"),2.0)</f>
        <v>2</v>
      </c>
      <c r="I509" s="3">
        <f>IFERROR(__xludf.DUMMYFUNCTION("""COMPUTED_VALUE"""),19.0)</f>
        <v>19</v>
      </c>
      <c r="J509" s="3">
        <f>IFERROR(__xludf.DUMMYFUNCTION("""COMPUTED_VALUE"""),2017.0)</f>
        <v>2017</v>
      </c>
      <c r="K509" s="12">
        <f t="shared" si="2"/>
        <v>42785</v>
      </c>
      <c r="L509" s="3" t="s">
        <v>825</v>
      </c>
      <c r="M509" s="3" t="s">
        <v>349</v>
      </c>
      <c r="N509" s="3">
        <v>1270.0</v>
      </c>
      <c r="O509" s="3" t="s">
        <v>815</v>
      </c>
      <c r="P509" s="10">
        <v>9350.0</v>
      </c>
      <c r="Q509" s="13">
        <v>47.45</v>
      </c>
      <c r="R509" s="13">
        <v>31.79</v>
      </c>
      <c r="S509" s="13">
        <f t="shared" si="3"/>
        <v>443657.5</v>
      </c>
      <c r="T509" s="13">
        <f t="shared" si="4"/>
        <v>297236.5</v>
      </c>
      <c r="U509" s="13">
        <f t="shared" si="5"/>
        <v>146421</v>
      </c>
      <c r="V509" s="3" t="str">
        <f>VLOOKUP(N509,products!A:B,2,0)</f>
        <v>Beverages</v>
      </c>
      <c r="W509" s="3" t="s">
        <v>28</v>
      </c>
      <c r="X509" s="3" t="s">
        <v>29</v>
      </c>
      <c r="Y509" s="14">
        <f t="shared" si="10"/>
        <v>0.3300316122</v>
      </c>
      <c r="Z509" s="3">
        <f t="shared" si="7"/>
        <v>8</v>
      </c>
      <c r="AA509" s="15">
        <f t="shared" si="8"/>
        <v>7</v>
      </c>
    </row>
    <row r="510" ht="15.75" customHeight="1">
      <c r="A510" s="3">
        <v>4.3964008E8</v>
      </c>
      <c r="B510" s="9">
        <v>40734.0</v>
      </c>
      <c r="C510" s="3">
        <f>IFERROR(__xludf.DUMMYFUNCTION("split(B510,""/"")"),10.0)</f>
        <v>10</v>
      </c>
      <c r="D510" s="10">
        <f>IFERROR(__xludf.DUMMYFUNCTION("""COMPUTED_VALUE"""),7.0)</f>
        <v>7</v>
      </c>
      <c r="E510" s="11">
        <f>IFERROR(__xludf.DUMMYFUNCTION("""COMPUTED_VALUE"""),2011.0)</f>
        <v>2011</v>
      </c>
      <c r="F510" s="12">
        <f t="shared" si="1"/>
        <v>40823</v>
      </c>
      <c r="G510" s="9">
        <v>40585.0</v>
      </c>
      <c r="H510" s="3">
        <f>IFERROR(__xludf.DUMMYFUNCTION("split(G510,""/"")"),11.0)</f>
        <v>11</v>
      </c>
      <c r="I510" s="3">
        <f>IFERROR(__xludf.DUMMYFUNCTION("""COMPUTED_VALUE"""),2.0)</f>
        <v>2</v>
      </c>
      <c r="J510" s="3">
        <f>IFERROR(__xludf.DUMMYFUNCTION("""COMPUTED_VALUE"""),2011.0)</f>
        <v>2011</v>
      </c>
      <c r="K510" s="12">
        <f t="shared" si="2"/>
        <v>40849</v>
      </c>
      <c r="L510" s="3" t="s">
        <v>825</v>
      </c>
      <c r="M510" s="3" t="s">
        <v>575</v>
      </c>
      <c r="N510" s="3">
        <v>2103.0</v>
      </c>
      <c r="O510" s="3" t="s">
        <v>815</v>
      </c>
      <c r="P510" s="10">
        <v>8124.0</v>
      </c>
      <c r="Q510" s="13">
        <v>205.7</v>
      </c>
      <c r="R510" s="13">
        <v>117.11</v>
      </c>
      <c r="S510" s="13">
        <f t="shared" si="3"/>
        <v>1671106.8</v>
      </c>
      <c r="T510" s="13">
        <f t="shared" si="4"/>
        <v>951401.64</v>
      </c>
      <c r="U510" s="13">
        <f t="shared" si="5"/>
        <v>719705.16</v>
      </c>
      <c r="V510" s="3" t="str">
        <f>VLOOKUP(N510,products!A:B,2,0)</f>
        <v>Cereal</v>
      </c>
      <c r="W510" s="3" t="s">
        <v>28</v>
      </c>
      <c r="X510" s="3" t="s">
        <v>98</v>
      </c>
      <c r="Y510" s="14">
        <f t="shared" si="10"/>
        <v>0.4306757414</v>
      </c>
      <c r="Z510" s="3">
        <f t="shared" si="7"/>
        <v>26</v>
      </c>
      <c r="AA510" s="15">
        <f t="shared" si="8"/>
        <v>6</v>
      </c>
    </row>
    <row r="511" ht="15.75" customHeight="1">
      <c r="A511" s="3">
        <v>4.39725911E8</v>
      </c>
      <c r="B511" s="3" t="s">
        <v>1338</v>
      </c>
      <c r="C511" s="3">
        <f>IFERROR(__xludf.DUMMYFUNCTION("split(B511,""/"")"),3.0)</f>
        <v>3</v>
      </c>
      <c r="D511" s="10">
        <f>IFERROR(__xludf.DUMMYFUNCTION("""COMPUTED_VALUE"""),17.0)</f>
        <v>17</v>
      </c>
      <c r="E511" s="11">
        <f>IFERROR(__xludf.DUMMYFUNCTION("""COMPUTED_VALUE"""),2015.0)</f>
        <v>2015</v>
      </c>
      <c r="F511" s="12">
        <f t="shared" si="1"/>
        <v>42080</v>
      </c>
      <c r="G511" s="9">
        <v>42189.0</v>
      </c>
      <c r="H511" s="3">
        <f>IFERROR(__xludf.DUMMYFUNCTION("split(G511,""/"")"),4.0)</f>
        <v>4</v>
      </c>
      <c r="I511" s="3">
        <f>IFERROR(__xludf.DUMMYFUNCTION("""COMPUTED_VALUE"""),7.0)</f>
        <v>7</v>
      </c>
      <c r="J511" s="3">
        <f>IFERROR(__xludf.DUMMYFUNCTION("""COMPUTED_VALUE"""),2015.0)</f>
        <v>2015</v>
      </c>
      <c r="K511" s="12">
        <f t="shared" si="2"/>
        <v>42101</v>
      </c>
      <c r="L511" s="3" t="s">
        <v>825</v>
      </c>
      <c r="M511" s="3" t="s">
        <v>67</v>
      </c>
      <c r="N511" s="3">
        <v>4594.0</v>
      </c>
      <c r="O511" s="3" t="s">
        <v>818</v>
      </c>
      <c r="P511" s="10">
        <v>3524.0</v>
      </c>
      <c r="Q511" s="13">
        <v>9.33</v>
      </c>
      <c r="R511" s="13">
        <v>6.92</v>
      </c>
      <c r="S511" s="13">
        <f t="shared" si="3"/>
        <v>32878.92</v>
      </c>
      <c r="T511" s="13">
        <f t="shared" si="4"/>
        <v>24386.08</v>
      </c>
      <c r="U511" s="13">
        <f t="shared" si="5"/>
        <v>8492.84</v>
      </c>
      <c r="V511" s="3" t="str">
        <f>VLOOKUP(N511,products!A:B,2,0)</f>
        <v>Fruits</v>
      </c>
      <c r="W511" s="3" t="s">
        <v>23</v>
      </c>
      <c r="X511" s="3" t="s">
        <v>68</v>
      </c>
      <c r="Y511" s="14">
        <f t="shared" si="10"/>
        <v>0.258306538</v>
      </c>
      <c r="Z511" s="3">
        <f t="shared" si="7"/>
        <v>21</v>
      </c>
      <c r="AA511" s="15">
        <f t="shared" si="8"/>
        <v>3</v>
      </c>
    </row>
    <row r="512" ht="15.75" customHeight="1">
      <c r="A512" s="3">
        <v>4.42318427E8</v>
      </c>
      <c r="B512" s="3" t="s">
        <v>1328</v>
      </c>
      <c r="C512" s="3">
        <f>IFERROR(__xludf.DUMMYFUNCTION("split(B512,""/"")"),9.0)</f>
        <v>9</v>
      </c>
      <c r="D512" s="10">
        <f>IFERROR(__xludf.DUMMYFUNCTION("""COMPUTED_VALUE"""),27.0)</f>
        <v>27</v>
      </c>
      <c r="E512" s="11">
        <f>IFERROR(__xludf.DUMMYFUNCTION("""COMPUTED_VALUE"""),2010.0)</f>
        <v>2010</v>
      </c>
      <c r="F512" s="12">
        <f t="shared" si="1"/>
        <v>40448</v>
      </c>
      <c r="G512" s="9">
        <v>40400.0</v>
      </c>
      <c r="H512" s="3">
        <f>IFERROR(__xludf.DUMMYFUNCTION("split(G512,""/"")"),10.0)</f>
        <v>10</v>
      </c>
      <c r="I512" s="3">
        <f>IFERROR(__xludf.DUMMYFUNCTION("""COMPUTED_VALUE"""),8.0)</f>
        <v>8</v>
      </c>
      <c r="J512" s="3">
        <f>IFERROR(__xludf.DUMMYFUNCTION("""COMPUTED_VALUE"""),2010.0)</f>
        <v>2010</v>
      </c>
      <c r="K512" s="12">
        <f t="shared" si="2"/>
        <v>40459</v>
      </c>
      <c r="L512" s="3" t="s">
        <v>827</v>
      </c>
      <c r="M512" s="3" t="s">
        <v>46</v>
      </c>
      <c r="N512" s="3">
        <v>7331.0</v>
      </c>
      <c r="O512" s="3" t="s">
        <v>815</v>
      </c>
      <c r="P512" s="10">
        <v>707.0</v>
      </c>
      <c r="Q512" s="13">
        <v>255.28</v>
      </c>
      <c r="R512" s="13">
        <v>159.42</v>
      </c>
      <c r="S512" s="13">
        <f t="shared" si="3"/>
        <v>180482.96</v>
      </c>
      <c r="T512" s="13">
        <f t="shared" si="4"/>
        <v>112709.94</v>
      </c>
      <c r="U512" s="13">
        <f t="shared" si="5"/>
        <v>67773.02</v>
      </c>
      <c r="V512" s="3" t="str">
        <f>VLOOKUP(N512,products!A:B,2,0)</f>
        <v>Baby Food</v>
      </c>
      <c r="W512" s="3" t="s">
        <v>28</v>
      </c>
      <c r="X512" s="3" t="s">
        <v>33</v>
      </c>
      <c r="Y512" s="14">
        <f t="shared" si="10"/>
        <v>0.3755092448</v>
      </c>
      <c r="Z512" s="3">
        <f t="shared" si="7"/>
        <v>11</v>
      </c>
      <c r="AA512" s="15">
        <f t="shared" si="8"/>
        <v>2</v>
      </c>
    </row>
    <row r="513" ht="15.75" customHeight="1">
      <c r="A513" s="3">
        <v>4.43125665E8</v>
      </c>
      <c r="B513" s="3" t="s">
        <v>1339</v>
      </c>
      <c r="C513" s="3">
        <f>IFERROR(__xludf.DUMMYFUNCTION("split(B513,""/"")"),6.0)</f>
        <v>6</v>
      </c>
      <c r="D513" s="10">
        <f>IFERROR(__xludf.DUMMYFUNCTION("""COMPUTED_VALUE"""),15.0)</f>
        <v>15</v>
      </c>
      <c r="E513" s="11">
        <f>IFERROR(__xludf.DUMMYFUNCTION("""COMPUTED_VALUE"""),2013.0)</f>
        <v>2013</v>
      </c>
      <c r="F513" s="12">
        <f t="shared" si="1"/>
        <v>41440</v>
      </c>
      <c r="G513" s="9">
        <v>41524.0</v>
      </c>
      <c r="H513" s="3">
        <f>IFERROR(__xludf.DUMMYFUNCTION("split(G513,""/"")"),7.0)</f>
        <v>7</v>
      </c>
      <c r="I513" s="3">
        <f>IFERROR(__xludf.DUMMYFUNCTION("""COMPUTED_VALUE"""),9.0)</f>
        <v>9</v>
      </c>
      <c r="J513" s="3">
        <f>IFERROR(__xludf.DUMMYFUNCTION("""COMPUTED_VALUE"""),2013.0)</f>
        <v>2013</v>
      </c>
      <c r="K513" s="12">
        <f t="shared" si="2"/>
        <v>41464</v>
      </c>
      <c r="L513" s="3" t="s">
        <v>814</v>
      </c>
      <c r="M513" s="3" t="s">
        <v>635</v>
      </c>
      <c r="N513" s="3">
        <v>2103.0</v>
      </c>
      <c r="O513" s="3" t="s">
        <v>818</v>
      </c>
      <c r="P513" s="10">
        <v>9586.0</v>
      </c>
      <c r="Q513" s="13">
        <v>205.7</v>
      </c>
      <c r="R513" s="13">
        <v>117.11</v>
      </c>
      <c r="S513" s="13">
        <f t="shared" si="3"/>
        <v>1971840.2</v>
      </c>
      <c r="T513" s="13">
        <f t="shared" si="4"/>
        <v>1122616.46</v>
      </c>
      <c r="U513" s="13">
        <f t="shared" si="5"/>
        <v>849223.74</v>
      </c>
      <c r="V513" s="3" t="str">
        <f>VLOOKUP(N513,products!A:B,2,0)</f>
        <v>Cereal</v>
      </c>
      <c r="W513" s="3" t="s">
        <v>28</v>
      </c>
      <c r="X513" s="3" t="s">
        <v>33</v>
      </c>
      <c r="Y513" s="14">
        <f t="shared" si="10"/>
        <v>0.4306757414</v>
      </c>
      <c r="Z513" s="3">
        <f t="shared" si="7"/>
        <v>24</v>
      </c>
      <c r="AA513" s="15">
        <f t="shared" si="8"/>
        <v>7</v>
      </c>
    </row>
    <row r="514" ht="15.75" customHeight="1">
      <c r="A514" s="3">
        <v>4.43347108E8</v>
      </c>
      <c r="B514" s="3" t="s">
        <v>1340</v>
      </c>
      <c r="C514" s="3">
        <f>IFERROR(__xludf.DUMMYFUNCTION("split(B514,""/"")"),3.0)</f>
        <v>3</v>
      </c>
      <c r="D514" s="10">
        <f>IFERROR(__xludf.DUMMYFUNCTION("""COMPUTED_VALUE"""),20.0)</f>
        <v>20</v>
      </c>
      <c r="E514" s="11">
        <f>IFERROR(__xludf.DUMMYFUNCTION("""COMPUTED_VALUE"""),2015.0)</f>
        <v>2015</v>
      </c>
      <c r="F514" s="12">
        <f t="shared" si="1"/>
        <v>42083</v>
      </c>
      <c r="G514" s="9">
        <v>42251.0</v>
      </c>
      <c r="H514" s="3">
        <f>IFERROR(__xludf.DUMMYFUNCTION("split(G514,""/"")"),4.0)</f>
        <v>4</v>
      </c>
      <c r="I514" s="3">
        <f>IFERROR(__xludf.DUMMYFUNCTION("""COMPUTED_VALUE"""),9.0)</f>
        <v>9</v>
      </c>
      <c r="J514" s="3">
        <f>IFERROR(__xludf.DUMMYFUNCTION("""COMPUTED_VALUE"""),2015.0)</f>
        <v>2015</v>
      </c>
      <c r="K514" s="12">
        <f t="shared" si="2"/>
        <v>42103</v>
      </c>
      <c r="L514" s="3" t="s">
        <v>814</v>
      </c>
      <c r="M514" s="3" t="s">
        <v>46</v>
      </c>
      <c r="N514" s="3">
        <v>2103.0</v>
      </c>
      <c r="O514" s="3" t="s">
        <v>818</v>
      </c>
      <c r="P514" s="10">
        <v>5116.0</v>
      </c>
      <c r="Q514" s="13">
        <v>205.7</v>
      </c>
      <c r="R514" s="13">
        <v>117.11</v>
      </c>
      <c r="S514" s="13">
        <f t="shared" si="3"/>
        <v>1052361.2</v>
      </c>
      <c r="T514" s="13">
        <f t="shared" si="4"/>
        <v>599134.76</v>
      </c>
      <c r="U514" s="13">
        <f t="shared" si="5"/>
        <v>453226.44</v>
      </c>
      <c r="V514" s="3" t="str">
        <f>VLOOKUP(N514,products!A:B,2,0)</f>
        <v>Cereal</v>
      </c>
      <c r="W514" s="3" t="s">
        <v>28</v>
      </c>
      <c r="X514" s="3" t="s">
        <v>33</v>
      </c>
      <c r="Y514" s="14">
        <f t="shared" si="10"/>
        <v>0.4306757414</v>
      </c>
      <c r="Z514" s="3">
        <f t="shared" si="7"/>
        <v>20</v>
      </c>
      <c r="AA514" s="15">
        <f t="shared" si="8"/>
        <v>6</v>
      </c>
    </row>
    <row r="515" ht="15.75" customHeight="1">
      <c r="A515" s="3">
        <v>4.43544518E8</v>
      </c>
      <c r="B515" s="3" t="s">
        <v>1341</v>
      </c>
      <c r="C515" s="3">
        <f>IFERROR(__xludf.DUMMYFUNCTION("split(B515,""/"")"),4.0)</f>
        <v>4</v>
      </c>
      <c r="D515" s="10">
        <f>IFERROR(__xludf.DUMMYFUNCTION("""COMPUTED_VALUE"""),24.0)</f>
        <v>24</v>
      </c>
      <c r="E515" s="11">
        <f>IFERROR(__xludf.DUMMYFUNCTION("""COMPUTED_VALUE"""),2016.0)</f>
        <v>2016</v>
      </c>
      <c r="F515" s="12">
        <f t="shared" si="1"/>
        <v>42484</v>
      </c>
      <c r="G515" s="3" t="s">
        <v>1342</v>
      </c>
      <c r="H515" s="3">
        <f>IFERROR(__xludf.DUMMYFUNCTION("split(G515,""/"")"),4.0)</f>
        <v>4</v>
      </c>
      <c r="I515" s="3">
        <f>IFERROR(__xludf.DUMMYFUNCTION("""COMPUTED_VALUE"""),28.0)</f>
        <v>28</v>
      </c>
      <c r="J515" s="3">
        <f>IFERROR(__xludf.DUMMYFUNCTION("""COMPUTED_VALUE"""),2016.0)</f>
        <v>2016</v>
      </c>
      <c r="K515" s="12">
        <f t="shared" si="2"/>
        <v>42488</v>
      </c>
      <c r="L515" s="3" t="s">
        <v>817</v>
      </c>
      <c r="M515" s="3" t="s">
        <v>46</v>
      </c>
      <c r="N515" s="3">
        <v>1270.0</v>
      </c>
      <c r="O515" s="3" t="s">
        <v>815</v>
      </c>
      <c r="P515" s="10">
        <v>3534.0</v>
      </c>
      <c r="Q515" s="13">
        <v>47.45</v>
      </c>
      <c r="R515" s="13">
        <v>31.79</v>
      </c>
      <c r="S515" s="13">
        <f t="shared" si="3"/>
        <v>167688.3</v>
      </c>
      <c r="T515" s="13">
        <f t="shared" si="4"/>
        <v>112345.86</v>
      </c>
      <c r="U515" s="13">
        <f t="shared" si="5"/>
        <v>55342.44</v>
      </c>
      <c r="V515" s="3" t="str">
        <f>VLOOKUP(N515,products!A:B,2,0)</f>
        <v>Beverages</v>
      </c>
      <c r="W515" s="3" t="s">
        <v>28</v>
      </c>
      <c r="X515" s="3" t="s">
        <v>33</v>
      </c>
      <c r="Y515" s="14">
        <f t="shared" si="10"/>
        <v>0.3300316122</v>
      </c>
      <c r="Z515" s="3">
        <f t="shared" si="7"/>
        <v>4</v>
      </c>
      <c r="AA515" s="15">
        <f t="shared" si="8"/>
        <v>1</v>
      </c>
    </row>
    <row r="516" ht="15.75" customHeight="1">
      <c r="A516" s="3">
        <v>4.43551385E8</v>
      </c>
      <c r="B516" s="9">
        <v>41337.0</v>
      </c>
      <c r="C516" s="3">
        <f>IFERROR(__xludf.DUMMYFUNCTION("split(B516,""/"")"),4.0)</f>
        <v>4</v>
      </c>
      <c r="D516" s="10">
        <f>IFERROR(__xludf.DUMMYFUNCTION("""COMPUTED_VALUE"""),3.0)</f>
        <v>3</v>
      </c>
      <c r="E516" s="11">
        <f>IFERROR(__xludf.DUMMYFUNCTION("""COMPUTED_VALUE"""),2013.0)</f>
        <v>2013</v>
      </c>
      <c r="F516" s="12">
        <f t="shared" si="1"/>
        <v>41367</v>
      </c>
      <c r="G516" s="9">
        <v>41522.0</v>
      </c>
      <c r="H516" s="3">
        <f>IFERROR(__xludf.DUMMYFUNCTION("split(G516,""/"")"),5.0)</f>
        <v>5</v>
      </c>
      <c r="I516" s="3">
        <f>IFERROR(__xludf.DUMMYFUNCTION("""COMPUTED_VALUE"""),9.0)</f>
        <v>9</v>
      </c>
      <c r="J516" s="3">
        <f>IFERROR(__xludf.DUMMYFUNCTION("""COMPUTED_VALUE"""),2013.0)</f>
        <v>2013</v>
      </c>
      <c r="K516" s="12">
        <f t="shared" si="2"/>
        <v>41403</v>
      </c>
      <c r="L516" s="3" t="s">
        <v>825</v>
      </c>
      <c r="M516" s="3" t="s">
        <v>686</v>
      </c>
      <c r="N516" s="3">
        <v>7331.0</v>
      </c>
      <c r="O516" s="3" t="s">
        <v>815</v>
      </c>
      <c r="P516" s="10">
        <v>5566.0</v>
      </c>
      <c r="Q516" s="13">
        <v>255.28</v>
      </c>
      <c r="R516" s="13">
        <v>159.42</v>
      </c>
      <c r="S516" s="13">
        <f t="shared" si="3"/>
        <v>1420888.48</v>
      </c>
      <c r="T516" s="13">
        <f t="shared" si="4"/>
        <v>887331.72</v>
      </c>
      <c r="U516" s="13">
        <f t="shared" si="5"/>
        <v>533556.76</v>
      </c>
      <c r="V516" s="3" t="str">
        <f>VLOOKUP(N516,products!A:B,2,0)</f>
        <v>Baby Food</v>
      </c>
      <c r="W516" s="3" t="s">
        <v>28</v>
      </c>
      <c r="X516" s="3" t="s">
        <v>29</v>
      </c>
      <c r="Y516" s="14">
        <f t="shared" si="10"/>
        <v>0.3755092448</v>
      </c>
      <c r="Z516" s="3">
        <f t="shared" si="7"/>
        <v>36</v>
      </c>
      <c r="AA516" s="15">
        <f t="shared" si="8"/>
        <v>4</v>
      </c>
    </row>
    <row r="517" ht="15.75" customHeight="1">
      <c r="A517" s="3">
        <v>4.44234168E8</v>
      </c>
      <c r="B517" s="3" t="s">
        <v>952</v>
      </c>
      <c r="C517" s="3">
        <f>IFERROR(__xludf.DUMMYFUNCTION("split(B517,""/"")"),8.0)</f>
        <v>8</v>
      </c>
      <c r="D517" s="10">
        <f>IFERROR(__xludf.DUMMYFUNCTION("""COMPUTED_VALUE"""),19.0)</f>
        <v>19</v>
      </c>
      <c r="E517" s="11">
        <f>IFERROR(__xludf.DUMMYFUNCTION("""COMPUTED_VALUE"""),2013.0)</f>
        <v>2013</v>
      </c>
      <c r="F517" s="12">
        <f t="shared" si="1"/>
        <v>41505</v>
      </c>
      <c r="G517" s="3" t="s">
        <v>1343</v>
      </c>
      <c r="H517" s="3">
        <f>IFERROR(__xludf.DUMMYFUNCTION("split(G517,""/"")"),9.0)</f>
        <v>9</v>
      </c>
      <c r="I517" s="3">
        <f>IFERROR(__xludf.DUMMYFUNCTION("""COMPUTED_VALUE"""),27.0)</f>
        <v>27</v>
      </c>
      <c r="J517" s="3">
        <f>IFERROR(__xludf.DUMMYFUNCTION("""COMPUTED_VALUE"""),2013.0)</f>
        <v>2013</v>
      </c>
      <c r="K517" s="12">
        <f t="shared" si="2"/>
        <v>41544</v>
      </c>
      <c r="L517" s="3" t="s">
        <v>814</v>
      </c>
      <c r="M517" s="3" t="s">
        <v>300</v>
      </c>
      <c r="N517" s="3">
        <v>7331.0</v>
      </c>
      <c r="O517" s="3" t="s">
        <v>815</v>
      </c>
      <c r="P517" s="10">
        <v>7617.0</v>
      </c>
      <c r="Q517" s="13">
        <v>255.28</v>
      </c>
      <c r="R517" s="13">
        <v>159.42</v>
      </c>
      <c r="S517" s="13">
        <f t="shared" si="3"/>
        <v>1944467.76</v>
      </c>
      <c r="T517" s="13">
        <f t="shared" si="4"/>
        <v>1214302.14</v>
      </c>
      <c r="U517" s="13">
        <f t="shared" si="5"/>
        <v>730165.62</v>
      </c>
      <c r="V517" s="3" t="str">
        <f>VLOOKUP(N517,products!A:B,2,0)</f>
        <v>Baby Food</v>
      </c>
      <c r="W517" s="3" t="s">
        <v>28</v>
      </c>
      <c r="X517" s="3" t="s">
        <v>33</v>
      </c>
      <c r="Y517" s="14">
        <f t="shared" si="10"/>
        <v>0.3755092448</v>
      </c>
      <c r="Z517" s="3">
        <f t="shared" si="7"/>
        <v>39</v>
      </c>
      <c r="AA517" s="15">
        <f t="shared" si="8"/>
        <v>2</v>
      </c>
    </row>
    <row r="518" ht="15.75" customHeight="1">
      <c r="A518" s="3">
        <v>4.44798934E8</v>
      </c>
      <c r="B518" s="9">
        <v>41730.0</v>
      </c>
      <c r="C518" s="3">
        <f>IFERROR(__xludf.DUMMYFUNCTION("split(B518,""/"")"),1.0)</f>
        <v>1</v>
      </c>
      <c r="D518" s="10">
        <f>IFERROR(__xludf.DUMMYFUNCTION("""COMPUTED_VALUE"""),4.0)</f>
        <v>4</v>
      </c>
      <c r="E518" s="11">
        <f>IFERROR(__xludf.DUMMYFUNCTION("""COMPUTED_VALUE"""),2014.0)</f>
        <v>2014</v>
      </c>
      <c r="F518" s="12">
        <f t="shared" si="1"/>
        <v>41643</v>
      </c>
      <c r="G518" s="3" t="s">
        <v>1344</v>
      </c>
      <c r="H518" s="3">
        <f>IFERROR(__xludf.DUMMYFUNCTION("split(G518,""/"")"),1.0)</f>
        <v>1</v>
      </c>
      <c r="I518" s="3">
        <f>IFERROR(__xludf.DUMMYFUNCTION("""COMPUTED_VALUE"""),20.0)</f>
        <v>20</v>
      </c>
      <c r="J518" s="3">
        <f>IFERROR(__xludf.DUMMYFUNCTION("""COMPUTED_VALUE"""),2014.0)</f>
        <v>2014</v>
      </c>
      <c r="K518" s="12">
        <f t="shared" si="2"/>
        <v>41659</v>
      </c>
      <c r="L518" s="3" t="s">
        <v>814</v>
      </c>
      <c r="M518" s="3" t="s">
        <v>578</v>
      </c>
      <c r="N518" s="3">
        <v>7940.0</v>
      </c>
      <c r="O518" s="3" t="s">
        <v>815</v>
      </c>
      <c r="P518" s="10">
        <v>4744.0</v>
      </c>
      <c r="Q518" s="13">
        <v>668.27</v>
      </c>
      <c r="R518" s="13">
        <v>502.54</v>
      </c>
      <c r="S518" s="13">
        <f t="shared" si="3"/>
        <v>3170272.88</v>
      </c>
      <c r="T518" s="13">
        <f t="shared" si="4"/>
        <v>2384049.76</v>
      </c>
      <c r="U518" s="13">
        <f t="shared" si="5"/>
        <v>786223.12</v>
      </c>
      <c r="V518" s="3" t="str">
        <f>VLOOKUP(N518,products!A:B,2,0)</f>
        <v>Household</v>
      </c>
      <c r="W518" s="3" t="s">
        <v>28</v>
      </c>
      <c r="X518" s="3" t="s">
        <v>33</v>
      </c>
      <c r="Y518" s="14">
        <f t="shared" si="10"/>
        <v>0.2479985635</v>
      </c>
      <c r="Z518" s="3">
        <f t="shared" si="7"/>
        <v>16</v>
      </c>
      <c r="AA518" s="15">
        <f t="shared" si="8"/>
        <v>7</v>
      </c>
    </row>
    <row r="519" ht="15.75" customHeight="1">
      <c r="A519" s="3">
        <v>4.4480623E8</v>
      </c>
      <c r="B519" s="3" t="s">
        <v>1264</v>
      </c>
      <c r="C519" s="3">
        <f>IFERROR(__xludf.DUMMYFUNCTION("split(B519,""/"")"),2.0)</f>
        <v>2</v>
      </c>
      <c r="D519" s="10">
        <f>IFERROR(__xludf.DUMMYFUNCTION("""COMPUTED_VALUE"""),16.0)</f>
        <v>16</v>
      </c>
      <c r="E519" s="11">
        <f>IFERROR(__xludf.DUMMYFUNCTION("""COMPUTED_VALUE"""),2013.0)</f>
        <v>2013</v>
      </c>
      <c r="F519" s="12">
        <f t="shared" si="1"/>
        <v>41321</v>
      </c>
      <c r="G519" s="9">
        <v>41278.0</v>
      </c>
      <c r="H519" s="3">
        <f>IFERROR(__xludf.DUMMYFUNCTION("split(G519,""/"")"),4.0)</f>
        <v>4</v>
      </c>
      <c r="I519" s="3">
        <f>IFERROR(__xludf.DUMMYFUNCTION("""COMPUTED_VALUE"""),1.0)</f>
        <v>1</v>
      </c>
      <c r="J519" s="3">
        <f>IFERROR(__xludf.DUMMYFUNCTION("""COMPUTED_VALUE"""),2013.0)</f>
        <v>2013</v>
      </c>
      <c r="K519" s="12">
        <f t="shared" si="2"/>
        <v>41365</v>
      </c>
      <c r="L519" s="3" t="s">
        <v>827</v>
      </c>
      <c r="M519" s="3" t="s">
        <v>218</v>
      </c>
      <c r="N519" s="3">
        <v>2103.0</v>
      </c>
      <c r="O519" s="3" t="s">
        <v>815</v>
      </c>
      <c r="P519" s="10">
        <v>6903.0</v>
      </c>
      <c r="Q519" s="13">
        <v>205.7</v>
      </c>
      <c r="R519" s="13">
        <v>117.11</v>
      </c>
      <c r="S519" s="13">
        <f t="shared" si="3"/>
        <v>1419947.1</v>
      </c>
      <c r="T519" s="13">
        <f t="shared" si="4"/>
        <v>808410.33</v>
      </c>
      <c r="U519" s="13">
        <f t="shared" si="5"/>
        <v>611536.77</v>
      </c>
      <c r="V519" s="3" t="str">
        <f>VLOOKUP(N519,products!A:B,2,0)</f>
        <v>Cereal</v>
      </c>
      <c r="W519" s="3" t="s">
        <v>28</v>
      </c>
      <c r="X519" s="3" t="s">
        <v>98</v>
      </c>
      <c r="Y519" s="14">
        <f t="shared" si="10"/>
        <v>0.4306757414</v>
      </c>
      <c r="Z519" s="3">
        <f t="shared" si="7"/>
        <v>44</v>
      </c>
      <c r="AA519" s="15">
        <f t="shared" si="8"/>
        <v>7</v>
      </c>
    </row>
    <row r="520" ht="15.75" customHeight="1">
      <c r="A520" s="3">
        <v>4.45273578E8</v>
      </c>
      <c r="B520" s="3" t="s">
        <v>1332</v>
      </c>
      <c r="C520" s="3">
        <f>IFERROR(__xludf.DUMMYFUNCTION("split(B520,""/"")"),11.0)</f>
        <v>11</v>
      </c>
      <c r="D520" s="10">
        <f>IFERROR(__xludf.DUMMYFUNCTION("""COMPUTED_VALUE"""),29.0)</f>
        <v>29</v>
      </c>
      <c r="E520" s="11">
        <f>IFERROR(__xludf.DUMMYFUNCTION("""COMPUTED_VALUE"""),2011.0)</f>
        <v>2011</v>
      </c>
      <c r="F520" s="12">
        <f t="shared" si="1"/>
        <v>40876</v>
      </c>
      <c r="G520" s="9">
        <v>41153.0</v>
      </c>
      <c r="H520" s="3">
        <f>IFERROR(__xludf.DUMMYFUNCTION("split(G520,""/"")"),1.0)</f>
        <v>1</v>
      </c>
      <c r="I520" s="3">
        <f>IFERROR(__xludf.DUMMYFUNCTION("""COMPUTED_VALUE"""),9.0)</f>
        <v>9</v>
      </c>
      <c r="J520" s="3">
        <f>IFERROR(__xludf.DUMMYFUNCTION("""COMPUTED_VALUE"""),2012.0)</f>
        <v>2012</v>
      </c>
      <c r="K520" s="12">
        <f t="shared" si="2"/>
        <v>40917</v>
      </c>
      <c r="L520" s="3" t="s">
        <v>827</v>
      </c>
      <c r="M520" s="3" t="s">
        <v>267</v>
      </c>
      <c r="N520" s="3">
        <v>8681.0</v>
      </c>
      <c r="O520" s="3" t="s">
        <v>818</v>
      </c>
      <c r="P520" s="10">
        <v>5201.0</v>
      </c>
      <c r="Q520" s="13">
        <v>651.21</v>
      </c>
      <c r="R520" s="13">
        <v>524.96</v>
      </c>
      <c r="S520" s="13">
        <f t="shared" si="3"/>
        <v>3386943.21</v>
      </c>
      <c r="T520" s="13">
        <f t="shared" si="4"/>
        <v>2730316.96</v>
      </c>
      <c r="U520" s="13">
        <f t="shared" si="5"/>
        <v>656626.25</v>
      </c>
      <c r="V520" s="3" t="str">
        <f>VLOOKUP(N520,products!A:B,2,0)</f>
        <v>Office Supplies</v>
      </c>
      <c r="W520" s="3" t="s">
        <v>28</v>
      </c>
      <c r="X520" s="3" t="s">
        <v>29</v>
      </c>
      <c r="Y520" s="14">
        <f t="shared" si="10"/>
        <v>0.193869873</v>
      </c>
      <c r="Z520" s="3">
        <f t="shared" si="7"/>
        <v>41</v>
      </c>
      <c r="AA520" s="15">
        <f t="shared" si="8"/>
        <v>3</v>
      </c>
    </row>
    <row r="521" ht="15.75" customHeight="1">
      <c r="A521" s="3">
        <v>4.45708739E8</v>
      </c>
      <c r="B521" s="3" t="s">
        <v>910</v>
      </c>
      <c r="C521" s="3">
        <f>IFERROR(__xludf.DUMMYFUNCTION("split(B521,""/"")"),2.0)</f>
        <v>2</v>
      </c>
      <c r="D521" s="10">
        <f>IFERROR(__xludf.DUMMYFUNCTION("""COMPUTED_VALUE"""),19.0)</f>
        <v>19</v>
      </c>
      <c r="E521" s="11">
        <f>IFERROR(__xludf.DUMMYFUNCTION("""COMPUTED_VALUE"""),2014.0)</f>
        <v>2014</v>
      </c>
      <c r="F521" s="12">
        <f t="shared" si="1"/>
        <v>41689</v>
      </c>
      <c r="G521" s="3" t="s">
        <v>1345</v>
      </c>
      <c r="H521" s="3">
        <f>IFERROR(__xludf.DUMMYFUNCTION("split(G521,""/"")"),2.0)</f>
        <v>2</v>
      </c>
      <c r="I521" s="3">
        <f>IFERROR(__xludf.DUMMYFUNCTION("""COMPUTED_VALUE"""),27.0)</f>
        <v>27</v>
      </c>
      <c r="J521" s="3">
        <f>IFERROR(__xludf.DUMMYFUNCTION("""COMPUTED_VALUE"""),2014.0)</f>
        <v>2014</v>
      </c>
      <c r="K521" s="12">
        <f t="shared" si="2"/>
        <v>41697</v>
      </c>
      <c r="L521" s="3" t="s">
        <v>827</v>
      </c>
      <c r="M521" s="3" t="s">
        <v>455</v>
      </c>
      <c r="N521" s="3">
        <v>3127.0</v>
      </c>
      <c r="O521" s="3" t="s">
        <v>815</v>
      </c>
      <c r="P521" s="10">
        <v>3975.0</v>
      </c>
      <c r="Q521" s="13">
        <v>81.73</v>
      </c>
      <c r="R521" s="13">
        <v>56.67</v>
      </c>
      <c r="S521" s="13">
        <f t="shared" si="3"/>
        <v>324876.75</v>
      </c>
      <c r="T521" s="13">
        <f t="shared" si="4"/>
        <v>225263.25</v>
      </c>
      <c r="U521" s="13">
        <f t="shared" si="5"/>
        <v>99613.5</v>
      </c>
      <c r="V521" s="3" t="str">
        <f>VLOOKUP(N521,products!A:B,2,0)</f>
        <v>Personal Care</v>
      </c>
      <c r="W521" s="3" t="s">
        <v>28</v>
      </c>
      <c r="X521" s="3" t="s">
        <v>33</v>
      </c>
      <c r="Y521" s="14">
        <f t="shared" si="10"/>
        <v>0.3066193564</v>
      </c>
      <c r="Z521" s="3">
        <f t="shared" si="7"/>
        <v>8</v>
      </c>
      <c r="AA521" s="15">
        <f t="shared" si="8"/>
        <v>4</v>
      </c>
    </row>
    <row r="522" ht="15.75" customHeight="1">
      <c r="A522" s="3">
        <v>4.45952498E8</v>
      </c>
      <c r="B522" s="9">
        <v>42161.0</v>
      </c>
      <c r="C522" s="3">
        <f>IFERROR(__xludf.DUMMYFUNCTION("split(B522,""/"")"),6.0)</f>
        <v>6</v>
      </c>
      <c r="D522" s="10">
        <f>IFERROR(__xludf.DUMMYFUNCTION("""COMPUTED_VALUE"""),6.0)</f>
        <v>6</v>
      </c>
      <c r="E522" s="11">
        <f>IFERROR(__xludf.DUMMYFUNCTION("""COMPUTED_VALUE"""),2015.0)</f>
        <v>2015</v>
      </c>
      <c r="F522" s="12">
        <f t="shared" si="1"/>
        <v>42161</v>
      </c>
      <c r="G522" s="9">
        <v>42192.0</v>
      </c>
      <c r="H522" s="3">
        <f>IFERROR(__xludf.DUMMYFUNCTION("split(G522,""/"")"),7.0)</f>
        <v>7</v>
      </c>
      <c r="I522" s="3">
        <f>IFERROR(__xludf.DUMMYFUNCTION("""COMPUTED_VALUE"""),7.0)</f>
        <v>7</v>
      </c>
      <c r="J522" s="3">
        <f>IFERROR(__xludf.DUMMYFUNCTION("""COMPUTED_VALUE"""),2015.0)</f>
        <v>2015</v>
      </c>
      <c r="K522" s="12">
        <f t="shared" si="2"/>
        <v>42192</v>
      </c>
      <c r="L522" s="3" t="s">
        <v>817</v>
      </c>
      <c r="M522" s="3" t="s">
        <v>542</v>
      </c>
      <c r="N522" s="3">
        <v>2103.0</v>
      </c>
      <c r="O522" s="3" t="s">
        <v>818</v>
      </c>
      <c r="P522" s="10">
        <v>6109.0</v>
      </c>
      <c r="Q522" s="13">
        <v>205.7</v>
      </c>
      <c r="R522" s="13">
        <v>117.11</v>
      </c>
      <c r="S522" s="13">
        <f t="shared" si="3"/>
        <v>1256621.3</v>
      </c>
      <c r="T522" s="13">
        <f t="shared" si="4"/>
        <v>715424.99</v>
      </c>
      <c r="U522" s="13">
        <f t="shared" si="5"/>
        <v>541196.31</v>
      </c>
      <c r="V522" s="3" t="str">
        <f>VLOOKUP(N522,products!A:B,2,0)</f>
        <v>Cereal</v>
      </c>
      <c r="W522" s="3" t="s">
        <v>28</v>
      </c>
      <c r="X522" s="3" t="s">
        <v>29</v>
      </c>
      <c r="Y522" s="14">
        <f t="shared" si="10"/>
        <v>0.4306757414</v>
      </c>
      <c r="Z522" s="3">
        <f t="shared" si="7"/>
        <v>31</v>
      </c>
      <c r="AA522" s="15">
        <f t="shared" si="8"/>
        <v>7</v>
      </c>
    </row>
    <row r="523" ht="15.75" customHeight="1">
      <c r="A523" s="3">
        <v>4.46019017E8</v>
      </c>
      <c r="B523" s="9">
        <v>40705.0</v>
      </c>
      <c r="C523" s="3">
        <f>IFERROR(__xludf.DUMMYFUNCTION("split(B523,""/"")"),11.0)</f>
        <v>11</v>
      </c>
      <c r="D523" s="10">
        <f>IFERROR(__xludf.DUMMYFUNCTION("""COMPUTED_VALUE"""),6.0)</f>
        <v>6</v>
      </c>
      <c r="E523" s="11">
        <f>IFERROR(__xludf.DUMMYFUNCTION("""COMPUTED_VALUE"""),2011.0)</f>
        <v>2011</v>
      </c>
      <c r="F523" s="12">
        <f t="shared" si="1"/>
        <v>40853</v>
      </c>
      <c r="G523" s="3" t="s">
        <v>1346</v>
      </c>
      <c r="H523" s="3">
        <f>IFERROR(__xludf.DUMMYFUNCTION("split(G523,""/"")"),11.0)</f>
        <v>11</v>
      </c>
      <c r="I523" s="3">
        <f>IFERROR(__xludf.DUMMYFUNCTION("""COMPUTED_VALUE"""),25.0)</f>
        <v>25</v>
      </c>
      <c r="J523" s="3">
        <f>IFERROR(__xludf.DUMMYFUNCTION("""COMPUTED_VALUE"""),2011.0)</f>
        <v>2011</v>
      </c>
      <c r="K523" s="12">
        <f t="shared" si="2"/>
        <v>40872</v>
      </c>
      <c r="L523" s="3" t="s">
        <v>817</v>
      </c>
      <c r="M523" s="3" t="s">
        <v>740</v>
      </c>
      <c r="N523" s="3">
        <v>5988.0</v>
      </c>
      <c r="O523" s="3" t="s">
        <v>815</v>
      </c>
      <c r="P523" s="10">
        <v>5794.0</v>
      </c>
      <c r="Q523" s="13">
        <v>154.06</v>
      </c>
      <c r="R523" s="13">
        <v>90.93</v>
      </c>
      <c r="S523" s="13">
        <f t="shared" si="3"/>
        <v>892623.64</v>
      </c>
      <c r="T523" s="13">
        <f t="shared" si="4"/>
        <v>526848.42</v>
      </c>
      <c r="U523" s="13">
        <f t="shared" si="5"/>
        <v>365775.22</v>
      </c>
      <c r="V523" s="3" t="str">
        <f>VLOOKUP(N523,products!A:B,2,0)</f>
        <v>Vegetables</v>
      </c>
      <c r="W523" s="3" t="s">
        <v>28</v>
      </c>
      <c r="X523" s="3" t="s">
        <v>98</v>
      </c>
      <c r="Y523" s="14">
        <f t="shared" si="10"/>
        <v>0.4097754122</v>
      </c>
      <c r="Z523" s="3">
        <f t="shared" si="7"/>
        <v>19</v>
      </c>
      <c r="AA523" s="15">
        <f t="shared" si="8"/>
        <v>1</v>
      </c>
    </row>
    <row r="524" ht="15.75" customHeight="1">
      <c r="A524" s="3">
        <v>4.46045196E8</v>
      </c>
      <c r="B524" s="3" t="s">
        <v>1347</v>
      </c>
      <c r="C524" s="3">
        <f>IFERROR(__xludf.DUMMYFUNCTION("split(B524,""/"")"),10.0)</f>
        <v>10</v>
      </c>
      <c r="D524" s="10">
        <f>IFERROR(__xludf.DUMMYFUNCTION("""COMPUTED_VALUE"""),24.0)</f>
        <v>24</v>
      </c>
      <c r="E524" s="11">
        <f>IFERROR(__xludf.DUMMYFUNCTION("""COMPUTED_VALUE"""),2015.0)</f>
        <v>2015</v>
      </c>
      <c r="F524" s="12">
        <f t="shared" si="1"/>
        <v>42301</v>
      </c>
      <c r="G524" s="9">
        <v>42015.0</v>
      </c>
      <c r="H524" s="3">
        <f>IFERROR(__xludf.DUMMYFUNCTION("split(G524,""/"")"),11.0)</f>
        <v>11</v>
      </c>
      <c r="I524" s="3">
        <f>IFERROR(__xludf.DUMMYFUNCTION("""COMPUTED_VALUE"""),1.0)</f>
        <v>1</v>
      </c>
      <c r="J524" s="3">
        <f>IFERROR(__xludf.DUMMYFUNCTION("""COMPUTED_VALUE"""),2015.0)</f>
        <v>2015</v>
      </c>
      <c r="K524" s="12">
        <f t="shared" si="2"/>
        <v>42309</v>
      </c>
      <c r="L524" s="3" t="s">
        <v>825</v>
      </c>
      <c r="M524" s="3" t="s">
        <v>671</v>
      </c>
      <c r="N524" s="3">
        <v>4594.0</v>
      </c>
      <c r="O524" s="3" t="s">
        <v>818</v>
      </c>
      <c r="P524" s="10">
        <v>3540.0</v>
      </c>
      <c r="Q524" s="13">
        <v>9.33</v>
      </c>
      <c r="R524" s="13">
        <v>6.92</v>
      </c>
      <c r="S524" s="13">
        <f t="shared" si="3"/>
        <v>33028.2</v>
      </c>
      <c r="T524" s="13">
        <f t="shared" si="4"/>
        <v>24496.8</v>
      </c>
      <c r="U524" s="13">
        <f t="shared" si="5"/>
        <v>8531.4</v>
      </c>
      <c r="V524" s="3" t="str">
        <f>VLOOKUP(N524,products!A:B,2,0)</f>
        <v>Fruits</v>
      </c>
      <c r="W524" s="3" t="s">
        <v>28</v>
      </c>
      <c r="X524" s="3" t="s">
        <v>33</v>
      </c>
      <c r="Y524" s="14">
        <f t="shared" si="10"/>
        <v>0.258306538</v>
      </c>
      <c r="Z524" s="3">
        <f t="shared" si="7"/>
        <v>8</v>
      </c>
      <c r="AA524" s="15">
        <f t="shared" si="8"/>
        <v>7</v>
      </c>
    </row>
    <row r="525" ht="15.75" customHeight="1">
      <c r="A525" s="3">
        <v>4.4718331E8</v>
      </c>
      <c r="B525" s="3" t="s">
        <v>1348</v>
      </c>
      <c r="C525" s="3">
        <f>IFERROR(__xludf.DUMMYFUNCTION("split(B525,""/"")"),8.0)</f>
        <v>8</v>
      </c>
      <c r="D525" s="10">
        <f>IFERROR(__xludf.DUMMYFUNCTION("""COMPUTED_VALUE"""),22.0)</f>
        <v>22</v>
      </c>
      <c r="E525" s="11">
        <f>IFERROR(__xludf.DUMMYFUNCTION("""COMPUTED_VALUE"""),2014.0)</f>
        <v>2014</v>
      </c>
      <c r="F525" s="12">
        <f t="shared" si="1"/>
        <v>41873</v>
      </c>
      <c r="G525" s="3" t="s">
        <v>1349</v>
      </c>
      <c r="H525" s="3">
        <f>IFERROR(__xludf.DUMMYFUNCTION("split(G525,""/"")"),9.0)</f>
        <v>9</v>
      </c>
      <c r="I525" s="3">
        <f>IFERROR(__xludf.DUMMYFUNCTION("""COMPUTED_VALUE"""),19.0)</f>
        <v>19</v>
      </c>
      <c r="J525" s="3">
        <f>IFERROR(__xludf.DUMMYFUNCTION("""COMPUTED_VALUE"""),2014.0)</f>
        <v>2014</v>
      </c>
      <c r="K525" s="12">
        <f t="shared" si="2"/>
        <v>41901</v>
      </c>
      <c r="L525" s="3" t="s">
        <v>817</v>
      </c>
      <c r="M525" s="3" t="s">
        <v>623</v>
      </c>
      <c r="N525" s="3">
        <v>8293.0</v>
      </c>
      <c r="O525" s="3" t="s">
        <v>818</v>
      </c>
      <c r="P525" s="10">
        <v>334.0</v>
      </c>
      <c r="Q525" s="13">
        <v>437.2</v>
      </c>
      <c r="R525" s="13">
        <v>263.33</v>
      </c>
      <c r="S525" s="13">
        <f t="shared" si="3"/>
        <v>146024.8</v>
      </c>
      <c r="T525" s="13">
        <f t="shared" si="4"/>
        <v>87952.22</v>
      </c>
      <c r="U525" s="13">
        <f t="shared" si="5"/>
        <v>58072.58</v>
      </c>
      <c r="V525" s="3" t="str">
        <f>VLOOKUP(N525,products!A:B,2,0)</f>
        <v>Cosmetics</v>
      </c>
      <c r="W525" s="3" t="s">
        <v>28</v>
      </c>
      <c r="X525" s="3" t="s">
        <v>33</v>
      </c>
      <c r="Y525" s="14">
        <f t="shared" si="10"/>
        <v>0.3976898445</v>
      </c>
      <c r="Z525" s="3">
        <f t="shared" si="7"/>
        <v>28</v>
      </c>
      <c r="AA525" s="15">
        <f t="shared" si="8"/>
        <v>6</v>
      </c>
    </row>
    <row r="526" ht="15.75" customHeight="1">
      <c r="A526" s="3">
        <v>4.47536504E8</v>
      </c>
      <c r="B526" s="3" t="s">
        <v>1350</v>
      </c>
      <c r="C526" s="3">
        <f>IFERROR(__xludf.DUMMYFUNCTION("split(B526,""/"")"),4.0)</f>
        <v>4</v>
      </c>
      <c r="D526" s="10">
        <f>IFERROR(__xludf.DUMMYFUNCTION("""COMPUTED_VALUE"""),14.0)</f>
        <v>14</v>
      </c>
      <c r="E526" s="11">
        <f>IFERROR(__xludf.DUMMYFUNCTION("""COMPUTED_VALUE"""),2010.0)</f>
        <v>2010</v>
      </c>
      <c r="F526" s="12">
        <f t="shared" si="1"/>
        <v>40282</v>
      </c>
      <c r="G526" s="3" t="s">
        <v>1351</v>
      </c>
      <c r="H526" s="3">
        <f>IFERROR(__xludf.DUMMYFUNCTION("split(G526,""/"")"),4.0)</f>
        <v>4</v>
      </c>
      <c r="I526" s="3">
        <f>IFERROR(__xludf.DUMMYFUNCTION("""COMPUTED_VALUE"""),25.0)</f>
        <v>25</v>
      </c>
      <c r="J526" s="3">
        <f>IFERROR(__xludf.DUMMYFUNCTION("""COMPUTED_VALUE"""),2010.0)</f>
        <v>2010</v>
      </c>
      <c r="K526" s="12">
        <f t="shared" si="2"/>
        <v>40293</v>
      </c>
      <c r="L526" s="3" t="s">
        <v>827</v>
      </c>
      <c r="M526" s="3" t="s">
        <v>635</v>
      </c>
      <c r="N526" s="3">
        <v>8875.0</v>
      </c>
      <c r="O526" s="3" t="s">
        <v>818</v>
      </c>
      <c r="P526" s="10">
        <v>4852.0</v>
      </c>
      <c r="Q526" s="13">
        <v>421.89</v>
      </c>
      <c r="R526" s="13">
        <v>364.69</v>
      </c>
      <c r="S526" s="13">
        <f t="shared" si="3"/>
        <v>2047010.28</v>
      </c>
      <c r="T526" s="13">
        <f t="shared" si="4"/>
        <v>1769475.88</v>
      </c>
      <c r="U526" s="13">
        <f t="shared" si="5"/>
        <v>277534.4</v>
      </c>
      <c r="V526" s="3" t="str">
        <f>VLOOKUP(N526,products!A:B,2,0)</f>
        <v>Meat</v>
      </c>
      <c r="W526" s="3" t="s">
        <v>28</v>
      </c>
      <c r="X526" s="3" t="s">
        <v>33</v>
      </c>
      <c r="Y526" s="14">
        <f t="shared" si="10"/>
        <v>0.1355803646</v>
      </c>
      <c r="Z526" s="3">
        <f t="shared" si="7"/>
        <v>11</v>
      </c>
      <c r="AA526" s="15">
        <f t="shared" si="8"/>
        <v>4</v>
      </c>
    </row>
    <row r="527" ht="15.75" customHeight="1">
      <c r="A527" s="3">
        <v>4.47684133E8</v>
      </c>
      <c r="B527" s="9">
        <v>42436.0</v>
      </c>
      <c r="C527" s="3">
        <f>IFERROR(__xludf.DUMMYFUNCTION("split(B527,""/"")"),7.0)</f>
        <v>7</v>
      </c>
      <c r="D527" s="10">
        <f>IFERROR(__xludf.DUMMYFUNCTION("""COMPUTED_VALUE"""),3.0)</f>
        <v>3</v>
      </c>
      <c r="E527" s="11">
        <f>IFERROR(__xludf.DUMMYFUNCTION("""COMPUTED_VALUE"""),2016.0)</f>
        <v>2016</v>
      </c>
      <c r="F527" s="12">
        <f t="shared" si="1"/>
        <v>42554</v>
      </c>
      <c r="G527" s="3" t="s">
        <v>1352</v>
      </c>
      <c r="H527" s="3">
        <f>IFERROR(__xludf.DUMMYFUNCTION("split(G527,""/"")"),8.0)</f>
        <v>8</v>
      </c>
      <c r="I527" s="3">
        <f>IFERROR(__xludf.DUMMYFUNCTION("""COMPUTED_VALUE"""),14.0)</f>
        <v>14</v>
      </c>
      <c r="J527" s="3">
        <f>IFERROR(__xludf.DUMMYFUNCTION("""COMPUTED_VALUE"""),2016.0)</f>
        <v>2016</v>
      </c>
      <c r="K527" s="12">
        <f t="shared" si="2"/>
        <v>42596</v>
      </c>
      <c r="L527" s="3" t="s">
        <v>814</v>
      </c>
      <c r="M527" s="3" t="s">
        <v>270</v>
      </c>
      <c r="N527" s="3">
        <v>8969.0</v>
      </c>
      <c r="O527" s="3" t="s">
        <v>818</v>
      </c>
      <c r="P527" s="10">
        <v>8538.0</v>
      </c>
      <c r="Q527" s="13">
        <v>152.58</v>
      </c>
      <c r="R527" s="13">
        <v>97.44</v>
      </c>
      <c r="S527" s="13">
        <f t="shared" si="3"/>
        <v>1302728.04</v>
      </c>
      <c r="T527" s="13">
        <f t="shared" si="4"/>
        <v>831942.72</v>
      </c>
      <c r="U527" s="13">
        <f t="shared" si="5"/>
        <v>470785.32</v>
      </c>
      <c r="V527" s="3" t="str">
        <f>VLOOKUP(N527,products!A:B,2,0)</f>
        <v>Snacks</v>
      </c>
      <c r="W527" s="3" t="s">
        <v>28</v>
      </c>
      <c r="X527" s="3" t="s">
        <v>79</v>
      </c>
      <c r="Y527" s="14">
        <f t="shared" si="10"/>
        <v>0.3613841919</v>
      </c>
      <c r="Z527" s="3">
        <f t="shared" si="7"/>
        <v>42</v>
      </c>
      <c r="AA527" s="15">
        <f t="shared" si="8"/>
        <v>1</v>
      </c>
    </row>
    <row r="528" ht="15.75" customHeight="1">
      <c r="A528" s="3">
        <v>4.4920634E8</v>
      </c>
      <c r="B528" s="3" t="s">
        <v>1068</v>
      </c>
      <c r="C528" s="3">
        <f>IFERROR(__xludf.DUMMYFUNCTION("split(B528,""/"")"),2.0)</f>
        <v>2</v>
      </c>
      <c r="D528" s="10">
        <f>IFERROR(__xludf.DUMMYFUNCTION("""COMPUTED_VALUE"""),26.0)</f>
        <v>26</v>
      </c>
      <c r="E528" s="11">
        <f>IFERROR(__xludf.DUMMYFUNCTION("""COMPUTED_VALUE"""),2016.0)</f>
        <v>2016</v>
      </c>
      <c r="F528" s="12">
        <f t="shared" si="1"/>
        <v>42426</v>
      </c>
      <c r="G528" s="9">
        <v>42433.0</v>
      </c>
      <c r="H528" s="3">
        <f>IFERROR(__xludf.DUMMYFUNCTION("split(G528,""/"")"),4.0)</f>
        <v>4</v>
      </c>
      <c r="I528" s="3">
        <f>IFERROR(__xludf.DUMMYFUNCTION("""COMPUTED_VALUE"""),3.0)</f>
        <v>3</v>
      </c>
      <c r="J528" s="3">
        <f>IFERROR(__xludf.DUMMYFUNCTION("""COMPUTED_VALUE"""),2016.0)</f>
        <v>2016</v>
      </c>
      <c r="K528" s="12">
        <f t="shared" si="2"/>
        <v>42463</v>
      </c>
      <c r="L528" s="3" t="s">
        <v>827</v>
      </c>
      <c r="M528" s="3" t="s">
        <v>270</v>
      </c>
      <c r="N528" s="3">
        <v>2103.0</v>
      </c>
      <c r="O528" s="3" t="s">
        <v>818</v>
      </c>
      <c r="P528" s="10">
        <v>8993.0</v>
      </c>
      <c r="Q528" s="13">
        <v>205.7</v>
      </c>
      <c r="R528" s="13">
        <v>117.11</v>
      </c>
      <c r="S528" s="13">
        <f t="shared" si="3"/>
        <v>1849860.1</v>
      </c>
      <c r="T528" s="13">
        <f t="shared" si="4"/>
        <v>1053170.23</v>
      </c>
      <c r="U528" s="13">
        <f t="shared" si="5"/>
        <v>796689.87</v>
      </c>
      <c r="V528" s="3" t="str">
        <f>VLOOKUP(N528,products!A:B,2,0)</f>
        <v>Cereal</v>
      </c>
      <c r="W528" s="3" t="s">
        <v>28</v>
      </c>
      <c r="X528" s="3" t="s">
        <v>79</v>
      </c>
      <c r="Y528" s="14">
        <f t="shared" si="10"/>
        <v>0.4306757414</v>
      </c>
      <c r="Z528" s="3">
        <f t="shared" si="7"/>
        <v>37</v>
      </c>
      <c r="AA528" s="15">
        <f t="shared" si="8"/>
        <v>6</v>
      </c>
    </row>
    <row r="529" ht="15.75" customHeight="1">
      <c r="A529" s="3">
        <v>4.50041043E8</v>
      </c>
      <c r="B529" s="3" t="s">
        <v>1353</v>
      </c>
      <c r="C529" s="3">
        <f>IFERROR(__xludf.DUMMYFUNCTION("split(B529,""/"")"),3.0)</f>
        <v>3</v>
      </c>
      <c r="D529" s="10">
        <f>IFERROR(__xludf.DUMMYFUNCTION("""COMPUTED_VALUE"""),20.0)</f>
        <v>20</v>
      </c>
      <c r="E529" s="11">
        <f>IFERROR(__xludf.DUMMYFUNCTION("""COMPUTED_VALUE"""),2014.0)</f>
        <v>2014</v>
      </c>
      <c r="F529" s="12">
        <f t="shared" si="1"/>
        <v>41718</v>
      </c>
      <c r="G529" s="3" t="s">
        <v>1354</v>
      </c>
      <c r="H529" s="3">
        <f>IFERROR(__xludf.DUMMYFUNCTION("split(G529,""/"")"),4.0)</f>
        <v>4</v>
      </c>
      <c r="I529" s="3">
        <f>IFERROR(__xludf.DUMMYFUNCTION("""COMPUTED_VALUE"""),16.0)</f>
        <v>16</v>
      </c>
      <c r="J529" s="3">
        <f>IFERROR(__xludf.DUMMYFUNCTION("""COMPUTED_VALUE"""),2014.0)</f>
        <v>2014</v>
      </c>
      <c r="K529" s="12">
        <f t="shared" si="2"/>
        <v>41745</v>
      </c>
      <c r="L529" s="3" t="s">
        <v>825</v>
      </c>
      <c r="M529" s="3" t="s">
        <v>578</v>
      </c>
      <c r="N529" s="3">
        <v>8293.0</v>
      </c>
      <c r="O529" s="3" t="s">
        <v>818</v>
      </c>
      <c r="P529" s="10">
        <v>6000.0</v>
      </c>
      <c r="Q529" s="13">
        <v>437.2</v>
      </c>
      <c r="R529" s="13">
        <v>263.33</v>
      </c>
      <c r="S529" s="13">
        <f t="shared" si="3"/>
        <v>2623200</v>
      </c>
      <c r="T529" s="13">
        <f t="shared" si="4"/>
        <v>1579980</v>
      </c>
      <c r="U529" s="13">
        <f t="shared" si="5"/>
        <v>1043220</v>
      </c>
      <c r="V529" s="3" t="str">
        <f>VLOOKUP(N529,products!A:B,2,0)</f>
        <v>Cosmetics</v>
      </c>
      <c r="W529" s="3" t="s">
        <v>28</v>
      </c>
      <c r="X529" s="3" t="s">
        <v>33</v>
      </c>
      <c r="Y529" s="14">
        <f t="shared" si="10"/>
        <v>0.3976898445</v>
      </c>
      <c r="Z529" s="3">
        <f t="shared" si="7"/>
        <v>27</v>
      </c>
      <c r="AA529" s="15">
        <f t="shared" si="8"/>
        <v>5</v>
      </c>
    </row>
    <row r="530" ht="15.75" customHeight="1">
      <c r="A530" s="3">
        <v>4.50550019E8</v>
      </c>
      <c r="B530" s="3" t="s">
        <v>1152</v>
      </c>
      <c r="C530" s="3">
        <f>IFERROR(__xludf.DUMMYFUNCTION("split(B530,""/"")"),12.0)</f>
        <v>12</v>
      </c>
      <c r="D530" s="10">
        <f>IFERROR(__xludf.DUMMYFUNCTION("""COMPUTED_VALUE"""),24.0)</f>
        <v>24</v>
      </c>
      <c r="E530" s="11">
        <f>IFERROR(__xludf.DUMMYFUNCTION("""COMPUTED_VALUE"""),2011.0)</f>
        <v>2011</v>
      </c>
      <c r="F530" s="12">
        <f t="shared" si="1"/>
        <v>40901</v>
      </c>
      <c r="G530" s="9">
        <v>40940.0</v>
      </c>
      <c r="H530" s="3">
        <f>IFERROR(__xludf.DUMMYFUNCTION("split(G530,""/"")"),1.0)</f>
        <v>1</v>
      </c>
      <c r="I530" s="3">
        <f>IFERROR(__xludf.DUMMYFUNCTION("""COMPUTED_VALUE"""),2.0)</f>
        <v>2</v>
      </c>
      <c r="J530" s="3">
        <f>IFERROR(__xludf.DUMMYFUNCTION("""COMPUTED_VALUE"""),2012.0)</f>
        <v>2012</v>
      </c>
      <c r="K530" s="12">
        <f t="shared" si="2"/>
        <v>40910</v>
      </c>
      <c r="L530" s="3" t="s">
        <v>814</v>
      </c>
      <c r="M530" s="3" t="s">
        <v>593</v>
      </c>
      <c r="N530" s="3">
        <v>7331.0</v>
      </c>
      <c r="O530" s="3" t="s">
        <v>818</v>
      </c>
      <c r="P530" s="10">
        <v>6618.0</v>
      </c>
      <c r="Q530" s="13">
        <v>255.28</v>
      </c>
      <c r="R530" s="13">
        <v>159.42</v>
      </c>
      <c r="S530" s="13">
        <f t="shared" si="3"/>
        <v>1689443.04</v>
      </c>
      <c r="T530" s="13">
        <f t="shared" si="4"/>
        <v>1055041.56</v>
      </c>
      <c r="U530" s="13">
        <f t="shared" si="5"/>
        <v>634401.48</v>
      </c>
      <c r="V530" s="3" t="str">
        <f>VLOOKUP(N530,products!A:B,2,0)</f>
        <v>Baby Food</v>
      </c>
      <c r="W530" s="3" t="s">
        <v>28</v>
      </c>
      <c r="X530" s="3" t="s">
        <v>98</v>
      </c>
      <c r="Y530" s="14">
        <f t="shared" si="10"/>
        <v>0.3755092448</v>
      </c>
      <c r="Z530" s="3">
        <f t="shared" si="7"/>
        <v>9</v>
      </c>
      <c r="AA530" s="15">
        <f t="shared" si="8"/>
        <v>7</v>
      </c>
    </row>
    <row r="531" ht="15.75" customHeight="1">
      <c r="A531" s="3">
        <v>4.52471768E8</v>
      </c>
      <c r="B531" s="3" t="s">
        <v>855</v>
      </c>
      <c r="C531" s="3">
        <f>IFERROR(__xludf.DUMMYFUNCTION("split(B531,""/"")"),1.0)</f>
        <v>1</v>
      </c>
      <c r="D531" s="10">
        <f>IFERROR(__xludf.DUMMYFUNCTION("""COMPUTED_VALUE"""),14.0)</f>
        <v>14</v>
      </c>
      <c r="E531" s="11">
        <f>IFERROR(__xludf.DUMMYFUNCTION("""COMPUTED_VALUE"""),2015.0)</f>
        <v>2015</v>
      </c>
      <c r="F531" s="12">
        <f t="shared" si="1"/>
        <v>42018</v>
      </c>
      <c r="G531" s="9">
        <v>42279.0</v>
      </c>
      <c r="H531" s="3">
        <f>IFERROR(__xludf.DUMMYFUNCTION("split(G531,""/"")"),2.0)</f>
        <v>2</v>
      </c>
      <c r="I531" s="3">
        <f>IFERROR(__xludf.DUMMYFUNCTION("""COMPUTED_VALUE"""),10.0)</f>
        <v>10</v>
      </c>
      <c r="J531" s="3">
        <f>IFERROR(__xludf.DUMMYFUNCTION("""COMPUTED_VALUE"""),2015.0)</f>
        <v>2015</v>
      </c>
      <c r="K531" s="12">
        <f t="shared" si="2"/>
        <v>42045</v>
      </c>
      <c r="L531" s="3" t="s">
        <v>825</v>
      </c>
      <c r="M531" s="3" t="s">
        <v>686</v>
      </c>
      <c r="N531" s="3">
        <v>4594.0</v>
      </c>
      <c r="O531" s="3" t="s">
        <v>818</v>
      </c>
      <c r="P531" s="10">
        <v>5306.0</v>
      </c>
      <c r="Q531" s="13">
        <v>9.33</v>
      </c>
      <c r="R531" s="13">
        <v>6.92</v>
      </c>
      <c r="S531" s="13">
        <f t="shared" si="3"/>
        <v>49504.98</v>
      </c>
      <c r="T531" s="13">
        <f t="shared" si="4"/>
        <v>36717.52</v>
      </c>
      <c r="U531" s="13">
        <f t="shared" si="5"/>
        <v>12787.46</v>
      </c>
      <c r="V531" s="3" t="str">
        <f>VLOOKUP(N531,products!A:B,2,0)</f>
        <v>Fruits</v>
      </c>
      <c r="W531" s="3" t="s">
        <v>28</v>
      </c>
      <c r="X531" s="3" t="s">
        <v>29</v>
      </c>
      <c r="Y531" s="14">
        <f t="shared" si="10"/>
        <v>0.258306538</v>
      </c>
      <c r="Z531" s="3">
        <f t="shared" si="7"/>
        <v>27</v>
      </c>
      <c r="AA531" s="15">
        <f t="shared" si="8"/>
        <v>4</v>
      </c>
    </row>
    <row r="532" ht="15.75" customHeight="1">
      <c r="A532" s="3">
        <v>4.52559745E8</v>
      </c>
      <c r="B532" s="3" t="s">
        <v>1022</v>
      </c>
      <c r="C532" s="3">
        <f>IFERROR(__xludf.DUMMYFUNCTION("split(B532,""/"")"),3.0)</f>
        <v>3</v>
      </c>
      <c r="D532" s="10">
        <f>IFERROR(__xludf.DUMMYFUNCTION("""COMPUTED_VALUE"""),18.0)</f>
        <v>18</v>
      </c>
      <c r="E532" s="11">
        <f>IFERROR(__xludf.DUMMYFUNCTION("""COMPUTED_VALUE"""),2014.0)</f>
        <v>2014</v>
      </c>
      <c r="F532" s="12">
        <f t="shared" si="1"/>
        <v>41716</v>
      </c>
      <c r="G532" s="3" t="s">
        <v>1355</v>
      </c>
      <c r="H532" s="3">
        <f>IFERROR(__xludf.DUMMYFUNCTION("split(G532,""/"")"),3.0)</f>
        <v>3</v>
      </c>
      <c r="I532" s="3">
        <f>IFERROR(__xludf.DUMMYFUNCTION("""COMPUTED_VALUE"""),19.0)</f>
        <v>19</v>
      </c>
      <c r="J532" s="3">
        <f>IFERROR(__xludf.DUMMYFUNCTION("""COMPUTED_VALUE"""),2014.0)</f>
        <v>2014</v>
      </c>
      <c r="K532" s="12">
        <f t="shared" si="2"/>
        <v>41717</v>
      </c>
      <c r="L532" s="3" t="s">
        <v>825</v>
      </c>
      <c r="M532" s="3" t="s">
        <v>821</v>
      </c>
      <c r="N532" s="3">
        <v>5988.0</v>
      </c>
      <c r="O532" s="3" t="s">
        <v>818</v>
      </c>
      <c r="P532" s="10">
        <v>1340.0</v>
      </c>
      <c r="Q532" s="13">
        <v>154.06</v>
      </c>
      <c r="R532" s="13">
        <v>90.93</v>
      </c>
      <c r="S532" s="13">
        <f t="shared" si="3"/>
        <v>206440.4</v>
      </c>
      <c r="T532" s="13">
        <f t="shared" si="4"/>
        <v>121846.2</v>
      </c>
      <c r="U532" s="13">
        <f t="shared" si="5"/>
        <v>84594.2</v>
      </c>
      <c r="V532" s="3" t="str">
        <f>VLOOKUP(N532,products!A:B,2,0)</f>
        <v>Vegetables</v>
      </c>
      <c r="W532" s="3" t="s">
        <v>821</v>
      </c>
      <c r="X532" s="3" t="s">
        <v>821</v>
      </c>
      <c r="Y532" s="14">
        <f t="shared" si="10"/>
        <v>0.4097754122</v>
      </c>
      <c r="Z532" s="3">
        <f t="shared" si="7"/>
        <v>1</v>
      </c>
      <c r="AA532" s="15">
        <f t="shared" si="8"/>
        <v>3</v>
      </c>
    </row>
    <row r="533" ht="15.75" customHeight="1">
      <c r="A533" s="3">
        <v>4.54550588E8</v>
      </c>
      <c r="B533" s="9">
        <v>40702.0</v>
      </c>
      <c r="C533" s="3">
        <f>IFERROR(__xludf.DUMMYFUNCTION("split(B533,""/"")"),8.0)</f>
        <v>8</v>
      </c>
      <c r="D533" s="10">
        <f>IFERROR(__xludf.DUMMYFUNCTION("""COMPUTED_VALUE"""),6.0)</f>
        <v>6</v>
      </c>
      <c r="E533" s="11">
        <f>IFERROR(__xludf.DUMMYFUNCTION("""COMPUTED_VALUE"""),2011.0)</f>
        <v>2011</v>
      </c>
      <c r="F533" s="12">
        <f t="shared" si="1"/>
        <v>40761</v>
      </c>
      <c r="G533" s="9">
        <v>40703.0</v>
      </c>
      <c r="H533" s="3">
        <f>IFERROR(__xludf.DUMMYFUNCTION("split(G533,""/"")"),9.0)</f>
        <v>9</v>
      </c>
      <c r="I533" s="3">
        <f>IFERROR(__xludf.DUMMYFUNCTION("""COMPUTED_VALUE"""),6.0)</f>
        <v>6</v>
      </c>
      <c r="J533" s="3">
        <f>IFERROR(__xludf.DUMMYFUNCTION("""COMPUTED_VALUE"""),2011.0)</f>
        <v>2011</v>
      </c>
      <c r="K533" s="12">
        <f t="shared" si="2"/>
        <v>40792</v>
      </c>
      <c r="L533" s="3" t="s">
        <v>817</v>
      </c>
      <c r="M533" s="3" t="s">
        <v>575</v>
      </c>
      <c r="N533" s="3">
        <v>2103.0</v>
      </c>
      <c r="O533" s="3" t="s">
        <v>815</v>
      </c>
      <c r="P533" s="10">
        <v>475.0</v>
      </c>
      <c r="Q533" s="13">
        <v>205.7</v>
      </c>
      <c r="R533" s="13">
        <v>117.11</v>
      </c>
      <c r="S533" s="13">
        <f t="shared" si="3"/>
        <v>97707.5</v>
      </c>
      <c r="T533" s="13">
        <f t="shared" si="4"/>
        <v>55627.25</v>
      </c>
      <c r="U533" s="13">
        <f t="shared" si="5"/>
        <v>42080.25</v>
      </c>
      <c r="V533" s="3" t="str">
        <f>VLOOKUP(N533,products!A:B,2,0)</f>
        <v>Cereal</v>
      </c>
      <c r="W533" s="3" t="s">
        <v>28</v>
      </c>
      <c r="X533" s="3" t="s">
        <v>98</v>
      </c>
      <c r="Y533" s="14">
        <f t="shared" si="10"/>
        <v>0.4306757414</v>
      </c>
      <c r="Z533" s="3">
        <f t="shared" si="7"/>
        <v>31</v>
      </c>
      <c r="AA533" s="15">
        <f t="shared" si="8"/>
        <v>7</v>
      </c>
    </row>
    <row r="534" ht="15.75" customHeight="1">
      <c r="A534" s="3">
        <v>4.55040681E8</v>
      </c>
      <c r="B534" s="9">
        <v>40910.0</v>
      </c>
      <c r="C534" s="3">
        <f>IFERROR(__xludf.DUMMYFUNCTION("split(B534,""/"")"),2.0)</f>
        <v>2</v>
      </c>
      <c r="D534" s="10">
        <f>IFERROR(__xludf.DUMMYFUNCTION("""COMPUTED_VALUE"""),1.0)</f>
        <v>1</v>
      </c>
      <c r="E534" s="11">
        <f>IFERROR(__xludf.DUMMYFUNCTION("""COMPUTED_VALUE"""),2012.0)</f>
        <v>2012</v>
      </c>
      <c r="F534" s="12">
        <f t="shared" si="1"/>
        <v>40940</v>
      </c>
      <c r="G534" s="9">
        <v>40941.0</v>
      </c>
      <c r="H534" s="3">
        <f>IFERROR(__xludf.DUMMYFUNCTION("split(G534,""/"")"),2.0)</f>
        <v>2</v>
      </c>
      <c r="I534" s="3">
        <f>IFERROR(__xludf.DUMMYFUNCTION("""COMPUTED_VALUE"""),2.0)</f>
        <v>2</v>
      </c>
      <c r="J534" s="3">
        <f>IFERROR(__xludf.DUMMYFUNCTION("""COMPUTED_VALUE"""),2012.0)</f>
        <v>2012</v>
      </c>
      <c r="K534" s="12">
        <f t="shared" si="2"/>
        <v>40941</v>
      </c>
      <c r="L534" s="3" t="s">
        <v>825</v>
      </c>
      <c r="M534" s="3" t="s">
        <v>270</v>
      </c>
      <c r="N534" s="3">
        <v>5988.0</v>
      </c>
      <c r="O534" s="3" t="s">
        <v>818</v>
      </c>
      <c r="P534" s="10">
        <v>5504.0</v>
      </c>
      <c r="Q534" s="13">
        <v>154.06</v>
      </c>
      <c r="R534" s="13">
        <v>90.93</v>
      </c>
      <c r="S534" s="13">
        <f t="shared" si="3"/>
        <v>847946.24</v>
      </c>
      <c r="T534" s="13">
        <f t="shared" si="4"/>
        <v>500478.72</v>
      </c>
      <c r="U534" s="13">
        <f t="shared" si="5"/>
        <v>347467.52</v>
      </c>
      <c r="V534" s="3" t="str">
        <f>VLOOKUP(N534,products!A:B,2,0)</f>
        <v>Vegetables</v>
      </c>
      <c r="W534" s="3" t="s">
        <v>28</v>
      </c>
      <c r="X534" s="3" t="s">
        <v>79</v>
      </c>
      <c r="Y534" s="14">
        <f t="shared" si="10"/>
        <v>0.4097754122</v>
      </c>
      <c r="Z534" s="3">
        <f t="shared" si="7"/>
        <v>1</v>
      </c>
      <c r="AA534" s="15">
        <f t="shared" si="8"/>
        <v>4</v>
      </c>
    </row>
    <row r="535" ht="15.75" customHeight="1">
      <c r="A535" s="3">
        <v>4.56192958E8</v>
      </c>
      <c r="B535" s="3" t="s">
        <v>1356</v>
      </c>
      <c r="C535" s="3">
        <f>IFERROR(__xludf.DUMMYFUNCTION("split(B535,""/"")"),7.0)</f>
        <v>7</v>
      </c>
      <c r="D535" s="10">
        <f>IFERROR(__xludf.DUMMYFUNCTION("""COMPUTED_VALUE"""),19.0)</f>
        <v>19</v>
      </c>
      <c r="E535" s="11">
        <f>IFERROR(__xludf.DUMMYFUNCTION("""COMPUTED_VALUE"""),2014.0)</f>
        <v>2014</v>
      </c>
      <c r="F535" s="12">
        <f t="shared" si="1"/>
        <v>41839</v>
      </c>
      <c r="G535" s="3" t="s">
        <v>1103</v>
      </c>
      <c r="H535" s="3">
        <f>IFERROR(__xludf.DUMMYFUNCTION("split(G535,""/"")"),8.0)</f>
        <v>8</v>
      </c>
      <c r="I535" s="3">
        <f>IFERROR(__xludf.DUMMYFUNCTION("""COMPUTED_VALUE"""),18.0)</f>
        <v>18</v>
      </c>
      <c r="J535" s="3">
        <f>IFERROR(__xludf.DUMMYFUNCTION("""COMPUTED_VALUE"""),2014.0)</f>
        <v>2014</v>
      </c>
      <c r="K535" s="12">
        <f t="shared" si="2"/>
        <v>41869</v>
      </c>
      <c r="L535" s="3" t="s">
        <v>825</v>
      </c>
      <c r="M535" s="3" t="s">
        <v>536</v>
      </c>
      <c r="N535" s="3">
        <v>3127.0</v>
      </c>
      <c r="O535" s="3" t="s">
        <v>815</v>
      </c>
      <c r="P535" s="10">
        <v>6489.0</v>
      </c>
      <c r="Q535" s="13">
        <v>81.73</v>
      </c>
      <c r="R535" s="13">
        <v>56.67</v>
      </c>
      <c r="S535" s="13">
        <f t="shared" si="3"/>
        <v>530345.97</v>
      </c>
      <c r="T535" s="13">
        <f t="shared" si="4"/>
        <v>367731.63</v>
      </c>
      <c r="U535" s="13">
        <f t="shared" si="5"/>
        <v>162614.34</v>
      </c>
      <c r="V535" s="3" t="str">
        <f>VLOOKUP(N535,products!A:B,2,0)</f>
        <v>Personal Care</v>
      </c>
      <c r="W535" s="3" t="s">
        <v>28</v>
      </c>
      <c r="X535" s="3" t="s">
        <v>33</v>
      </c>
      <c r="Y535" s="14">
        <f t="shared" si="10"/>
        <v>0.3066193564</v>
      </c>
      <c r="Z535" s="3">
        <f t="shared" si="7"/>
        <v>30</v>
      </c>
      <c r="AA535" s="15">
        <f t="shared" si="8"/>
        <v>7</v>
      </c>
    </row>
    <row r="536" ht="15.75" customHeight="1">
      <c r="A536" s="3">
        <v>4.56527268E8</v>
      </c>
      <c r="B536" s="9">
        <v>40920.0</v>
      </c>
      <c r="C536" s="3">
        <f>IFERROR(__xludf.DUMMYFUNCTION("split(B536,""/"")"),12.0)</f>
        <v>12</v>
      </c>
      <c r="D536" s="10">
        <f>IFERROR(__xludf.DUMMYFUNCTION("""COMPUTED_VALUE"""),1.0)</f>
        <v>1</v>
      </c>
      <c r="E536" s="11">
        <f>IFERROR(__xludf.DUMMYFUNCTION("""COMPUTED_VALUE"""),2012.0)</f>
        <v>2012</v>
      </c>
      <c r="F536" s="12">
        <f t="shared" si="1"/>
        <v>41244</v>
      </c>
      <c r="G536" s="9">
        <v>40951.0</v>
      </c>
      <c r="H536" s="3">
        <f>IFERROR(__xludf.DUMMYFUNCTION("split(G536,""/"")"),12.0)</f>
        <v>12</v>
      </c>
      <c r="I536" s="3">
        <f>IFERROR(__xludf.DUMMYFUNCTION("""COMPUTED_VALUE"""),2.0)</f>
        <v>2</v>
      </c>
      <c r="J536" s="3">
        <f>IFERROR(__xludf.DUMMYFUNCTION("""COMPUTED_VALUE"""),2012.0)</f>
        <v>2012</v>
      </c>
      <c r="K536" s="12">
        <f t="shared" si="2"/>
        <v>41245</v>
      </c>
      <c r="L536" s="3" t="s">
        <v>825</v>
      </c>
      <c r="M536" s="3" t="s">
        <v>101</v>
      </c>
      <c r="N536" s="3">
        <v>8681.0</v>
      </c>
      <c r="O536" s="3" t="s">
        <v>818</v>
      </c>
      <c r="P536" s="10">
        <v>5419.0</v>
      </c>
      <c r="Q536" s="13">
        <v>651.21</v>
      </c>
      <c r="R536" s="13">
        <v>524.96</v>
      </c>
      <c r="S536" s="13">
        <f t="shared" si="3"/>
        <v>3528906.99</v>
      </c>
      <c r="T536" s="13">
        <f t="shared" si="4"/>
        <v>2844758.24</v>
      </c>
      <c r="U536" s="13">
        <f t="shared" si="5"/>
        <v>684148.75</v>
      </c>
      <c r="V536" s="3" t="str">
        <f>VLOOKUP(N536,products!A:B,2,0)</f>
        <v>Office Supplies</v>
      </c>
      <c r="W536" s="3" t="s">
        <v>28</v>
      </c>
      <c r="X536" s="3" t="s">
        <v>79</v>
      </c>
      <c r="Y536" s="14">
        <f t="shared" si="10"/>
        <v>0.193869873</v>
      </c>
      <c r="Z536" s="3">
        <f t="shared" si="7"/>
        <v>1</v>
      </c>
      <c r="AA536" s="15">
        <f t="shared" si="8"/>
        <v>7</v>
      </c>
    </row>
    <row r="537" ht="15.75" customHeight="1">
      <c r="A537" s="3">
        <v>4.56934964E8</v>
      </c>
      <c r="B537" s="3" t="s">
        <v>1095</v>
      </c>
      <c r="C537" s="3">
        <f>IFERROR(__xludf.DUMMYFUNCTION("split(B537,""/"")"),3.0)</f>
        <v>3</v>
      </c>
      <c r="D537" s="10">
        <f>IFERROR(__xludf.DUMMYFUNCTION("""COMPUTED_VALUE"""),23.0)</f>
        <v>23</v>
      </c>
      <c r="E537" s="11">
        <f>IFERROR(__xludf.DUMMYFUNCTION("""COMPUTED_VALUE"""),2012.0)</f>
        <v>2012</v>
      </c>
      <c r="F537" s="12">
        <f t="shared" si="1"/>
        <v>40991</v>
      </c>
      <c r="G537" s="9">
        <v>41034.0</v>
      </c>
      <c r="H537" s="3">
        <f>IFERROR(__xludf.DUMMYFUNCTION("split(G537,""/"")"),5.0)</f>
        <v>5</v>
      </c>
      <c r="I537" s="3">
        <f>IFERROR(__xludf.DUMMYFUNCTION("""COMPUTED_VALUE"""),5.0)</f>
        <v>5</v>
      </c>
      <c r="J537" s="3">
        <f>IFERROR(__xludf.DUMMYFUNCTION("""COMPUTED_VALUE"""),2012.0)</f>
        <v>2012</v>
      </c>
      <c r="K537" s="12">
        <f t="shared" si="2"/>
        <v>41034</v>
      </c>
      <c r="L537" s="3" t="s">
        <v>825</v>
      </c>
      <c r="M537" s="3" t="s">
        <v>623</v>
      </c>
      <c r="N537" s="3">
        <v>8875.0</v>
      </c>
      <c r="O537" s="3" t="s">
        <v>818</v>
      </c>
      <c r="P537" s="10">
        <v>6065.0</v>
      </c>
      <c r="Q537" s="13">
        <v>421.89</v>
      </c>
      <c r="R537" s="13">
        <v>364.69</v>
      </c>
      <c r="S537" s="13">
        <f t="shared" si="3"/>
        <v>2558762.85</v>
      </c>
      <c r="T537" s="13">
        <f t="shared" si="4"/>
        <v>2211844.85</v>
      </c>
      <c r="U537" s="13">
        <f t="shared" si="5"/>
        <v>346918</v>
      </c>
      <c r="V537" s="3" t="str">
        <f>VLOOKUP(N537,products!A:B,2,0)</f>
        <v>Meat</v>
      </c>
      <c r="W537" s="3" t="s">
        <v>28</v>
      </c>
      <c r="X537" s="3" t="s">
        <v>33</v>
      </c>
      <c r="Y537" s="14">
        <f t="shared" si="10"/>
        <v>0.1355803646</v>
      </c>
      <c r="Z537" s="3">
        <f t="shared" si="7"/>
        <v>43</v>
      </c>
      <c r="AA537" s="15">
        <f t="shared" si="8"/>
        <v>6</v>
      </c>
    </row>
    <row r="538" ht="15.75" customHeight="1">
      <c r="A538" s="3">
        <v>4.58816373E8</v>
      </c>
      <c r="B538" s="9">
        <v>42098.0</v>
      </c>
      <c r="C538" s="3">
        <f>IFERROR(__xludf.DUMMYFUNCTION("split(B538,""/"")"),4.0)</f>
        <v>4</v>
      </c>
      <c r="D538" s="10">
        <f>IFERROR(__xludf.DUMMYFUNCTION("""COMPUTED_VALUE"""),4.0)</f>
        <v>4</v>
      </c>
      <c r="E538" s="11">
        <f>IFERROR(__xludf.DUMMYFUNCTION("""COMPUTED_VALUE"""),2015.0)</f>
        <v>2015</v>
      </c>
      <c r="F538" s="12">
        <f t="shared" si="1"/>
        <v>42098</v>
      </c>
      <c r="G538" s="3" t="s">
        <v>1357</v>
      </c>
      <c r="H538" s="3">
        <f>IFERROR(__xludf.DUMMYFUNCTION("split(G538,""/"")"),4.0)</f>
        <v>4</v>
      </c>
      <c r="I538" s="3">
        <f>IFERROR(__xludf.DUMMYFUNCTION("""COMPUTED_VALUE"""),16.0)</f>
        <v>16</v>
      </c>
      <c r="J538" s="3">
        <f>IFERROR(__xludf.DUMMYFUNCTION("""COMPUTED_VALUE"""),2015.0)</f>
        <v>2015</v>
      </c>
      <c r="K538" s="12">
        <f t="shared" si="2"/>
        <v>42110</v>
      </c>
      <c r="L538" s="3" t="s">
        <v>825</v>
      </c>
      <c r="M538" s="3" t="s">
        <v>821</v>
      </c>
      <c r="N538" s="3">
        <v>8681.0</v>
      </c>
      <c r="O538" s="3" t="s">
        <v>818</v>
      </c>
      <c r="P538" s="10">
        <v>2815.0</v>
      </c>
      <c r="Q538" s="13">
        <v>651.21</v>
      </c>
      <c r="R538" s="13">
        <v>524.96</v>
      </c>
      <c r="S538" s="13">
        <f t="shared" si="3"/>
        <v>1833156.15</v>
      </c>
      <c r="T538" s="13">
        <f t="shared" si="4"/>
        <v>1477762.4</v>
      </c>
      <c r="U538" s="13">
        <f t="shared" si="5"/>
        <v>355393.75</v>
      </c>
      <c r="V538" s="3" t="str">
        <f>VLOOKUP(N538,products!A:B,2,0)</f>
        <v>Office Supplies</v>
      </c>
      <c r="W538" s="3" t="s">
        <v>821</v>
      </c>
      <c r="X538" s="3" t="s">
        <v>821</v>
      </c>
      <c r="Y538" s="14">
        <f t="shared" si="10"/>
        <v>0.193869873</v>
      </c>
      <c r="Z538" s="3">
        <f t="shared" si="7"/>
        <v>12</v>
      </c>
      <c r="AA538" s="15">
        <f t="shared" si="8"/>
        <v>7</v>
      </c>
    </row>
    <row r="539" ht="15.75" customHeight="1">
      <c r="A539" s="3">
        <v>4.59277713E8</v>
      </c>
      <c r="B539" s="3" t="s">
        <v>1358</v>
      </c>
      <c r="C539" s="3">
        <f>IFERROR(__xludf.DUMMYFUNCTION("split(B539,""/"")"),11.0)</f>
        <v>11</v>
      </c>
      <c r="D539" s="10">
        <f>IFERROR(__xludf.DUMMYFUNCTION("""COMPUTED_VALUE"""),15.0)</f>
        <v>15</v>
      </c>
      <c r="E539" s="11">
        <f>IFERROR(__xludf.DUMMYFUNCTION("""COMPUTED_VALUE"""),2013.0)</f>
        <v>2013</v>
      </c>
      <c r="F539" s="12">
        <f t="shared" si="1"/>
        <v>41593</v>
      </c>
      <c r="G539" s="9">
        <v>41376.0</v>
      </c>
      <c r="H539" s="3">
        <f>IFERROR(__xludf.DUMMYFUNCTION("split(G539,""/"")"),12.0)</f>
        <v>12</v>
      </c>
      <c r="I539" s="3">
        <f>IFERROR(__xludf.DUMMYFUNCTION("""COMPUTED_VALUE"""),4.0)</f>
        <v>4</v>
      </c>
      <c r="J539" s="3">
        <f>IFERROR(__xludf.DUMMYFUNCTION("""COMPUTED_VALUE"""),2013.0)</f>
        <v>2013</v>
      </c>
      <c r="K539" s="12">
        <f t="shared" si="2"/>
        <v>41612</v>
      </c>
      <c r="L539" s="3" t="s">
        <v>814</v>
      </c>
      <c r="M539" s="3" t="s">
        <v>671</v>
      </c>
      <c r="N539" s="3">
        <v>8875.0</v>
      </c>
      <c r="O539" s="3" t="s">
        <v>815</v>
      </c>
      <c r="P539" s="10">
        <v>9336.0</v>
      </c>
      <c r="Q539" s="13">
        <v>421.89</v>
      </c>
      <c r="R539" s="13">
        <v>364.69</v>
      </c>
      <c r="S539" s="13">
        <f t="shared" si="3"/>
        <v>3938765.04</v>
      </c>
      <c r="T539" s="13">
        <f t="shared" si="4"/>
        <v>3404745.84</v>
      </c>
      <c r="U539" s="13">
        <f t="shared" si="5"/>
        <v>534019.2</v>
      </c>
      <c r="V539" s="3" t="str">
        <f>VLOOKUP(N539,products!A:B,2,0)</f>
        <v>Meat</v>
      </c>
      <c r="W539" s="3" t="s">
        <v>28</v>
      </c>
      <c r="X539" s="3" t="s">
        <v>33</v>
      </c>
      <c r="Y539" s="14">
        <f t="shared" si="10"/>
        <v>0.1355803646</v>
      </c>
      <c r="Z539" s="3">
        <f t="shared" si="7"/>
        <v>19</v>
      </c>
      <c r="AA539" s="15">
        <f t="shared" si="8"/>
        <v>6</v>
      </c>
    </row>
    <row r="540" ht="15.75" customHeight="1">
      <c r="A540" s="3">
        <v>4.59372985E8</v>
      </c>
      <c r="B540" s="9">
        <v>40911.0</v>
      </c>
      <c r="C540" s="3">
        <f>IFERROR(__xludf.DUMMYFUNCTION("split(B540,""/"")"),3.0)</f>
        <v>3</v>
      </c>
      <c r="D540" s="10">
        <f>IFERROR(__xludf.DUMMYFUNCTION("""COMPUTED_VALUE"""),1.0)</f>
        <v>1</v>
      </c>
      <c r="E540" s="11">
        <f>IFERROR(__xludf.DUMMYFUNCTION("""COMPUTED_VALUE"""),2012.0)</f>
        <v>2012</v>
      </c>
      <c r="F540" s="12">
        <f t="shared" si="1"/>
        <v>40969</v>
      </c>
      <c r="G540" s="3" t="s">
        <v>1359</v>
      </c>
      <c r="H540" s="3">
        <f>IFERROR(__xludf.DUMMYFUNCTION("split(G540,""/"")"),3.0)</f>
        <v>3</v>
      </c>
      <c r="I540" s="3">
        <f>IFERROR(__xludf.DUMMYFUNCTION("""COMPUTED_VALUE"""),22.0)</f>
        <v>22</v>
      </c>
      <c r="J540" s="3">
        <f>IFERROR(__xludf.DUMMYFUNCTION("""COMPUTED_VALUE"""),2012.0)</f>
        <v>2012</v>
      </c>
      <c r="K540" s="12">
        <f t="shared" si="2"/>
        <v>40990</v>
      </c>
      <c r="L540" s="3" t="s">
        <v>827</v>
      </c>
      <c r="M540" s="3" t="s">
        <v>373</v>
      </c>
      <c r="N540" s="3">
        <v>7331.0</v>
      </c>
      <c r="O540" s="3" t="s">
        <v>818</v>
      </c>
      <c r="P540" s="10">
        <v>7529.0</v>
      </c>
      <c r="Q540" s="13">
        <v>255.28</v>
      </c>
      <c r="R540" s="13">
        <v>159.42</v>
      </c>
      <c r="S540" s="13">
        <f t="shared" si="3"/>
        <v>1922003.12</v>
      </c>
      <c r="T540" s="13">
        <f t="shared" si="4"/>
        <v>1200273.18</v>
      </c>
      <c r="U540" s="13">
        <f t="shared" si="5"/>
        <v>721729.94</v>
      </c>
      <c r="V540" s="3" t="str">
        <f>VLOOKUP(N540,products!A:B,2,0)</f>
        <v>Baby Food</v>
      </c>
      <c r="W540" s="3" t="s">
        <v>28</v>
      </c>
      <c r="X540" s="3" t="s">
        <v>33</v>
      </c>
      <c r="Y540" s="14">
        <f t="shared" si="10"/>
        <v>0.3755092448</v>
      </c>
      <c r="Z540" s="3">
        <f t="shared" si="7"/>
        <v>21</v>
      </c>
      <c r="AA540" s="15">
        <f t="shared" si="8"/>
        <v>5</v>
      </c>
    </row>
    <row r="541" ht="15.75" customHeight="1">
      <c r="A541" s="3">
        <v>4.60693061E8</v>
      </c>
      <c r="B541" s="3" t="s">
        <v>1360</v>
      </c>
      <c r="C541" s="3">
        <f>IFERROR(__xludf.DUMMYFUNCTION("split(B541,""/"")"),1.0)</f>
        <v>1</v>
      </c>
      <c r="D541" s="10">
        <f>IFERROR(__xludf.DUMMYFUNCTION("""COMPUTED_VALUE"""),28.0)</f>
        <v>28</v>
      </c>
      <c r="E541" s="11">
        <f>IFERROR(__xludf.DUMMYFUNCTION("""COMPUTED_VALUE"""),2017.0)</f>
        <v>2017</v>
      </c>
      <c r="F541" s="12">
        <f t="shared" si="1"/>
        <v>42763</v>
      </c>
      <c r="G541" s="3" t="s">
        <v>1361</v>
      </c>
      <c r="H541" s="3">
        <f>IFERROR(__xludf.DUMMYFUNCTION("split(G541,""/"")"),2.0)</f>
        <v>2</v>
      </c>
      <c r="I541" s="3">
        <f>IFERROR(__xludf.DUMMYFUNCTION("""COMPUTED_VALUE"""),25.0)</f>
        <v>25</v>
      </c>
      <c r="J541" s="3">
        <f>IFERROR(__xludf.DUMMYFUNCTION("""COMPUTED_VALUE"""),2017.0)</f>
        <v>2017</v>
      </c>
      <c r="K541" s="12">
        <f t="shared" si="2"/>
        <v>42791</v>
      </c>
      <c r="L541" s="3" t="s">
        <v>817</v>
      </c>
      <c r="M541" s="3" t="s">
        <v>288</v>
      </c>
      <c r="N541" s="3">
        <v>4594.0</v>
      </c>
      <c r="O541" s="3" t="s">
        <v>818</v>
      </c>
      <c r="P541" s="10">
        <v>8169.0</v>
      </c>
      <c r="Q541" s="13">
        <v>9.33</v>
      </c>
      <c r="R541" s="13">
        <v>6.92</v>
      </c>
      <c r="S541" s="13">
        <f t="shared" si="3"/>
        <v>76216.77</v>
      </c>
      <c r="T541" s="13">
        <f t="shared" si="4"/>
        <v>56529.48</v>
      </c>
      <c r="U541" s="13">
        <f t="shared" si="5"/>
        <v>19687.29</v>
      </c>
      <c r="V541" s="3" t="str">
        <f>VLOOKUP(N541,products!A:B,2,0)</f>
        <v>Fruits</v>
      </c>
      <c r="W541" s="3" t="s">
        <v>23</v>
      </c>
      <c r="X541" s="3" t="s">
        <v>68</v>
      </c>
      <c r="Y541" s="14">
        <f t="shared" si="10"/>
        <v>0.258306538</v>
      </c>
      <c r="Z541" s="3">
        <f t="shared" si="7"/>
        <v>28</v>
      </c>
      <c r="AA541" s="15">
        <f t="shared" si="8"/>
        <v>7</v>
      </c>
    </row>
    <row r="542" ht="15.75" customHeight="1">
      <c r="A542" s="3">
        <v>4.61445796E8</v>
      </c>
      <c r="B542" s="3" t="s">
        <v>1056</v>
      </c>
      <c r="C542" s="3">
        <f>IFERROR(__xludf.DUMMYFUNCTION("split(B542,""/"")"),2.0)</f>
        <v>2</v>
      </c>
      <c r="D542" s="10">
        <f>IFERROR(__xludf.DUMMYFUNCTION("""COMPUTED_VALUE"""),17.0)</f>
        <v>17</v>
      </c>
      <c r="E542" s="11">
        <f>IFERROR(__xludf.DUMMYFUNCTION("""COMPUTED_VALUE"""),2016.0)</f>
        <v>2016</v>
      </c>
      <c r="F542" s="12">
        <f t="shared" si="1"/>
        <v>42417</v>
      </c>
      <c r="G542" s="3" t="s">
        <v>943</v>
      </c>
      <c r="H542" s="3">
        <f>IFERROR(__xludf.DUMMYFUNCTION("split(G542,""/"")"),3.0)</f>
        <v>3</v>
      </c>
      <c r="I542" s="3">
        <f>IFERROR(__xludf.DUMMYFUNCTION("""COMPUTED_VALUE"""),22.0)</f>
        <v>22</v>
      </c>
      <c r="J542" s="3">
        <f>IFERROR(__xludf.DUMMYFUNCTION("""COMPUTED_VALUE"""),2016.0)</f>
        <v>2016</v>
      </c>
      <c r="K542" s="12">
        <f t="shared" si="2"/>
        <v>42451</v>
      </c>
      <c r="L542" s="3" t="s">
        <v>825</v>
      </c>
      <c r="M542" s="3" t="s">
        <v>821</v>
      </c>
      <c r="N542" s="3">
        <v>3127.0</v>
      </c>
      <c r="O542" s="3" t="s">
        <v>815</v>
      </c>
      <c r="P542" s="10">
        <v>920.0</v>
      </c>
      <c r="Q542" s="13">
        <v>81.73</v>
      </c>
      <c r="R542" s="13">
        <v>56.67</v>
      </c>
      <c r="S542" s="13">
        <f t="shared" si="3"/>
        <v>75191.6</v>
      </c>
      <c r="T542" s="13">
        <f t="shared" si="4"/>
        <v>52136.4</v>
      </c>
      <c r="U542" s="13">
        <f t="shared" si="5"/>
        <v>23055.2</v>
      </c>
      <c r="V542" s="3" t="str">
        <f>VLOOKUP(N542,products!A:B,2,0)</f>
        <v>Personal Care</v>
      </c>
      <c r="W542" s="3" t="s">
        <v>821</v>
      </c>
      <c r="X542" s="3" t="s">
        <v>821</v>
      </c>
      <c r="Y542" s="14">
        <f t="shared" si="10"/>
        <v>0.3066193564</v>
      </c>
      <c r="Z542" s="3">
        <f t="shared" si="7"/>
        <v>34</v>
      </c>
      <c r="AA542" s="15">
        <f t="shared" si="8"/>
        <v>4</v>
      </c>
    </row>
    <row r="543" ht="15.75" customHeight="1">
      <c r="A543" s="3">
        <v>4.61917865E8</v>
      </c>
      <c r="B543" s="3" t="s">
        <v>1362</v>
      </c>
      <c r="C543" s="3">
        <f>IFERROR(__xludf.DUMMYFUNCTION("split(B543,""/"")"),2.0)</f>
        <v>2</v>
      </c>
      <c r="D543" s="10">
        <f>IFERROR(__xludf.DUMMYFUNCTION("""COMPUTED_VALUE"""),15.0)</f>
        <v>15</v>
      </c>
      <c r="E543" s="11">
        <f>IFERROR(__xludf.DUMMYFUNCTION("""COMPUTED_VALUE"""),2016.0)</f>
        <v>2016</v>
      </c>
      <c r="F543" s="12">
        <f t="shared" si="1"/>
        <v>42415</v>
      </c>
      <c r="G543" s="3" t="s">
        <v>1363</v>
      </c>
      <c r="H543" s="3">
        <f>IFERROR(__xludf.DUMMYFUNCTION("split(G543,""/"")"),3.0)</f>
        <v>3</v>
      </c>
      <c r="I543" s="3">
        <f>IFERROR(__xludf.DUMMYFUNCTION("""COMPUTED_VALUE"""),21.0)</f>
        <v>21</v>
      </c>
      <c r="J543" s="3">
        <f>IFERROR(__xludf.DUMMYFUNCTION("""COMPUTED_VALUE"""),2016.0)</f>
        <v>2016</v>
      </c>
      <c r="K543" s="12">
        <f t="shared" si="2"/>
        <v>42450</v>
      </c>
      <c r="L543" s="3" t="s">
        <v>817</v>
      </c>
      <c r="M543" s="3" t="s">
        <v>488</v>
      </c>
      <c r="N543" s="3">
        <v>7331.0</v>
      </c>
      <c r="O543" s="3" t="s">
        <v>818</v>
      </c>
      <c r="P543" s="10">
        <v>616.0</v>
      </c>
      <c r="Q543" s="13">
        <v>255.28</v>
      </c>
      <c r="R543" s="13">
        <v>159.42</v>
      </c>
      <c r="S543" s="13">
        <f t="shared" si="3"/>
        <v>157252.48</v>
      </c>
      <c r="T543" s="13">
        <f t="shared" si="4"/>
        <v>98202.72</v>
      </c>
      <c r="U543" s="13">
        <f t="shared" si="5"/>
        <v>59049.76</v>
      </c>
      <c r="V543" s="3" t="str">
        <f>VLOOKUP(N543,products!A:B,2,0)</f>
        <v>Baby Food</v>
      </c>
      <c r="W543" s="3" t="s">
        <v>28</v>
      </c>
      <c r="X543" s="3" t="s">
        <v>33</v>
      </c>
      <c r="Y543" s="14">
        <f t="shared" si="10"/>
        <v>0.3755092448</v>
      </c>
      <c r="Z543" s="3">
        <f t="shared" si="7"/>
        <v>35</v>
      </c>
      <c r="AA543" s="15">
        <f t="shared" si="8"/>
        <v>2</v>
      </c>
    </row>
    <row r="544" ht="15.75" customHeight="1">
      <c r="A544" s="3">
        <v>4.62561166E8</v>
      </c>
      <c r="B544" s="9">
        <v>41309.0</v>
      </c>
      <c r="C544" s="3">
        <f>IFERROR(__xludf.DUMMYFUNCTION("split(B544,""/"")"),4.0)</f>
        <v>4</v>
      </c>
      <c r="D544" s="10">
        <f>IFERROR(__xludf.DUMMYFUNCTION("""COMPUTED_VALUE"""),2.0)</f>
        <v>2</v>
      </c>
      <c r="E544" s="11">
        <f>IFERROR(__xludf.DUMMYFUNCTION("""COMPUTED_VALUE"""),2013.0)</f>
        <v>2013</v>
      </c>
      <c r="F544" s="12">
        <f t="shared" si="1"/>
        <v>41366</v>
      </c>
      <c r="G544" s="9">
        <v>41310.0</v>
      </c>
      <c r="H544" s="3">
        <f>IFERROR(__xludf.DUMMYFUNCTION("split(G544,""/"")"),5.0)</f>
        <v>5</v>
      </c>
      <c r="I544" s="3">
        <f>IFERROR(__xludf.DUMMYFUNCTION("""COMPUTED_VALUE"""),2.0)</f>
        <v>2</v>
      </c>
      <c r="J544" s="3">
        <f>IFERROR(__xludf.DUMMYFUNCTION("""COMPUTED_VALUE"""),2013.0)</f>
        <v>2013</v>
      </c>
      <c r="K544" s="12">
        <f t="shared" si="2"/>
        <v>41396</v>
      </c>
      <c r="L544" s="3" t="s">
        <v>827</v>
      </c>
      <c r="M544" s="3" t="s">
        <v>671</v>
      </c>
      <c r="N544" s="3">
        <v>8875.0</v>
      </c>
      <c r="O544" s="3" t="s">
        <v>815</v>
      </c>
      <c r="P544" s="10">
        <v>983.0</v>
      </c>
      <c r="Q544" s="13">
        <v>421.89</v>
      </c>
      <c r="R544" s="13">
        <v>364.69</v>
      </c>
      <c r="S544" s="13">
        <f t="shared" si="3"/>
        <v>414717.87</v>
      </c>
      <c r="T544" s="13">
        <f t="shared" si="4"/>
        <v>358490.27</v>
      </c>
      <c r="U544" s="13">
        <f t="shared" si="5"/>
        <v>56227.6</v>
      </c>
      <c r="V544" s="3" t="str">
        <f>VLOOKUP(N544,products!A:B,2,0)</f>
        <v>Meat</v>
      </c>
      <c r="W544" s="3" t="s">
        <v>28</v>
      </c>
      <c r="X544" s="3" t="s">
        <v>33</v>
      </c>
      <c r="Y544" s="14">
        <f t="shared" si="10"/>
        <v>0.1355803646</v>
      </c>
      <c r="Z544" s="3">
        <f t="shared" si="7"/>
        <v>30</v>
      </c>
      <c r="AA544" s="15">
        <f t="shared" si="8"/>
        <v>3</v>
      </c>
    </row>
    <row r="545" ht="15.75" customHeight="1">
      <c r="A545" s="3">
        <v>4.63591134E8</v>
      </c>
      <c r="B545" s="9">
        <v>42499.0</v>
      </c>
      <c r="C545" s="3">
        <f>IFERROR(__xludf.DUMMYFUNCTION("split(B545,""/"")"),9.0)</f>
        <v>9</v>
      </c>
      <c r="D545" s="10">
        <f>IFERROR(__xludf.DUMMYFUNCTION("""COMPUTED_VALUE"""),5.0)</f>
        <v>5</v>
      </c>
      <c r="E545" s="11">
        <f>IFERROR(__xludf.DUMMYFUNCTION("""COMPUTED_VALUE"""),2016.0)</f>
        <v>2016</v>
      </c>
      <c r="F545" s="12">
        <f t="shared" si="1"/>
        <v>42618</v>
      </c>
      <c r="G545" s="9">
        <v>42379.0</v>
      </c>
      <c r="H545" s="3">
        <f>IFERROR(__xludf.DUMMYFUNCTION("split(G545,""/"")"),10.0)</f>
        <v>10</v>
      </c>
      <c r="I545" s="3">
        <f>IFERROR(__xludf.DUMMYFUNCTION("""COMPUTED_VALUE"""),1.0)</f>
        <v>1</v>
      </c>
      <c r="J545" s="3">
        <f>IFERROR(__xludf.DUMMYFUNCTION("""COMPUTED_VALUE"""),2016.0)</f>
        <v>2016</v>
      </c>
      <c r="K545" s="12">
        <f t="shared" si="2"/>
        <v>42644</v>
      </c>
      <c r="L545" s="3" t="s">
        <v>817</v>
      </c>
      <c r="M545" s="3" t="s">
        <v>434</v>
      </c>
      <c r="N545" s="3">
        <v>7940.0</v>
      </c>
      <c r="O545" s="3" t="s">
        <v>818</v>
      </c>
      <c r="P545" s="10">
        <v>5773.0</v>
      </c>
      <c r="Q545" s="13">
        <v>668.27</v>
      </c>
      <c r="R545" s="13">
        <v>502.54</v>
      </c>
      <c r="S545" s="13">
        <f t="shared" si="3"/>
        <v>3857922.71</v>
      </c>
      <c r="T545" s="13">
        <f t="shared" si="4"/>
        <v>2901163.42</v>
      </c>
      <c r="U545" s="13">
        <f t="shared" si="5"/>
        <v>956759.29</v>
      </c>
      <c r="V545" s="3" t="str">
        <f>VLOOKUP(N545,products!A:B,2,0)</f>
        <v>Household</v>
      </c>
      <c r="W545" s="3" t="s">
        <v>28</v>
      </c>
      <c r="X545" s="3" t="s">
        <v>79</v>
      </c>
      <c r="Y545" s="14">
        <f t="shared" si="10"/>
        <v>0.2479985635</v>
      </c>
      <c r="Z545" s="3">
        <f t="shared" si="7"/>
        <v>26</v>
      </c>
      <c r="AA545" s="15">
        <f t="shared" si="8"/>
        <v>2</v>
      </c>
    </row>
    <row r="546" ht="15.75" customHeight="1">
      <c r="A546" s="3">
        <v>4.6491121E8</v>
      </c>
      <c r="B546" s="9">
        <v>41821.0</v>
      </c>
      <c r="C546" s="3">
        <f>IFERROR(__xludf.DUMMYFUNCTION("split(B546,""/"")"),1.0)</f>
        <v>1</v>
      </c>
      <c r="D546" s="10">
        <f>IFERROR(__xludf.DUMMYFUNCTION("""COMPUTED_VALUE"""),7.0)</f>
        <v>7</v>
      </c>
      <c r="E546" s="11">
        <f>IFERROR(__xludf.DUMMYFUNCTION("""COMPUTED_VALUE"""),2014.0)</f>
        <v>2014</v>
      </c>
      <c r="F546" s="12">
        <f t="shared" si="1"/>
        <v>41646</v>
      </c>
      <c r="G546" s="9">
        <v>41914.0</v>
      </c>
      <c r="H546" s="3">
        <f>IFERROR(__xludf.DUMMYFUNCTION("split(G546,""/"")"),2.0)</f>
        <v>2</v>
      </c>
      <c r="I546" s="3">
        <f>IFERROR(__xludf.DUMMYFUNCTION("""COMPUTED_VALUE"""),10.0)</f>
        <v>10</v>
      </c>
      <c r="J546" s="3">
        <f>IFERROR(__xludf.DUMMYFUNCTION("""COMPUTED_VALUE"""),2014.0)</f>
        <v>2014</v>
      </c>
      <c r="K546" s="12">
        <f t="shared" si="2"/>
        <v>41680</v>
      </c>
      <c r="L546" s="3" t="s">
        <v>825</v>
      </c>
      <c r="M546" s="3" t="s">
        <v>373</v>
      </c>
      <c r="N546" s="3">
        <v>8969.0</v>
      </c>
      <c r="O546" s="3" t="s">
        <v>818</v>
      </c>
      <c r="P546" s="10">
        <v>6413.0</v>
      </c>
      <c r="Q546" s="13">
        <v>152.58</v>
      </c>
      <c r="R546" s="13">
        <v>97.44</v>
      </c>
      <c r="S546" s="13">
        <f t="shared" si="3"/>
        <v>978495.54</v>
      </c>
      <c r="T546" s="13">
        <f t="shared" si="4"/>
        <v>624882.72</v>
      </c>
      <c r="U546" s="13">
        <f t="shared" si="5"/>
        <v>353612.82</v>
      </c>
      <c r="V546" s="3" t="str">
        <f>VLOOKUP(N546,products!A:B,2,0)</f>
        <v>Snacks</v>
      </c>
      <c r="W546" s="3" t="s">
        <v>28</v>
      </c>
      <c r="X546" s="3" t="s">
        <v>33</v>
      </c>
      <c r="Y546" s="14">
        <f t="shared" si="10"/>
        <v>0.3613841919</v>
      </c>
      <c r="Z546" s="3">
        <f t="shared" si="7"/>
        <v>34</v>
      </c>
      <c r="AA546" s="15">
        <f t="shared" si="8"/>
        <v>3</v>
      </c>
    </row>
    <row r="547" ht="15.75" customHeight="1">
      <c r="A547" s="3">
        <v>4.65753209E8</v>
      </c>
      <c r="B547" s="3" t="s">
        <v>1364</v>
      </c>
      <c r="C547" s="3">
        <f>IFERROR(__xludf.DUMMYFUNCTION("split(B547,""/"")"),3.0)</f>
        <v>3</v>
      </c>
      <c r="D547" s="10">
        <f>IFERROR(__xludf.DUMMYFUNCTION("""COMPUTED_VALUE"""),14.0)</f>
        <v>14</v>
      </c>
      <c r="E547" s="11">
        <f>IFERROR(__xludf.DUMMYFUNCTION("""COMPUTED_VALUE"""),2011.0)</f>
        <v>2011</v>
      </c>
      <c r="F547" s="12">
        <f t="shared" si="1"/>
        <v>40616</v>
      </c>
      <c r="G547" s="3" t="s">
        <v>1364</v>
      </c>
      <c r="H547" s="3">
        <f>IFERROR(__xludf.DUMMYFUNCTION("split(G547,""/"")"),3.0)</f>
        <v>3</v>
      </c>
      <c r="I547" s="3">
        <f>IFERROR(__xludf.DUMMYFUNCTION("""COMPUTED_VALUE"""),14.0)</f>
        <v>14</v>
      </c>
      <c r="J547" s="3">
        <f>IFERROR(__xludf.DUMMYFUNCTION("""COMPUTED_VALUE"""),2011.0)</f>
        <v>2011</v>
      </c>
      <c r="K547" s="12">
        <f t="shared" si="2"/>
        <v>40616</v>
      </c>
      <c r="L547" s="3" t="s">
        <v>817</v>
      </c>
      <c r="M547" s="3" t="s">
        <v>291</v>
      </c>
      <c r="N547" s="3">
        <v>5988.0</v>
      </c>
      <c r="O547" s="3" t="s">
        <v>818</v>
      </c>
      <c r="P547" s="10">
        <v>5579.0</v>
      </c>
      <c r="Q547" s="13">
        <v>154.06</v>
      </c>
      <c r="R547" s="13">
        <v>90.93</v>
      </c>
      <c r="S547" s="13">
        <f t="shared" si="3"/>
        <v>859500.74</v>
      </c>
      <c r="T547" s="13">
        <f t="shared" si="4"/>
        <v>507298.47</v>
      </c>
      <c r="U547" s="13">
        <f t="shared" si="5"/>
        <v>352202.27</v>
      </c>
      <c r="V547" s="3" t="str">
        <f>VLOOKUP(N547,products!A:B,2,0)</f>
        <v>Vegetables</v>
      </c>
      <c r="W547" s="3" t="s">
        <v>28</v>
      </c>
      <c r="X547" s="3" t="s">
        <v>79</v>
      </c>
      <c r="Y547" s="14">
        <f t="shared" si="10"/>
        <v>0.4097754122</v>
      </c>
      <c r="Z547" s="3">
        <f t="shared" si="7"/>
        <v>0</v>
      </c>
      <c r="AA547" s="15">
        <f t="shared" si="8"/>
        <v>2</v>
      </c>
    </row>
    <row r="548" ht="15.75" customHeight="1">
      <c r="A548" s="3">
        <v>4.66517961E8</v>
      </c>
      <c r="B548" s="9">
        <v>40186.0</v>
      </c>
      <c r="C548" s="3">
        <f>IFERROR(__xludf.DUMMYFUNCTION("split(B548,""/"")"),8.0)</f>
        <v>8</v>
      </c>
      <c r="D548" s="10">
        <f>IFERROR(__xludf.DUMMYFUNCTION("""COMPUTED_VALUE"""),1.0)</f>
        <v>1</v>
      </c>
      <c r="E548" s="11">
        <f>IFERROR(__xludf.DUMMYFUNCTION("""COMPUTED_VALUE"""),2010.0)</f>
        <v>2010</v>
      </c>
      <c r="F548" s="12">
        <f t="shared" si="1"/>
        <v>40391</v>
      </c>
      <c r="G548" s="9">
        <v>40368.0</v>
      </c>
      <c r="H548" s="3">
        <f>IFERROR(__xludf.DUMMYFUNCTION("split(G548,""/"")"),9.0)</f>
        <v>9</v>
      </c>
      <c r="I548" s="3">
        <f>IFERROR(__xludf.DUMMYFUNCTION("""COMPUTED_VALUE"""),7.0)</f>
        <v>7</v>
      </c>
      <c r="J548" s="3">
        <f>IFERROR(__xludf.DUMMYFUNCTION("""COMPUTED_VALUE"""),2010.0)</f>
        <v>2010</v>
      </c>
      <c r="K548" s="12">
        <f t="shared" si="2"/>
        <v>40428</v>
      </c>
      <c r="L548" s="3" t="s">
        <v>825</v>
      </c>
      <c r="M548" s="3" t="s">
        <v>97</v>
      </c>
      <c r="N548" s="3">
        <v>4594.0</v>
      </c>
      <c r="O548" s="3" t="s">
        <v>815</v>
      </c>
      <c r="P548" s="10">
        <v>1886.0</v>
      </c>
      <c r="Q548" s="13">
        <v>9.33</v>
      </c>
      <c r="R548" s="13">
        <v>6.92</v>
      </c>
      <c r="S548" s="13">
        <f t="shared" si="3"/>
        <v>17596.38</v>
      </c>
      <c r="T548" s="13">
        <f t="shared" si="4"/>
        <v>13051.12</v>
      </c>
      <c r="U548" s="13">
        <f t="shared" si="5"/>
        <v>4545.26</v>
      </c>
      <c r="V548" s="3" t="str">
        <f>VLOOKUP(N548,products!A:B,2,0)</f>
        <v>Fruits</v>
      </c>
      <c r="W548" s="3" t="s">
        <v>28</v>
      </c>
      <c r="X548" s="3" t="s">
        <v>98</v>
      </c>
      <c r="Y548" s="14">
        <f t="shared" si="10"/>
        <v>0.258306538</v>
      </c>
      <c r="Z548" s="3">
        <f t="shared" si="7"/>
        <v>37</v>
      </c>
      <c r="AA548" s="15">
        <f t="shared" si="8"/>
        <v>1</v>
      </c>
    </row>
    <row r="549" ht="15.75" customHeight="1">
      <c r="A549" s="3">
        <v>4.66988742E8</v>
      </c>
      <c r="B549" s="3" t="s">
        <v>1365</v>
      </c>
      <c r="C549" s="3">
        <f>IFERROR(__xludf.DUMMYFUNCTION("split(B549,""/"")"),8.0)</f>
        <v>8</v>
      </c>
      <c r="D549" s="10">
        <f>IFERROR(__xludf.DUMMYFUNCTION("""COMPUTED_VALUE"""),16.0)</f>
        <v>16</v>
      </c>
      <c r="E549" s="11">
        <f>IFERROR(__xludf.DUMMYFUNCTION("""COMPUTED_VALUE"""),2011.0)</f>
        <v>2011</v>
      </c>
      <c r="F549" s="12">
        <f t="shared" si="1"/>
        <v>40771</v>
      </c>
      <c r="G549" s="3" t="s">
        <v>1365</v>
      </c>
      <c r="H549" s="3">
        <f>IFERROR(__xludf.DUMMYFUNCTION("split(G549,""/"")"),8.0)</f>
        <v>8</v>
      </c>
      <c r="I549" s="3">
        <f>IFERROR(__xludf.DUMMYFUNCTION("""COMPUTED_VALUE"""),16.0)</f>
        <v>16</v>
      </c>
      <c r="J549" s="3">
        <f>IFERROR(__xludf.DUMMYFUNCTION("""COMPUTED_VALUE"""),2011.0)</f>
        <v>2011</v>
      </c>
      <c r="K549" s="12">
        <f t="shared" si="2"/>
        <v>40771</v>
      </c>
      <c r="L549" s="3" t="s">
        <v>814</v>
      </c>
      <c r="M549" s="3" t="s">
        <v>455</v>
      </c>
      <c r="N549" s="3">
        <v>3127.0</v>
      </c>
      <c r="O549" s="3" t="s">
        <v>818</v>
      </c>
      <c r="P549" s="10">
        <v>1201.0</v>
      </c>
      <c r="Q549" s="13">
        <v>81.73</v>
      </c>
      <c r="R549" s="13">
        <v>56.67</v>
      </c>
      <c r="S549" s="13">
        <f t="shared" si="3"/>
        <v>98157.73</v>
      </c>
      <c r="T549" s="13">
        <f t="shared" si="4"/>
        <v>68060.67</v>
      </c>
      <c r="U549" s="13">
        <f t="shared" si="5"/>
        <v>30097.06</v>
      </c>
      <c r="V549" s="3" t="str">
        <f>VLOOKUP(N549,products!A:B,2,0)</f>
        <v>Personal Care</v>
      </c>
      <c r="W549" s="3" t="s">
        <v>28</v>
      </c>
      <c r="X549" s="3" t="s">
        <v>33</v>
      </c>
      <c r="Y549" s="14">
        <f t="shared" si="10"/>
        <v>0.3066193564</v>
      </c>
      <c r="Z549" s="3">
        <f t="shared" si="7"/>
        <v>0</v>
      </c>
      <c r="AA549" s="15">
        <f t="shared" si="8"/>
        <v>3</v>
      </c>
    </row>
    <row r="550" ht="15.75" customHeight="1">
      <c r="A550" s="3">
        <v>4.67045819E8</v>
      </c>
      <c r="B550" s="9">
        <v>41581.0</v>
      </c>
      <c r="C550" s="3">
        <f>IFERROR(__xludf.DUMMYFUNCTION("split(B550,""/"")"),3.0)</f>
        <v>3</v>
      </c>
      <c r="D550" s="10">
        <f>IFERROR(__xludf.DUMMYFUNCTION("""COMPUTED_VALUE"""),11.0)</f>
        <v>11</v>
      </c>
      <c r="E550" s="11">
        <f>IFERROR(__xludf.DUMMYFUNCTION("""COMPUTED_VALUE"""),2013.0)</f>
        <v>2013</v>
      </c>
      <c r="F550" s="12">
        <f t="shared" si="1"/>
        <v>41344</v>
      </c>
      <c r="G550" s="9">
        <v>41612.0</v>
      </c>
      <c r="H550" s="3">
        <f>IFERROR(__xludf.DUMMYFUNCTION("split(G550,""/"")"),4.0)</f>
        <v>4</v>
      </c>
      <c r="I550" s="3">
        <f>IFERROR(__xludf.DUMMYFUNCTION("""COMPUTED_VALUE"""),12.0)</f>
        <v>12</v>
      </c>
      <c r="J550" s="3">
        <f>IFERROR(__xludf.DUMMYFUNCTION("""COMPUTED_VALUE"""),2013.0)</f>
        <v>2013</v>
      </c>
      <c r="K550" s="12">
        <f t="shared" si="2"/>
        <v>41376</v>
      </c>
      <c r="L550" s="3" t="s">
        <v>814</v>
      </c>
      <c r="M550" s="3" t="s">
        <v>821</v>
      </c>
      <c r="N550" s="3">
        <v>3127.0</v>
      </c>
      <c r="O550" s="3" t="s">
        <v>815</v>
      </c>
      <c r="P550" s="10">
        <v>8092.0</v>
      </c>
      <c r="Q550" s="13">
        <v>81.73</v>
      </c>
      <c r="R550" s="13">
        <v>56.67</v>
      </c>
      <c r="S550" s="13">
        <f t="shared" si="3"/>
        <v>661359.16</v>
      </c>
      <c r="T550" s="13">
        <f t="shared" si="4"/>
        <v>458573.64</v>
      </c>
      <c r="U550" s="13">
        <f t="shared" si="5"/>
        <v>202785.52</v>
      </c>
      <c r="V550" s="3" t="str">
        <f>VLOOKUP(N550,products!A:B,2,0)</f>
        <v>Personal Care</v>
      </c>
      <c r="W550" s="3" t="s">
        <v>821</v>
      </c>
      <c r="X550" s="3" t="s">
        <v>821</v>
      </c>
      <c r="Y550" s="14">
        <f t="shared" si="10"/>
        <v>0.3066193564</v>
      </c>
      <c r="Z550" s="3">
        <f t="shared" si="7"/>
        <v>32</v>
      </c>
      <c r="AA550" s="15">
        <f t="shared" si="8"/>
        <v>2</v>
      </c>
    </row>
    <row r="551" ht="15.75" customHeight="1">
      <c r="A551" s="3">
        <v>4.67138516E8</v>
      </c>
      <c r="B551" s="3" t="s">
        <v>1366</v>
      </c>
      <c r="C551" s="3">
        <f>IFERROR(__xludf.DUMMYFUNCTION("split(B551,""/"")"),7.0)</f>
        <v>7</v>
      </c>
      <c r="D551" s="10">
        <f>IFERROR(__xludf.DUMMYFUNCTION("""COMPUTED_VALUE"""),30.0)</f>
        <v>30</v>
      </c>
      <c r="E551" s="11">
        <f>IFERROR(__xludf.DUMMYFUNCTION("""COMPUTED_VALUE"""),2013.0)</f>
        <v>2013</v>
      </c>
      <c r="F551" s="12">
        <f t="shared" si="1"/>
        <v>41485</v>
      </c>
      <c r="G551" s="9">
        <v>41494.0</v>
      </c>
      <c r="H551" s="3">
        <f>IFERROR(__xludf.DUMMYFUNCTION("split(G551,""/"")"),8.0)</f>
        <v>8</v>
      </c>
      <c r="I551" s="3">
        <f>IFERROR(__xludf.DUMMYFUNCTION("""COMPUTED_VALUE"""),8.0)</f>
        <v>8</v>
      </c>
      <c r="J551" s="3">
        <f>IFERROR(__xludf.DUMMYFUNCTION("""COMPUTED_VALUE"""),2013.0)</f>
        <v>2013</v>
      </c>
      <c r="K551" s="12">
        <f t="shared" si="2"/>
        <v>41494</v>
      </c>
      <c r="L551" s="3" t="s">
        <v>827</v>
      </c>
      <c r="M551" s="3" t="s">
        <v>623</v>
      </c>
      <c r="N551" s="3">
        <v>2455.0</v>
      </c>
      <c r="O551" s="3" t="s">
        <v>815</v>
      </c>
      <c r="P551" s="10">
        <v>5523.0</v>
      </c>
      <c r="Q551" s="13">
        <v>109.28</v>
      </c>
      <c r="R551" s="13">
        <v>35.84</v>
      </c>
      <c r="S551" s="13">
        <f t="shared" si="3"/>
        <v>603553.44</v>
      </c>
      <c r="T551" s="13">
        <f t="shared" si="4"/>
        <v>197944.32</v>
      </c>
      <c r="U551" s="13">
        <f t="shared" si="5"/>
        <v>405609.12</v>
      </c>
      <c r="V551" s="3" t="str">
        <f>VLOOKUP(N551,products!A:B,2,0)</f>
        <v>Clothes</v>
      </c>
      <c r="W551" s="3" t="s">
        <v>28</v>
      </c>
      <c r="X551" s="3" t="s">
        <v>33</v>
      </c>
      <c r="Y551" s="14">
        <f t="shared" si="10"/>
        <v>0.6720351391</v>
      </c>
      <c r="Z551" s="3">
        <f t="shared" si="7"/>
        <v>9</v>
      </c>
      <c r="AA551" s="15">
        <f t="shared" si="8"/>
        <v>3</v>
      </c>
    </row>
    <row r="552" ht="15.75" customHeight="1">
      <c r="A552" s="3">
        <v>4.67312324E8</v>
      </c>
      <c r="B552" s="9">
        <v>42646.0</v>
      </c>
      <c r="C552" s="3">
        <f>IFERROR(__xludf.DUMMYFUNCTION("split(B552,""/"")"),3.0)</f>
        <v>3</v>
      </c>
      <c r="D552" s="10">
        <f>IFERROR(__xludf.DUMMYFUNCTION("""COMPUTED_VALUE"""),10.0)</f>
        <v>10</v>
      </c>
      <c r="E552" s="11">
        <f>IFERROR(__xludf.DUMMYFUNCTION("""COMPUTED_VALUE"""),2016.0)</f>
        <v>2016</v>
      </c>
      <c r="F552" s="12">
        <f t="shared" si="1"/>
        <v>42439</v>
      </c>
      <c r="G552" s="9">
        <v>42586.0</v>
      </c>
      <c r="H552" s="3">
        <f>IFERROR(__xludf.DUMMYFUNCTION("split(G552,""/"")"),4.0)</f>
        <v>4</v>
      </c>
      <c r="I552" s="3">
        <f>IFERROR(__xludf.DUMMYFUNCTION("""COMPUTED_VALUE"""),8.0)</f>
        <v>8</v>
      </c>
      <c r="J552" s="3">
        <f>IFERROR(__xludf.DUMMYFUNCTION("""COMPUTED_VALUE"""),2016.0)</f>
        <v>2016</v>
      </c>
      <c r="K552" s="12">
        <f t="shared" si="2"/>
        <v>42468</v>
      </c>
      <c r="L552" s="3" t="s">
        <v>817</v>
      </c>
      <c r="M552" s="3" t="s">
        <v>218</v>
      </c>
      <c r="N552" s="3">
        <v>7331.0</v>
      </c>
      <c r="O552" s="3" t="s">
        <v>815</v>
      </c>
      <c r="P552" s="10">
        <v>6956.0</v>
      </c>
      <c r="Q552" s="13">
        <v>255.28</v>
      </c>
      <c r="R552" s="13">
        <v>159.42</v>
      </c>
      <c r="S552" s="13">
        <f t="shared" si="3"/>
        <v>1775727.68</v>
      </c>
      <c r="T552" s="13">
        <f t="shared" si="4"/>
        <v>1108925.52</v>
      </c>
      <c r="U552" s="13">
        <f t="shared" si="5"/>
        <v>666802.16</v>
      </c>
      <c r="V552" s="3" t="str">
        <f>VLOOKUP(N552,products!A:B,2,0)</f>
        <v>Baby Food</v>
      </c>
      <c r="W552" s="3" t="s">
        <v>28</v>
      </c>
      <c r="X552" s="3" t="s">
        <v>98</v>
      </c>
      <c r="Y552" s="14">
        <f t="shared" si="10"/>
        <v>0.3755092448</v>
      </c>
      <c r="Z552" s="3">
        <f t="shared" si="7"/>
        <v>29</v>
      </c>
      <c r="AA552" s="15">
        <f t="shared" si="8"/>
        <v>5</v>
      </c>
    </row>
    <row r="553" ht="15.75" customHeight="1">
      <c r="A553" s="3">
        <v>4.67924726E8</v>
      </c>
      <c r="B553" s="3" t="s">
        <v>1367</v>
      </c>
      <c r="C553" s="3">
        <f>IFERROR(__xludf.DUMMYFUNCTION("split(B553,""/"")"),9.0)</f>
        <v>9</v>
      </c>
      <c r="D553" s="10">
        <f>IFERROR(__xludf.DUMMYFUNCTION("""COMPUTED_VALUE"""),18.0)</f>
        <v>18</v>
      </c>
      <c r="E553" s="11">
        <f>IFERROR(__xludf.DUMMYFUNCTION("""COMPUTED_VALUE"""),2015.0)</f>
        <v>2015</v>
      </c>
      <c r="F553" s="12">
        <f t="shared" si="1"/>
        <v>42265</v>
      </c>
      <c r="G553" s="3" t="s">
        <v>1368</v>
      </c>
      <c r="H553" s="3">
        <f>IFERROR(__xludf.DUMMYFUNCTION("split(G553,""/"")"),10.0)</f>
        <v>10</v>
      </c>
      <c r="I553" s="3">
        <f>IFERROR(__xludf.DUMMYFUNCTION("""COMPUTED_VALUE"""),20.0)</f>
        <v>20</v>
      </c>
      <c r="J553" s="3">
        <f>IFERROR(__xludf.DUMMYFUNCTION("""COMPUTED_VALUE"""),2015.0)</f>
        <v>2015</v>
      </c>
      <c r="K553" s="12">
        <f t="shared" si="2"/>
        <v>42297</v>
      </c>
      <c r="L553" s="3" t="s">
        <v>817</v>
      </c>
      <c r="M553" s="3" t="s">
        <v>346</v>
      </c>
      <c r="N553" s="3">
        <v>8681.0</v>
      </c>
      <c r="O553" s="3" t="s">
        <v>818</v>
      </c>
      <c r="P553" s="10">
        <v>8179.0</v>
      </c>
      <c r="Q553" s="13">
        <v>651.21</v>
      </c>
      <c r="R553" s="13">
        <v>524.96</v>
      </c>
      <c r="S553" s="13">
        <f t="shared" si="3"/>
        <v>5326246.59</v>
      </c>
      <c r="T553" s="13">
        <f t="shared" si="4"/>
        <v>4293647.84</v>
      </c>
      <c r="U553" s="13">
        <f t="shared" si="5"/>
        <v>1032598.75</v>
      </c>
      <c r="V553" s="3" t="str">
        <f>VLOOKUP(N553,products!A:B,2,0)</f>
        <v>Office Supplies</v>
      </c>
      <c r="W553" s="3" t="s">
        <v>28</v>
      </c>
      <c r="X553" s="3" t="s">
        <v>98</v>
      </c>
      <c r="Y553" s="14">
        <f t="shared" si="10"/>
        <v>0.193869873</v>
      </c>
      <c r="Z553" s="3">
        <f t="shared" si="7"/>
        <v>32</v>
      </c>
      <c r="AA553" s="15">
        <f t="shared" si="8"/>
        <v>6</v>
      </c>
    </row>
    <row r="554" ht="15.75" customHeight="1">
      <c r="A554" s="3">
        <v>4.68320834E8</v>
      </c>
      <c r="B554" s="9">
        <v>42715.0</v>
      </c>
      <c r="C554" s="3">
        <f>IFERROR(__xludf.DUMMYFUNCTION("split(B554,""/"")"),11.0)</f>
        <v>11</v>
      </c>
      <c r="D554" s="10">
        <f>IFERROR(__xludf.DUMMYFUNCTION("""COMPUTED_VALUE"""),12.0)</f>
        <v>12</v>
      </c>
      <c r="E554" s="11">
        <f>IFERROR(__xludf.DUMMYFUNCTION("""COMPUTED_VALUE"""),2016.0)</f>
        <v>2016</v>
      </c>
      <c r="F554" s="12">
        <f t="shared" si="1"/>
        <v>42686</v>
      </c>
      <c r="G554" s="3" t="s">
        <v>1072</v>
      </c>
      <c r="H554" s="3">
        <f>IFERROR(__xludf.DUMMYFUNCTION("split(G554,""/"")"),12.0)</f>
        <v>12</v>
      </c>
      <c r="I554" s="3">
        <f>IFERROR(__xludf.DUMMYFUNCTION("""COMPUTED_VALUE"""),21.0)</f>
        <v>21</v>
      </c>
      <c r="J554" s="3">
        <f>IFERROR(__xludf.DUMMYFUNCTION("""COMPUTED_VALUE"""),2016.0)</f>
        <v>2016</v>
      </c>
      <c r="K554" s="12">
        <f t="shared" si="2"/>
        <v>42725</v>
      </c>
      <c r="L554" s="3" t="s">
        <v>814</v>
      </c>
      <c r="M554" s="3" t="s">
        <v>78</v>
      </c>
      <c r="N554" s="3">
        <v>5988.0</v>
      </c>
      <c r="O554" s="3" t="s">
        <v>818</v>
      </c>
      <c r="P554" s="10">
        <v>5397.0</v>
      </c>
      <c r="Q554" s="13">
        <v>154.06</v>
      </c>
      <c r="R554" s="13">
        <v>90.93</v>
      </c>
      <c r="S554" s="13">
        <f t="shared" si="3"/>
        <v>831461.82</v>
      </c>
      <c r="T554" s="13">
        <f t="shared" si="4"/>
        <v>490749.21</v>
      </c>
      <c r="U554" s="13">
        <f t="shared" si="5"/>
        <v>340712.61</v>
      </c>
      <c r="V554" s="3" t="str">
        <f>VLOOKUP(N554,products!A:B,2,0)</f>
        <v>Vegetables</v>
      </c>
      <c r="W554" s="3" t="s">
        <v>28</v>
      </c>
      <c r="X554" s="3" t="s">
        <v>79</v>
      </c>
      <c r="Y554" s="14">
        <f t="shared" si="10"/>
        <v>0.4097754122</v>
      </c>
      <c r="Z554" s="3">
        <f t="shared" si="7"/>
        <v>39</v>
      </c>
      <c r="AA554" s="15">
        <f t="shared" si="8"/>
        <v>7</v>
      </c>
    </row>
    <row r="555" ht="15.75" customHeight="1">
      <c r="A555" s="3">
        <v>4.68803632E8</v>
      </c>
      <c r="B555" s="3" t="s">
        <v>1369</v>
      </c>
      <c r="C555" s="3">
        <f>IFERROR(__xludf.DUMMYFUNCTION("split(B555,""/"")"),8.0)</f>
        <v>8</v>
      </c>
      <c r="D555" s="10">
        <f>IFERROR(__xludf.DUMMYFUNCTION("""COMPUTED_VALUE"""),31.0)</f>
        <v>31</v>
      </c>
      <c r="E555" s="11">
        <f>IFERROR(__xludf.DUMMYFUNCTION("""COMPUTED_VALUE"""),2010.0)</f>
        <v>2010</v>
      </c>
      <c r="F555" s="12">
        <f t="shared" si="1"/>
        <v>40421</v>
      </c>
      <c r="G555" s="9">
        <v>40219.0</v>
      </c>
      <c r="H555" s="3">
        <f>IFERROR(__xludf.DUMMYFUNCTION("split(G555,""/"")"),10.0)</f>
        <v>10</v>
      </c>
      <c r="I555" s="3">
        <f>IFERROR(__xludf.DUMMYFUNCTION("""COMPUTED_VALUE"""),2.0)</f>
        <v>2</v>
      </c>
      <c r="J555" s="3">
        <f>IFERROR(__xludf.DUMMYFUNCTION("""COMPUTED_VALUE"""),2010.0)</f>
        <v>2010</v>
      </c>
      <c r="K555" s="12">
        <f t="shared" si="2"/>
        <v>40453</v>
      </c>
      <c r="L555" s="3" t="s">
        <v>825</v>
      </c>
      <c r="M555" s="3" t="s">
        <v>142</v>
      </c>
      <c r="N555" s="3">
        <v>4594.0</v>
      </c>
      <c r="O555" s="3" t="s">
        <v>815</v>
      </c>
      <c r="P555" s="10">
        <v>8267.0</v>
      </c>
      <c r="Q555" s="13">
        <v>9.33</v>
      </c>
      <c r="R555" s="13">
        <v>6.92</v>
      </c>
      <c r="S555" s="13">
        <f t="shared" si="3"/>
        <v>77131.11</v>
      </c>
      <c r="T555" s="13">
        <f t="shared" si="4"/>
        <v>57207.64</v>
      </c>
      <c r="U555" s="13">
        <f t="shared" si="5"/>
        <v>19923.47</v>
      </c>
      <c r="V555" s="3" t="str">
        <f>VLOOKUP(N555,products!A:B,2,0)</f>
        <v>Fruits</v>
      </c>
      <c r="W555" s="3" t="s">
        <v>28</v>
      </c>
      <c r="X555" s="3" t="s">
        <v>98</v>
      </c>
      <c r="Y555" s="14">
        <f t="shared" si="10"/>
        <v>0.258306538</v>
      </c>
      <c r="Z555" s="3">
        <f t="shared" si="7"/>
        <v>32</v>
      </c>
      <c r="AA555" s="15">
        <f t="shared" si="8"/>
        <v>3</v>
      </c>
    </row>
    <row r="556" ht="15.75" customHeight="1">
      <c r="A556" s="3">
        <v>4.69129359E8</v>
      </c>
      <c r="B556" s="3" t="s">
        <v>1370</v>
      </c>
      <c r="C556" s="3">
        <f>IFERROR(__xludf.DUMMYFUNCTION("split(B556,""/"")"),12.0)</f>
        <v>12</v>
      </c>
      <c r="D556" s="10">
        <f>IFERROR(__xludf.DUMMYFUNCTION("""COMPUTED_VALUE"""),18.0)</f>
        <v>18</v>
      </c>
      <c r="E556" s="11">
        <f>IFERROR(__xludf.DUMMYFUNCTION("""COMPUTED_VALUE"""),2010.0)</f>
        <v>2010</v>
      </c>
      <c r="F556" s="12">
        <f t="shared" si="1"/>
        <v>40530</v>
      </c>
      <c r="G556" s="3" t="s">
        <v>1371</v>
      </c>
      <c r="H556" s="3">
        <f>IFERROR(__xludf.DUMMYFUNCTION("split(G556,""/"")"),1.0)</f>
        <v>1</v>
      </c>
      <c r="I556" s="3">
        <f>IFERROR(__xludf.DUMMYFUNCTION("""COMPUTED_VALUE"""),26.0)</f>
        <v>26</v>
      </c>
      <c r="J556" s="3">
        <f>IFERROR(__xludf.DUMMYFUNCTION("""COMPUTED_VALUE"""),2011.0)</f>
        <v>2011</v>
      </c>
      <c r="K556" s="12">
        <f t="shared" si="2"/>
        <v>40569</v>
      </c>
      <c r="L556" s="3" t="s">
        <v>814</v>
      </c>
      <c r="M556" s="3" t="s">
        <v>434</v>
      </c>
      <c r="N556" s="3">
        <v>8875.0</v>
      </c>
      <c r="O556" s="3" t="s">
        <v>818</v>
      </c>
      <c r="P556" s="10">
        <v>4657.0</v>
      </c>
      <c r="Q556" s="13">
        <v>421.89</v>
      </c>
      <c r="R556" s="13">
        <v>364.69</v>
      </c>
      <c r="S556" s="13">
        <f t="shared" si="3"/>
        <v>1964741.73</v>
      </c>
      <c r="T556" s="13">
        <f t="shared" si="4"/>
        <v>1698361.33</v>
      </c>
      <c r="U556" s="13">
        <f t="shared" si="5"/>
        <v>266380.4</v>
      </c>
      <c r="V556" s="3" t="str">
        <f>VLOOKUP(N556,products!A:B,2,0)</f>
        <v>Meat</v>
      </c>
      <c r="W556" s="3" t="s">
        <v>28</v>
      </c>
      <c r="X556" s="3" t="s">
        <v>79</v>
      </c>
      <c r="Y556" s="14">
        <f t="shared" si="10"/>
        <v>0.1355803646</v>
      </c>
      <c r="Z556" s="3">
        <f t="shared" si="7"/>
        <v>39</v>
      </c>
      <c r="AA556" s="15">
        <f t="shared" si="8"/>
        <v>7</v>
      </c>
    </row>
    <row r="557" ht="15.75" customHeight="1">
      <c r="A557" s="3">
        <v>4.69144809E8</v>
      </c>
      <c r="B557" s="3" t="s">
        <v>1295</v>
      </c>
      <c r="C557" s="3">
        <f>IFERROR(__xludf.DUMMYFUNCTION("split(B557,""/"")"),7.0)</f>
        <v>7</v>
      </c>
      <c r="D557" s="10">
        <f>IFERROR(__xludf.DUMMYFUNCTION("""COMPUTED_VALUE"""),20.0)</f>
        <v>20</v>
      </c>
      <c r="E557" s="11">
        <f>IFERROR(__xludf.DUMMYFUNCTION("""COMPUTED_VALUE"""),2013.0)</f>
        <v>2013</v>
      </c>
      <c r="F557" s="12">
        <f t="shared" si="1"/>
        <v>41475</v>
      </c>
      <c r="G557" s="3" t="s">
        <v>1372</v>
      </c>
      <c r="H557" s="3">
        <f>IFERROR(__xludf.DUMMYFUNCTION("split(G557,""/"")"),8.0)</f>
        <v>8</v>
      </c>
      <c r="I557" s="3">
        <f>IFERROR(__xludf.DUMMYFUNCTION("""COMPUTED_VALUE"""),24.0)</f>
        <v>24</v>
      </c>
      <c r="J557" s="3">
        <f>IFERROR(__xludf.DUMMYFUNCTION("""COMPUTED_VALUE"""),2013.0)</f>
        <v>2013</v>
      </c>
      <c r="K557" s="12">
        <f t="shared" si="2"/>
        <v>41510</v>
      </c>
      <c r="L557" s="3" t="s">
        <v>814</v>
      </c>
      <c r="M557" s="3" t="s">
        <v>455</v>
      </c>
      <c r="N557" s="3">
        <v>2103.0</v>
      </c>
      <c r="O557" s="3" t="s">
        <v>818</v>
      </c>
      <c r="P557" s="10">
        <v>9229.0</v>
      </c>
      <c r="Q557" s="13">
        <v>205.7</v>
      </c>
      <c r="R557" s="13">
        <v>117.11</v>
      </c>
      <c r="S557" s="13">
        <f t="shared" si="3"/>
        <v>1898405.3</v>
      </c>
      <c r="T557" s="13">
        <f t="shared" si="4"/>
        <v>1080808.19</v>
      </c>
      <c r="U557" s="13">
        <f t="shared" si="5"/>
        <v>817597.11</v>
      </c>
      <c r="V557" s="3" t="str">
        <f>VLOOKUP(N557,products!A:B,2,0)</f>
        <v>Cereal</v>
      </c>
      <c r="W557" s="3" t="s">
        <v>28</v>
      </c>
      <c r="X557" s="3" t="s">
        <v>33</v>
      </c>
      <c r="Y557" s="14">
        <f t="shared" si="10"/>
        <v>0.4306757414</v>
      </c>
      <c r="Z557" s="3">
        <f t="shared" si="7"/>
        <v>35</v>
      </c>
      <c r="AA557" s="15">
        <f t="shared" si="8"/>
        <v>7</v>
      </c>
    </row>
    <row r="558" ht="15.75" customHeight="1">
      <c r="A558" s="3">
        <v>4.69197165E8</v>
      </c>
      <c r="B558" s="3" t="s">
        <v>1373</v>
      </c>
      <c r="C558" s="3">
        <f>IFERROR(__xludf.DUMMYFUNCTION("split(B558,""/"")"),11.0)</f>
        <v>11</v>
      </c>
      <c r="D558" s="10">
        <f>IFERROR(__xludf.DUMMYFUNCTION("""COMPUTED_VALUE"""),27.0)</f>
        <v>27</v>
      </c>
      <c r="E558" s="11">
        <f>IFERROR(__xludf.DUMMYFUNCTION("""COMPUTED_VALUE"""),2013.0)</f>
        <v>2013</v>
      </c>
      <c r="F558" s="12">
        <f t="shared" si="1"/>
        <v>41605</v>
      </c>
      <c r="G558" s="9">
        <v>41590.0</v>
      </c>
      <c r="H558" s="3">
        <f>IFERROR(__xludf.DUMMYFUNCTION("split(G558,""/"")"),12.0)</f>
        <v>12</v>
      </c>
      <c r="I558" s="3">
        <f>IFERROR(__xludf.DUMMYFUNCTION("""COMPUTED_VALUE"""),11.0)</f>
        <v>11</v>
      </c>
      <c r="J558" s="3">
        <f>IFERROR(__xludf.DUMMYFUNCTION("""COMPUTED_VALUE"""),2013.0)</f>
        <v>2013</v>
      </c>
      <c r="K558" s="12">
        <f t="shared" si="2"/>
        <v>41619</v>
      </c>
      <c r="L558" s="3" t="s">
        <v>817</v>
      </c>
      <c r="M558" s="3" t="s">
        <v>413</v>
      </c>
      <c r="N558" s="3">
        <v>1270.0</v>
      </c>
      <c r="O558" s="3" t="s">
        <v>815</v>
      </c>
      <c r="P558" s="10">
        <v>4723.0</v>
      </c>
      <c r="Q558" s="13">
        <v>47.45</v>
      </c>
      <c r="R558" s="13">
        <v>31.79</v>
      </c>
      <c r="S558" s="13">
        <f t="shared" si="3"/>
        <v>224106.35</v>
      </c>
      <c r="T558" s="13">
        <f t="shared" si="4"/>
        <v>150144.17</v>
      </c>
      <c r="U558" s="13">
        <f t="shared" si="5"/>
        <v>73962.18</v>
      </c>
      <c r="V558" s="3" t="str">
        <f>VLOOKUP(N558,products!A:B,2,0)</f>
        <v>Beverages</v>
      </c>
      <c r="W558" s="3" t="s">
        <v>28</v>
      </c>
      <c r="X558" s="3" t="s">
        <v>29</v>
      </c>
      <c r="Y558" s="14">
        <f t="shared" si="10"/>
        <v>0.3300316122</v>
      </c>
      <c r="Z558" s="3">
        <f t="shared" si="7"/>
        <v>14</v>
      </c>
      <c r="AA558" s="15">
        <f t="shared" si="8"/>
        <v>4</v>
      </c>
    </row>
    <row r="559" ht="15.75" customHeight="1">
      <c r="A559" s="3">
        <v>4.69840466E8</v>
      </c>
      <c r="B559" s="3" t="s">
        <v>1374</v>
      </c>
      <c r="C559" s="3">
        <f>IFERROR(__xludf.DUMMYFUNCTION("split(B559,""/"")"),1.0)</f>
        <v>1</v>
      </c>
      <c r="D559" s="10">
        <f>IFERROR(__xludf.DUMMYFUNCTION("""COMPUTED_VALUE"""),13.0)</f>
        <v>13</v>
      </c>
      <c r="E559" s="11">
        <f>IFERROR(__xludf.DUMMYFUNCTION("""COMPUTED_VALUE"""),2011.0)</f>
        <v>2011</v>
      </c>
      <c r="F559" s="12">
        <f t="shared" si="1"/>
        <v>40556</v>
      </c>
      <c r="G559" s="3" t="s">
        <v>1214</v>
      </c>
      <c r="H559" s="3">
        <f>IFERROR(__xludf.DUMMYFUNCTION("split(G559,""/"")"),1.0)</f>
        <v>1</v>
      </c>
      <c r="I559" s="3">
        <f>IFERROR(__xludf.DUMMYFUNCTION("""COMPUTED_VALUE"""),22.0)</f>
        <v>22</v>
      </c>
      <c r="J559" s="3">
        <f>IFERROR(__xludf.DUMMYFUNCTION("""COMPUTED_VALUE"""),2011.0)</f>
        <v>2011</v>
      </c>
      <c r="K559" s="12">
        <f t="shared" si="2"/>
        <v>40565</v>
      </c>
      <c r="L559" s="3" t="s">
        <v>827</v>
      </c>
      <c r="M559" s="3" t="s">
        <v>575</v>
      </c>
      <c r="N559" s="3">
        <v>5988.0</v>
      </c>
      <c r="O559" s="3" t="s">
        <v>818</v>
      </c>
      <c r="P559" s="10">
        <v>5090.0</v>
      </c>
      <c r="Q559" s="13">
        <v>154.06</v>
      </c>
      <c r="R559" s="13">
        <v>90.93</v>
      </c>
      <c r="S559" s="13">
        <f t="shared" si="3"/>
        <v>784165.4</v>
      </c>
      <c r="T559" s="13">
        <f t="shared" si="4"/>
        <v>462833.7</v>
      </c>
      <c r="U559" s="13">
        <f t="shared" si="5"/>
        <v>321331.7</v>
      </c>
      <c r="V559" s="3" t="str">
        <f>VLOOKUP(N559,products!A:B,2,0)</f>
        <v>Vegetables</v>
      </c>
      <c r="W559" s="3" t="s">
        <v>28</v>
      </c>
      <c r="X559" s="3" t="s">
        <v>98</v>
      </c>
      <c r="Y559" s="14">
        <f t="shared" si="10"/>
        <v>0.4097754122</v>
      </c>
      <c r="Z559" s="3">
        <f t="shared" si="7"/>
        <v>9</v>
      </c>
      <c r="AA559" s="15">
        <f t="shared" si="8"/>
        <v>5</v>
      </c>
    </row>
    <row r="560" ht="15.75" customHeight="1">
      <c r="A560" s="3">
        <v>4.69974792E8</v>
      </c>
      <c r="B560" s="3" t="s">
        <v>1375</v>
      </c>
      <c r="C560" s="3">
        <f>IFERROR(__xludf.DUMMYFUNCTION("split(B560,""/"")"),5.0)</f>
        <v>5</v>
      </c>
      <c r="D560" s="10">
        <f>IFERROR(__xludf.DUMMYFUNCTION("""COMPUTED_VALUE"""),26.0)</f>
        <v>26</v>
      </c>
      <c r="E560" s="11">
        <f>IFERROR(__xludf.DUMMYFUNCTION("""COMPUTED_VALUE"""),2010.0)</f>
        <v>2010</v>
      </c>
      <c r="F560" s="12">
        <f t="shared" si="1"/>
        <v>40324</v>
      </c>
      <c r="G560" s="3" t="s">
        <v>1376</v>
      </c>
      <c r="H560" s="3">
        <f>IFERROR(__xludf.DUMMYFUNCTION("split(G560,""/"")"),6.0)</f>
        <v>6</v>
      </c>
      <c r="I560" s="3">
        <f>IFERROR(__xludf.DUMMYFUNCTION("""COMPUTED_VALUE"""),17.0)</f>
        <v>17</v>
      </c>
      <c r="J560" s="3">
        <f>IFERROR(__xludf.DUMMYFUNCTION("""COMPUTED_VALUE"""),2010.0)</f>
        <v>2010</v>
      </c>
      <c r="K560" s="12">
        <f t="shared" si="2"/>
        <v>40346</v>
      </c>
      <c r="L560" s="3" t="s">
        <v>814</v>
      </c>
      <c r="M560" s="3" t="s">
        <v>686</v>
      </c>
      <c r="N560" s="3">
        <v>7331.0</v>
      </c>
      <c r="O560" s="3" t="s">
        <v>818</v>
      </c>
      <c r="P560" s="10">
        <v>4840.0</v>
      </c>
      <c r="Q560" s="13">
        <v>255.28</v>
      </c>
      <c r="R560" s="13">
        <v>159.42</v>
      </c>
      <c r="S560" s="13">
        <f t="shared" si="3"/>
        <v>1235555.2</v>
      </c>
      <c r="T560" s="13">
        <f t="shared" si="4"/>
        <v>771592.8</v>
      </c>
      <c r="U560" s="13">
        <f t="shared" si="5"/>
        <v>463962.4</v>
      </c>
      <c r="V560" s="3" t="str">
        <f>VLOOKUP(N560,products!A:B,2,0)</f>
        <v>Baby Food</v>
      </c>
      <c r="W560" s="3" t="s">
        <v>28</v>
      </c>
      <c r="X560" s="3" t="s">
        <v>29</v>
      </c>
      <c r="Y560" s="14">
        <f t="shared" si="10"/>
        <v>0.3755092448</v>
      </c>
      <c r="Z560" s="3">
        <f t="shared" si="7"/>
        <v>22</v>
      </c>
      <c r="AA560" s="15">
        <f t="shared" si="8"/>
        <v>4</v>
      </c>
    </row>
    <row r="561" ht="15.75" customHeight="1">
      <c r="A561" s="3">
        <v>4.70503079E8</v>
      </c>
      <c r="B561" s="9">
        <v>42250.0</v>
      </c>
      <c r="C561" s="3">
        <f>IFERROR(__xludf.DUMMYFUNCTION("split(B561,""/"")"),3.0)</f>
        <v>3</v>
      </c>
      <c r="D561" s="10">
        <f>IFERROR(__xludf.DUMMYFUNCTION("""COMPUTED_VALUE"""),9.0)</f>
        <v>9</v>
      </c>
      <c r="E561" s="11">
        <f>IFERROR(__xludf.DUMMYFUNCTION("""COMPUTED_VALUE"""),2015.0)</f>
        <v>2015</v>
      </c>
      <c r="F561" s="12">
        <f t="shared" si="1"/>
        <v>42072</v>
      </c>
      <c r="G561" s="3" t="s">
        <v>1117</v>
      </c>
      <c r="H561" s="3">
        <f>IFERROR(__xludf.DUMMYFUNCTION("split(G561,""/"")"),3.0)</f>
        <v>3</v>
      </c>
      <c r="I561" s="3">
        <f>IFERROR(__xludf.DUMMYFUNCTION("""COMPUTED_VALUE"""),21.0)</f>
        <v>21</v>
      </c>
      <c r="J561" s="3">
        <f>IFERROR(__xludf.DUMMYFUNCTION("""COMPUTED_VALUE"""),2015.0)</f>
        <v>2015</v>
      </c>
      <c r="K561" s="12">
        <f t="shared" si="2"/>
        <v>42084</v>
      </c>
      <c r="L561" s="3" t="s">
        <v>827</v>
      </c>
      <c r="M561" s="3" t="s">
        <v>32</v>
      </c>
      <c r="N561" s="3">
        <v>2455.0</v>
      </c>
      <c r="O561" s="3" t="s">
        <v>818</v>
      </c>
      <c r="P561" s="10">
        <v>1172.0</v>
      </c>
      <c r="Q561" s="13">
        <v>109.28</v>
      </c>
      <c r="R561" s="13">
        <v>35.84</v>
      </c>
      <c r="S561" s="13">
        <f t="shared" si="3"/>
        <v>128076.16</v>
      </c>
      <c r="T561" s="13">
        <f t="shared" si="4"/>
        <v>42004.48</v>
      </c>
      <c r="U561" s="13">
        <f t="shared" si="5"/>
        <v>86071.68</v>
      </c>
      <c r="V561" s="3" t="str">
        <f>VLOOKUP(N561,products!A:B,2,0)</f>
        <v>Clothes</v>
      </c>
      <c r="W561" s="3" t="s">
        <v>28</v>
      </c>
      <c r="X561" s="3" t="s">
        <v>33</v>
      </c>
      <c r="Y561" s="14">
        <f t="shared" si="10"/>
        <v>0.6720351391</v>
      </c>
      <c r="Z561" s="3">
        <f t="shared" si="7"/>
        <v>12</v>
      </c>
      <c r="AA561" s="15">
        <f t="shared" si="8"/>
        <v>2</v>
      </c>
    </row>
    <row r="562" ht="15.75" customHeight="1">
      <c r="A562" s="3">
        <v>4.71348512E8</v>
      </c>
      <c r="B562" s="3" t="s">
        <v>900</v>
      </c>
      <c r="C562" s="3">
        <f>IFERROR(__xludf.DUMMYFUNCTION("split(B562,""/"")"),8.0)</f>
        <v>8</v>
      </c>
      <c r="D562" s="10">
        <f>IFERROR(__xludf.DUMMYFUNCTION("""COMPUTED_VALUE"""),16.0)</f>
        <v>16</v>
      </c>
      <c r="E562" s="11">
        <f>IFERROR(__xludf.DUMMYFUNCTION("""COMPUTED_VALUE"""),2014.0)</f>
        <v>2014</v>
      </c>
      <c r="F562" s="12">
        <f t="shared" si="1"/>
        <v>41867</v>
      </c>
      <c r="G562" s="9">
        <v>41649.0</v>
      </c>
      <c r="H562" s="3">
        <f>IFERROR(__xludf.DUMMYFUNCTION("split(G562,""/"")"),10.0)</f>
        <v>10</v>
      </c>
      <c r="I562" s="3">
        <f>IFERROR(__xludf.DUMMYFUNCTION("""COMPUTED_VALUE"""),1.0)</f>
        <v>1</v>
      </c>
      <c r="J562" s="3">
        <f>IFERROR(__xludf.DUMMYFUNCTION("""COMPUTED_VALUE"""),2014.0)</f>
        <v>2014</v>
      </c>
      <c r="K562" s="12">
        <f t="shared" si="2"/>
        <v>41913</v>
      </c>
      <c r="L562" s="3" t="s">
        <v>814</v>
      </c>
      <c r="M562" s="3" t="s">
        <v>300</v>
      </c>
      <c r="N562" s="3">
        <v>4594.0</v>
      </c>
      <c r="O562" s="3" t="s">
        <v>815</v>
      </c>
      <c r="P562" s="10">
        <v>1354.0</v>
      </c>
      <c r="Q562" s="13">
        <v>9.33</v>
      </c>
      <c r="R562" s="13">
        <v>6.92</v>
      </c>
      <c r="S562" s="13">
        <f t="shared" si="3"/>
        <v>12632.82</v>
      </c>
      <c r="T562" s="13">
        <f t="shared" si="4"/>
        <v>9369.68</v>
      </c>
      <c r="U562" s="13">
        <f t="shared" si="5"/>
        <v>3263.14</v>
      </c>
      <c r="V562" s="3" t="str">
        <f>VLOOKUP(N562,products!A:B,2,0)</f>
        <v>Fruits</v>
      </c>
      <c r="W562" s="3" t="s">
        <v>28</v>
      </c>
      <c r="X562" s="3" t="s">
        <v>33</v>
      </c>
      <c r="Y562" s="14">
        <f t="shared" si="10"/>
        <v>0.258306538</v>
      </c>
      <c r="Z562" s="3">
        <f t="shared" si="7"/>
        <v>46</v>
      </c>
      <c r="AA562" s="15">
        <f t="shared" si="8"/>
        <v>7</v>
      </c>
    </row>
    <row r="563" ht="15.75" customHeight="1">
      <c r="A563" s="3">
        <v>4.71484124E8</v>
      </c>
      <c r="B563" s="9">
        <v>41164.0</v>
      </c>
      <c r="C563" s="3">
        <f>IFERROR(__xludf.DUMMYFUNCTION("split(B563,""/"")"),12.0)</f>
        <v>12</v>
      </c>
      <c r="D563" s="10">
        <f>IFERROR(__xludf.DUMMYFUNCTION("""COMPUTED_VALUE"""),9.0)</f>
        <v>9</v>
      </c>
      <c r="E563" s="11">
        <f>IFERROR(__xludf.DUMMYFUNCTION("""COMPUTED_VALUE"""),2012.0)</f>
        <v>2012</v>
      </c>
      <c r="F563" s="12">
        <f t="shared" si="1"/>
        <v>41252</v>
      </c>
      <c r="G563" s="3" t="s">
        <v>1307</v>
      </c>
      <c r="H563" s="3">
        <f>IFERROR(__xludf.DUMMYFUNCTION("split(G563,""/"")"),1.0)</f>
        <v>1</v>
      </c>
      <c r="I563" s="3">
        <f>IFERROR(__xludf.DUMMYFUNCTION("""COMPUTED_VALUE"""),24.0)</f>
        <v>24</v>
      </c>
      <c r="J563" s="3">
        <f>IFERROR(__xludf.DUMMYFUNCTION("""COMPUTED_VALUE"""),2013.0)</f>
        <v>2013</v>
      </c>
      <c r="K563" s="12">
        <f t="shared" si="2"/>
        <v>41298</v>
      </c>
      <c r="L563" s="3" t="s">
        <v>814</v>
      </c>
      <c r="M563" s="3" t="s">
        <v>221</v>
      </c>
      <c r="N563" s="3">
        <v>7331.0</v>
      </c>
      <c r="O563" s="3" t="s">
        <v>815</v>
      </c>
      <c r="P563" s="10">
        <v>1485.0</v>
      </c>
      <c r="Q563" s="13">
        <v>255.28</v>
      </c>
      <c r="R563" s="13">
        <v>159.42</v>
      </c>
      <c r="S563" s="13">
        <f t="shared" si="3"/>
        <v>379090.8</v>
      </c>
      <c r="T563" s="13">
        <f t="shared" si="4"/>
        <v>236738.7</v>
      </c>
      <c r="U563" s="13">
        <f t="shared" si="5"/>
        <v>142352.1</v>
      </c>
      <c r="V563" s="3" t="str">
        <f>VLOOKUP(N563,products!A:B,2,0)</f>
        <v>Baby Food</v>
      </c>
      <c r="W563" s="3" t="s">
        <v>28</v>
      </c>
      <c r="X563" s="3" t="s">
        <v>29</v>
      </c>
      <c r="Y563" s="14">
        <f t="shared" si="10"/>
        <v>0.3755092448</v>
      </c>
      <c r="Z563" s="3">
        <f t="shared" si="7"/>
        <v>46</v>
      </c>
      <c r="AA563" s="15">
        <f t="shared" si="8"/>
        <v>1</v>
      </c>
    </row>
    <row r="564" ht="15.75" customHeight="1">
      <c r="A564" s="3">
        <v>4.73845756E8</v>
      </c>
      <c r="B564" s="9">
        <v>40888.0</v>
      </c>
      <c r="C564" s="3">
        <f>IFERROR(__xludf.DUMMYFUNCTION("split(B564,""/"")"),11.0)</f>
        <v>11</v>
      </c>
      <c r="D564" s="10">
        <f>IFERROR(__xludf.DUMMYFUNCTION("""COMPUTED_VALUE"""),12.0)</f>
        <v>12</v>
      </c>
      <c r="E564" s="11">
        <f>IFERROR(__xludf.DUMMYFUNCTION("""COMPUTED_VALUE"""),2011.0)</f>
        <v>2011</v>
      </c>
      <c r="F564" s="12">
        <f t="shared" si="1"/>
        <v>40859</v>
      </c>
      <c r="G564" s="3" t="s">
        <v>1377</v>
      </c>
      <c r="H564" s="3">
        <f>IFERROR(__xludf.DUMMYFUNCTION("split(G564,""/"")"),12.0)</f>
        <v>12</v>
      </c>
      <c r="I564" s="3">
        <f>IFERROR(__xludf.DUMMYFUNCTION("""COMPUTED_VALUE"""),16.0)</f>
        <v>16</v>
      </c>
      <c r="J564" s="3">
        <f>IFERROR(__xludf.DUMMYFUNCTION("""COMPUTED_VALUE"""),2011.0)</f>
        <v>2011</v>
      </c>
      <c r="K564" s="12">
        <f t="shared" si="2"/>
        <v>40893</v>
      </c>
      <c r="L564" s="3" t="s">
        <v>827</v>
      </c>
      <c r="M564" s="3" t="s">
        <v>593</v>
      </c>
      <c r="N564" s="3">
        <v>3127.0</v>
      </c>
      <c r="O564" s="3" t="s">
        <v>818</v>
      </c>
      <c r="P564" s="10">
        <v>344.0</v>
      </c>
      <c r="Q564" s="13">
        <v>81.73</v>
      </c>
      <c r="R564" s="13">
        <v>56.67</v>
      </c>
      <c r="S564" s="13">
        <f t="shared" si="3"/>
        <v>28115.12</v>
      </c>
      <c r="T564" s="13">
        <f t="shared" si="4"/>
        <v>19494.48</v>
      </c>
      <c r="U564" s="13">
        <f t="shared" si="5"/>
        <v>8620.64</v>
      </c>
      <c r="V564" s="3" t="str">
        <f>VLOOKUP(N564,products!A:B,2,0)</f>
        <v>Personal Care</v>
      </c>
      <c r="W564" s="3" t="s">
        <v>28</v>
      </c>
      <c r="X564" s="3" t="s">
        <v>98</v>
      </c>
      <c r="Y564" s="14">
        <f t="shared" si="10"/>
        <v>0.3066193564</v>
      </c>
      <c r="Z564" s="3">
        <f t="shared" si="7"/>
        <v>34</v>
      </c>
      <c r="AA564" s="15">
        <f t="shared" si="8"/>
        <v>7</v>
      </c>
    </row>
    <row r="565" ht="15.75" customHeight="1">
      <c r="A565" s="3">
        <v>4.7517656E8</v>
      </c>
      <c r="B565" s="3" t="s">
        <v>1378</v>
      </c>
      <c r="C565" s="3">
        <f>IFERROR(__xludf.DUMMYFUNCTION("split(B565,""/"")"),7.0)</f>
        <v>7</v>
      </c>
      <c r="D565" s="10">
        <f>IFERROR(__xludf.DUMMYFUNCTION("""COMPUTED_VALUE"""),31.0)</f>
        <v>31</v>
      </c>
      <c r="E565" s="11">
        <f>IFERROR(__xludf.DUMMYFUNCTION("""COMPUTED_VALUE"""),2010.0)</f>
        <v>2010</v>
      </c>
      <c r="F565" s="12">
        <f t="shared" si="1"/>
        <v>40390</v>
      </c>
      <c r="G565" s="9">
        <v>40277.0</v>
      </c>
      <c r="H565" s="3">
        <f>IFERROR(__xludf.DUMMYFUNCTION("split(G565,""/"")"),9.0)</f>
        <v>9</v>
      </c>
      <c r="I565" s="3">
        <f>IFERROR(__xludf.DUMMYFUNCTION("""COMPUTED_VALUE"""),4.0)</f>
        <v>4</v>
      </c>
      <c r="J565" s="3">
        <f>IFERROR(__xludf.DUMMYFUNCTION("""COMPUTED_VALUE"""),2010.0)</f>
        <v>2010</v>
      </c>
      <c r="K565" s="12">
        <f t="shared" si="2"/>
        <v>40425</v>
      </c>
      <c r="L565" s="3" t="s">
        <v>825</v>
      </c>
      <c r="M565" s="3" t="s">
        <v>455</v>
      </c>
      <c r="N565" s="3">
        <v>4594.0</v>
      </c>
      <c r="O565" s="3" t="s">
        <v>815</v>
      </c>
      <c r="P565" s="10">
        <v>4159.0</v>
      </c>
      <c r="Q565" s="13">
        <v>9.33</v>
      </c>
      <c r="R565" s="13">
        <v>6.92</v>
      </c>
      <c r="S565" s="13">
        <f t="shared" si="3"/>
        <v>38803.47</v>
      </c>
      <c r="T565" s="13">
        <f t="shared" si="4"/>
        <v>28780.28</v>
      </c>
      <c r="U565" s="13">
        <f t="shared" si="5"/>
        <v>10023.19</v>
      </c>
      <c r="V565" s="3" t="str">
        <f>VLOOKUP(N565,products!A:B,2,0)</f>
        <v>Fruits</v>
      </c>
      <c r="W565" s="3" t="s">
        <v>28</v>
      </c>
      <c r="X565" s="3" t="s">
        <v>33</v>
      </c>
      <c r="Y565" s="14">
        <f t="shared" si="10"/>
        <v>0.258306538</v>
      </c>
      <c r="Z565" s="3">
        <f t="shared" si="7"/>
        <v>35</v>
      </c>
      <c r="AA565" s="15">
        <f t="shared" si="8"/>
        <v>7</v>
      </c>
    </row>
    <row r="566" ht="15.75" customHeight="1">
      <c r="A566" s="3">
        <v>4.75992381E8</v>
      </c>
      <c r="B566" s="3" t="s">
        <v>984</v>
      </c>
      <c r="C566" s="3">
        <f>IFERROR(__xludf.DUMMYFUNCTION("split(B566,""/"")"),5.0)</f>
        <v>5</v>
      </c>
      <c r="D566" s="10">
        <f>IFERROR(__xludf.DUMMYFUNCTION("""COMPUTED_VALUE"""),14.0)</f>
        <v>14</v>
      </c>
      <c r="E566" s="11">
        <f>IFERROR(__xludf.DUMMYFUNCTION("""COMPUTED_VALUE"""),2011.0)</f>
        <v>2011</v>
      </c>
      <c r="F566" s="12">
        <f t="shared" si="1"/>
        <v>40677</v>
      </c>
      <c r="G566" s="3" t="s">
        <v>1379</v>
      </c>
      <c r="H566" s="3">
        <f>IFERROR(__xludf.DUMMYFUNCTION("split(G566,""/"")"),5.0)</f>
        <v>5</v>
      </c>
      <c r="I566" s="3">
        <f>IFERROR(__xludf.DUMMYFUNCTION("""COMPUTED_VALUE"""),26.0)</f>
        <v>26</v>
      </c>
      <c r="J566" s="3">
        <f>IFERROR(__xludf.DUMMYFUNCTION("""COMPUTED_VALUE"""),2011.0)</f>
        <v>2011</v>
      </c>
      <c r="K566" s="12">
        <f t="shared" si="2"/>
        <v>40689</v>
      </c>
      <c r="L566" s="3" t="s">
        <v>827</v>
      </c>
      <c r="M566" s="3" t="s">
        <v>434</v>
      </c>
      <c r="N566" s="3">
        <v>2455.0</v>
      </c>
      <c r="O566" s="3" t="s">
        <v>815</v>
      </c>
      <c r="P566" s="10">
        <v>5578.0</v>
      </c>
      <c r="Q566" s="13">
        <v>109.28</v>
      </c>
      <c r="R566" s="13">
        <v>35.84</v>
      </c>
      <c r="S566" s="13">
        <f t="shared" si="3"/>
        <v>609563.84</v>
      </c>
      <c r="T566" s="13">
        <f t="shared" si="4"/>
        <v>199915.52</v>
      </c>
      <c r="U566" s="13">
        <f t="shared" si="5"/>
        <v>409648.32</v>
      </c>
      <c r="V566" s="3" t="str">
        <f>VLOOKUP(N566,products!A:B,2,0)</f>
        <v>Clothes</v>
      </c>
      <c r="W566" s="3" t="s">
        <v>28</v>
      </c>
      <c r="X566" s="3" t="s">
        <v>79</v>
      </c>
      <c r="Y566" s="14">
        <f t="shared" si="10"/>
        <v>0.6720351391</v>
      </c>
      <c r="Z566" s="3">
        <f t="shared" si="7"/>
        <v>12</v>
      </c>
      <c r="AA566" s="15">
        <f t="shared" si="8"/>
        <v>7</v>
      </c>
    </row>
    <row r="567" ht="15.75" customHeight="1">
      <c r="A567" s="3">
        <v>4.76453721E8</v>
      </c>
      <c r="B567" s="3" t="s">
        <v>1380</v>
      </c>
      <c r="C567" s="3">
        <f>IFERROR(__xludf.DUMMYFUNCTION("split(B567,""/"")"),7.0)</f>
        <v>7</v>
      </c>
      <c r="D567" s="10">
        <f>IFERROR(__xludf.DUMMYFUNCTION("""COMPUTED_VALUE"""),22.0)</f>
        <v>22</v>
      </c>
      <c r="E567" s="11">
        <f>IFERROR(__xludf.DUMMYFUNCTION("""COMPUTED_VALUE"""),2017.0)</f>
        <v>2017</v>
      </c>
      <c r="F567" s="12">
        <f t="shared" si="1"/>
        <v>42938</v>
      </c>
      <c r="G567" s="9">
        <v>43016.0</v>
      </c>
      <c r="H567" s="3">
        <f>IFERROR(__xludf.DUMMYFUNCTION("split(G567,""/"")"),8.0)</f>
        <v>8</v>
      </c>
      <c r="I567" s="3">
        <f>IFERROR(__xludf.DUMMYFUNCTION("""COMPUTED_VALUE"""),10.0)</f>
        <v>10</v>
      </c>
      <c r="J567" s="3">
        <f>IFERROR(__xludf.DUMMYFUNCTION("""COMPUTED_VALUE"""),2017.0)</f>
        <v>2017</v>
      </c>
      <c r="K567" s="12">
        <f t="shared" si="2"/>
        <v>42957</v>
      </c>
      <c r="L567" s="3" t="s">
        <v>817</v>
      </c>
      <c r="M567" s="3" t="s">
        <v>623</v>
      </c>
      <c r="N567" s="3">
        <v>8969.0</v>
      </c>
      <c r="O567" s="3" t="s">
        <v>818</v>
      </c>
      <c r="P567" s="10">
        <v>2099.0</v>
      </c>
      <c r="Q567" s="13">
        <v>152.58</v>
      </c>
      <c r="R567" s="13">
        <v>97.44</v>
      </c>
      <c r="S567" s="13">
        <f t="shared" si="3"/>
        <v>320265.42</v>
      </c>
      <c r="T567" s="13">
        <f t="shared" si="4"/>
        <v>204526.56</v>
      </c>
      <c r="U567" s="13">
        <f t="shared" si="5"/>
        <v>115738.86</v>
      </c>
      <c r="V567" s="3" t="str">
        <f>VLOOKUP(N567,products!A:B,2,0)</f>
        <v>Snacks</v>
      </c>
      <c r="W567" s="3" t="s">
        <v>28</v>
      </c>
      <c r="X567" s="3" t="s">
        <v>33</v>
      </c>
      <c r="Y567" s="14">
        <f t="shared" si="10"/>
        <v>0.3613841919</v>
      </c>
      <c r="Z567" s="3">
        <f t="shared" si="7"/>
        <v>19</v>
      </c>
      <c r="AA567" s="15">
        <f t="shared" si="8"/>
        <v>7</v>
      </c>
    </row>
    <row r="568" ht="15.75" customHeight="1">
      <c r="A568" s="3">
        <v>4.76633536E8</v>
      </c>
      <c r="B568" s="9">
        <v>41039.0</v>
      </c>
      <c r="C568" s="3">
        <f>IFERROR(__xludf.DUMMYFUNCTION("split(B568,""/"")"),10.0)</f>
        <v>10</v>
      </c>
      <c r="D568" s="10">
        <f>IFERROR(__xludf.DUMMYFUNCTION("""COMPUTED_VALUE"""),5.0)</f>
        <v>5</v>
      </c>
      <c r="E568" s="11">
        <f>IFERROR(__xludf.DUMMYFUNCTION("""COMPUTED_VALUE"""),2012.0)</f>
        <v>2012</v>
      </c>
      <c r="F568" s="12">
        <f t="shared" si="1"/>
        <v>41187</v>
      </c>
      <c r="G568" s="9">
        <v>40979.0</v>
      </c>
      <c r="H568" s="3">
        <f>IFERROR(__xludf.DUMMYFUNCTION("split(G568,""/"")"),11.0)</f>
        <v>11</v>
      </c>
      <c r="I568" s="3">
        <f>IFERROR(__xludf.DUMMYFUNCTION("""COMPUTED_VALUE"""),3.0)</f>
        <v>3</v>
      </c>
      <c r="J568" s="3">
        <f>IFERROR(__xludf.DUMMYFUNCTION("""COMPUTED_VALUE"""),2012.0)</f>
        <v>2012</v>
      </c>
      <c r="K568" s="12">
        <f t="shared" si="2"/>
        <v>41216</v>
      </c>
      <c r="L568" s="3" t="s">
        <v>817</v>
      </c>
      <c r="M568" s="3" t="s">
        <v>32</v>
      </c>
      <c r="N568" s="3">
        <v>5988.0</v>
      </c>
      <c r="O568" s="3" t="s">
        <v>815</v>
      </c>
      <c r="P568" s="10">
        <v>5310.0</v>
      </c>
      <c r="Q568" s="13">
        <v>154.06</v>
      </c>
      <c r="R568" s="13">
        <v>90.93</v>
      </c>
      <c r="S568" s="13">
        <f t="shared" si="3"/>
        <v>818058.6</v>
      </c>
      <c r="T568" s="13">
        <f t="shared" si="4"/>
        <v>482838.3</v>
      </c>
      <c r="U568" s="13">
        <f t="shared" si="5"/>
        <v>335220.3</v>
      </c>
      <c r="V568" s="3" t="str">
        <f>VLOOKUP(N568,products!A:B,2,0)</f>
        <v>Vegetables</v>
      </c>
      <c r="W568" s="3" t="s">
        <v>28</v>
      </c>
      <c r="X568" s="3" t="s">
        <v>33</v>
      </c>
      <c r="Y568" s="14">
        <f t="shared" si="10"/>
        <v>0.4097754122</v>
      </c>
      <c r="Z568" s="3">
        <f t="shared" si="7"/>
        <v>29</v>
      </c>
      <c r="AA568" s="15">
        <f t="shared" si="8"/>
        <v>6</v>
      </c>
    </row>
    <row r="569" ht="15.75" customHeight="1">
      <c r="A569" s="3">
        <v>4.7679404E8</v>
      </c>
      <c r="B569" s="9">
        <v>42462.0</v>
      </c>
      <c r="C569" s="3">
        <f>IFERROR(__xludf.DUMMYFUNCTION("split(B569,""/"")"),2.0)</f>
        <v>2</v>
      </c>
      <c r="D569" s="10">
        <f>IFERROR(__xludf.DUMMYFUNCTION("""COMPUTED_VALUE"""),4.0)</f>
        <v>4</v>
      </c>
      <c r="E569" s="11">
        <f>IFERROR(__xludf.DUMMYFUNCTION("""COMPUTED_VALUE"""),2016.0)</f>
        <v>2016</v>
      </c>
      <c r="F569" s="12">
        <f t="shared" si="1"/>
        <v>42404</v>
      </c>
      <c r="G569" s="9">
        <v>42554.0</v>
      </c>
      <c r="H569" s="3">
        <f>IFERROR(__xludf.DUMMYFUNCTION("split(G569,""/"")"),3.0)</f>
        <v>3</v>
      </c>
      <c r="I569" s="3">
        <f>IFERROR(__xludf.DUMMYFUNCTION("""COMPUTED_VALUE"""),7.0)</f>
        <v>7</v>
      </c>
      <c r="J569" s="3">
        <f>IFERROR(__xludf.DUMMYFUNCTION("""COMPUTED_VALUE"""),2016.0)</f>
        <v>2016</v>
      </c>
      <c r="K569" s="12">
        <f t="shared" si="2"/>
        <v>42436</v>
      </c>
      <c r="L569" s="3" t="s">
        <v>827</v>
      </c>
      <c r="M569" s="3" t="s">
        <v>142</v>
      </c>
      <c r="N569" s="3">
        <v>1270.0</v>
      </c>
      <c r="O569" s="3" t="s">
        <v>815</v>
      </c>
      <c r="P569" s="10">
        <v>2807.0</v>
      </c>
      <c r="Q569" s="13">
        <v>47.45</v>
      </c>
      <c r="R569" s="13">
        <v>31.79</v>
      </c>
      <c r="S569" s="13">
        <f t="shared" si="3"/>
        <v>133192.15</v>
      </c>
      <c r="T569" s="13">
        <f t="shared" si="4"/>
        <v>89234.53</v>
      </c>
      <c r="U569" s="13">
        <f t="shared" si="5"/>
        <v>43957.62</v>
      </c>
      <c r="V569" s="3" t="str">
        <f>VLOOKUP(N569,products!A:B,2,0)</f>
        <v>Beverages</v>
      </c>
      <c r="W569" s="3" t="s">
        <v>28</v>
      </c>
      <c r="X569" s="3" t="s">
        <v>98</v>
      </c>
      <c r="Y569" s="14">
        <f t="shared" si="10"/>
        <v>0.3300316122</v>
      </c>
      <c r="Z569" s="3">
        <f t="shared" si="7"/>
        <v>32</v>
      </c>
      <c r="AA569" s="15">
        <f t="shared" si="8"/>
        <v>5</v>
      </c>
    </row>
    <row r="570" ht="15.75" customHeight="1">
      <c r="A570" s="3">
        <v>4.7699145E8</v>
      </c>
      <c r="B570" s="9">
        <v>43042.0</v>
      </c>
      <c r="C570" s="3">
        <f>IFERROR(__xludf.DUMMYFUNCTION("split(B570,""/"")"),3.0)</f>
        <v>3</v>
      </c>
      <c r="D570" s="10">
        <f>IFERROR(__xludf.DUMMYFUNCTION("""COMPUTED_VALUE"""),11.0)</f>
        <v>11</v>
      </c>
      <c r="E570" s="11">
        <f>IFERROR(__xludf.DUMMYFUNCTION("""COMPUTED_VALUE"""),2017.0)</f>
        <v>2017</v>
      </c>
      <c r="F570" s="12">
        <f t="shared" si="1"/>
        <v>42805</v>
      </c>
      <c r="G570" s="3" t="s">
        <v>1217</v>
      </c>
      <c r="H570" s="3">
        <f>IFERROR(__xludf.DUMMYFUNCTION("split(G570,""/"")"),3.0)</f>
        <v>3</v>
      </c>
      <c r="I570" s="3">
        <f>IFERROR(__xludf.DUMMYFUNCTION("""COMPUTED_VALUE"""),27.0)</f>
        <v>27</v>
      </c>
      <c r="J570" s="3">
        <f>IFERROR(__xludf.DUMMYFUNCTION("""COMPUTED_VALUE"""),2017.0)</f>
        <v>2017</v>
      </c>
      <c r="K570" s="12">
        <f t="shared" si="2"/>
        <v>42821</v>
      </c>
      <c r="L570" s="3" t="s">
        <v>825</v>
      </c>
      <c r="M570" s="3" t="s">
        <v>142</v>
      </c>
      <c r="N570" s="3">
        <v>8969.0</v>
      </c>
      <c r="O570" s="3" t="s">
        <v>818</v>
      </c>
      <c r="P570" s="10">
        <v>1225.0</v>
      </c>
      <c r="Q570" s="13">
        <v>152.58</v>
      </c>
      <c r="R570" s="13">
        <v>97.44</v>
      </c>
      <c r="S570" s="13">
        <f t="shared" si="3"/>
        <v>186910.5</v>
      </c>
      <c r="T570" s="13">
        <f t="shared" si="4"/>
        <v>119364</v>
      </c>
      <c r="U570" s="13">
        <f t="shared" si="5"/>
        <v>67546.5</v>
      </c>
      <c r="V570" s="3" t="str">
        <f>VLOOKUP(N570,products!A:B,2,0)</f>
        <v>Snacks</v>
      </c>
      <c r="W570" s="3" t="s">
        <v>28</v>
      </c>
      <c r="X570" s="3" t="s">
        <v>98</v>
      </c>
      <c r="Y570" s="14">
        <f t="shared" si="10"/>
        <v>0.3613841919</v>
      </c>
      <c r="Z570" s="3">
        <f t="shared" si="7"/>
        <v>16</v>
      </c>
      <c r="AA570" s="15">
        <f t="shared" si="8"/>
        <v>7</v>
      </c>
    </row>
    <row r="571" ht="15.75" customHeight="1">
      <c r="A571" s="3">
        <v>4.77282845E8</v>
      </c>
      <c r="B571" s="3" t="s">
        <v>1381</v>
      </c>
      <c r="C571" s="3">
        <f>IFERROR(__xludf.DUMMYFUNCTION("split(B571,""/"")"),1.0)</f>
        <v>1</v>
      </c>
      <c r="D571" s="10">
        <f>IFERROR(__xludf.DUMMYFUNCTION("""COMPUTED_VALUE"""),20.0)</f>
        <v>20</v>
      </c>
      <c r="E571" s="11">
        <f>IFERROR(__xludf.DUMMYFUNCTION("""COMPUTED_VALUE"""),2010.0)</f>
        <v>2010</v>
      </c>
      <c r="F571" s="12">
        <f t="shared" si="1"/>
        <v>40198</v>
      </c>
      <c r="G571" s="9">
        <v>40270.0</v>
      </c>
      <c r="H571" s="3">
        <f>IFERROR(__xludf.DUMMYFUNCTION("split(G571,""/"")"),2.0)</f>
        <v>2</v>
      </c>
      <c r="I571" s="3">
        <f>IFERROR(__xludf.DUMMYFUNCTION("""COMPUTED_VALUE"""),4.0)</f>
        <v>4</v>
      </c>
      <c r="J571" s="3">
        <f>IFERROR(__xludf.DUMMYFUNCTION("""COMPUTED_VALUE"""),2010.0)</f>
        <v>2010</v>
      </c>
      <c r="K571" s="12">
        <f t="shared" si="2"/>
        <v>40213</v>
      </c>
      <c r="L571" s="3" t="s">
        <v>827</v>
      </c>
      <c r="M571" s="3" t="s">
        <v>67</v>
      </c>
      <c r="N571" s="3">
        <v>2103.0</v>
      </c>
      <c r="O571" s="3" t="s">
        <v>818</v>
      </c>
      <c r="P571" s="10">
        <v>7455.0</v>
      </c>
      <c r="Q571" s="13">
        <v>205.7</v>
      </c>
      <c r="R571" s="13">
        <v>117.11</v>
      </c>
      <c r="S571" s="13">
        <f t="shared" si="3"/>
        <v>1533493.5</v>
      </c>
      <c r="T571" s="13">
        <f t="shared" si="4"/>
        <v>873055.05</v>
      </c>
      <c r="U571" s="13">
        <f t="shared" si="5"/>
        <v>660438.45</v>
      </c>
      <c r="V571" s="3" t="str">
        <f>VLOOKUP(N571,products!A:B,2,0)</f>
        <v>Cereal</v>
      </c>
      <c r="W571" s="3" t="s">
        <v>23</v>
      </c>
      <c r="X571" s="3" t="s">
        <v>68</v>
      </c>
      <c r="Y571" s="14">
        <f t="shared" si="10"/>
        <v>0.4306757414</v>
      </c>
      <c r="Z571" s="3">
        <f t="shared" si="7"/>
        <v>15</v>
      </c>
      <c r="AA571" s="15">
        <f t="shared" si="8"/>
        <v>4</v>
      </c>
    </row>
    <row r="572" ht="15.75" customHeight="1">
      <c r="A572" s="3">
        <v>4.77633464E8</v>
      </c>
      <c r="B572" s="3" t="s">
        <v>1382</v>
      </c>
      <c r="C572" s="3">
        <f>IFERROR(__xludf.DUMMYFUNCTION("split(B572,""/"")"),5.0)</f>
        <v>5</v>
      </c>
      <c r="D572" s="10">
        <f>IFERROR(__xludf.DUMMYFUNCTION("""COMPUTED_VALUE"""),14.0)</f>
        <v>14</v>
      </c>
      <c r="E572" s="11">
        <f>IFERROR(__xludf.DUMMYFUNCTION("""COMPUTED_VALUE"""),2015.0)</f>
        <v>2015</v>
      </c>
      <c r="F572" s="12">
        <f t="shared" si="1"/>
        <v>42138</v>
      </c>
      <c r="G572" s="9">
        <v>42191.0</v>
      </c>
      <c r="H572" s="3">
        <f>IFERROR(__xludf.DUMMYFUNCTION("split(G572,""/"")"),6.0)</f>
        <v>6</v>
      </c>
      <c r="I572" s="3">
        <f>IFERROR(__xludf.DUMMYFUNCTION("""COMPUTED_VALUE"""),7.0)</f>
        <v>7</v>
      </c>
      <c r="J572" s="3">
        <f>IFERROR(__xludf.DUMMYFUNCTION("""COMPUTED_VALUE"""),2015.0)</f>
        <v>2015</v>
      </c>
      <c r="K572" s="12">
        <f t="shared" si="2"/>
        <v>42162</v>
      </c>
      <c r="L572" s="3" t="s">
        <v>827</v>
      </c>
      <c r="M572" s="3" t="s">
        <v>542</v>
      </c>
      <c r="N572" s="3">
        <v>8293.0</v>
      </c>
      <c r="O572" s="3" t="s">
        <v>815</v>
      </c>
      <c r="P572" s="10">
        <v>1211.0</v>
      </c>
      <c r="Q572" s="13">
        <v>437.2</v>
      </c>
      <c r="R572" s="13">
        <v>263.33</v>
      </c>
      <c r="S572" s="13">
        <f t="shared" si="3"/>
        <v>529449.2</v>
      </c>
      <c r="T572" s="13">
        <f t="shared" si="4"/>
        <v>318892.63</v>
      </c>
      <c r="U572" s="13">
        <f t="shared" si="5"/>
        <v>210556.57</v>
      </c>
      <c r="V572" s="3" t="str">
        <f>VLOOKUP(N572,products!A:B,2,0)</f>
        <v>Cosmetics</v>
      </c>
      <c r="W572" s="3" t="s">
        <v>28</v>
      </c>
      <c r="X572" s="3" t="s">
        <v>29</v>
      </c>
      <c r="Y572" s="14">
        <f t="shared" si="10"/>
        <v>0.3976898445</v>
      </c>
      <c r="Z572" s="3">
        <f t="shared" si="7"/>
        <v>24</v>
      </c>
      <c r="AA572" s="15">
        <f t="shared" si="8"/>
        <v>5</v>
      </c>
    </row>
    <row r="573" ht="15.75" customHeight="1">
      <c r="A573" s="3">
        <v>4.7805103E8</v>
      </c>
      <c r="B573" s="9">
        <v>40886.0</v>
      </c>
      <c r="C573" s="3">
        <f>IFERROR(__xludf.DUMMYFUNCTION("split(B573,""/"")"),9.0)</f>
        <v>9</v>
      </c>
      <c r="D573" s="10">
        <f>IFERROR(__xludf.DUMMYFUNCTION("""COMPUTED_VALUE"""),12.0)</f>
        <v>12</v>
      </c>
      <c r="E573" s="11">
        <f>IFERROR(__xludf.DUMMYFUNCTION("""COMPUTED_VALUE"""),2011.0)</f>
        <v>2011</v>
      </c>
      <c r="F573" s="12">
        <f t="shared" si="1"/>
        <v>40798</v>
      </c>
      <c r="G573" s="3" t="s">
        <v>1383</v>
      </c>
      <c r="H573" s="3">
        <f>IFERROR(__xludf.DUMMYFUNCTION("split(G573,""/"")"),9.0)</f>
        <v>9</v>
      </c>
      <c r="I573" s="3">
        <f>IFERROR(__xludf.DUMMYFUNCTION("""COMPUTED_VALUE"""),29.0)</f>
        <v>29</v>
      </c>
      <c r="J573" s="3">
        <f>IFERROR(__xludf.DUMMYFUNCTION("""COMPUTED_VALUE"""),2011.0)</f>
        <v>2011</v>
      </c>
      <c r="K573" s="12">
        <f t="shared" si="2"/>
        <v>40815</v>
      </c>
      <c r="L573" s="3" t="s">
        <v>817</v>
      </c>
      <c r="M573" s="3" t="s">
        <v>218</v>
      </c>
      <c r="N573" s="3">
        <v>1270.0</v>
      </c>
      <c r="O573" s="3" t="s">
        <v>818</v>
      </c>
      <c r="P573" s="10">
        <v>4778.0</v>
      </c>
      <c r="Q573" s="13">
        <v>47.45</v>
      </c>
      <c r="R573" s="13">
        <v>31.79</v>
      </c>
      <c r="S573" s="13">
        <f t="shared" si="3"/>
        <v>226716.1</v>
      </c>
      <c r="T573" s="13">
        <f t="shared" si="4"/>
        <v>151892.62</v>
      </c>
      <c r="U573" s="13">
        <f t="shared" si="5"/>
        <v>74823.48</v>
      </c>
      <c r="V573" s="3" t="str">
        <f>VLOOKUP(N573,products!A:B,2,0)</f>
        <v>Beverages</v>
      </c>
      <c r="W573" s="3" t="s">
        <v>28</v>
      </c>
      <c r="X573" s="3" t="s">
        <v>98</v>
      </c>
      <c r="Y573" s="14">
        <f t="shared" si="10"/>
        <v>0.3300316122</v>
      </c>
      <c r="Z573" s="3">
        <f t="shared" si="7"/>
        <v>17</v>
      </c>
      <c r="AA573" s="15">
        <f t="shared" si="8"/>
        <v>2</v>
      </c>
    </row>
    <row r="574" ht="15.75" customHeight="1">
      <c r="A574" s="3">
        <v>4.78840672E8</v>
      </c>
      <c r="B574" s="9">
        <v>42462.0</v>
      </c>
      <c r="C574" s="3">
        <f>IFERROR(__xludf.DUMMYFUNCTION("split(B574,""/"")"),2.0)</f>
        <v>2</v>
      </c>
      <c r="D574" s="10">
        <f>IFERROR(__xludf.DUMMYFUNCTION("""COMPUTED_VALUE"""),4.0)</f>
        <v>4</v>
      </c>
      <c r="E574" s="11">
        <f>IFERROR(__xludf.DUMMYFUNCTION("""COMPUTED_VALUE"""),2016.0)</f>
        <v>2016</v>
      </c>
      <c r="F574" s="12">
        <f t="shared" si="1"/>
        <v>42404</v>
      </c>
      <c r="G574" s="9">
        <v>42615.0</v>
      </c>
      <c r="H574" s="3">
        <f>IFERROR(__xludf.DUMMYFUNCTION("split(G574,""/"")"),2.0)</f>
        <v>2</v>
      </c>
      <c r="I574" s="3">
        <f>IFERROR(__xludf.DUMMYFUNCTION("""COMPUTED_VALUE"""),9.0)</f>
        <v>9</v>
      </c>
      <c r="J574" s="3">
        <f>IFERROR(__xludf.DUMMYFUNCTION("""COMPUTED_VALUE"""),2016.0)</f>
        <v>2016</v>
      </c>
      <c r="K574" s="12">
        <f t="shared" si="2"/>
        <v>42409</v>
      </c>
      <c r="L574" s="3" t="s">
        <v>825</v>
      </c>
      <c r="M574" s="3" t="s">
        <v>221</v>
      </c>
      <c r="N574" s="3">
        <v>3127.0</v>
      </c>
      <c r="O574" s="3" t="s">
        <v>815</v>
      </c>
      <c r="P574" s="10">
        <v>8451.0</v>
      </c>
      <c r="Q574" s="13">
        <v>81.73</v>
      </c>
      <c r="R574" s="13">
        <v>56.67</v>
      </c>
      <c r="S574" s="13">
        <f t="shared" si="3"/>
        <v>690700.23</v>
      </c>
      <c r="T574" s="13">
        <f t="shared" si="4"/>
        <v>478918.17</v>
      </c>
      <c r="U574" s="13">
        <f t="shared" si="5"/>
        <v>211782.06</v>
      </c>
      <c r="V574" s="3" t="str">
        <f>VLOOKUP(N574,products!A:B,2,0)</f>
        <v>Personal Care</v>
      </c>
      <c r="W574" s="3" t="s">
        <v>28</v>
      </c>
      <c r="X574" s="3" t="s">
        <v>29</v>
      </c>
      <c r="Y574" s="14">
        <f t="shared" si="10"/>
        <v>0.3066193564</v>
      </c>
      <c r="Z574" s="3">
        <f t="shared" si="7"/>
        <v>5</v>
      </c>
      <c r="AA574" s="15">
        <f t="shared" si="8"/>
        <v>5</v>
      </c>
    </row>
    <row r="575" ht="15.75" customHeight="1">
      <c r="A575" s="3">
        <v>4.79171121E8</v>
      </c>
      <c r="B575" s="9">
        <v>40483.0</v>
      </c>
      <c r="C575" s="3">
        <f>IFERROR(__xludf.DUMMYFUNCTION("split(B575,""/"")"),1.0)</f>
        <v>1</v>
      </c>
      <c r="D575" s="10">
        <f>IFERROR(__xludf.DUMMYFUNCTION("""COMPUTED_VALUE"""),11.0)</f>
        <v>11</v>
      </c>
      <c r="E575" s="11">
        <f>IFERROR(__xludf.DUMMYFUNCTION("""COMPUTED_VALUE"""),2010.0)</f>
        <v>2010</v>
      </c>
      <c r="F575" s="12">
        <f t="shared" si="1"/>
        <v>40189</v>
      </c>
      <c r="G575" s="3" t="s">
        <v>1384</v>
      </c>
      <c r="H575" s="3">
        <f>IFERROR(__xludf.DUMMYFUNCTION("split(G575,""/"")"),1.0)</f>
        <v>1</v>
      </c>
      <c r="I575" s="3">
        <f>IFERROR(__xludf.DUMMYFUNCTION("""COMPUTED_VALUE"""),27.0)</f>
        <v>27</v>
      </c>
      <c r="J575" s="3">
        <f>IFERROR(__xludf.DUMMYFUNCTION("""COMPUTED_VALUE"""),2010.0)</f>
        <v>2010</v>
      </c>
      <c r="K575" s="12">
        <f t="shared" si="2"/>
        <v>40205</v>
      </c>
      <c r="L575" s="3" t="s">
        <v>817</v>
      </c>
      <c r="M575" s="3" t="s">
        <v>578</v>
      </c>
      <c r="N575" s="3">
        <v>7331.0</v>
      </c>
      <c r="O575" s="3" t="s">
        <v>818</v>
      </c>
      <c r="P575" s="10">
        <v>6238.0</v>
      </c>
      <c r="Q575" s="13">
        <v>255.28</v>
      </c>
      <c r="R575" s="13">
        <v>159.42</v>
      </c>
      <c r="S575" s="13">
        <f t="shared" si="3"/>
        <v>1592436.64</v>
      </c>
      <c r="T575" s="13">
        <f t="shared" si="4"/>
        <v>994461.96</v>
      </c>
      <c r="U575" s="13">
        <f t="shared" si="5"/>
        <v>597974.68</v>
      </c>
      <c r="V575" s="3" t="str">
        <f>VLOOKUP(N575,products!A:B,2,0)</f>
        <v>Baby Food</v>
      </c>
      <c r="W575" s="3" t="s">
        <v>28</v>
      </c>
      <c r="X575" s="3" t="s">
        <v>33</v>
      </c>
      <c r="Y575" s="14">
        <f t="shared" si="10"/>
        <v>0.3755092448</v>
      </c>
      <c r="Z575" s="3">
        <f t="shared" si="7"/>
        <v>16</v>
      </c>
      <c r="AA575" s="15">
        <f t="shared" si="8"/>
        <v>2</v>
      </c>
    </row>
    <row r="576" ht="15.75" customHeight="1">
      <c r="A576" s="3">
        <v>4.79234206E8</v>
      </c>
      <c r="B576" s="9">
        <v>40734.0</v>
      </c>
      <c r="C576" s="3">
        <f>IFERROR(__xludf.DUMMYFUNCTION("split(B576,""/"")"),10.0)</f>
        <v>10</v>
      </c>
      <c r="D576" s="10">
        <f>IFERROR(__xludf.DUMMYFUNCTION("""COMPUTED_VALUE"""),7.0)</f>
        <v>7</v>
      </c>
      <c r="E576" s="11">
        <f>IFERROR(__xludf.DUMMYFUNCTION("""COMPUTED_VALUE"""),2011.0)</f>
        <v>2011</v>
      </c>
      <c r="F576" s="12">
        <f t="shared" si="1"/>
        <v>40823</v>
      </c>
      <c r="G576" s="3" t="s">
        <v>1385</v>
      </c>
      <c r="H576" s="3">
        <f>IFERROR(__xludf.DUMMYFUNCTION("split(G576,""/"")"),11.0)</f>
        <v>11</v>
      </c>
      <c r="I576" s="3">
        <f>IFERROR(__xludf.DUMMYFUNCTION("""COMPUTED_VALUE"""),14.0)</f>
        <v>14</v>
      </c>
      <c r="J576" s="3">
        <f>IFERROR(__xludf.DUMMYFUNCTION("""COMPUTED_VALUE"""),2011.0)</f>
        <v>2011</v>
      </c>
      <c r="K576" s="12">
        <f t="shared" si="2"/>
        <v>40861</v>
      </c>
      <c r="L576" s="3" t="s">
        <v>827</v>
      </c>
      <c r="M576" s="3" t="s">
        <v>434</v>
      </c>
      <c r="N576" s="3">
        <v>4594.0</v>
      </c>
      <c r="O576" s="3" t="s">
        <v>815</v>
      </c>
      <c r="P576" s="10">
        <v>4906.0</v>
      </c>
      <c r="Q576" s="13">
        <v>9.33</v>
      </c>
      <c r="R576" s="13">
        <v>6.92</v>
      </c>
      <c r="S576" s="13">
        <f t="shared" si="3"/>
        <v>45772.98</v>
      </c>
      <c r="T576" s="13">
        <f t="shared" si="4"/>
        <v>33949.52</v>
      </c>
      <c r="U576" s="13">
        <f t="shared" si="5"/>
        <v>11823.46</v>
      </c>
      <c r="V576" s="3" t="str">
        <f>VLOOKUP(N576,products!A:B,2,0)</f>
        <v>Fruits</v>
      </c>
      <c r="W576" s="3" t="s">
        <v>28</v>
      </c>
      <c r="X576" s="3" t="s">
        <v>79</v>
      </c>
      <c r="Y576" s="14">
        <f t="shared" si="10"/>
        <v>0.258306538</v>
      </c>
      <c r="Z576" s="3">
        <f t="shared" si="7"/>
        <v>38</v>
      </c>
      <c r="AA576" s="15">
        <f t="shared" si="8"/>
        <v>6</v>
      </c>
    </row>
    <row r="577" ht="15.75" customHeight="1">
      <c r="A577" s="3">
        <v>4.80652987E8</v>
      </c>
      <c r="B577" s="3" t="s">
        <v>1386</v>
      </c>
      <c r="C577" s="3">
        <f>IFERROR(__xludf.DUMMYFUNCTION("split(B577,""/"")"),3.0)</f>
        <v>3</v>
      </c>
      <c r="D577" s="10">
        <f>IFERROR(__xludf.DUMMYFUNCTION("""COMPUTED_VALUE"""),23.0)</f>
        <v>23</v>
      </c>
      <c r="E577" s="11">
        <f>IFERROR(__xludf.DUMMYFUNCTION("""COMPUTED_VALUE"""),2017.0)</f>
        <v>2017</v>
      </c>
      <c r="F577" s="12">
        <f t="shared" si="1"/>
        <v>42817</v>
      </c>
      <c r="G577" s="9">
        <v>42859.0</v>
      </c>
      <c r="H577" s="3">
        <f>IFERROR(__xludf.DUMMYFUNCTION("split(G577,""/"")"),4.0)</f>
        <v>4</v>
      </c>
      <c r="I577" s="3">
        <f>IFERROR(__xludf.DUMMYFUNCTION("""COMPUTED_VALUE"""),5.0)</f>
        <v>5</v>
      </c>
      <c r="J577" s="3">
        <f>IFERROR(__xludf.DUMMYFUNCTION("""COMPUTED_VALUE"""),2017.0)</f>
        <v>2017</v>
      </c>
      <c r="K577" s="12">
        <f t="shared" si="2"/>
        <v>42830</v>
      </c>
      <c r="L577" s="3" t="s">
        <v>825</v>
      </c>
      <c r="M577" s="3" t="s">
        <v>373</v>
      </c>
      <c r="N577" s="3">
        <v>7331.0</v>
      </c>
      <c r="O577" s="3" t="s">
        <v>818</v>
      </c>
      <c r="P577" s="10">
        <v>4755.0</v>
      </c>
      <c r="Q577" s="13">
        <v>255.28</v>
      </c>
      <c r="R577" s="13">
        <v>159.42</v>
      </c>
      <c r="S577" s="13">
        <f t="shared" si="3"/>
        <v>1213856.4</v>
      </c>
      <c r="T577" s="13">
        <f t="shared" si="4"/>
        <v>758042.1</v>
      </c>
      <c r="U577" s="13">
        <f t="shared" si="5"/>
        <v>455814.3</v>
      </c>
      <c r="V577" s="3" t="str">
        <f>VLOOKUP(N577,products!A:B,2,0)</f>
        <v>Baby Food</v>
      </c>
      <c r="W577" s="3" t="s">
        <v>28</v>
      </c>
      <c r="X577" s="3" t="s">
        <v>33</v>
      </c>
      <c r="Y577" s="14">
        <f t="shared" si="10"/>
        <v>0.3755092448</v>
      </c>
      <c r="Z577" s="3">
        <f t="shared" si="7"/>
        <v>13</v>
      </c>
      <c r="AA577" s="15">
        <f t="shared" si="8"/>
        <v>5</v>
      </c>
    </row>
    <row r="578" ht="15.75" customHeight="1">
      <c r="A578" s="3">
        <v>4.80904042E8</v>
      </c>
      <c r="B578" s="3" t="s">
        <v>1387</v>
      </c>
      <c r="C578" s="3">
        <f>IFERROR(__xludf.DUMMYFUNCTION("split(B578,""/"")"),1.0)</f>
        <v>1</v>
      </c>
      <c r="D578" s="10">
        <f>IFERROR(__xludf.DUMMYFUNCTION("""COMPUTED_VALUE"""),23.0)</f>
        <v>23</v>
      </c>
      <c r="E578" s="11">
        <f>IFERROR(__xludf.DUMMYFUNCTION("""COMPUTED_VALUE"""),2010.0)</f>
        <v>2010</v>
      </c>
      <c r="F578" s="12">
        <f t="shared" si="1"/>
        <v>40201</v>
      </c>
      <c r="G578" s="9">
        <v>40300.0</v>
      </c>
      <c r="H578" s="3">
        <f>IFERROR(__xludf.DUMMYFUNCTION("split(G578,""/"")"),2.0)</f>
        <v>2</v>
      </c>
      <c r="I578" s="3">
        <f>IFERROR(__xludf.DUMMYFUNCTION("""COMPUTED_VALUE"""),5.0)</f>
        <v>5</v>
      </c>
      <c r="J578" s="3">
        <f>IFERROR(__xludf.DUMMYFUNCTION("""COMPUTED_VALUE"""),2010.0)</f>
        <v>2010</v>
      </c>
      <c r="K578" s="12">
        <f t="shared" si="2"/>
        <v>40214</v>
      </c>
      <c r="L578" s="3" t="s">
        <v>817</v>
      </c>
      <c r="M578" s="3" t="s">
        <v>46</v>
      </c>
      <c r="N578" s="3">
        <v>8969.0</v>
      </c>
      <c r="O578" s="3" t="s">
        <v>818</v>
      </c>
      <c r="P578" s="10">
        <v>9048.0</v>
      </c>
      <c r="Q578" s="13">
        <v>152.58</v>
      </c>
      <c r="R578" s="13">
        <v>97.44</v>
      </c>
      <c r="S578" s="13">
        <f t="shared" si="3"/>
        <v>1380543.84</v>
      </c>
      <c r="T578" s="13">
        <f t="shared" si="4"/>
        <v>881637.12</v>
      </c>
      <c r="U578" s="13">
        <f t="shared" si="5"/>
        <v>498906.72</v>
      </c>
      <c r="V578" s="3" t="str">
        <f>VLOOKUP(N578,products!A:B,2,0)</f>
        <v>Snacks</v>
      </c>
      <c r="W578" s="3" t="s">
        <v>28</v>
      </c>
      <c r="X578" s="3" t="s">
        <v>33</v>
      </c>
      <c r="Y578" s="14">
        <f t="shared" si="10"/>
        <v>0.3613841919</v>
      </c>
      <c r="Z578" s="3">
        <f t="shared" si="7"/>
        <v>13</v>
      </c>
      <c r="AA578" s="15">
        <f t="shared" si="8"/>
        <v>7</v>
      </c>
    </row>
    <row r="579" ht="15.75" customHeight="1">
      <c r="A579" s="3">
        <v>4.81114327E8</v>
      </c>
      <c r="B579" s="9">
        <v>42105.0</v>
      </c>
      <c r="C579" s="3">
        <f>IFERROR(__xludf.DUMMYFUNCTION("split(B579,""/"")"),11.0)</f>
        <v>11</v>
      </c>
      <c r="D579" s="10">
        <f>IFERROR(__xludf.DUMMYFUNCTION("""COMPUTED_VALUE"""),4.0)</f>
        <v>4</v>
      </c>
      <c r="E579" s="11">
        <f>IFERROR(__xludf.DUMMYFUNCTION("""COMPUTED_VALUE"""),2015.0)</f>
        <v>2015</v>
      </c>
      <c r="F579" s="12">
        <f t="shared" si="1"/>
        <v>42312</v>
      </c>
      <c r="G579" s="3" t="s">
        <v>1388</v>
      </c>
      <c r="H579" s="3">
        <f>IFERROR(__xludf.DUMMYFUNCTION("split(G579,""/"")"),11.0)</f>
        <v>11</v>
      </c>
      <c r="I579" s="3">
        <f>IFERROR(__xludf.DUMMYFUNCTION("""COMPUTED_VALUE"""),24.0)</f>
        <v>24</v>
      </c>
      <c r="J579" s="3">
        <f>IFERROR(__xludf.DUMMYFUNCTION("""COMPUTED_VALUE"""),2015.0)</f>
        <v>2015</v>
      </c>
      <c r="K579" s="12">
        <f t="shared" si="2"/>
        <v>42332</v>
      </c>
      <c r="L579" s="3" t="s">
        <v>814</v>
      </c>
      <c r="M579" s="3" t="s">
        <v>542</v>
      </c>
      <c r="N579" s="3">
        <v>2103.0</v>
      </c>
      <c r="O579" s="3" t="s">
        <v>815</v>
      </c>
      <c r="P579" s="10">
        <v>1276.0</v>
      </c>
      <c r="Q579" s="13">
        <v>205.7</v>
      </c>
      <c r="R579" s="13">
        <v>117.11</v>
      </c>
      <c r="S579" s="13">
        <f t="shared" si="3"/>
        <v>262473.2</v>
      </c>
      <c r="T579" s="13">
        <f t="shared" si="4"/>
        <v>149432.36</v>
      </c>
      <c r="U579" s="13">
        <f t="shared" si="5"/>
        <v>113040.84</v>
      </c>
      <c r="V579" s="3" t="str">
        <f>VLOOKUP(N579,products!A:B,2,0)</f>
        <v>Cereal</v>
      </c>
      <c r="W579" s="3" t="s">
        <v>28</v>
      </c>
      <c r="X579" s="3" t="s">
        <v>29</v>
      </c>
      <c r="Y579" s="14">
        <f t="shared" si="10"/>
        <v>0.4306757414</v>
      </c>
      <c r="Z579" s="3">
        <f t="shared" si="7"/>
        <v>20</v>
      </c>
      <c r="AA579" s="15">
        <f t="shared" si="8"/>
        <v>4</v>
      </c>
    </row>
    <row r="580" ht="15.75" customHeight="1">
      <c r="A580" s="3">
        <v>4.81308305E8</v>
      </c>
      <c r="B580" s="9">
        <v>41829.0</v>
      </c>
      <c r="C580" s="3">
        <f>IFERROR(__xludf.DUMMYFUNCTION("split(B580,""/"")"),9.0)</f>
        <v>9</v>
      </c>
      <c r="D580" s="10">
        <f>IFERROR(__xludf.DUMMYFUNCTION("""COMPUTED_VALUE"""),7.0)</f>
        <v>7</v>
      </c>
      <c r="E580" s="11">
        <f>IFERROR(__xludf.DUMMYFUNCTION("""COMPUTED_VALUE"""),2014.0)</f>
        <v>2014</v>
      </c>
      <c r="F580" s="12">
        <f t="shared" si="1"/>
        <v>41889</v>
      </c>
      <c r="G580" s="3" t="s">
        <v>997</v>
      </c>
      <c r="H580" s="3">
        <f>IFERROR(__xludf.DUMMYFUNCTION("split(G580,""/"")"),10.0)</f>
        <v>10</v>
      </c>
      <c r="I580" s="3">
        <f>IFERROR(__xludf.DUMMYFUNCTION("""COMPUTED_VALUE"""),16.0)</f>
        <v>16</v>
      </c>
      <c r="J580" s="3">
        <f>IFERROR(__xludf.DUMMYFUNCTION("""COMPUTED_VALUE"""),2014.0)</f>
        <v>2014</v>
      </c>
      <c r="K580" s="12">
        <f t="shared" si="2"/>
        <v>41928</v>
      </c>
      <c r="L580" s="3" t="s">
        <v>817</v>
      </c>
      <c r="M580" s="3" t="s">
        <v>267</v>
      </c>
      <c r="N580" s="3">
        <v>7331.0</v>
      </c>
      <c r="O580" s="3" t="s">
        <v>818</v>
      </c>
      <c r="P580" s="10">
        <v>8678.0</v>
      </c>
      <c r="Q580" s="13">
        <v>255.28</v>
      </c>
      <c r="R580" s="13">
        <v>159.42</v>
      </c>
      <c r="S580" s="13">
        <f t="shared" si="3"/>
        <v>2215319.84</v>
      </c>
      <c r="T580" s="13">
        <f t="shared" si="4"/>
        <v>1383446.76</v>
      </c>
      <c r="U580" s="13">
        <f t="shared" si="5"/>
        <v>831873.08</v>
      </c>
      <c r="V580" s="3" t="str">
        <f>VLOOKUP(N580,products!A:B,2,0)</f>
        <v>Baby Food</v>
      </c>
      <c r="W580" s="3" t="s">
        <v>28</v>
      </c>
      <c r="X580" s="3" t="s">
        <v>29</v>
      </c>
      <c r="Y580" s="14">
        <f t="shared" si="10"/>
        <v>0.3755092448</v>
      </c>
      <c r="Z580" s="3">
        <f t="shared" si="7"/>
        <v>39</v>
      </c>
      <c r="AA580" s="15">
        <f t="shared" si="8"/>
        <v>1</v>
      </c>
    </row>
    <row r="581" ht="15.75" customHeight="1">
      <c r="A581" s="3">
        <v>4.81976497E8</v>
      </c>
      <c r="B581" s="3" t="s">
        <v>1132</v>
      </c>
      <c r="C581" s="3">
        <f>IFERROR(__xludf.DUMMYFUNCTION("split(B581,""/"")"),10.0)</f>
        <v>10</v>
      </c>
      <c r="D581" s="10">
        <f>IFERROR(__xludf.DUMMYFUNCTION("""COMPUTED_VALUE"""),27.0)</f>
        <v>27</v>
      </c>
      <c r="E581" s="11">
        <f>IFERROR(__xludf.DUMMYFUNCTION("""COMPUTED_VALUE"""),2016.0)</f>
        <v>2016</v>
      </c>
      <c r="F581" s="12">
        <f t="shared" si="1"/>
        <v>42670</v>
      </c>
      <c r="G581" s="9">
        <v>42441.0</v>
      </c>
      <c r="H581" s="3">
        <f>IFERROR(__xludf.DUMMYFUNCTION("split(G581,""/"")"),12.0)</f>
        <v>12</v>
      </c>
      <c r="I581" s="3">
        <f>IFERROR(__xludf.DUMMYFUNCTION("""COMPUTED_VALUE"""),3.0)</f>
        <v>3</v>
      </c>
      <c r="J581" s="3">
        <f>IFERROR(__xludf.DUMMYFUNCTION("""COMPUTED_VALUE"""),2016.0)</f>
        <v>2016</v>
      </c>
      <c r="K581" s="12">
        <f t="shared" si="2"/>
        <v>42707</v>
      </c>
      <c r="L581" s="3" t="s">
        <v>827</v>
      </c>
      <c r="M581" s="3" t="s">
        <v>590</v>
      </c>
      <c r="N581" s="3">
        <v>4594.0</v>
      </c>
      <c r="O581" s="3" t="s">
        <v>815</v>
      </c>
      <c r="P581" s="10">
        <v>6411.0</v>
      </c>
      <c r="Q581" s="13">
        <v>9.33</v>
      </c>
      <c r="R581" s="13">
        <v>6.92</v>
      </c>
      <c r="S581" s="13">
        <f t="shared" si="3"/>
        <v>59814.63</v>
      </c>
      <c r="T581" s="13">
        <f t="shared" si="4"/>
        <v>44364.12</v>
      </c>
      <c r="U581" s="13">
        <f t="shared" si="5"/>
        <v>15450.51</v>
      </c>
      <c r="V581" s="3" t="str">
        <f>VLOOKUP(N581,products!A:B,2,0)</f>
        <v>Fruits</v>
      </c>
      <c r="W581" s="3" t="s">
        <v>28</v>
      </c>
      <c r="X581" s="3" t="s">
        <v>98</v>
      </c>
      <c r="Y581" s="14">
        <f t="shared" si="10"/>
        <v>0.258306538</v>
      </c>
      <c r="Z581" s="3">
        <f t="shared" si="7"/>
        <v>37</v>
      </c>
      <c r="AA581" s="15">
        <f t="shared" si="8"/>
        <v>5</v>
      </c>
    </row>
    <row r="582" ht="15.75" customHeight="1">
      <c r="A582" s="3">
        <v>4.83438193E8</v>
      </c>
      <c r="B582" s="3" t="s">
        <v>1389</v>
      </c>
      <c r="C582" s="3">
        <f>IFERROR(__xludf.DUMMYFUNCTION("split(B582,""/"")"),8.0)</f>
        <v>8</v>
      </c>
      <c r="D582" s="10">
        <f>IFERROR(__xludf.DUMMYFUNCTION("""COMPUTED_VALUE"""),23.0)</f>
        <v>23</v>
      </c>
      <c r="E582" s="11">
        <f>IFERROR(__xludf.DUMMYFUNCTION("""COMPUTED_VALUE"""),2012.0)</f>
        <v>2012</v>
      </c>
      <c r="F582" s="12">
        <f t="shared" si="1"/>
        <v>41144</v>
      </c>
      <c r="G582" s="3" t="s">
        <v>1390</v>
      </c>
      <c r="H582" s="3">
        <f>IFERROR(__xludf.DUMMYFUNCTION("split(G582,""/"")"),9.0)</f>
        <v>9</v>
      </c>
      <c r="I582" s="3">
        <f>IFERROR(__xludf.DUMMYFUNCTION("""COMPUTED_VALUE"""),26.0)</f>
        <v>26</v>
      </c>
      <c r="J582" s="3">
        <f>IFERROR(__xludf.DUMMYFUNCTION("""COMPUTED_VALUE"""),2012.0)</f>
        <v>2012</v>
      </c>
      <c r="K582" s="12">
        <f t="shared" si="2"/>
        <v>41178</v>
      </c>
      <c r="L582" s="3" t="s">
        <v>827</v>
      </c>
      <c r="M582" s="3" t="s">
        <v>288</v>
      </c>
      <c r="N582" s="3">
        <v>8875.0</v>
      </c>
      <c r="O582" s="3" t="s">
        <v>815</v>
      </c>
      <c r="P582" s="10">
        <v>8959.0</v>
      </c>
      <c r="Q582" s="13">
        <v>421.89</v>
      </c>
      <c r="R582" s="13">
        <v>364.69</v>
      </c>
      <c r="S582" s="13">
        <f t="shared" si="3"/>
        <v>3779712.51</v>
      </c>
      <c r="T582" s="13">
        <f t="shared" si="4"/>
        <v>3267257.71</v>
      </c>
      <c r="U582" s="13">
        <f t="shared" si="5"/>
        <v>512454.8</v>
      </c>
      <c r="V582" s="3" t="str">
        <f>VLOOKUP(N582,products!A:B,2,0)</f>
        <v>Meat</v>
      </c>
      <c r="W582" s="3" t="s">
        <v>23</v>
      </c>
      <c r="X582" s="3" t="s">
        <v>68</v>
      </c>
      <c r="Y582" s="14">
        <f t="shared" si="10"/>
        <v>0.1355803646</v>
      </c>
      <c r="Z582" s="3">
        <f t="shared" si="7"/>
        <v>34</v>
      </c>
      <c r="AA582" s="15">
        <f t="shared" si="8"/>
        <v>5</v>
      </c>
    </row>
    <row r="583" ht="15.75" customHeight="1">
      <c r="A583" s="3">
        <v>4.83655774E8</v>
      </c>
      <c r="B583" s="3" t="s">
        <v>1391</v>
      </c>
      <c r="C583" s="3">
        <f>IFERROR(__xludf.DUMMYFUNCTION("split(B583,""/"")"),7.0)</f>
        <v>7</v>
      </c>
      <c r="D583" s="10">
        <f>IFERROR(__xludf.DUMMYFUNCTION("""COMPUTED_VALUE"""),18.0)</f>
        <v>18</v>
      </c>
      <c r="E583" s="11">
        <f>IFERROR(__xludf.DUMMYFUNCTION("""COMPUTED_VALUE"""),2017.0)</f>
        <v>2017</v>
      </c>
      <c r="F583" s="12">
        <f t="shared" si="1"/>
        <v>42934</v>
      </c>
      <c r="G583" s="9">
        <v>42863.0</v>
      </c>
      <c r="H583" s="3">
        <f>IFERROR(__xludf.DUMMYFUNCTION("split(G583,""/"")"),8.0)</f>
        <v>8</v>
      </c>
      <c r="I583" s="3">
        <f>IFERROR(__xludf.DUMMYFUNCTION("""COMPUTED_VALUE"""),5.0)</f>
        <v>5</v>
      </c>
      <c r="J583" s="3">
        <f>IFERROR(__xludf.DUMMYFUNCTION("""COMPUTED_VALUE"""),2017.0)</f>
        <v>2017</v>
      </c>
      <c r="K583" s="12">
        <f t="shared" si="2"/>
        <v>42952</v>
      </c>
      <c r="L583" s="3" t="s">
        <v>827</v>
      </c>
      <c r="M583" s="3" t="s">
        <v>821</v>
      </c>
      <c r="N583" s="3">
        <v>2103.0</v>
      </c>
      <c r="O583" s="3" t="s">
        <v>818</v>
      </c>
      <c r="P583" s="10">
        <v>3346.0</v>
      </c>
      <c r="Q583" s="13">
        <v>205.7</v>
      </c>
      <c r="R583" s="13">
        <v>117.11</v>
      </c>
      <c r="S583" s="13">
        <f t="shared" si="3"/>
        <v>688272.2</v>
      </c>
      <c r="T583" s="13">
        <f t="shared" si="4"/>
        <v>391850.06</v>
      </c>
      <c r="U583" s="13">
        <f t="shared" si="5"/>
        <v>296422.14</v>
      </c>
      <c r="V583" s="3" t="str">
        <f>VLOOKUP(N583,products!A:B,2,0)</f>
        <v>Cereal</v>
      </c>
      <c r="W583" s="3" t="s">
        <v>821</v>
      </c>
      <c r="X583" s="3" t="s">
        <v>821</v>
      </c>
      <c r="Y583" s="14">
        <f t="shared" si="10"/>
        <v>0.4306757414</v>
      </c>
      <c r="Z583" s="3">
        <f t="shared" si="7"/>
        <v>18</v>
      </c>
      <c r="AA583" s="15">
        <f t="shared" si="8"/>
        <v>3</v>
      </c>
    </row>
    <row r="584" ht="15.75" customHeight="1">
      <c r="A584" s="3">
        <v>4.83981502E8</v>
      </c>
      <c r="B584" s="9">
        <v>40425.0</v>
      </c>
      <c r="C584" s="3">
        <f>IFERROR(__xludf.DUMMYFUNCTION("split(B584,""/"")"),4.0)</f>
        <v>4</v>
      </c>
      <c r="D584" s="10">
        <f>IFERROR(__xludf.DUMMYFUNCTION("""COMPUTED_VALUE"""),9.0)</f>
        <v>9</v>
      </c>
      <c r="E584" s="11">
        <f>IFERROR(__xludf.DUMMYFUNCTION("""COMPUTED_VALUE"""),2010.0)</f>
        <v>2010</v>
      </c>
      <c r="F584" s="12">
        <f t="shared" si="1"/>
        <v>40277</v>
      </c>
      <c r="G584" s="9">
        <v>40273.0</v>
      </c>
      <c r="H584" s="3">
        <f>IFERROR(__xludf.DUMMYFUNCTION("split(G584,""/"")"),5.0)</f>
        <v>5</v>
      </c>
      <c r="I584" s="3">
        <f>IFERROR(__xludf.DUMMYFUNCTION("""COMPUTED_VALUE"""),4.0)</f>
        <v>4</v>
      </c>
      <c r="J584" s="3">
        <f>IFERROR(__xludf.DUMMYFUNCTION("""COMPUTED_VALUE"""),2010.0)</f>
        <v>2010</v>
      </c>
      <c r="K584" s="12">
        <f t="shared" si="2"/>
        <v>40302</v>
      </c>
      <c r="L584" s="3" t="s">
        <v>827</v>
      </c>
      <c r="M584" s="3" t="s">
        <v>653</v>
      </c>
      <c r="N584" s="3">
        <v>8681.0</v>
      </c>
      <c r="O584" s="3" t="s">
        <v>815</v>
      </c>
      <c r="P584" s="10">
        <v>9736.0</v>
      </c>
      <c r="Q584" s="13">
        <v>651.21</v>
      </c>
      <c r="R584" s="13">
        <v>524.96</v>
      </c>
      <c r="S584" s="13">
        <f t="shared" si="3"/>
        <v>6340180.56</v>
      </c>
      <c r="T584" s="13">
        <f t="shared" si="4"/>
        <v>5111010.56</v>
      </c>
      <c r="U584" s="13">
        <f t="shared" si="5"/>
        <v>1229170</v>
      </c>
      <c r="V584" s="3" t="str">
        <f>VLOOKUP(N584,products!A:B,2,0)</f>
        <v>Office Supplies</v>
      </c>
      <c r="W584" s="3" t="s">
        <v>28</v>
      </c>
      <c r="X584" s="3" t="s">
        <v>33</v>
      </c>
      <c r="Y584" s="14">
        <f t="shared" si="10"/>
        <v>0.193869873</v>
      </c>
      <c r="Z584" s="3">
        <f t="shared" si="7"/>
        <v>25</v>
      </c>
      <c r="AA584" s="15">
        <f t="shared" si="8"/>
        <v>6</v>
      </c>
    </row>
    <row r="585" ht="15.75" customHeight="1">
      <c r="A585" s="3">
        <v>4.85165965E8</v>
      </c>
      <c r="B585" s="9">
        <v>42685.0</v>
      </c>
      <c r="C585" s="3">
        <f>IFERROR(__xludf.DUMMYFUNCTION("split(B585,""/"")"),11.0)</f>
        <v>11</v>
      </c>
      <c r="D585" s="10">
        <f>IFERROR(__xludf.DUMMYFUNCTION("""COMPUTED_VALUE"""),11.0)</f>
        <v>11</v>
      </c>
      <c r="E585" s="11">
        <f>IFERROR(__xludf.DUMMYFUNCTION("""COMPUTED_VALUE"""),2016.0)</f>
        <v>2016</v>
      </c>
      <c r="F585" s="12">
        <f t="shared" si="1"/>
        <v>42685</v>
      </c>
      <c r="G585" s="3" t="s">
        <v>1187</v>
      </c>
      <c r="H585" s="3">
        <f>IFERROR(__xludf.DUMMYFUNCTION("split(G585,""/"")"),12.0)</f>
        <v>12</v>
      </c>
      <c r="I585" s="3">
        <f>IFERROR(__xludf.DUMMYFUNCTION("""COMPUTED_VALUE"""),14.0)</f>
        <v>14</v>
      </c>
      <c r="J585" s="3">
        <f>IFERROR(__xludf.DUMMYFUNCTION("""COMPUTED_VALUE"""),2016.0)</f>
        <v>2016</v>
      </c>
      <c r="K585" s="12">
        <f t="shared" si="2"/>
        <v>42718</v>
      </c>
      <c r="L585" s="3" t="s">
        <v>817</v>
      </c>
      <c r="M585" s="3" t="s">
        <v>671</v>
      </c>
      <c r="N585" s="3">
        <v>8969.0</v>
      </c>
      <c r="O585" s="3" t="s">
        <v>815</v>
      </c>
      <c r="P585" s="10">
        <v>245.0</v>
      </c>
      <c r="Q585" s="13">
        <v>152.58</v>
      </c>
      <c r="R585" s="13">
        <v>97.44</v>
      </c>
      <c r="S585" s="13">
        <f t="shared" si="3"/>
        <v>37382.1</v>
      </c>
      <c r="T585" s="13">
        <f t="shared" si="4"/>
        <v>23872.8</v>
      </c>
      <c r="U585" s="13">
        <f t="shared" si="5"/>
        <v>13509.3</v>
      </c>
      <c r="V585" s="3" t="str">
        <f>VLOOKUP(N585,products!A:B,2,0)</f>
        <v>Snacks</v>
      </c>
      <c r="W585" s="3" t="s">
        <v>28</v>
      </c>
      <c r="X585" s="3" t="s">
        <v>33</v>
      </c>
      <c r="Y585" s="14">
        <f t="shared" si="10"/>
        <v>0.3613841919</v>
      </c>
      <c r="Z585" s="3">
        <f t="shared" si="7"/>
        <v>33</v>
      </c>
      <c r="AA585" s="15">
        <f t="shared" si="8"/>
        <v>6</v>
      </c>
    </row>
    <row r="586" ht="15.75" customHeight="1">
      <c r="A586" s="3">
        <v>4.85929429E8</v>
      </c>
      <c r="B586" s="3" t="s">
        <v>945</v>
      </c>
      <c r="C586" s="3">
        <f>IFERROR(__xludf.DUMMYFUNCTION("split(B586,""/"")"),4.0)</f>
        <v>4</v>
      </c>
      <c r="D586" s="10">
        <f>IFERROR(__xludf.DUMMYFUNCTION("""COMPUTED_VALUE"""),17.0)</f>
        <v>17</v>
      </c>
      <c r="E586" s="11">
        <f>IFERROR(__xludf.DUMMYFUNCTION("""COMPUTED_VALUE"""),2017.0)</f>
        <v>2017</v>
      </c>
      <c r="F586" s="12">
        <f t="shared" si="1"/>
        <v>42842</v>
      </c>
      <c r="G586" s="3" t="s">
        <v>1392</v>
      </c>
      <c r="H586" s="3">
        <f>IFERROR(__xludf.DUMMYFUNCTION("split(G586,""/"")"),5.0)</f>
        <v>5</v>
      </c>
      <c r="I586" s="3">
        <f>IFERROR(__xludf.DUMMYFUNCTION("""COMPUTED_VALUE"""),19.0)</f>
        <v>19</v>
      </c>
      <c r="J586" s="3">
        <f>IFERROR(__xludf.DUMMYFUNCTION("""COMPUTED_VALUE"""),2017.0)</f>
        <v>2017</v>
      </c>
      <c r="K586" s="12">
        <f t="shared" si="2"/>
        <v>42874</v>
      </c>
      <c r="L586" s="3" t="s">
        <v>817</v>
      </c>
      <c r="M586" s="3" t="s">
        <v>740</v>
      </c>
      <c r="N586" s="3">
        <v>3127.0</v>
      </c>
      <c r="O586" s="3" t="s">
        <v>818</v>
      </c>
      <c r="P586" s="10">
        <v>6171.0</v>
      </c>
      <c r="Q586" s="13">
        <v>81.73</v>
      </c>
      <c r="R586" s="13">
        <v>56.67</v>
      </c>
      <c r="S586" s="13">
        <f t="shared" si="3"/>
        <v>504355.83</v>
      </c>
      <c r="T586" s="13">
        <f t="shared" si="4"/>
        <v>349710.57</v>
      </c>
      <c r="U586" s="13">
        <f t="shared" si="5"/>
        <v>154645.26</v>
      </c>
      <c r="V586" s="3" t="str">
        <f>VLOOKUP(N586,products!A:B,2,0)</f>
        <v>Personal Care</v>
      </c>
      <c r="W586" s="3" t="s">
        <v>28</v>
      </c>
      <c r="X586" s="3" t="s">
        <v>98</v>
      </c>
      <c r="Y586" s="14">
        <f t="shared" si="10"/>
        <v>0.3066193564</v>
      </c>
      <c r="Z586" s="3">
        <f t="shared" si="7"/>
        <v>32</v>
      </c>
      <c r="AA586" s="15">
        <f t="shared" si="8"/>
        <v>2</v>
      </c>
    </row>
    <row r="587" ht="15.75" customHeight="1">
      <c r="A587" s="3">
        <v>4.86345708E8</v>
      </c>
      <c r="B587" s="9">
        <v>41707.0</v>
      </c>
      <c r="C587" s="3">
        <f>IFERROR(__xludf.DUMMYFUNCTION("split(B587,""/"")"),9.0)</f>
        <v>9</v>
      </c>
      <c r="D587" s="10">
        <f>IFERROR(__xludf.DUMMYFUNCTION("""COMPUTED_VALUE"""),3.0)</f>
        <v>3</v>
      </c>
      <c r="E587" s="11">
        <f>IFERROR(__xludf.DUMMYFUNCTION("""COMPUTED_VALUE"""),2014.0)</f>
        <v>2014</v>
      </c>
      <c r="F587" s="12">
        <f t="shared" si="1"/>
        <v>41885</v>
      </c>
      <c r="G587" s="9">
        <v>41953.0</v>
      </c>
      <c r="H587" s="3">
        <f>IFERROR(__xludf.DUMMYFUNCTION("split(G587,""/"")"),10.0)</f>
        <v>10</v>
      </c>
      <c r="I587" s="3">
        <f>IFERROR(__xludf.DUMMYFUNCTION("""COMPUTED_VALUE"""),11.0)</f>
        <v>11</v>
      </c>
      <c r="J587" s="3">
        <f>IFERROR(__xludf.DUMMYFUNCTION("""COMPUTED_VALUE"""),2014.0)</f>
        <v>2014</v>
      </c>
      <c r="K587" s="12">
        <f t="shared" si="2"/>
        <v>41923</v>
      </c>
      <c r="L587" s="3" t="s">
        <v>827</v>
      </c>
      <c r="M587" s="3" t="s">
        <v>593</v>
      </c>
      <c r="N587" s="3">
        <v>8293.0</v>
      </c>
      <c r="O587" s="3" t="s">
        <v>818</v>
      </c>
      <c r="P587" s="10">
        <v>9357.0</v>
      </c>
      <c r="Q587" s="13">
        <v>437.2</v>
      </c>
      <c r="R587" s="13">
        <v>263.33</v>
      </c>
      <c r="S587" s="13">
        <f t="shared" si="3"/>
        <v>4090880.4</v>
      </c>
      <c r="T587" s="13">
        <f t="shared" si="4"/>
        <v>2463978.81</v>
      </c>
      <c r="U587" s="13">
        <f t="shared" si="5"/>
        <v>1626901.59</v>
      </c>
      <c r="V587" s="3" t="str">
        <f>VLOOKUP(N587,products!A:B,2,0)</f>
        <v>Cosmetics</v>
      </c>
      <c r="W587" s="3" t="s">
        <v>28</v>
      </c>
      <c r="X587" s="3" t="s">
        <v>98</v>
      </c>
      <c r="Y587" s="14">
        <f t="shared" si="10"/>
        <v>0.3976898445</v>
      </c>
      <c r="Z587" s="3">
        <f t="shared" si="7"/>
        <v>38</v>
      </c>
      <c r="AA587" s="15">
        <f t="shared" si="8"/>
        <v>4</v>
      </c>
    </row>
    <row r="588" ht="15.75" customHeight="1">
      <c r="A588" s="3">
        <v>4.8646115E8</v>
      </c>
      <c r="B588" s="9">
        <v>42500.0</v>
      </c>
      <c r="C588" s="3">
        <f>IFERROR(__xludf.DUMMYFUNCTION("split(B588,""/"")"),10.0)</f>
        <v>10</v>
      </c>
      <c r="D588" s="10">
        <f>IFERROR(__xludf.DUMMYFUNCTION("""COMPUTED_VALUE"""),5.0)</f>
        <v>5</v>
      </c>
      <c r="E588" s="11">
        <f>IFERROR(__xludf.DUMMYFUNCTION("""COMPUTED_VALUE"""),2016.0)</f>
        <v>2016</v>
      </c>
      <c r="F588" s="12">
        <f t="shared" si="1"/>
        <v>42648</v>
      </c>
      <c r="G588" s="3" t="s">
        <v>1083</v>
      </c>
      <c r="H588" s="3">
        <f>IFERROR(__xludf.DUMMYFUNCTION("split(G588,""/"")"),11.0)</f>
        <v>11</v>
      </c>
      <c r="I588" s="3">
        <f>IFERROR(__xludf.DUMMYFUNCTION("""COMPUTED_VALUE"""),13.0)</f>
        <v>13</v>
      </c>
      <c r="J588" s="3">
        <f>IFERROR(__xludf.DUMMYFUNCTION("""COMPUTED_VALUE"""),2016.0)</f>
        <v>2016</v>
      </c>
      <c r="K588" s="12">
        <f t="shared" si="2"/>
        <v>42687</v>
      </c>
      <c r="L588" s="3" t="s">
        <v>814</v>
      </c>
      <c r="M588" s="3" t="s">
        <v>413</v>
      </c>
      <c r="N588" s="3">
        <v>5988.0</v>
      </c>
      <c r="O588" s="3" t="s">
        <v>818</v>
      </c>
      <c r="P588" s="10">
        <v>3519.0</v>
      </c>
      <c r="Q588" s="13">
        <v>154.06</v>
      </c>
      <c r="R588" s="13">
        <v>90.93</v>
      </c>
      <c r="S588" s="13">
        <f t="shared" si="3"/>
        <v>542137.14</v>
      </c>
      <c r="T588" s="13">
        <f t="shared" si="4"/>
        <v>319982.67</v>
      </c>
      <c r="U588" s="13">
        <f t="shared" si="5"/>
        <v>222154.47</v>
      </c>
      <c r="V588" s="3" t="str">
        <f>VLOOKUP(N588,products!A:B,2,0)</f>
        <v>Vegetables</v>
      </c>
      <c r="W588" s="3" t="s">
        <v>28</v>
      </c>
      <c r="X588" s="3" t="s">
        <v>29</v>
      </c>
      <c r="Y588" s="14">
        <f t="shared" si="10"/>
        <v>0.4097754122</v>
      </c>
      <c r="Z588" s="3">
        <f t="shared" si="7"/>
        <v>39</v>
      </c>
      <c r="AA588" s="15">
        <f t="shared" si="8"/>
        <v>4</v>
      </c>
    </row>
    <row r="589" ht="15.75" customHeight="1">
      <c r="A589" s="3">
        <v>4.8831638E8</v>
      </c>
      <c r="B589" s="3" t="s">
        <v>1393</v>
      </c>
      <c r="C589" s="3">
        <f>IFERROR(__xludf.DUMMYFUNCTION("split(B589,""/"")"),10.0)</f>
        <v>10</v>
      </c>
      <c r="D589" s="10">
        <f>IFERROR(__xludf.DUMMYFUNCTION("""COMPUTED_VALUE"""),31.0)</f>
        <v>31</v>
      </c>
      <c r="E589" s="11">
        <f>IFERROR(__xludf.DUMMYFUNCTION("""COMPUTED_VALUE"""),2015.0)</f>
        <v>2015</v>
      </c>
      <c r="F589" s="12">
        <f t="shared" si="1"/>
        <v>42308</v>
      </c>
      <c r="G589" s="3" t="s">
        <v>1394</v>
      </c>
      <c r="H589" s="3">
        <f>IFERROR(__xludf.DUMMYFUNCTION("split(G589,""/"")"),11.0)</f>
        <v>11</v>
      </c>
      <c r="I589" s="3">
        <f>IFERROR(__xludf.DUMMYFUNCTION("""COMPUTED_VALUE"""),18.0)</f>
        <v>18</v>
      </c>
      <c r="J589" s="3">
        <f>IFERROR(__xludf.DUMMYFUNCTION("""COMPUTED_VALUE"""),2015.0)</f>
        <v>2015</v>
      </c>
      <c r="K589" s="12">
        <f t="shared" si="2"/>
        <v>42326</v>
      </c>
      <c r="L589" s="3" t="s">
        <v>825</v>
      </c>
      <c r="M589" s="3" t="s">
        <v>300</v>
      </c>
      <c r="N589" s="3">
        <v>4594.0</v>
      </c>
      <c r="O589" s="3" t="s">
        <v>815</v>
      </c>
      <c r="P589" s="10">
        <v>2523.0</v>
      </c>
      <c r="Q589" s="13">
        <v>9.33</v>
      </c>
      <c r="R589" s="13">
        <v>6.92</v>
      </c>
      <c r="S589" s="13">
        <f t="shared" si="3"/>
        <v>23539.59</v>
      </c>
      <c r="T589" s="13">
        <f t="shared" si="4"/>
        <v>17459.16</v>
      </c>
      <c r="U589" s="13">
        <f t="shared" si="5"/>
        <v>6080.43</v>
      </c>
      <c r="V589" s="3" t="str">
        <f>VLOOKUP(N589,products!A:B,2,0)</f>
        <v>Fruits</v>
      </c>
      <c r="W589" s="3" t="s">
        <v>28</v>
      </c>
      <c r="X589" s="3" t="s">
        <v>33</v>
      </c>
      <c r="Y589" s="14">
        <f t="shared" si="10"/>
        <v>0.258306538</v>
      </c>
      <c r="Z589" s="3">
        <f t="shared" si="7"/>
        <v>18</v>
      </c>
      <c r="AA589" s="15">
        <f t="shared" si="8"/>
        <v>7</v>
      </c>
    </row>
    <row r="590" ht="15.75" customHeight="1">
      <c r="A590" s="3">
        <v>4.88815915E8</v>
      </c>
      <c r="B590" s="9">
        <v>40605.0</v>
      </c>
      <c r="C590" s="3">
        <f>IFERROR(__xludf.DUMMYFUNCTION("split(B590,""/"")"),3.0)</f>
        <v>3</v>
      </c>
      <c r="D590" s="10">
        <f>IFERROR(__xludf.DUMMYFUNCTION("""COMPUTED_VALUE"""),3.0)</f>
        <v>3</v>
      </c>
      <c r="E590" s="11">
        <f>IFERROR(__xludf.DUMMYFUNCTION("""COMPUTED_VALUE"""),2011.0)</f>
        <v>2011</v>
      </c>
      <c r="F590" s="12">
        <f t="shared" si="1"/>
        <v>40605</v>
      </c>
      <c r="G590" s="3" t="s">
        <v>1395</v>
      </c>
      <c r="H590" s="3">
        <f>IFERROR(__xludf.DUMMYFUNCTION("split(G590,""/"")"),4.0)</f>
        <v>4</v>
      </c>
      <c r="I590" s="3">
        <f>IFERROR(__xludf.DUMMYFUNCTION("""COMPUTED_VALUE"""),17.0)</f>
        <v>17</v>
      </c>
      <c r="J590" s="3">
        <f>IFERROR(__xludf.DUMMYFUNCTION("""COMPUTED_VALUE"""),2011.0)</f>
        <v>2011</v>
      </c>
      <c r="K590" s="12">
        <f t="shared" si="2"/>
        <v>40650</v>
      </c>
      <c r="L590" s="3" t="s">
        <v>814</v>
      </c>
      <c r="M590" s="3" t="s">
        <v>206</v>
      </c>
      <c r="N590" s="3">
        <v>8969.0</v>
      </c>
      <c r="O590" s="3" t="s">
        <v>818</v>
      </c>
      <c r="P590" s="10">
        <v>347.0</v>
      </c>
      <c r="Q590" s="13">
        <v>152.58</v>
      </c>
      <c r="R590" s="13">
        <v>97.44</v>
      </c>
      <c r="S590" s="13">
        <f t="shared" si="3"/>
        <v>52945.26</v>
      </c>
      <c r="T590" s="13">
        <f t="shared" si="4"/>
        <v>33811.68</v>
      </c>
      <c r="U590" s="13">
        <f t="shared" si="5"/>
        <v>19133.58</v>
      </c>
      <c r="V590" s="3" t="str">
        <f>VLOOKUP(N590,products!A:B,2,0)</f>
        <v>Snacks</v>
      </c>
      <c r="W590" s="3" t="s">
        <v>28</v>
      </c>
      <c r="X590" s="3" t="s">
        <v>33</v>
      </c>
      <c r="Y590" s="14">
        <f t="shared" si="10"/>
        <v>0.3613841919</v>
      </c>
      <c r="Z590" s="3">
        <f t="shared" si="7"/>
        <v>45</v>
      </c>
      <c r="AA590" s="15">
        <f t="shared" si="8"/>
        <v>5</v>
      </c>
    </row>
    <row r="591" ht="15.75" customHeight="1">
      <c r="A591" s="3">
        <v>4.89600837E8</v>
      </c>
      <c r="B591" s="9">
        <v>41887.0</v>
      </c>
      <c r="C591" s="3">
        <f>IFERROR(__xludf.DUMMYFUNCTION("split(B591,""/"")"),5.0)</f>
        <v>5</v>
      </c>
      <c r="D591" s="10">
        <f>IFERROR(__xludf.DUMMYFUNCTION("""COMPUTED_VALUE"""),9.0)</f>
        <v>9</v>
      </c>
      <c r="E591" s="11">
        <f>IFERROR(__xludf.DUMMYFUNCTION("""COMPUTED_VALUE"""),2014.0)</f>
        <v>2014</v>
      </c>
      <c r="F591" s="12">
        <f t="shared" si="1"/>
        <v>41768</v>
      </c>
      <c r="G591" s="9">
        <v>41888.0</v>
      </c>
      <c r="H591" s="3">
        <f>IFERROR(__xludf.DUMMYFUNCTION("split(G591,""/"")"),6.0)</f>
        <v>6</v>
      </c>
      <c r="I591" s="3">
        <f>IFERROR(__xludf.DUMMYFUNCTION("""COMPUTED_VALUE"""),9.0)</f>
        <v>9</v>
      </c>
      <c r="J591" s="3">
        <f>IFERROR(__xludf.DUMMYFUNCTION("""COMPUTED_VALUE"""),2014.0)</f>
        <v>2014</v>
      </c>
      <c r="K591" s="12">
        <f t="shared" si="2"/>
        <v>41799</v>
      </c>
      <c r="L591" s="3" t="s">
        <v>817</v>
      </c>
      <c r="M591" s="3" t="s">
        <v>78</v>
      </c>
      <c r="N591" s="3">
        <v>5988.0</v>
      </c>
      <c r="O591" s="3" t="s">
        <v>818</v>
      </c>
      <c r="P591" s="10">
        <v>2622.0</v>
      </c>
      <c r="Q591" s="13">
        <v>154.06</v>
      </c>
      <c r="R591" s="13">
        <v>90.93</v>
      </c>
      <c r="S591" s="13">
        <f t="shared" si="3"/>
        <v>403945.32</v>
      </c>
      <c r="T591" s="13">
        <f t="shared" si="4"/>
        <v>238418.46</v>
      </c>
      <c r="U591" s="13">
        <f t="shared" si="5"/>
        <v>165526.86</v>
      </c>
      <c r="V591" s="3" t="str">
        <f>VLOOKUP(N591,products!A:B,2,0)</f>
        <v>Vegetables</v>
      </c>
      <c r="W591" s="3" t="s">
        <v>28</v>
      </c>
      <c r="X591" s="3" t="s">
        <v>79</v>
      </c>
      <c r="Y591" s="14">
        <f t="shared" si="10"/>
        <v>0.4097754122</v>
      </c>
      <c r="Z591" s="3">
        <f t="shared" si="7"/>
        <v>31</v>
      </c>
      <c r="AA591" s="15">
        <f t="shared" si="8"/>
        <v>6</v>
      </c>
    </row>
    <row r="592" ht="15.75" customHeight="1">
      <c r="A592" s="3">
        <v>4.89848029E8</v>
      </c>
      <c r="B592" s="9">
        <v>40183.0</v>
      </c>
      <c r="C592" s="3">
        <f>IFERROR(__xludf.DUMMYFUNCTION("split(B592,""/"")"),5.0)</f>
        <v>5</v>
      </c>
      <c r="D592" s="10">
        <f>IFERROR(__xludf.DUMMYFUNCTION("""COMPUTED_VALUE"""),1.0)</f>
        <v>1</v>
      </c>
      <c r="E592" s="11">
        <f>IFERROR(__xludf.DUMMYFUNCTION("""COMPUTED_VALUE"""),2010.0)</f>
        <v>2010</v>
      </c>
      <c r="F592" s="12">
        <f t="shared" si="1"/>
        <v>40299</v>
      </c>
      <c r="G592" s="3" t="s">
        <v>1396</v>
      </c>
      <c r="H592" s="3">
        <f>IFERROR(__xludf.DUMMYFUNCTION("split(G592,""/"")"),5.0)</f>
        <v>5</v>
      </c>
      <c r="I592" s="3">
        <f>IFERROR(__xludf.DUMMYFUNCTION("""COMPUTED_VALUE"""),20.0)</f>
        <v>20</v>
      </c>
      <c r="J592" s="3">
        <f>IFERROR(__xludf.DUMMYFUNCTION("""COMPUTED_VALUE"""),2010.0)</f>
        <v>2010</v>
      </c>
      <c r="K592" s="12">
        <f t="shared" si="2"/>
        <v>40318</v>
      </c>
      <c r="L592" s="3" t="s">
        <v>814</v>
      </c>
      <c r="M592" s="3" t="s">
        <v>821</v>
      </c>
      <c r="N592" s="3">
        <v>8969.0</v>
      </c>
      <c r="O592" s="3" t="s">
        <v>818</v>
      </c>
      <c r="P592" s="10">
        <v>5772.0</v>
      </c>
      <c r="Q592" s="13">
        <v>152.58</v>
      </c>
      <c r="R592" s="13">
        <v>97.44</v>
      </c>
      <c r="S592" s="13">
        <f t="shared" si="3"/>
        <v>880691.76</v>
      </c>
      <c r="T592" s="13">
        <f t="shared" si="4"/>
        <v>562423.68</v>
      </c>
      <c r="U592" s="13">
        <f t="shared" si="5"/>
        <v>318268.08</v>
      </c>
      <c r="V592" s="3" t="str">
        <f>VLOOKUP(N592,products!A:B,2,0)</f>
        <v>Snacks</v>
      </c>
      <c r="W592" s="3" t="s">
        <v>821</v>
      </c>
      <c r="X592" s="3" t="s">
        <v>821</v>
      </c>
      <c r="Y592" s="14">
        <f t="shared" si="10"/>
        <v>0.3613841919</v>
      </c>
      <c r="Z592" s="3">
        <f t="shared" si="7"/>
        <v>19</v>
      </c>
      <c r="AA592" s="15">
        <f t="shared" si="8"/>
        <v>7</v>
      </c>
    </row>
    <row r="593" ht="15.75" customHeight="1">
      <c r="A593" s="3">
        <v>4.91547477E8</v>
      </c>
      <c r="B593" s="9">
        <v>41831.0</v>
      </c>
      <c r="C593" s="3">
        <f>IFERROR(__xludf.DUMMYFUNCTION("split(B593,""/"")"),11.0)</f>
        <v>11</v>
      </c>
      <c r="D593" s="10">
        <f>IFERROR(__xludf.DUMMYFUNCTION("""COMPUTED_VALUE"""),7.0)</f>
        <v>7</v>
      </c>
      <c r="E593" s="11">
        <f>IFERROR(__xludf.DUMMYFUNCTION("""COMPUTED_VALUE"""),2014.0)</f>
        <v>2014</v>
      </c>
      <c r="F593" s="12">
        <f t="shared" si="1"/>
        <v>41950</v>
      </c>
      <c r="G593" s="9">
        <v>41831.0</v>
      </c>
      <c r="H593" s="3">
        <f>IFERROR(__xludf.DUMMYFUNCTION("split(G593,""/"")"),11.0)</f>
        <v>11</v>
      </c>
      <c r="I593" s="3">
        <f>IFERROR(__xludf.DUMMYFUNCTION("""COMPUTED_VALUE"""),7.0)</f>
        <v>7</v>
      </c>
      <c r="J593" s="3">
        <f>IFERROR(__xludf.DUMMYFUNCTION("""COMPUTED_VALUE"""),2014.0)</f>
        <v>2014</v>
      </c>
      <c r="K593" s="12">
        <f t="shared" si="2"/>
        <v>41950</v>
      </c>
      <c r="L593" s="3" t="s">
        <v>827</v>
      </c>
      <c r="M593" s="3" t="s">
        <v>821</v>
      </c>
      <c r="N593" s="3">
        <v>5988.0</v>
      </c>
      <c r="O593" s="3" t="s">
        <v>815</v>
      </c>
      <c r="P593" s="10">
        <v>8676.0</v>
      </c>
      <c r="Q593" s="13">
        <v>154.06</v>
      </c>
      <c r="R593" s="13">
        <v>90.93</v>
      </c>
      <c r="S593" s="13">
        <f t="shared" si="3"/>
        <v>1336624.56</v>
      </c>
      <c r="T593" s="13">
        <f t="shared" si="4"/>
        <v>788908.68</v>
      </c>
      <c r="U593" s="13">
        <f t="shared" si="5"/>
        <v>547715.88</v>
      </c>
      <c r="V593" s="3" t="str">
        <f>VLOOKUP(N593,products!A:B,2,0)</f>
        <v>Vegetables</v>
      </c>
      <c r="W593" s="3" t="s">
        <v>821</v>
      </c>
      <c r="X593" s="3" t="s">
        <v>821</v>
      </c>
      <c r="Y593" s="14">
        <f t="shared" si="10"/>
        <v>0.4097754122</v>
      </c>
      <c r="Z593" s="3">
        <f t="shared" si="7"/>
        <v>0</v>
      </c>
      <c r="AA593" s="15">
        <f t="shared" si="8"/>
        <v>6</v>
      </c>
    </row>
    <row r="594" ht="15.75" customHeight="1">
      <c r="A594" s="3">
        <v>4.92353856E8</v>
      </c>
      <c r="B594" s="3" t="s">
        <v>1397</v>
      </c>
      <c r="C594" s="3">
        <f>IFERROR(__xludf.DUMMYFUNCTION("split(B594,""/"")"),3.0)</f>
        <v>3</v>
      </c>
      <c r="D594" s="10">
        <f>IFERROR(__xludf.DUMMYFUNCTION("""COMPUTED_VALUE"""),20.0)</f>
        <v>20</v>
      </c>
      <c r="E594" s="11">
        <f>IFERROR(__xludf.DUMMYFUNCTION("""COMPUTED_VALUE"""),2013.0)</f>
        <v>2013</v>
      </c>
      <c r="F594" s="12">
        <f t="shared" si="1"/>
        <v>41353</v>
      </c>
      <c r="G594" s="9">
        <v>41582.0</v>
      </c>
      <c r="H594" s="3">
        <f>IFERROR(__xludf.DUMMYFUNCTION("split(G594,""/"")"),4.0)</f>
        <v>4</v>
      </c>
      <c r="I594" s="3">
        <f>IFERROR(__xludf.DUMMYFUNCTION("""COMPUTED_VALUE"""),11.0)</f>
        <v>11</v>
      </c>
      <c r="J594" s="3">
        <f>IFERROR(__xludf.DUMMYFUNCTION("""COMPUTED_VALUE"""),2013.0)</f>
        <v>2013</v>
      </c>
      <c r="K594" s="12">
        <f t="shared" si="2"/>
        <v>41375</v>
      </c>
      <c r="L594" s="3" t="s">
        <v>825</v>
      </c>
      <c r="M594" s="3" t="s">
        <v>215</v>
      </c>
      <c r="N594" s="3">
        <v>7940.0</v>
      </c>
      <c r="O594" s="3" t="s">
        <v>815</v>
      </c>
      <c r="P594" s="10">
        <v>7302.0</v>
      </c>
      <c r="Q594" s="13">
        <v>668.27</v>
      </c>
      <c r="R594" s="13">
        <v>502.54</v>
      </c>
      <c r="S594" s="13">
        <f t="shared" si="3"/>
        <v>4879707.54</v>
      </c>
      <c r="T594" s="13">
        <f t="shared" si="4"/>
        <v>3669547.08</v>
      </c>
      <c r="U594" s="13">
        <f t="shared" si="5"/>
        <v>1210160.46</v>
      </c>
      <c r="V594" s="3" t="str">
        <f>VLOOKUP(N594,products!A:B,2,0)</f>
        <v>Household</v>
      </c>
      <c r="W594" s="3" t="s">
        <v>23</v>
      </c>
      <c r="X594" s="3" t="s">
        <v>68</v>
      </c>
      <c r="Y594" s="14">
        <f t="shared" si="10"/>
        <v>0.2479985635</v>
      </c>
      <c r="Z594" s="3">
        <f t="shared" si="7"/>
        <v>22</v>
      </c>
      <c r="AA594" s="15">
        <f t="shared" si="8"/>
        <v>4</v>
      </c>
    </row>
    <row r="595" ht="15.75" customHeight="1">
      <c r="A595" s="3">
        <v>4.95450627E8</v>
      </c>
      <c r="B595" s="3" t="s">
        <v>1160</v>
      </c>
      <c r="C595" s="3">
        <f>IFERROR(__xludf.DUMMYFUNCTION("split(B595,""/"")"),11.0)</f>
        <v>11</v>
      </c>
      <c r="D595" s="10">
        <f>IFERROR(__xludf.DUMMYFUNCTION("""COMPUTED_VALUE"""),14.0)</f>
        <v>14</v>
      </c>
      <c r="E595" s="11">
        <f>IFERROR(__xludf.DUMMYFUNCTION("""COMPUTED_VALUE"""),2012.0)</f>
        <v>2012</v>
      </c>
      <c r="F595" s="12">
        <f t="shared" si="1"/>
        <v>41227</v>
      </c>
      <c r="G595" s="3" t="s">
        <v>1398</v>
      </c>
      <c r="H595" s="3">
        <f>IFERROR(__xludf.DUMMYFUNCTION("split(G595,""/"")"),12.0)</f>
        <v>12</v>
      </c>
      <c r="I595" s="3">
        <f>IFERROR(__xludf.DUMMYFUNCTION("""COMPUTED_VALUE"""),26.0)</f>
        <v>26</v>
      </c>
      <c r="J595" s="3">
        <f>IFERROR(__xludf.DUMMYFUNCTION("""COMPUTED_VALUE"""),2012.0)</f>
        <v>2012</v>
      </c>
      <c r="K595" s="12">
        <f t="shared" si="2"/>
        <v>41269</v>
      </c>
      <c r="L595" s="3" t="s">
        <v>825</v>
      </c>
      <c r="M595" s="3" t="s">
        <v>101</v>
      </c>
      <c r="N595" s="3">
        <v>2103.0</v>
      </c>
      <c r="O595" s="3" t="s">
        <v>818</v>
      </c>
      <c r="P595" s="10">
        <v>3705.0</v>
      </c>
      <c r="Q595" s="13">
        <v>205.7</v>
      </c>
      <c r="R595" s="13">
        <v>117.11</v>
      </c>
      <c r="S595" s="13">
        <f t="shared" si="3"/>
        <v>762118.5</v>
      </c>
      <c r="T595" s="13">
        <f t="shared" si="4"/>
        <v>433892.55</v>
      </c>
      <c r="U595" s="13">
        <f t="shared" si="5"/>
        <v>328225.95</v>
      </c>
      <c r="V595" s="3" t="str">
        <f>VLOOKUP(N595,products!A:B,2,0)</f>
        <v>Cereal</v>
      </c>
      <c r="W595" s="3" t="s">
        <v>28</v>
      </c>
      <c r="X595" s="3" t="s">
        <v>79</v>
      </c>
      <c r="Y595" s="14">
        <f t="shared" si="10"/>
        <v>0.4306757414</v>
      </c>
      <c r="Z595" s="3">
        <f t="shared" si="7"/>
        <v>42</v>
      </c>
      <c r="AA595" s="15">
        <f t="shared" si="8"/>
        <v>4</v>
      </c>
    </row>
    <row r="596" ht="15.75" customHeight="1">
      <c r="A596" s="3">
        <v>4.95593106E8</v>
      </c>
      <c r="B596" s="3" t="s">
        <v>1399</v>
      </c>
      <c r="C596" s="3">
        <f>IFERROR(__xludf.DUMMYFUNCTION("split(B596,""/"")"),9.0)</f>
        <v>9</v>
      </c>
      <c r="D596" s="10">
        <f>IFERROR(__xludf.DUMMYFUNCTION("""COMPUTED_VALUE"""),15.0)</f>
        <v>15</v>
      </c>
      <c r="E596" s="11">
        <f>IFERROR(__xludf.DUMMYFUNCTION("""COMPUTED_VALUE"""),2015.0)</f>
        <v>2015</v>
      </c>
      <c r="F596" s="12">
        <f t="shared" si="1"/>
        <v>42262</v>
      </c>
      <c r="G596" s="9">
        <v>42226.0</v>
      </c>
      <c r="H596" s="3">
        <f>IFERROR(__xludf.DUMMYFUNCTION("split(G596,""/"")"),10.0)</f>
        <v>10</v>
      </c>
      <c r="I596" s="3">
        <f>IFERROR(__xludf.DUMMYFUNCTION("""COMPUTED_VALUE"""),8.0)</f>
        <v>8</v>
      </c>
      <c r="J596" s="3">
        <f>IFERROR(__xludf.DUMMYFUNCTION("""COMPUTED_VALUE"""),2015.0)</f>
        <v>2015</v>
      </c>
      <c r="K596" s="12">
        <f t="shared" si="2"/>
        <v>42285</v>
      </c>
      <c r="L596" s="3" t="s">
        <v>814</v>
      </c>
      <c r="M596" s="3" t="s">
        <v>650</v>
      </c>
      <c r="N596" s="3">
        <v>1270.0</v>
      </c>
      <c r="O596" s="3" t="s">
        <v>818</v>
      </c>
      <c r="P596" s="10">
        <v>5868.0</v>
      </c>
      <c r="Q596" s="13">
        <v>47.45</v>
      </c>
      <c r="R596" s="13">
        <v>31.79</v>
      </c>
      <c r="S596" s="13">
        <f t="shared" si="3"/>
        <v>278436.6</v>
      </c>
      <c r="T596" s="13">
        <f t="shared" si="4"/>
        <v>186543.72</v>
      </c>
      <c r="U596" s="13">
        <f t="shared" si="5"/>
        <v>91892.88</v>
      </c>
      <c r="V596" s="3" t="str">
        <f>VLOOKUP(N596,products!A:B,2,0)</f>
        <v>Beverages</v>
      </c>
      <c r="W596" s="3" t="s">
        <v>28</v>
      </c>
      <c r="X596" s="3" t="s">
        <v>98</v>
      </c>
      <c r="Y596" s="14">
        <f t="shared" si="10"/>
        <v>0.3300316122</v>
      </c>
      <c r="Z596" s="3">
        <f t="shared" si="7"/>
        <v>23</v>
      </c>
      <c r="AA596" s="15">
        <f t="shared" si="8"/>
        <v>3</v>
      </c>
    </row>
    <row r="597" ht="15.75" customHeight="1">
      <c r="A597" s="3">
        <v>4.95631301E8</v>
      </c>
      <c r="B597" s="9">
        <v>41035.0</v>
      </c>
      <c r="C597" s="3">
        <f>IFERROR(__xludf.DUMMYFUNCTION("split(B597,""/"")"),6.0)</f>
        <v>6</v>
      </c>
      <c r="D597" s="10">
        <f>IFERROR(__xludf.DUMMYFUNCTION("""COMPUTED_VALUE"""),5.0)</f>
        <v>5</v>
      </c>
      <c r="E597" s="11">
        <f>IFERROR(__xludf.DUMMYFUNCTION("""COMPUTED_VALUE"""),2012.0)</f>
        <v>2012</v>
      </c>
      <c r="F597" s="12">
        <f t="shared" si="1"/>
        <v>41065</v>
      </c>
      <c r="G597" s="3" t="s">
        <v>883</v>
      </c>
      <c r="H597" s="3">
        <f>IFERROR(__xludf.DUMMYFUNCTION("split(G597,""/"")"),7.0)</f>
        <v>7</v>
      </c>
      <c r="I597" s="3">
        <f>IFERROR(__xludf.DUMMYFUNCTION("""COMPUTED_VALUE"""),18.0)</f>
        <v>18</v>
      </c>
      <c r="J597" s="3">
        <f>IFERROR(__xludf.DUMMYFUNCTION("""COMPUTED_VALUE"""),2012.0)</f>
        <v>2012</v>
      </c>
      <c r="K597" s="12">
        <f t="shared" si="2"/>
        <v>41108</v>
      </c>
      <c r="L597" s="3" t="s">
        <v>814</v>
      </c>
      <c r="M597" s="3" t="s">
        <v>346</v>
      </c>
      <c r="N597" s="3">
        <v>5988.0</v>
      </c>
      <c r="O597" s="3" t="s">
        <v>815</v>
      </c>
      <c r="P597" s="10">
        <v>7171.0</v>
      </c>
      <c r="Q597" s="13">
        <v>154.06</v>
      </c>
      <c r="R597" s="13">
        <v>90.93</v>
      </c>
      <c r="S597" s="13">
        <f t="shared" si="3"/>
        <v>1104764.26</v>
      </c>
      <c r="T597" s="13">
        <f t="shared" si="4"/>
        <v>652059.03</v>
      </c>
      <c r="U597" s="13">
        <f t="shared" si="5"/>
        <v>452705.23</v>
      </c>
      <c r="V597" s="3" t="str">
        <f>VLOOKUP(N597,products!A:B,2,0)</f>
        <v>Vegetables</v>
      </c>
      <c r="W597" s="3" t="s">
        <v>28</v>
      </c>
      <c r="X597" s="3" t="s">
        <v>98</v>
      </c>
      <c r="Y597" s="14">
        <f t="shared" si="10"/>
        <v>0.4097754122</v>
      </c>
      <c r="Z597" s="3">
        <f t="shared" si="7"/>
        <v>43</v>
      </c>
      <c r="AA597" s="15">
        <f t="shared" si="8"/>
        <v>3</v>
      </c>
    </row>
    <row r="598" ht="15.75" customHeight="1">
      <c r="A598" s="3">
        <v>4.96826493E8</v>
      </c>
      <c r="B598" s="3" t="s">
        <v>1400</v>
      </c>
      <c r="C598" s="3">
        <f>IFERROR(__xludf.DUMMYFUNCTION("split(B598,""/"")"),10.0)</f>
        <v>10</v>
      </c>
      <c r="D598" s="10">
        <f>IFERROR(__xludf.DUMMYFUNCTION("""COMPUTED_VALUE"""),28.0)</f>
        <v>28</v>
      </c>
      <c r="E598" s="11">
        <f>IFERROR(__xludf.DUMMYFUNCTION("""COMPUTED_VALUE"""),2012.0)</f>
        <v>2012</v>
      </c>
      <c r="F598" s="12">
        <f t="shared" si="1"/>
        <v>41210</v>
      </c>
      <c r="G598" s="9">
        <v>41225.0</v>
      </c>
      <c r="H598" s="3">
        <f>IFERROR(__xludf.DUMMYFUNCTION("split(G598,""/"")"),12.0)</f>
        <v>12</v>
      </c>
      <c r="I598" s="3">
        <f>IFERROR(__xludf.DUMMYFUNCTION("""COMPUTED_VALUE"""),11.0)</f>
        <v>11</v>
      </c>
      <c r="J598" s="3">
        <f>IFERROR(__xludf.DUMMYFUNCTION("""COMPUTED_VALUE"""),2012.0)</f>
        <v>2012</v>
      </c>
      <c r="K598" s="12">
        <f t="shared" si="2"/>
        <v>41254</v>
      </c>
      <c r="L598" s="3" t="s">
        <v>825</v>
      </c>
      <c r="M598" s="3" t="s">
        <v>288</v>
      </c>
      <c r="N598" s="3">
        <v>4594.0</v>
      </c>
      <c r="O598" s="3" t="s">
        <v>815</v>
      </c>
      <c r="P598" s="10">
        <v>855.0</v>
      </c>
      <c r="Q598" s="13">
        <v>9.33</v>
      </c>
      <c r="R598" s="13">
        <v>6.92</v>
      </c>
      <c r="S598" s="13">
        <f t="shared" si="3"/>
        <v>7977.15</v>
      </c>
      <c r="T598" s="13">
        <f t="shared" si="4"/>
        <v>5916.6</v>
      </c>
      <c r="U598" s="13">
        <f t="shared" si="5"/>
        <v>2060.55</v>
      </c>
      <c r="V598" s="3" t="str">
        <f>VLOOKUP(N598,products!A:B,2,0)</f>
        <v>Fruits</v>
      </c>
      <c r="W598" s="3" t="s">
        <v>23</v>
      </c>
      <c r="X598" s="3" t="s">
        <v>68</v>
      </c>
      <c r="Y598" s="14">
        <f t="shared" si="10"/>
        <v>0.258306538</v>
      </c>
      <c r="Z598" s="3">
        <f t="shared" si="7"/>
        <v>44</v>
      </c>
      <c r="AA598" s="15">
        <f t="shared" si="8"/>
        <v>1</v>
      </c>
    </row>
    <row r="599" ht="15.75" customHeight="1">
      <c r="A599" s="3">
        <v>4.97466361E8</v>
      </c>
      <c r="B599" s="9">
        <v>42220.0</v>
      </c>
      <c r="C599" s="3">
        <f>IFERROR(__xludf.DUMMYFUNCTION("split(B599,""/"")"),4.0)</f>
        <v>4</v>
      </c>
      <c r="D599" s="10">
        <f>IFERROR(__xludf.DUMMYFUNCTION("""COMPUTED_VALUE"""),8.0)</f>
        <v>8</v>
      </c>
      <c r="E599" s="11">
        <f>IFERROR(__xludf.DUMMYFUNCTION("""COMPUTED_VALUE"""),2015.0)</f>
        <v>2015</v>
      </c>
      <c r="F599" s="12">
        <f t="shared" si="1"/>
        <v>42102</v>
      </c>
      <c r="G599" s="9">
        <v>42009.0</v>
      </c>
      <c r="H599" s="3">
        <f>IFERROR(__xludf.DUMMYFUNCTION("split(G599,""/"")"),5.0)</f>
        <v>5</v>
      </c>
      <c r="I599" s="3">
        <f>IFERROR(__xludf.DUMMYFUNCTION("""COMPUTED_VALUE"""),1.0)</f>
        <v>1</v>
      </c>
      <c r="J599" s="3">
        <f>IFERROR(__xludf.DUMMYFUNCTION("""COMPUTED_VALUE"""),2015.0)</f>
        <v>2015</v>
      </c>
      <c r="K599" s="12">
        <f t="shared" si="2"/>
        <v>42125</v>
      </c>
      <c r="L599" s="3" t="s">
        <v>817</v>
      </c>
      <c r="M599" s="3" t="s">
        <v>101</v>
      </c>
      <c r="N599" s="3">
        <v>7940.0</v>
      </c>
      <c r="O599" s="3" t="s">
        <v>818</v>
      </c>
      <c r="P599" s="10">
        <v>206.0</v>
      </c>
      <c r="Q599" s="13">
        <v>668.27</v>
      </c>
      <c r="R599" s="13">
        <v>502.54</v>
      </c>
      <c r="S599" s="13">
        <f t="shared" si="3"/>
        <v>137663.62</v>
      </c>
      <c r="T599" s="13">
        <f t="shared" si="4"/>
        <v>103523.24</v>
      </c>
      <c r="U599" s="13">
        <f t="shared" si="5"/>
        <v>34140.38</v>
      </c>
      <c r="V599" s="3" t="str">
        <f>VLOOKUP(N599,products!A:B,2,0)</f>
        <v>Household</v>
      </c>
      <c r="W599" s="3" t="s">
        <v>28</v>
      </c>
      <c r="X599" s="3" t="s">
        <v>79</v>
      </c>
      <c r="Y599" s="14">
        <f t="shared" si="10"/>
        <v>0.2479985635</v>
      </c>
      <c r="Z599" s="3">
        <f t="shared" si="7"/>
        <v>23</v>
      </c>
      <c r="AA599" s="15">
        <f t="shared" si="8"/>
        <v>4</v>
      </c>
    </row>
    <row r="600" ht="15.75" customHeight="1">
      <c r="A600" s="3">
        <v>4.97506701E8</v>
      </c>
      <c r="B600" s="3" t="s">
        <v>829</v>
      </c>
      <c r="C600" s="3">
        <f>IFERROR(__xludf.DUMMYFUNCTION("split(B600,""/"")"),4.0)</f>
        <v>4</v>
      </c>
      <c r="D600" s="10">
        <f>IFERROR(__xludf.DUMMYFUNCTION("""COMPUTED_VALUE"""),18.0)</f>
        <v>18</v>
      </c>
      <c r="E600" s="11">
        <f>IFERROR(__xludf.DUMMYFUNCTION("""COMPUTED_VALUE"""),2015.0)</f>
        <v>2015</v>
      </c>
      <c r="F600" s="12">
        <f t="shared" si="1"/>
        <v>42112</v>
      </c>
      <c r="G600" s="9">
        <v>42282.0</v>
      </c>
      <c r="H600" s="3">
        <f>IFERROR(__xludf.DUMMYFUNCTION("split(G600,""/"")"),5.0)</f>
        <v>5</v>
      </c>
      <c r="I600" s="3">
        <f>IFERROR(__xludf.DUMMYFUNCTION("""COMPUTED_VALUE"""),10.0)</f>
        <v>10</v>
      </c>
      <c r="J600" s="3">
        <f>IFERROR(__xludf.DUMMYFUNCTION("""COMPUTED_VALUE"""),2015.0)</f>
        <v>2015</v>
      </c>
      <c r="K600" s="12">
        <f t="shared" si="2"/>
        <v>42134</v>
      </c>
      <c r="L600" s="3" t="s">
        <v>827</v>
      </c>
      <c r="M600" s="3" t="s">
        <v>364</v>
      </c>
      <c r="N600" s="3">
        <v>7331.0</v>
      </c>
      <c r="O600" s="3" t="s">
        <v>815</v>
      </c>
      <c r="P600" s="10">
        <v>2144.0</v>
      </c>
      <c r="Q600" s="13">
        <v>255.28</v>
      </c>
      <c r="R600" s="13">
        <v>159.42</v>
      </c>
      <c r="S600" s="13">
        <f t="shared" si="3"/>
        <v>547320.32</v>
      </c>
      <c r="T600" s="13">
        <f t="shared" si="4"/>
        <v>341796.48</v>
      </c>
      <c r="U600" s="13">
        <f t="shared" si="5"/>
        <v>205523.84</v>
      </c>
      <c r="V600" s="3" t="str">
        <f>VLOOKUP(N600,products!A:B,2,0)</f>
        <v>Baby Food</v>
      </c>
      <c r="W600" s="3" t="s">
        <v>28</v>
      </c>
      <c r="X600" s="3" t="s">
        <v>29</v>
      </c>
      <c r="Y600" s="14">
        <f t="shared" si="10"/>
        <v>0.3755092448</v>
      </c>
      <c r="Z600" s="3">
        <f t="shared" si="7"/>
        <v>22</v>
      </c>
      <c r="AA600" s="15">
        <f t="shared" si="8"/>
        <v>7</v>
      </c>
    </row>
    <row r="601" ht="15.75" customHeight="1">
      <c r="A601" s="3">
        <v>4.97554337E8</v>
      </c>
      <c r="B601" s="9">
        <v>41918.0</v>
      </c>
      <c r="C601" s="3">
        <f>IFERROR(__xludf.DUMMYFUNCTION("split(B601,""/"")"),6.0)</f>
        <v>6</v>
      </c>
      <c r="D601" s="10">
        <f>IFERROR(__xludf.DUMMYFUNCTION("""COMPUTED_VALUE"""),10.0)</f>
        <v>10</v>
      </c>
      <c r="E601" s="11">
        <f>IFERROR(__xludf.DUMMYFUNCTION("""COMPUTED_VALUE"""),2014.0)</f>
        <v>2014</v>
      </c>
      <c r="F601" s="12">
        <f t="shared" si="1"/>
        <v>41800</v>
      </c>
      <c r="G601" s="3" t="s">
        <v>1231</v>
      </c>
      <c r="H601" s="3">
        <f>IFERROR(__xludf.DUMMYFUNCTION("split(G601,""/"")"),7.0)</f>
        <v>7</v>
      </c>
      <c r="I601" s="3">
        <f>IFERROR(__xludf.DUMMYFUNCTION("""COMPUTED_VALUE"""),28.0)</f>
        <v>28</v>
      </c>
      <c r="J601" s="3">
        <f>IFERROR(__xludf.DUMMYFUNCTION("""COMPUTED_VALUE"""),2014.0)</f>
        <v>2014</v>
      </c>
      <c r="K601" s="12">
        <f t="shared" si="2"/>
        <v>41848</v>
      </c>
      <c r="L601" s="3" t="s">
        <v>827</v>
      </c>
      <c r="M601" s="3" t="s">
        <v>215</v>
      </c>
      <c r="N601" s="3">
        <v>2455.0</v>
      </c>
      <c r="O601" s="3" t="s">
        <v>815</v>
      </c>
      <c r="P601" s="10">
        <v>6240.0</v>
      </c>
      <c r="Q601" s="13">
        <v>109.28</v>
      </c>
      <c r="R601" s="13">
        <v>35.84</v>
      </c>
      <c r="S601" s="13">
        <f t="shared" si="3"/>
        <v>681907.2</v>
      </c>
      <c r="T601" s="13">
        <f t="shared" si="4"/>
        <v>223641.6</v>
      </c>
      <c r="U601" s="13">
        <f t="shared" si="5"/>
        <v>458265.6</v>
      </c>
      <c r="V601" s="3" t="str">
        <f>VLOOKUP(N601,products!A:B,2,0)</f>
        <v>Clothes</v>
      </c>
      <c r="W601" s="3" t="s">
        <v>23</v>
      </c>
      <c r="X601" s="3" t="s">
        <v>68</v>
      </c>
      <c r="Y601" s="14">
        <f t="shared" si="10"/>
        <v>0.6720351391</v>
      </c>
      <c r="Z601" s="3">
        <f t="shared" si="7"/>
        <v>48</v>
      </c>
      <c r="AA601" s="15">
        <f t="shared" si="8"/>
        <v>3</v>
      </c>
    </row>
    <row r="602" ht="15.75" customHeight="1">
      <c r="A602" s="3">
        <v>4.98089492E8</v>
      </c>
      <c r="B602" s="9">
        <v>42403.0</v>
      </c>
      <c r="C602" s="3">
        <f>IFERROR(__xludf.DUMMYFUNCTION("split(B602,""/"")"),3.0)</f>
        <v>3</v>
      </c>
      <c r="D602" s="10">
        <f>IFERROR(__xludf.DUMMYFUNCTION("""COMPUTED_VALUE"""),2.0)</f>
        <v>2</v>
      </c>
      <c r="E602" s="11">
        <f>IFERROR(__xludf.DUMMYFUNCTION("""COMPUTED_VALUE"""),2016.0)</f>
        <v>2016</v>
      </c>
      <c r="F602" s="12">
        <f t="shared" si="1"/>
        <v>42431</v>
      </c>
      <c r="G602" s="3" t="s">
        <v>943</v>
      </c>
      <c r="H602" s="3">
        <f>IFERROR(__xludf.DUMMYFUNCTION("split(G602,""/"")"),3.0)</f>
        <v>3</v>
      </c>
      <c r="I602" s="3">
        <f>IFERROR(__xludf.DUMMYFUNCTION("""COMPUTED_VALUE"""),22.0)</f>
        <v>22</v>
      </c>
      <c r="J602" s="3">
        <f>IFERROR(__xludf.DUMMYFUNCTION("""COMPUTED_VALUE"""),2016.0)</f>
        <v>2016</v>
      </c>
      <c r="K602" s="12">
        <f t="shared" si="2"/>
        <v>42451</v>
      </c>
      <c r="L602" s="3" t="s">
        <v>825</v>
      </c>
      <c r="M602" s="3" t="s">
        <v>215</v>
      </c>
      <c r="N602" s="3">
        <v>8875.0</v>
      </c>
      <c r="O602" s="3" t="s">
        <v>815</v>
      </c>
      <c r="P602" s="10">
        <v>4604.0</v>
      </c>
      <c r="Q602" s="13">
        <v>421.89</v>
      </c>
      <c r="R602" s="13">
        <v>364.69</v>
      </c>
      <c r="S602" s="13">
        <f t="shared" si="3"/>
        <v>1942381.56</v>
      </c>
      <c r="T602" s="13">
        <f t="shared" si="4"/>
        <v>1679032.76</v>
      </c>
      <c r="U602" s="13">
        <f t="shared" si="5"/>
        <v>263348.8</v>
      </c>
      <c r="V602" s="3" t="str">
        <f>VLOOKUP(N602,products!A:B,2,0)</f>
        <v>Meat</v>
      </c>
      <c r="W602" s="3" t="s">
        <v>23</v>
      </c>
      <c r="X602" s="3" t="s">
        <v>68</v>
      </c>
      <c r="Y602" s="14">
        <f t="shared" si="10"/>
        <v>0.1355803646</v>
      </c>
      <c r="Z602" s="3">
        <f t="shared" si="7"/>
        <v>20</v>
      </c>
      <c r="AA602" s="15">
        <f t="shared" si="8"/>
        <v>4</v>
      </c>
    </row>
    <row r="603" ht="15.75" customHeight="1">
      <c r="A603" s="3">
        <v>4.98201072E8</v>
      </c>
      <c r="B603" s="3" t="s">
        <v>875</v>
      </c>
      <c r="C603" s="3">
        <f>IFERROR(__xludf.DUMMYFUNCTION("split(B603,""/"")"),10.0)</f>
        <v>10</v>
      </c>
      <c r="D603" s="10">
        <f>IFERROR(__xludf.DUMMYFUNCTION("""COMPUTED_VALUE"""),29.0)</f>
        <v>29</v>
      </c>
      <c r="E603" s="11">
        <f>IFERROR(__xludf.DUMMYFUNCTION("""COMPUTED_VALUE"""),2013.0)</f>
        <v>2013</v>
      </c>
      <c r="F603" s="12">
        <f t="shared" si="1"/>
        <v>41576</v>
      </c>
      <c r="G603" s="9">
        <v>41466.0</v>
      </c>
      <c r="H603" s="3">
        <f>IFERROR(__xludf.DUMMYFUNCTION("split(G603,""/"")"),11.0)</f>
        <v>11</v>
      </c>
      <c r="I603" s="3">
        <f>IFERROR(__xludf.DUMMYFUNCTION("""COMPUTED_VALUE"""),7.0)</f>
        <v>7</v>
      </c>
      <c r="J603" s="3">
        <f>IFERROR(__xludf.DUMMYFUNCTION("""COMPUTED_VALUE"""),2013.0)</f>
        <v>2013</v>
      </c>
      <c r="K603" s="12">
        <f t="shared" si="2"/>
        <v>41585</v>
      </c>
      <c r="L603" s="3" t="s">
        <v>827</v>
      </c>
      <c r="M603" s="3" t="s">
        <v>653</v>
      </c>
      <c r="N603" s="3">
        <v>8293.0</v>
      </c>
      <c r="O603" s="3" t="s">
        <v>815</v>
      </c>
      <c r="P603" s="10">
        <v>7623.0</v>
      </c>
      <c r="Q603" s="13">
        <v>437.2</v>
      </c>
      <c r="R603" s="13">
        <v>263.33</v>
      </c>
      <c r="S603" s="13">
        <f t="shared" si="3"/>
        <v>3332775.6</v>
      </c>
      <c r="T603" s="13">
        <f t="shared" si="4"/>
        <v>2007364.59</v>
      </c>
      <c r="U603" s="13">
        <f t="shared" si="5"/>
        <v>1325411.01</v>
      </c>
      <c r="V603" s="3" t="str">
        <f>VLOOKUP(N603,products!A:B,2,0)</f>
        <v>Cosmetics</v>
      </c>
      <c r="W603" s="3" t="s">
        <v>28</v>
      </c>
      <c r="X603" s="3" t="s">
        <v>33</v>
      </c>
      <c r="Y603" s="14">
        <f t="shared" si="10"/>
        <v>0.3976898445</v>
      </c>
      <c r="Z603" s="3">
        <f t="shared" si="7"/>
        <v>9</v>
      </c>
      <c r="AA603" s="15">
        <f t="shared" si="8"/>
        <v>3</v>
      </c>
    </row>
    <row r="604" ht="15.75" customHeight="1">
      <c r="A604" s="3">
        <v>4.9894694E8</v>
      </c>
      <c r="B604" s="9">
        <v>42259.0</v>
      </c>
      <c r="C604" s="3">
        <f>IFERROR(__xludf.DUMMYFUNCTION("split(B604,""/"")"),12.0)</f>
        <v>12</v>
      </c>
      <c r="D604" s="10">
        <f>IFERROR(__xludf.DUMMYFUNCTION("""COMPUTED_VALUE"""),9.0)</f>
        <v>9</v>
      </c>
      <c r="E604" s="11">
        <f>IFERROR(__xludf.DUMMYFUNCTION("""COMPUTED_VALUE"""),2015.0)</f>
        <v>2015</v>
      </c>
      <c r="F604" s="12">
        <f t="shared" si="1"/>
        <v>42347</v>
      </c>
      <c r="G604" s="9">
        <v>42675.0</v>
      </c>
      <c r="H604" s="3">
        <f>IFERROR(__xludf.DUMMYFUNCTION("split(G604,""/"")"),1.0)</f>
        <v>1</v>
      </c>
      <c r="I604" s="3">
        <f>IFERROR(__xludf.DUMMYFUNCTION("""COMPUTED_VALUE"""),11.0)</f>
        <v>11</v>
      </c>
      <c r="J604" s="3">
        <f>IFERROR(__xludf.DUMMYFUNCTION("""COMPUTED_VALUE"""),2016.0)</f>
        <v>2016</v>
      </c>
      <c r="K604" s="12">
        <f t="shared" si="2"/>
        <v>42380</v>
      </c>
      <c r="L604" s="3" t="s">
        <v>817</v>
      </c>
      <c r="M604" s="3" t="s">
        <v>123</v>
      </c>
      <c r="N604" s="3">
        <v>8875.0</v>
      </c>
      <c r="O604" s="3" t="s">
        <v>818</v>
      </c>
      <c r="P604" s="10">
        <v>8342.0</v>
      </c>
      <c r="Q604" s="13">
        <v>421.89</v>
      </c>
      <c r="R604" s="13">
        <v>364.69</v>
      </c>
      <c r="S604" s="13">
        <f t="shared" si="3"/>
        <v>3519406.38</v>
      </c>
      <c r="T604" s="13">
        <f t="shared" si="4"/>
        <v>3042243.98</v>
      </c>
      <c r="U604" s="13">
        <f t="shared" si="5"/>
        <v>477162.4</v>
      </c>
      <c r="V604" s="3" t="str">
        <f>VLOOKUP(N604,products!A:B,2,0)</f>
        <v>Meat</v>
      </c>
      <c r="W604" s="3" t="s">
        <v>28</v>
      </c>
      <c r="X604" s="3" t="s">
        <v>33</v>
      </c>
      <c r="Y604" s="14">
        <f t="shared" si="10"/>
        <v>0.1355803646</v>
      </c>
      <c r="Z604" s="3">
        <f t="shared" si="7"/>
        <v>33</v>
      </c>
      <c r="AA604" s="15">
        <f t="shared" si="8"/>
        <v>4</v>
      </c>
    </row>
    <row r="605" ht="15.75" customHeight="1">
      <c r="A605" s="3">
        <v>4.99101436E8</v>
      </c>
      <c r="B605" s="3" t="s">
        <v>1401</v>
      </c>
      <c r="C605" s="3">
        <f>IFERROR(__xludf.DUMMYFUNCTION("split(B605,""/"")"),7.0)</f>
        <v>7</v>
      </c>
      <c r="D605" s="10">
        <f>IFERROR(__xludf.DUMMYFUNCTION("""COMPUTED_VALUE"""),13.0)</f>
        <v>13</v>
      </c>
      <c r="E605" s="11">
        <f>IFERROR(__xludf.DUMMYFUNCTION("""COMPUTED_VALUE"""),2011.0)</f>
        <v>2011</v>
      </c>
      <c r="F605" s="12">
        <f t="shared" si="1"/>
        <v>40737</v>
      </c>
      <c r="G605" s="3" t="s">
        <v>1124</v>
      </c>
      <c r="H605" s="3">
        <f>IFERROR(__xludf.DUMMYFUNCTION("split(G605,""/"")"),8.0)</f>
        <v>8</v>
      </c>
      <c r="I605" s="3">
        <f>IFERROR(__xludf.DUMMYFUNCTION("""COMPUTED_VALUE"""),28.0)</f>
        <v>28</v>
      </c>
      <c r="J605" s="3">
        <f>IFERROR(__xludf.DUMMYFUNCTION("""COMPUTED_VALUE"""),2011.0)</f>
        <v>2011</v>
      </c>
      <c r="K605" s="12">
        <f t="shared" si="2"/>
        <v>40783</v>
      </c>
      <c r="L605" s="3" t="s">
        <v>817</v>
      </c>
      <c r="M605" s="3" t="s">
        <v>821</v>
      </c>
      <c r="N605" s="3">
        <v>8969.0</v>
      </c>
      <c r="O605" s="3" t="s">
        <v>818</v>
      </c>
      <c r="P605" s="10">
        <v>4061.0</v>
      </c>
      <c r="Q605" s="13">
        <v>152.58</v>
      </c>
      <c r="R605" s="13">
        <v>97.44</v>
      </c>
      <c r="S605" s="13">
        <f t="shared" si="3"/>
        <v>619627.38</v>
      </c>
      <c r="T605" s="13">
        <f t="shared" si="4"/>
        <v>395703.84</v>
      </c>
      <c r="U605" s="13">
        <f t="shared" si="5"/>
        <v>223923.54</v>
      </c>
      <c r="V605" s="3" t="str">
        <f>VLOOKUP(N605,products!A:B,2,0)</f>
        <v>Snacks</v>
      </c>
      <c r="W605" s="3" t="s">
        <v>821</v>
      </c>
      <c r="X605" s="3" t="s">
        <v>821</v>
      </c>
      <c r="Y605" s="14">
        <f t="shared" si="10"/>
        <v>0.3613841919</v>
      </c>
      <c r="Z605" s="3">
        <f t="shared" si="7"/>
        <v>46</v>
      </c>
      <c r="AA605" s="15">
        <f t="shared" si="8"/>
        <v>4</v>
      </c>
    </row>
    <row r="606" ht="15.75" customHeight="1">
      <c r="A606" s="3">
        <v>5.04024684E8</v>
      </c>
      <c r="B606" s="3" t="s">
        <v>1402</v>
      </c>
      <c r="C606" s="3">
        <f>IFERROR(__xludf.DUMMYFUNCTION("split(B606,""/"")"),12.0)</f>
        <v>12</v>
      </c>
      <c r="D606" s="10">
        <f>IFERROR(__xludf.DUMMYFUNCTION("""COMPUTED_VALUE"""),14.0)</f>
        <v>14</v>
      </c>
      <c r="E606" s="11">
        <f>IFERROR(__xludf.DUMMYFUNCTION("""COMPUTED_VALUE"""),2015.0)</f>
        <v>2015</v>
      </c>
      <c r="F606" s="12">
        <f t="shared" si="1"/>
        <v>42352</v>
      </c>
      <c r="G606" s="3" t="s">
        <v>1403</v>
      </c>
      <c r="H606" s="3">
        <f>IFERROR(__xludf.DUMMYFUNCTION("split(G606,""/"")"),1.0)</f>
        <v>1</v>
      </c>
      <c r="I606" s="3">
        <f>IFERROR(__xludf.DUMMYFUNCTION("""COMPUTED_VALUE"""),14.0)</f>
        <v>14</v>
      </c>
      <c r="J606" s="3">
        <f>IFERROR(__xludf.DUMMYFUNCTION("""COMPUTED_VALUE"""),2016.0)</f>
        <v>2016</v>
      </c>
      <c r="K606" s="12">
        <f t="shared" si="2"/>
        <v>42383</v>
      </c>
      <c r="L606" s="3" t="s">
        <v>827</v>
      </c>
      <c r="M606" s="3" t="s">
        <v>740</v>
      </c>
      <c r="N606" s="3">
        <v>2103.0</v>
      </c>
      <c r="O606" s="3" t="s">
        <v>815</v>
      </c>
      <c r="P606" s="10">
        <v>959.0</v>
      </c>
      <c r="Q606" s="13">
        <v>205.7</v>
      </c>
      <c r="R606" s="13">
        <v>117.11</v>
      </c>
      <c r="S606" s="13">
        <f t="shared" si="3"/>
        <v>197266.3</v>
      </c>
      <c r="T606" s="13">
        <f t="shared" si="4"/>
        <v>112308.49</v>
      </c>
      <c r="U606" s="13">
        <f t="shared" si="5"/>
        <v>84957.81</v>
      </c>
      <c r="V606" s="3" t="str">
        <f>VLOOKUP(N606,products!A:B,2,0)</f>
        <v>Cereal</v>
      </c>
      <c r="W606" s="3" t="s">
        <v>28</v>
      </c>
      <c r="X606" s="3" t="s">
        <v>98</v>
      </c>
      <c r="Y606" s="14">
        <f t="shared" si="10"/>
        <v>0.4306757414</v>
      </c>
      <c r="Z606" s="3">
        <f t="shared" si="7"/>
        <v>31</v>
      </c>
      <c r="AA606" s="15">
        <f t="shared" si="8"/>
        <v>2</v>
      </c>
    </row>
    <row r="607" ht="15.75" customHeight="1">
      <c r="A607" s="3">
        <v>5.04973971E8</v>
      </c>
      <c r="B607" s="9">
        <v>40612.0</v>
      </c>
      <c r="C607" s="3">
        <f>IFERROR(__xludf.DUMMYFUNCTION("split(B607,""/"")"),10.0)</f>
        <v>10</v>
      </c>
      <c r="D607" s="10">
        <f>IFERROR(__xludf.DUMMYFUNCTION("""COMPUTED_VALUE"""),3.0)</f>
        <v>3</v>
      </c>
      <c r="E607" s="11">
        <f>IFERROR(__xludf.DUMMYFUNCTION("""COMPUTED_VALUE"""),2011.0)</f>
        <v>2011</v>
      </c>
      <c r="F607" s="12">
        <f t="shared" si="1"/>
        <v>40819</v>
      </c>
      <c r="G607" s="9">
        <v>40585.0</v>
      </c>
      <c r="H607" s="3">
        <f>IFERROR(__xludf.DUMMYFUNCTION("split(G607,""/"")"),11.0)</f>
        <v>11</v>
      </c>
      <c r="I607" s="3">
        <f>IFERROR(__xludf.DUMMYFUNCTION("""COMPUTED_VALUE"""),2.0)</f>
        <v>2</v>
      </c>
      <c r="J607" s="3">
        <f>IFERROR(__xludf.DUMMYFUNCTION("""COMPUTED_VALUE"""),2011.0)</f>
        <v>2011</v>
      </c>
      <c r="K607" s="12">
        <f t="shared" si="2"/>
        <v>40849</v>
      </c>
      <c r="L607" s="3" t="s">
        <v>814</v>
      </c>
      <c r="M607" s="3" t="s">
        <v>46</v>
      </c>
      <c r="N607" s="3">
        <v>8875.0</v>
      </c>
      <c r="O607" s="3" t="s">
        <v>815</v>
      </c>
      <c r="P607" s="10">
        <v>1875.0</v>
      </c>
      <c r="Q607" s="13">
        <v>421.89</v>
      </c>
      <c r="R607" s="13">
        <v>364.69</v>
      </c>
      <c r="S607" s="13">
        <f t="shared" si="3"/>
        <v>791043.75</v>
      </c>
      <c r="T607" s="13">
        <f t="shared" si="4"/>
        <v>683793.75</v>
      </c>
      <c r="U607" s="13">
        <f t="shared" si="5"/>
        <v>107250</v>
      </c>
      <c r="V607" s="3" t="str">
        <f>VLOOKUP(N607,products!A:B,2,0)</f>
        <v>Meat</v>
      </c>
      <c r="W607" s="3" t="s">
        <v>28</v>
      </c>
      <c r="X607" s="3" t="s">
        <v>33</v>
      </c>
      <c r="Y607" s="14">
        <f t="shared" si="10"/>
        <v>0.1355803646</v>
      </c>
      <c r="Z607" s="3">
        <f t="shared" si="7"/>
        <v>30</v>
      </c>
      <c r="AA607" s="15">
        <f t="shared" si="8"/>
        <v>2</v>
      </c>
    </row>
    <row r="608" ht="15.75" customHeight="1">
      <c r="A608" s="3">
        <v>5.0586704E8</v>
      </c>
      <c r="B608" s="9">
        <v>40273.0</v>
      </c>
      <c r="C608" s="3">
        <f>IFERROR(__xludf.DUMMYFUNCTION("split(B608,""/"")"),5.0)</f>
        <v>5</v>
      </c>
      <c r="D608" s="10">
        <f>IFERROR(__xludf.DUMMYFUNCTION("""COMPUTED_VALUE"""),4.0)</f>
        <v>4</v>
      </c>
      <c r="E608" s="11">
        <f>IFERROR(__xludf.DUMMYFUNCTION("""COMPUTED_VALUE"""),2010.0)</f>
        <v>2010</v>
      </c>
      <c r="F608" s="12">
        <f t="shared" si="1"/>
        <v>40302</v>
      </c>
      <c r="G608" s="9">
        <v>40518.0</v>
      </c>
      <c r="H608" s="3">
        <f>IFERROR(__xludf.DUMMYFUNCTION("split(G608,""/"")"),6.0)</f>
        <v>6</v>
      </c>
      <c r="I608" s="3">
        <f>IFERROR(__xludf.DUMMYFUNCTION("""COMPUTED_VALUE"""),12.0)</f>
        <v>12</v>
      </c>
      <c r="J608" s="3">
        <f>IFERROR(__xludf.DUMMYFUNCTION("""COMPUTED_VALUE"""),2010.0)</f>
        <v>2010</v>
      </c>
      <c r="K608" s="12">
        <f t="shared" si="2"/>
        <v>40341</v>
      </c>
      <c r="L608" s="3" t="s">
        <v>825</v>
      </c>
      <c r="M608" s="3" t="s">
        <v>142</v>
      </c>
      <c r="N608" s="3">
        <v>2455.0</v>
      </c>
      <c r="O608" s="3" t="s">
        <v>818</v>
      </c>
      <c r="P608" s="10">
        <v>6153.0</v>
      </c>
      <c r="Q608" s="13">
        <v>109.28</v>
      </c>
      <c r="R608" s="13">
        <v>35.84</v>
      </c>
      <c r="S608" s="13">
        <f t="shared" si="3"/>
        <v>672399.84</v>
      </c>
      <c r="T608" s="13">
        <f t="shared" si="4"/>
        <v>220523.52</v>
      </c>
      <c r="U608" s="13">
        <f t="shared" si="5"/>
        <v>451876.32</v>
      </c>
      <c r="V608" s="3" t="str">
        <f>VLOOKUP(N608,products!A:B,2,0)</f>
        <v>Clothes</v>
      </c>
      <c r="W608" s="3" t="s">
        <v>28</v>
      </c>
      <c r="X608" s="3" t="s">
        <v>98</v>
      </c>
      <c r="Y608" s="14">
        <f t="shared" si="10"/>
        <v>0.6720351391</v>
      </c>
      <c r="Z608" s="3">
        <f t="shared" si="7"/>
        <v>39</v>
      </c>
      <c r="AA608" s="15">
        <f t="shared" si="8"/>
        <v>3</v>
      </c>
    </row>
    <row r="609" ht="15.75" customHeight="1">
      <c r="A609" s="3">
        <v>5.07040774E8</v>
      </c>
      <c r="B609" s="3" t="s">
        <v>1404</v>
      </c>
      <c r="C609" s="3">
        <f>IFERROR(__xludf.DUMMYFUNCTION("split(B609,""/"")"),7.0)</f>
        <v>7</v>
      </c>
      <c r="D609" s="10">
        <f>IFERROR(__xludf.DUMMYFUNCTION("""COMPUTED_VALUE"""),22.0)</f>
        <v>22</v>
      </c>
      <c r="E609" s="11">
        <f>IFERROR(__xludf.DUMMYFUNCTION("""COMPUTED_VALUE"""),2015.0)</f>
        <v>2015</v>
      </c>
      <c r="F609" s="12">
        <f t="shared" si="1"/>
        <v>42207</v>
      </c>
      <c r="G609" s="3" t="s">
        <v>956</v>
      </c>
      <c r="H609" s="3">
        <f>IFERROR(__xludf.DUMMYFUNCTION("split(G609,""/"")"),7.0)</f>
        <v>7</v>
      </c>
      <c r="I609" s="3">
        <f>IFERROR(__xludf.DUMMYFUNCTION("""COMPUTED_VALUE"""),25.0)</f>
        <v>25</v>
      </c>
      <c r="J609" s="3">
        <f>IFERROR(__xludf.DUMMYFUNCTION("""COMPUTED_VALUE"""),2015.0)</f>
        <v>2015</v>
      </c>
      <c r="K609" s="12">
        <f t="shared" si="2"/>
        <v>42210</v>
      </c>
      <c r="L609" s="3" t="s">
        <v>825</v>
      </c>
      <c r="M609" s="3" t="s">
        <v>248</v>
      </c>
      <c r="N609" s="3">
        <v>8969.0</v>
      </c>
      <c r="O609" s="3" t="s">
        <v>815</v>
      </c>
      <c r="P609" s="10">
        <v>3488.0</v>
      </c>
      <c r="Q609" s="13">
        <v>152.58</v>
      </c>
      <c r="R609" s="13">
        <v>97.44</v>
      </c>
      <c r="S609" s="13">
        <f t="shared" si="3"/>
        <v>532199.04</v>
      </c>
      <c r="T609" s="13">
        <f t="shared" si="4"/>
        <v>339870.72</v>
      </c>
      <c r="U609" s="13">
        <f t="shared" si="5"/>
        <v>192328.32</v>
      </c>
      <c r="V609" s="3" t="str">
        <f>VLOOKUP(N609,products!A:B,2,0)</f>
        <v>Snacks</v>
      </c>
      <c r="W609" s="3" t="s">
        <v>28</v>
      </c>
      <c r="X609" s="3" t="s">
        <v>29</v>
      </c>
      <c r="Y609" s="14">
        <f t="shared" si="10"/>
        <v>0.3613841919</v>
      </c>
      <c r="Z609" s="3">
        <f t="shared" si="7"/>
        <v>3</v>
      </c>
      <c r="AA609" s="15">
        <f t="shared" si="8"/>
        <v>4</v>
      </c>
    </row>
    <row r="610" ht="15.75" customHeight="1">
      <c r="A610" s="3">
        <v>5.07531726E8</v>
      </c>
      <c r="B610" s="3" t="s">
        <v>1405</v>
      </c>
      <c r="C610" s="3">
        <f>IFERROR(__xludf.DUMMYFUNCTION("split(B610,""/"")"),10.0)</f>
        <v>10</v>
      </c>
      <c r="D610" s="10">
        <f>IFERROR(__xludf.DUMMYFUNCTION("""COMPUTED_VALUE"""),27.0)</f>
        <v>27</v>
      </c>
      <c r="E610" s="11">
        <f>IFERROR(__xludf.DUMMYFUNCTION("""COMPUTED_VALUE"""),2012.0)</f>
        <v>2012</v>
      </c>
      <c r="F610" s="12">
        <f t="shared" si="1"/>
        <v>41209</v>
      </c>
      <c r="G610" s="9">
        <v>41224.0</v>
      </c>
      <c r="H610" s="3">
        <f>IFERROR(__xludf.DUMMYFUNCTION("split(G610,""/"")"),11.0)</f>
        <v>11</v>
      </c>
      <c r="I610" s="3">
        <f>IFERROR(__xludf.DUMMYFUNCTION("""COMPUTED_VALUE"""),11.0)</f>
        <v>11</v>
      </c>
      <c r="J610" s="3">
        <f>IFERROR(__xludf.DUMMYFUNCTION("""COMPUTED_VALUE"""),2012.0)</f>
        <v>2012</v>
      </c>
      <c r="K610" s="12">
        <f t="shared" si="2"/>
        <v>41224</v>
      </c>
      <c r="L610" s="3" t="s">
        <v>827</v>
      </c>
      <c r="M610" s="3" t="s">
        <v>686</v>
      </c>
      <c r="N610" s="3">
        <v>8969.0</v>
      </c>
      <c r="O610" s="3" t="s">
        <v>818</v>
      </c>
      <c r="P610" s="10">
        <v>8771.0</v>
      </c>
      <c r="Q610" s="13">
        <v>152.58</v>
      </c>
      <c r="R610" s="13">
        <v>97.44</v>
      </c>
      <c r="S610" s="13">
        <f t="shared" si="3"/>
        <v>1338279.18</v>
      </c>
      <c r="T610" s="13">
        <f t="shared" si="4"/>
        <v>854646.24</v>
      </c>
      <c r="U610" s="13">
        <f t="shared" si="5"/>
        <v>483632.94</v>
      </c>
      <c r="V610" s="3" t="str">
        <f>VLOOKUP(N610,products!A:B,2,0)</f>
        <v>Snacks</v>
      </c>
      <c r="W610" s="3" t="s">
        <v>28</v>
      </c>
      <c r="X610" s="3" t="s">
        <v>29</v>
      </c>
      <c r="Y610" s="14">
        <f t="shared" si="10"/>
        <v>0.3613841919</v>
      </c>
      <c r="Z610" s="3">
        <f t="shared" si="7"/>
        <v>15</v>
      </c>
      <c r="AA610" s="15">
        <f t="shared" si="8"/>
        <v>7</v>
      </c>
    </row>
    <row r="611" ht="15.75" customHeight="1">
      <c r="A611" s="3">
        <v>5.08014523E8</v>
      </c>
      <c r="B611" s="9">
        <v>41946.0</v>
      </c>
      <c r="C611" s="3">
        <f>IFERROR(__xludf.DUMMYFUNCTION("split(B611,""/"")"),3.0)</f>
        <v>3</v>
      </c>
      <c r="D611" s="10">
        <f>IFERROR(__xludf.DUMMYFUNCTION("""COMPUTED_VALUE"""),11.0)</f>
        <v>11</v>
      </c>
      <c r="E611" s="11">
        <f>IFERROR(__xludf.DUMMYFUNCTION("""COMPUTED_VALUE"""),2014.0)</f>
        <v>2014</v>
      </c>
      <c r="F611" s="12">
        <f t="shared" si="1"/>
        <v>41709</v>
      </c>
      <c r="G611" s="3" t="s">
        <v>1353</v>
      </c>
      <c r="H611" s="3">
        <f>IFERROR(__xludf.DUMMYFUNCTION("split(G611,""/"")"),3.0)</f>
        <v>3</v>
      </c>
      <c r="I611" s="3">
        <f>IFERROR(__xludf.DUMMYFUNCTION("""COMPUTED_VALUE"""),20.0)</f>
        <v>20</v>
      </c>
      <c r="J611" s="3">
        <f>IFERROR(__xludf.DUMMYFUNCTION("""COMPUTED_VALUE"""),2014.0)</f>
        <v>2014</v>
      </c>
      <c r="K611" s="12">
        <f t="shared" si="2"/>
        <v>41718</v>
      </c>
      <c r="L611" s="3" t="s">
        <v>827</v>
      </c>
      <c r="M611" s="3" t="s">
        <v>821</v>
      </c>
      <c r="N611" s="3">
        <v>2455.0</v>
      </c>
      <c r="O611" s="3" t="s">
        <v>818</v>
      </c>
      <c r="P611" s="10">
        <v>1642.0</v>
      </c>
      <c r="Q611" s="13">
        <v>109.28</v>
      </c>
      <c r="R611" s="13">
        <v>35.84</v>
      </c>
      <c r="S611" s="13">
        <f t="shared" si="3"/>
        <v>179437.76</v>
      </c>
      <c r="T611" s="13">
        <f t="shared" si="4"/>
        <v>58849.28</v>
      </c>
      <c r="U611" s="13">
        <f t="shared" si="5"/>
        <v>120588.48</v>
      </c>
      <c r="V611" s="3" t="str">
        <f>VLOOKUP(N611,products!A:B,2,0)</f>
        <v>Clothes</v>
      </c>
      <c r="W611" s="3" t="s">
        <v>821</v>
      </c>
      <c r="X611" s="3" t="s">
        <v>821</v>
      </c>
      <c r="Y611" s="14">
        <f t="shared" si="10"/>
        <v>0.6720351391</v>
      </c>
      <c r="Z611" s="3">
        <f t="shared" si="7"/>
        <v>9</v>
      </c>
      <c r="AA611" s="15">
        <f t="shared" si="8"/>
        <v>3</v>
      </c>
    </row>
    <row r="612" ht="15.75" customHeight="1">
      <c r="A612" s="3">
        <v>5.09356057E8</v>
      </c>
      <c r="B612" s="3" t="s">
        <v>1122</v>
      </c>
      <c r="C612" s="3">
        <f>IFERROR(__xludf.DUMMYFUNCTION("split(B612,""/"")"),4.0)</f>
        <v>4</v>
      </c>
      <c r="D612" s="10">
        <f>IFERROR(__xludf.DUMMYFUNCTION("""COMPUTED_VALUE"""),14.0)</f>
        <v>14</v>
      </c>
      <c r="E612" s="11">
        <f>IFERROR(__xludf.DUMMYFUNCTION("""COMPUTED_VALUE"""),2014.0)</f>
        <v>2014</v>
      </c>
      <c r="F612" s="12">
        <f t="shared" si="1"/>
        <v>41743</v>
      </c>
      <c r="G612" s="3" t="s">
        <v>1154</v>
      </c>
      <c r="H612" s="3">
        <f>IFERROR(__xludf.DUMMYFUNCTION("split(G612,""/"")"),4.0)</f>
        <v>4</v>
      </c>
      <c r="I612" s="3">
        <f>IFERROR(__xludf.DUMMYFUNCTION("""COMPUTED_VALUE"""),17.0)</f>
        <v>17</v>
      </c>
      <c r="J612" s="3">
        <f>IFERROR(__xludf.DUMMYFUNCTION("""COMPUTED_VALUE"""),2014.0)</f>
        <v>2014</v>
      </c>
      <c r="K612" s="12">
        <f t="shared" si="2"/>
        <v>41746</v>
      </c>
      <c r="L612" s="3" t="s">
        <v>827</v>
      </c>
      <c r="M612" s="3" t="s">
        <v>542</v>
      </c>
      <c r="N612" s="3">
        <v>2455.0</v>
      </c>
      <c r="O612" s="3" t="s">
        <v>815</v>
      </c>
      <c r="P612" s="10">
        <v>8631.0</v>
      </c>
      <c r="Q612" s="13">
        <v>109.28</v>
      </c>
      <c r="R612" s="13">
        <v>35.84</v>
      </c>
      <c r="S612" s="13">
        <f t="shared" si="3"/>
        <v>943195.68</v>
      </c>
      <c r="T612" s="13">
        <f t="shared" si="4"/>
        <v>309335.04</v>
      </c>
      <c r="U612" s="13">
        <f t="shared" si="5"/>
        <v>633860.64</v>
      </c>
      <c r="V612" s="3" t="str">
        <f>VLOOKUP(N612,products!A:B,2,0)</f>
        <v>Clothes</v>
      </c>
      <c r="W612" s="3" t="s">
        <v>28</v>
      </c>
      <c r="X612" s="3" t="s">
        <v>29</v>
      </c>
      <c r="Y612" s="14">
        <f t="shared" si="10"/>
        <v>0.6720351391</v>
      </c>
      <c r="Z612" s="3">
        <f t="shared" si="7"/>
        <v>3</v>
      </c>
      <c r="AA612" s="15">
        <f t="shared" si="8"/>
        <v>2</v>
      </c>
    </row>
    <row r="613" ht="15.75" customHeight="1">
      <c r="A613" s="3">
        <v>5.09380948E8</v>
      </c>
      <c r="B613" s="3" t="s">
        <v>1406</v>
      </c>
      <c r="C613" s="3">
        <f>IFERROR(__xludf.DUMMYFUNCTION("split(B613,""/"")"),9.0)</f>
        <v>9</v>
      </c>
      <c r="D613" s="10">
        <f>IFERROR(__xludf.DUMMYFUNCTION("""COMPUTED_VALUE"""),22.0)</f>
        <v>22</v>
      </c>
      <c r="E613" s="11">
        <f>IFERROR(__xludf.DUMMYFUNCTION("""COMPUTED_VALUE"""),2011.0)</f>
        <v>2011</v>
      </c>
      <c r="F613" s="12">
        <f t="shared" si="1"/>
        <v>40808</v>
      </c>
      <c r="G613" s="3" t="s">
        <v>1407</v>
      </c>
      <c r="H613" s="3">
        <f>IFERROR(__xludf.DUMMYFUNCTION("split(G613,""/"")"),9.0)</f>
        <v>9</v>
      </c>
      <c r="I613" s="3">
        <f>IFERROR(__xludf.DUMMYFUNCTION("""COMPUTED_VALUE"""),27.0)</f>
        <v>27</v>
      </c>
      <c r="J613" s="3">
        <f>IFERROR(__xludf.DUMMYFUNCTION("""COMPUTED_VALUE"""),2011.0)</f>
        <v>2011</v>
      </c>
      <c r="K613" s="12">
        <f t="shared" si="2"/>
        <v>40813</v>
      </c>
      <c r="L613" s="3" t="s">
        <v>814</v>
      </c>
      <c r="M613" s="3" t="s">
        <v>746</v>
      </c>
      <c r="N613" s="3">
        <v>3127.0</v>
      </c>
      <c r="O613" s="3" t="s">
        <v>818</v>
      </c>
      <c r="P613" s="10">
        <v>5997.0</v>
      </c>
      <c r="Q613" s="13">
        <v>81.73</v>
      </c>
      <c r="R613" s="13">
        <v>56.67</v>
      </c>
      <c r="S613" s="13">
        <f t="shared" si="3"/>
        <v>490134.81</v>
      </c>
      <c r="T613" s="13">
        <f t="shared" si="4"/>
        <v>339849.99</v>
      </c>
      <c r="U613" s="13">
        <f t="shared" si="5"/>
        <v>150284.82</v>
      </c>
      <c r="V613" s="3" t="str">
        <f>VLOOKUP(N613,products!A:B,2,0)</f>
        <v>Personal Care</v>
      </c>
      <c r="W613" s="3" t="s">
        <v>28</v>
      </c>
      <c r="X613" s="3" t="s">
        <v>29</v>
      </c>
      <c r="Y613" s="14">
        <f t="shared" si="10"/>
        <v>0.3066193564</v>
      </c>
      <c r="Z613" s="3">
        <f t="shared" si="7"/>
        <v>5</v>
      </c>
      <c r="AA613" s="15">
        <f t="shared" si="8"/>
        <v>5</v>
      </c>
    </row>
    <row r="614" ht="15.75" customHeight="1">
      <c r="A614" s="3">
        <v>5.10762822E8</v>
      </c>
      <c r="B614" s="9">
        <v>40644.0</v>
      </c>
      <c r="C614" s="3">
        <f>IFERROR(__xludf.DUMMYFUNCTION("split(B614,""/"")"),11.0)</f>
        <v>11</v>
      </c>
      <c r="D614" s="10">
        <f>IFERROR(__xludf.DUMMYFUNCTION("""COMPUTED_VALUE"""),4.0)</f>
        <v>4</v>
      </c>
      <c r="E614" s="11">
        <f>IFERROR(__xludf.DUMMYFUNCTION("""COMPUTED_VALUE"""),2011.0)</f>
        <v>2011</v>
      </c>
      <c r="F614" s="12">
        <f t="shared" si="1"/>
        <v>40851</v>
      </c>
      <c r="G614" s="3" t="s">
        <v>1408</v>
      </c>
      <c r="H614" s="3">
        <f>IFERROR(__xludf.DUMMYFUNCTION("split(G614,""/"")"),12.0)</f>
        <v>12</v>
      </c>
      <c r="I614" s="3">
        <f>IFERROR(__xludf.DUMMYFUNCTION("""COMPUTED_VALUE"""),22.0)</f>
        <v>22</v>
      </c>
      <c r="J614" s="3">
        <f>IFERROR(__xludf.DUMMYFUNCTION("""COMPUTED_VALUE"""),2011.0)</f>
        <v>2011</v>
      </c>
      <c r="K614" s="12">
        <f t="shared" si="2"/>
        <v>40899</v>
      </c>
      <c r="L614" s="3" t="s">
        <v>825</v>
      </c>
      <c r="M614" s="3" t="s">
        <v>821</v>
      </c>
      <c r="N614" s="3">
        <v>1270.0</v>
      </c>
      <c r="O614" s="3" t="s">
        <v>818</v>
      </c>
      <c r="P614" s="10">
        <v>4924.0</v>
      </c>
      <c r="Q614" s="13">
        <v>47.45</v>
      </c>
      <c r="R614" s="13">
        <v>31.79</v>
      </c>
      <c r="S614" s="13">
        <f t="shared" si="3"/>
        <v>233643.8</v>
      </c>
      <c r="T614" s="13">
        <f t="shared" si="4"/>
        <v>156533.96</v>
      </c>
      <c r="U614" s="13">
        <f t="shared" si="5"/>
        <v>77109.84</v>
      </c>
      <c r="V614" s="3" t="str">
        <f>VLOOKUP(N614,products!A:B,2,0)</f>
        <v>Beverages</v>
      </c>
      <c r="W614" s="3" t="s">
        <v>821</v>
      </c>
      <c r="X614" s="3" t="s">
        <v>821</v>
      </c>
      <c r="Y614" s="14">
        <f t="shared" si="10"/>
        <v>0.3300316122</v>
      </c>
      <c r="Z614" s="3">
        <f t="shared" si="7"/>
        <v>48</v>
      </c>
      <c r="AA614" s="15">
        <f t="shared" si="8"/>
        <v>6</v>
      </c>
    </row>
    <row r="615" ht="15.75" customHeight="1">
      <c r="A615" s="3">
        <v>5.10956799E8</v>
      </c>
      <c r="B615" s="9">
        <v>40368.0</v>
      </c>
      <c r="C615" s="3">
        <f>IFERROR(__xludf.DUMMYFUNCTION("split(B615,""/"")"),9.0)</f>
        <v>9</v>
      </c>
      <c r="D615" s="10">
        <f>IFERROR(__xludf.DUMMYFUNCTION("""COMPUTED_VALUE"""),7.0)</f>
        <v>7</v>
      </c>
      <c r="E615" s="11">
        <f>IFERROR(__xludf.DUMMYFUNCTION("""COMPUTED_VALUE"""),2010.0)</f>
        <v>2010</v>
      </c>
      <c r="F615" s="12">
        <f t="shared" si="1"/>
        <v>40428</v>
      </c>
      <c r="G615" s="3" t="s">
        <v>1409</v>
      </c>
      <c r="H615" s="3">
        <f>IFERROR(__xludf.DUMMYFUNCTION("split(G615,""/"")"),9.0)</f>
        <v>9</v>
      </c>
      <c r="I615" s="3">
        <f>IFERROR(__xludf.DUMMYFUNCTION("""COMPUTED_VALUE"""),23.0)</f>
        <v>23</v>
      </c>
      <c r="J615" s="3">
        <f>IFERROR(__xludf.DUMMYFUNCTION("""COMPUTED_VALUE"""),2010.0)</f>
        <v>2010</v>
      </c>
      <c r="K615" s="12">
        <f t="shared" si="2"/>
        <v>40444</v>
      </c>
      <c r="L615" s="3" t="s">
        <v>827</v>
      </c>
      <c r="M615" s="3" t="s">
        <v>434</v>
      </c>
      <c r="N615" s="3">
        <v>8969.0</v>
      </c>
      <c r="O615" s="3" t="s">
        <v>815</v>
      </c>
      <c r="P615" s="10">
        <v>2326.0</v>
      </c>
      <c r="Q615" s="13">
        <v>152.58</v>
      </c>
      <c r="R615" s="13">
        <v>97.44</v>
      </c>
      <c r="S615" s="13">
        <f t="shared" si="3"/>
        <v>354901.08</v>
      </c>
      <c r="T615" s="13">
        <f t="shared" si="4"/>
        <v>226645.44</v>
      </c>
      <c r="U615" s="13">
        <f t="shared" si="5"/>
        <v>128255.64</v>
      </c>
      <c r="V615" s="3" t="str">
        <f>VLOOKUP(N615,products!A:B,2,0)</f>
        <v>Snacks</v>
      </c>
      <c r="W615" s="3" t="s">
        <v>28</v>
      </c>
      <c r="X615" s="3" t="s">
        <v>79</v>
      </c>
      <c r="Y615" s="14">
        <f t="shared" si="10"/>
        <v>0.3613841919</v>
      </c>
      <c r="Z615" s="3">
        <f t="shared" si="7"/>
        <v>16</v>
      </c>
      <c r="AA615" s="15">
        <f t="shared" si="8"/>
        <v>3</v>
      </c>
    </row>
    <row r="616" ht="15.75" customHeight="1">
      <c r="A616" s="3">
        <v>5.11155498E8</v>
      </c>
      <c r="B616" s="3" t="s">
        <v>1410</v>
      </c>
      <c r="C616" s="3">
        <f>IFERROR(__xludf.DUMMYFUNCTION("split(B616,""/"")"),9.0)</f>
        <v>9</v>
      </c>
      <c r="D616" s="10">
        <f>IFERROR(__xludf.DUMMYFUNCTION("""COMPUTED_VALUE"""),26.0)</f>
        <v>26</v>
      </c>
      <c r="E616" s="11">
        <f>IFERROR(__xludf.DUMMYFUNCTION("""COMPUTED_VALUE"""),2010.0)</f>
        <v>2010</v>
      </c>
      <c r="F616" s="12">
        <f t="shared" si="1"/>
        <v>40447</v>
      </c>
      <c r="G616" s="9">
        <v>40279.0</v>
      </c>
      <c r="H616" s="3">
        <f>IFERROR(__xludf.DUMMYFUNCTION("split(G616,""/"")"),11.0)</f>
        <v>11</v>
      </c>
      <c r="I616" s="3">
        <f>IFERROR(__xludf.DUMMYFUNCTION("""COMPUTED_VALUE"""),4.0)</f>
        <v>4</v>
      </c>
      <c r="J616" s="3">
        <f>IFERROR(__xludf.DUMMYFUNCTION("""COMPUTED_VALUE"""),2010.0)</f>
        <v>2010</v>
      </c>
      <c r="K616" s="12">
        <f t="shared" si="2"/>
        <v>40486</v>
      </c>
      <c r="L616" s="3" t="s">
        <v>827</v>
      </c>
      <c r="M616" s="3" t="s">
        <v>221</v>
      </c>
      <c r="N616" s="3">
        <v>1270.0</v>
      </c>
      <c r="O616" s="3" t="s">
        <v>818</v>
      </c>
      <c r="P616" s="10">
        <v>1126.0</v>
      </c>
      <c r="Q616" s="13">
        <v>47.45</v>
      </c>
      <c r="R616" s="13">
        <v>31.79</v>
      </c>
      <c r="S616" s="13">
        <f t="shared" si="3"/>
        <v>53428.7</v>
      </c>
      <c r="T616" s="13">
        <f t="shared" si="4"/>
        <v>35795.54</v>
      </c>
      <c r="U616" s="13">
        <f t="shared" si="5"/>
        <v>17633.16</v>
      </c>
      <c r="V616" s="3" t="str">
        <f>VLOOKUP(N616,products!A:B,2,0)</f>
        <v>Beverages</v>
      </c>
      <c r="W616" s="3" t="s">
        <v>28</v>
      </c>
      <c r="X616" s="3" t="s">
        <v>29</v>
      </c>
      <c r="Y616" s="14">
        <f t="shared" si="10"/>
        <v>0.3300316122</v>
      </c>
      <c r="Z616" s="3">
        <f t="shared" si="7"/>
        <v>39</v>
      </c>
      <c r="AA616" s="15">
        <f t="shared" si="8"/>
        <v>1</v>
      </c>
    </row>
    <row r="617" ht="15.75" customHeight="1">
      <c r="A617" s="3">
        <v>5.1171211E8</v>
      </c>
      <c r="B617" s="3" t="s">
        <v>1117</v>
      </c>
      <c r="C617" s="3">
        <f>IFERROR(__xludf.DUMMYFUNCTION("split(B617,""/"")"),3.0)</f>
        <v>3</v>
      </c>
      <c r="D617" s="10">
        <f>IFERROR(__xludf.DUMMYFUNCTION("""COMPUTED_VALUE"""),21.0)</f>
        <v>21</v>
      </c>
      <c r="E617" s="11">
        <f>IFERROR(__xludf.DUMMYFUNCTION("""COMPUTED_VALUE"""),2015.0)</f>
        <v>2015</v>
      </c>
      <c r="F617" s="12">
        <f t="shared" si="1"/>
        <v>42084</v>
      </c>
      <c r="G617" s="9">
        <v>42190.0</v>
      </c>
      <c r="H617" s="3">
        <f>IFERROR(__xludf.DUMMYFUNCTION("split(G617,""/"")"),5.0)</f>
        <v>5</v>
      </c>
      <c r="I617" s="3">
        <f>IFERROR(__xludf.DUMMYFUNCTION("""COMPUTED_VALUE"""),7.0)</f>
        <v>7</v>
      </c>
      <c r="J617" s="3">
        <f>IFERROR(__xludf.DUMMYFUNCTION("""COMPUTED_VALUE"""),2015.0)</f>
        <v>2015</v>
      </c>
      <c r="K617" s="12">
        <f t="shared" si="2"/>
        <v>42131</v>
      </c>
      <c r="L617" s="3" t="s">
        <v>817</v>
      </c>
      <c r="M617" s="3" t="s">
        <v>78</v>
      </c>
      <c r="N617" s="3">
        <v>8681.0</v>
      </c>
      <c r="O617" s="3" t="s">
        <v>818</v>
      </c>
      <c r="P617" s="10">
        <v>5839.0</v>
      </c>
      <c r="Q617" s="13">
        <v>651.21</v>
      </c>
      <c r="R617" s="13">
        <v>524.96</v>
      </c>
      <c r="S617" s="13">
        <f t="shared" si="3"/>
        <v>3802415.19</v>
      </c>
      <c r="T617" s="13">
        <f t="shared" si="4"/>
        <v>3065241.44</v>
      </c>
      <c r="U617" s="13">
        <f t="shared" si="5"/>
        <v>737173.75</v>
      </c>
      <c r="V617" s="3" t="str">
        <f>VLOOKUP(N617,products!A:B,2,0)</f>
        <v>Office Supplies</v>
      </c>
      <c r="W617" s="3" t="s">
        <v>28</v>
      </c>
      <c r="X617" s="3" t="s">
        <v>79</v>
      </c>
      <c r="Y617" s="14">
        <f t="shared" si="10"/>
        <v>0.193869873</v>
      </c>
      <c r="Z617" s="3">
        <f t="shared" si="7"/>
        <v>47</v>
      </c>
      <c r="AA617" s="15">
        <f t="shared" si="8"/>
        <v>7</v>
      </c>
    </row>
    <row r="618" ht="15.75" customHeight="1">
      <c r="A618" s="3">
        <v>5.12662255E8</v>
      </c>
      <c r="B618" s="3" t="s">
        <v>1029</v>
      </c>
      <c r="C618" s="3">
        <f>IFERROR(__xludf.DUMMYFUNCTION("split(B618,""/"")"),5.0)</f>
        <v>5</v>
      </c>
      <c r="D618" s="10">
        <f>IFERROR(__xludf.DUMMYFUNCTION("""COMPUTED_VALUE"""),15.0)</f>
        <v>15</v>
      </c>
      <c r="E618" s="11">
        <f>IFERROR(__xludf.DUMMYFUNCTION("""COMPUTED_VALUE"""),2015.0)</f>
        <v>2015</v>
      </c>
      <c r="F618" s="12">
        <f t="shared" si="1"/>
        <v>42139</v>
      </c>
      <c r="G618" s="3" t="s">
        <v>1093</v>
      </c>
      <c r="H618" s="3">
        <f>IFERROR(__xludf.DUMMYFUNCTION("split(G618,""/"")"),6.0)</f>
        <v>6</v>
      </c>
      <c r="I618" s="3">
        <f>IFERROR(__xludf.DUMMYFUNCTION("""COMPUTED_VALUE"""),22.0)</f>
        <v>22</v>
      </c>
      <c r="J618" s="3">
        <f>IFERROR(__xludf.DUMMYFUNCTION("""COMPUTED_VALUE"""),2015.0)</f>
        <v>2015</v>
      </c>
      <c r="K618" s="12">
        <f t="shared" si="2"/>
        <v>42177</v>
      </c>
      <c r="L618" s="3" t="s">
        <v>825</v>
      </c>
      <c r="M618" s="3" t="s">
        <v>218</v>
      </c>
      <c r="N618" s="3">
        <v>7940.0</v>
      </c>
      <c r="O618" s="3" t="s">
        <v>818</v>
      </c>
      <c r="P618" s="10">
        <v>7009.0</v>
      </c>
      <c r="Q618" s="13">
        <v>668.27</v>
      </c>
      <c r="R618" s="13">
        <v>502.54</v>
      </c>
      <c r="S618" s="13">
        <f t="shared" si="3"/>
        <v>4683904.43</v>
      </c>
      <c r="T618" s="13">
        <f t="shared" si="4"/>
        <v>3522302.86</v>
      </c>
      <c r="U618" s="13">
        <f t="shared" si="5"/>
        <v>1161601.57</v>
      </c>
      <c r="V618" s="3" t="str">
        <f>VLOOKUP(N618,products!A:B,2,0)</f>
        <v>Household</v>
      </c>
      <c r="W618" s="3" t="s">
        <v>28</v>
      </c>
      <c r="X618" s="3" t="s">
        <v>98</v>
      </c>
      <c r="Y618" s="14">
        <f t="shared" si="10"/>
        <v>0.2479985635</v>
      </c>
      <c r="Z618" s="3">
        <f t="shared" si="7"/>
        <v>38</v>
      </c>
      <c r="AA618" s="15">
        <f t="shared" si="8"/>
        <v>6</v>
      </c>
    </row>
    <row r="619" ht="15.75" customHeight="1">
      <c r="A619" s="3">
        <v>5.12714612E8</v>
      </c>
      <c r="B619" s="3" t="s">
        <v>1411</v>
      </c>
      <c r="C619" s="3">
        <f>IFERROR(__xludf.DUMMYFUNCTION("split(B619,""/"")"),9.0)</f>
        <v>9</v>
      </c>
      <c r="D619" s="10">
        <f>IFERROR(__xludf.DUMMYFUNCTION("""COMPUTED_VALUE"""),23.0)</f>
        <v>23</v>
      </c>
      <c r="E619" s="11">
        <f>IFERROR(__xludf.DUMMYFUNCTION("""COMPUTED_VALUE"""),2015.0)</f>
        <v>2015</v>
      </c>
      <c r="F619" s="12">
        <f t="shared" si="1"/>
        <v>42270</v>
      </c>
      <c r="G619" s="9">
        <v>42257.0</v>
      </c>
      <c r="H619" s="3">
        <f>IFERROR(__xludf.DUMMYFUNCTION("split(G619,""/"")"),10.0)</f>
        <v>10</v>
      </c>
      <c r="I619" s="3">
        <f>IFERROR(__xludf.DUMMYFUNCTION("""COMPUTED_VALUE"""),9.0)</f>
        <v>9</v>
      </c>
      <c r="J619" s="3">
        <f>IFERROR(__xludf.DUMMYFUNCTION("""COMPUTED_VALUE"""),2015.0)</f>
        <v>2015</v>
      </c>
      <c r="K619" s="12">
        <f t="shared" si="2"/>
        <v>42286</v>
      </c>
      <c r="L619" s="3" t="s">
        <v>827</v>
      </c>
      <c r="M619" s="3" t="s">
        <v>101</v>
      </c>
      <c r="N619" s="3">
        <v>8875.0</v>
      </c>
      <c r="O619" s="3" t="s">
        <v>815</v>
      </c>
      <c r="P619" s="10">
        <v>2502.0</v>
      </c>
      <c r="Q619" s="13">
        <v>421.89</v>
      </c>
      <c r="R619" s="13">
        <v>364.69</v>
      </c>
      <c r="S619" s="13">
        <f t="shared" si="3"/>
        <v>1055568.78</v>
      </c>
      <c r="T619" s="13">
        <f t="shared" si="4"/>
        <v>912454.38</v>
      </c>
      <c r="U619" s="13">
        <f t="shared" si="5"/>
        <v>143114.4</v>
      </c>
      <c r="V619" s="3" t="str">
        <f>VLOOKUP(N619,products!A:B,2,0)</f>
        <v>Meat</v>
      </c>
      <c r="W619" s="3" t="s">
        <v>28</v>
      </c>
      <c r="X619" s="3" t="s">
        <v>79</v>
      </c>
      <c r="Y619" s="14">
        <f t="shared" si="10"/>
        <v>0.1355803646</v>
      </c>
      <c r="Z619" s="3">
        <f t="shared" si="7"/>
        <v>16</v>
      </c>
      <c r="AA619" s="15">
        <f t="shared" si="8"/>
        <v>4</v>
      </c>
    </row>
    <row r="620" ht="15.75" customHeight="1">
      <c r="A620" s="3">
        <v>5.13026177E8</v>
      </c>
      <c r="B620" s="3" t="s">
        <v>1412</v>
      </c>
      <c r="C620" s="3">
        <f>IFERROR(__xludf.DUMMYFUNCTION("split(B620,""/"")"),5.0)</f>
        <v>5</v>
      </c>
      <c r="D620" s="10">
        <f>IFERROR(__xludf.DUMMYFUNCTION("""COMPUTED_VALUE"""),22.0)</f>
        <v>22</v>
      </c>
      <c r="E620" s="11">
        <f>IFERROR(__xludf.DUMMYFUNCTION("""COMPUTED_VALUE"""),2012.0)</f>
        <v>2012</v>
      </c>
      <c r="F620" s="12">
        <f t="shared" si="1"/>
        <v>41051</v>
      </c>
      <c r="G620" s="9">
        <v>41035.0</v>
      </c>
      <c r="H620" s="3">
        <f>IFERROR(__xludf.DUMMYFUNCTION("split(G620,""/"")"),6.0)</f>
        <v>6</v>
      </c>
      <c r="I620" s="3">
        <f>IFERROR(__xludf.DUMMYFUNCTION("""COMPUTED_VALUE"""),5.0)</f>
        <v>5</v>
      </c>
      <c r="J620" s="3">
        <f>IFERROR(__xludf.DUMMYFUNCTION("""COMPUTED_VALUE"""),2012.0)</f>
        <v>2012</v>
      </c>
      <c r="K620" s="12">
        <f t="shared" si="2"/>
        <v>41065</v>
      </c>
      <c r="L620" s="3" t="s">
        <v>814</v>
      </c>
      <c r="M620" s="3" t="s">
        <v>142</v>
      </c>
      <c r="N620" s="3">
        <v>8681.0</v>
      </c>
      <c r="O620" s="3" t="s">
        <v>815</v>
      </c>
      <c r="P620" s="10">
        <v>4701.0</v>
      </c>
      <c r="Q620" s="13">
        <v>651.21</v>
      </c>
      <c r="R620" s="13">
        <v>524.96</v>
      </c>
      <c r="S620" s="13">
        <f t="shared" si="3"/>
        <v>3061338.21</v>
      </c>
      <c r="T620" s="13">
        <f t="shared" si="4"/>
        <v>2467836.96</v>
      </c>
      <c r="U620" s="13">
        <f t="shared" si="5"/>
        <v>593501.25</v>
      </c>
      <c r="V620" s="3" t="str">
        <f>VLOOKUP(N620,products!A:B,2,0)</f>
        <v>Office Supplies</v>
      </c>
      <c r="W620" s="3" t="s">
        <v>28</v>
      </c>
      <c r="X620" s="3" t="s">
        <v>98</v>
      </c>
      <c r="Y620" s="14">
        <f t="shared" si="10"/>
        <v>0.193869873</v>
      </c>
      <c r="Z620" s="3">
        <f t="shared" si="7"/>
        <v>14</v>
      </c>
      <c r="AA620" s="15">
        <f t="shared" si="8"/>
        <v>3</v>
      </c>
    </row>
    <row r="621" ht="15.75" customHeight="1">
      <c r="A621" s="3">
        <v>5.13611114E8</v>
      </c>
      <c r="B621" s="3" t="s">
        <v>960</v>
      </c>
      <c r="C621" s="3">
        <f>IFERROR(__xludf.DUMMYFUNCTION("split(B621,""/"")"),7.0)</f>
        <v>7</v>
      </c>
      <c r="D621" s="10">
        <f>IFERROR(__xludf.DUMMYFUNCTION("""COMPUTED_VALUE"""),26.0)</f>
        <v>26</v>
      </c>
      <c r="E621" s="11">
        <f>IFERROR(__xludf.DUMMYFUNCTION("""COMPUTED_VALUE"""),2016.0)</f>
        <v>2016</v>
      </c>
      <c r="F621" s="12">
        <f t="shared" si="1"/>
        <v>42577</v>
      </c>
      <c r="G621" s="9">
        <v>42499.0</v>
      </c>
      <c r="H621" s="3">
        <f>IFERROR(__xludf.DUMMYFUNCTION("split(G621,""/"")"),9.0)</f>
        <v>9</v>
      </c>
      <c r="I621" s="3">
        <f>IFERROR(__xludf.DUMMYFUNCTION("""COMPUTED_VALUE"""),5.0)</f>
        <v>5</v>
      </c>
      <c r="J621" s="3">
        <f>IFERROR(__xludf.DUMMYFUNCTION("""COMPUTED_VALUE"""),2016.0)</f>
        <v>2016</v>
      </c>
      <c r="K621" s="12">
        <f t="shared" si="2"/>
        <v>42618</v>
      </c>
      <c r="L621" s="3" t="s">
        <v>827</v>
      </c>
      <c r="M621" s="3" t="s">
        <v>512</v>
      </c>
      <c r="N621" s="3">
        <v>2455.0</v>
      </c>
      <c r="O621" s="3" t="s">
        <v>818</v>
      </c>
      <c r="P621" s="10">
        <v>7797.0</v>
      </c>
      <c r="Q621" s="13">
        <v>109.28</v>
      </c>
      <c r="R621" s="13">
        <v>35.84</v>
      </c>
      <c r="S621" s="13">
        <f t="shared" si="3"/>
        <v>852056.16</v>
      </c>
      <c r="T621" s="13">
        <f t="shared" si="4"/>
        <v>279444.48</v>
      </c>
      <c r="U621" s="13">
        <f t="shared" si="5"/>
        <v>572611.68</v>
      </c>
      <c r="V621" s="3" t="str">
        <f>VLOOKUP(N621,products!A:B,2,0)</f>
        <v>Clothes</v>
      </c>
      <c r="W621" s="3" t="s">
        <v>28</v>
      </c>
      <c r="X621" s="3" t="s">
        <v>79</v>
      </c>
      <c r="Y621" s="14">
        <f t="shared" si="10"/>
        <v>0.6720351391</v>
      </c>
      <c r="Z621" s="3">
        <f t="shared" si="7"/>
        <v>41</v>
      </c>
      <c r="AA621" s="15">
        <f t="shared" si="8"/>
        <v>3</v>
      </c>
    </row>
    <row r="622" ht="15.75" customHeight="1">
      <c r="A622" s="3">
        <v>5.13802516E8</v>
      </c>
      <c r="B622" s="9">
        <v>42773.0</v>
      </c>
      <c r="C622" s="3">
        <f>IFERROR(__xludf.DUMMYFUNCTION("split(B622,""/"")"),7.0)</f>
        <v>7</v>
      </c>
      <c r="D622" s="10">
        <f>IFERROR(__xludf.DUMMYFUNCTION("""COMPUTED_VALUE"""),2.0)</f>
        <v>2</v>
      </c>
      <c r="E622" s="11">
        <f>IFERROR(__xludf.DUMMYFUNCTION("""COMPUTED_VALUE"""),2017.0)</f>
        <v>2017</v>
      </c>
      <c r="F622" s="12">
        <f t="shared" si="1"/>
        <v>42918</v>
      </c>
      <c r="G622" s="9">
        <v>42924.0</v>
      </c>
      <c r="H622" s="3">
        <f>IFERROR(__xludf.DUMMYFUNCTION("split(G622,""/"")"),8.0)</f>
        <v>8</v>
      </c>
      <c r="I622" s="3">
        <f>IFERROR(__xludf.DUMMYFUNCTION("""COMPUTED_VALUE"""),7.0)</f>
        <v>7</v>
      </c>
      <c r="J622" s="3">
        <f>IFERROR(__xludf.DUMMYFUNCTION("""COMPUTED_VALUE"""),2017.0)</f>
        <v>2017</v>
      </c>
      <c r="K622" s="12">
        <f t="shared" si="2"/>
        <v>42954</v>
      </c>
      <c r="L622" s="3" t="s">
        <v>825</v>
      </c>
      <c r="M622" s="3" t="s">
        <v>671</v>
      </c>
      <c r="N622" s="3">
        <v>8681.0</v>
      </c>
      <c r="O622" s="3" t="s">
        <v>815</v>
      </c>
      <c r="P622" s="10">
        <v>4437.0</v>
      </c>
      <c r="Q622" s="13">
        <v>651.21</v>
      </c>
      <c r="R622" s="13">
        <v>524.96</v>
      </c>
      <c r="S622" s="13">
        <f t="shared" si="3"/>
        <v>2889418.77</v>
      </c>
      <c r="T622" s="13">
        <f t="shared" si="4"/>
        <v>2329247.52</v>
      </c>
      <c r="U622" s="13">
        <f t="shared" si="5"/>
        <v>560171.25</v>
      </c>
      <c r="V622" s="3" t="str">
        <f>VLOOKUP(N622,products!A:B,2,0)</f>
        <v>Office Supplies</v>
      </c>
      <c r="W622" s="3" t="s">
        <v>28</v>
      </c>
      <c r="X622" s="3" t="s">
        <v>33</v>
      </c>
      <c r="Y622" s="14">
        <f t="shared" si="10"/>
        <v>0.193869873</v>
      </c>
      <c r="Z622" s="3">
        <f t="shared" si="7"/>
        <v>36</v>
      </c>
      <c r="AA622" s="15">
        <f t="shared" si="8"/>
        <v>1</v>
      </c>
    </row>
    <row r="623" ht="15.75" customHeight="1">
      <c r="A623" s="3">
        <v>5.15771901E8</v>
      </c>
      <c r="B623" s="3" t="s">
        <v>836</v>
      </c>
      <c r="C623" s="3">
        <f>IFERROR(__xludf.DUMMYFUNCTION("split(B623,""/"")"),2.0)</f>
        <v>2</v>
      </c>
      <c r="D623" s="10">
        <f>IFERROR(__xludf.DUMMYFUNCTION("""COMPUTED_VALUE"""),19.0)</f>
        <v>19</v>
      </c>
      <c r="E623" s="11">
        <f>IFERROR(__xludf.DUMMYFUNCTION("""COMPUTED_VALUE"""),2012.0)</f>
        <v>2012</v>
      </c>
      <c r="F623" s="12">
        <f t="shared" si="1"/>
        <v>40958</v>
      </c>
      <c r="G623" s="3" t="s">
        <v>1413</v>
      </c>
      <c r="H623" s="3">
        <f>IFERROR(__xludf.DUMMYFUNCTION("split(G623,""/"")"),3.0)</f>
        <v>3</v>
      </c>
      <c r="I623" s="3">
        <f>IFERROR(__xludf.DUMMYFUNCTION("""COMPUTED_VALUE"""),19.0)</f>
        <v>19</v>
      </c>
      <c r="J623" s="3">
        <f>IFERROR(__xludf.DUMMYFUNCTION("""COMPUTED_VALUE"""),2012.0)</f>
        <v>2012</v>
      </c>
      <c r="K623" s="12">
        <f t="shared" si="2"/>
        <v>40987</v>
      </c>
      <c r="L623" s="3" t="s">
        <v>825</v>
      </c>
      <c r="M623" s="3" t="s">
        <v>623</v>
      </c>
      <c r="N623" s="3">
        <v>5988.0</v>
      </c>
      <c r="O623" s="3" t="s">
        <v>818</v>
      </c>
      <c r="P623" s="10">
        <v>7222.0</v>
      </c>
      <c r="Q623" s="13">
        <v>154.06</v>
      </c>
      <c r="R623" s="13">
        <v>90.93</v>
      </c>
      <c r="S623" s="13">
        <f t="shared" si="3"/>
        <v>1112621.32</v>
      </c>
      <c r="T623" s="13">
        <f t="shared" si="4"/>
        <v>656696.46</v>
      </c>
      <c r="U623" s="13">
        <f t="shared" si="5"/>
        <v>455924.86</v>
      </c>
      <c r="V623" s="3" t="str">
        <f>VLOOKUP(N623,products!A:B,2,0)</f>
        <v>Vegetables</v>
      </c>
      <c r="W623" s="3" t="s">
        <v>28</v>
      </c>
      <c r="X623" s="3" t="s">
        <v>33</v>
      </c>
      <c r="Y623" s="14">
        <f t="shared" si="10"/>
        <v>0.4097754122</v>
      </c>
      <c r="Z623" s="3">
        <f t="shared" si="7"/>
        <v>29</v>
      </c>
      <c r="AA623" s="15">
        <f t="shared" si="8"/>
        <v>1</v>
      </c>
    </row>
    <row r="624" ht="15.75" customHeight="1">
      <c r="A624" s="3">
        <v>5.15773189E8</v>
      </c>
      <c r="B624" s="9">
        <v>40545.0</v>
      </c>
      <c r="C624" s="3">
        <f>IFERROR(__xludf.DUMMYFUNCTION("split(B624,""/"")"),2.0)</f>
        <v>2</v>
      </c>
      <c r="D624" s="10">
        <f>IFERROR(__xludf.DUMMYFUNCTION("""COMPUTED_VALUE"""),1.0)</f>
        <v>1</v>
      </c>
      <c r="E624" s="11">
        <f>IFERROR(__xludf.DUMMYFUNCTION("""COMPUTED_VALUE"""),2011.0)</f>
        <v>2011</v>
      </c>
      <c r="F624" s="12">
        <f t="shared" si="1"/>
        <v>40575</v>
      </c>
      <c r="G624" s="3" t="s">
        <v>1414</v>
      </c>
      <c r="H624" s="3">
        <f>IFERROR(__xludf.DUMMYFUNCTION("split(G624,""/"")"),2.0)</f>
        <v>2</v>
      </c>
      <c r="I624" s="3">
        <f>IFERROR(__xludf.DUMMYFUNCTION("""COMPUTED_VALUE"""),17.0)</f>
        <v>17</v>
      </c>
      <c r="J624" s="3">
        <f>IFERROR(__xludf.DUMMYFUNCTION("""COMPUTED_VALUE"""),2011.0)</f>
        <v>2011</v>
      </c>
      <c r="K624" s="12">
        <f t="shared" si="2"/>
        <v>40591</v>
      </c>
      <c r="L624" s="3" t="s">
        <v>827</v>
      </c>
      <c r="M624" s="3" t="s">
        <v>821</v>
      </c>
      <c r="N624" s="3">
        <v>8875.0</v>
      </c>
      <c r="O624" s="3" t="s">
        <v>818</v>
      </c>
      <c r="P624" s="10">
        <v>7603.0</v>
      </c>
      <c r="Q624" s="13">
        <v>421.89</v>
      </c>
      <c r="R624" s="13">
        <v>364.69</v>
      </c>
      <c r="S624" s="13">
        <f t="shared" si="3"/>
        <v>3207629.67</v>
      </c>
      <c r="T624" s="13">
        <f t="shared" si="4"/>
        <v>2772738.07</v>
      </c>
      <c r="U624" s="13">
        <f t="shared" si="5"/>
        <v>434891.6</v>
      </c>
      <c r="V624" s="3" t="str">
        <f>VLOOKUP(N624,products!A:B,2,0)</f>
        <v>Meat</v>
      </c>
      <c r="W624" s="3" t="s">
        <v>821</v>
      </c>
      <c r="X624" s="3" t="s">
        <v>821</v>
      </c>
      <c r="Y624" s="14">
        <f t="shared" si="10"/>
        <v>0.1355803646</v>
      </c>
      <c r="Z624" s="3">
        <f t="shared" si="7"/>
        <v>16</v>
      </c>
      <c r="AA624" s="15">
        <f t="shared" si="8"/>
        <v>3</v>
      </c>
    </row>
    <row r="625" ht="15.75" customHeight="1">
      <c r="A625" s="3">
        <v>5.16122949E8</v>
      </c>
      <c r="B625" s="3" t="s">
        <v>1063</v>
      </c>
      <c r="C625" s="3">
        <f>IFERROR(__xludf.DUMMYFUNCTION("split(B625,""/"")"),1.0)</f>
        <v>1</v>
      </c>
      <c r="D625" s="10">
        <f>IFERROR(__xludf.DUMMYFUNCTION("""COMPUTED_VALUE"""),18.0)</f>
        <v>18</v>
      </c>
      <c r="E625" s="11">
        <f>IFERROR(__xludf.DUMMYFUNCTION("""COMPUTED_VALUE"""),2012.0)</f>
        <v>2012</v>
      </c>
      <c r="F625" s="12">
        <f t="shared" si="1"/>
        <v>40926</v>
      </c>
      <c r="G625" s="3" t="s">
        <v>1415</v>
      </c>
      <c r="H625" s="3">
        <f>IFERROR(__xludf.DUMMYFUNCTION("split(G625,""/"")"),2.0)</f>
        <v>2</v>
      </c>
      <c r="I625" s="3">
        <f>IFERROR(__xludf.DUMMYFUNCTION("""COMPUTED_VALUE"""),21.0)</f>
        <v>21</v>
      </c>
      <c r="J625" s="3">
        <f>IFERROR(__xludf.DUMMYFUNCTION("""COMPUTED_VALUE"""),2012.0)</f>
        <v>2012</v>
      </c>
      <c r="K625" s="12">
        <f t="shared" si="2"/>
        <v>40960</v>
      </c>
      <c r="L625" s="3" t="s">
        <v>814</v>
      </c>
      <c r="M625" s="3" t="s">
        <v>78</v>
      </c>
      <c r="N625" s="3">
        <v>8969.0</v>
      </c>
      <c r="O625" s="3" t="s">
        <v>815</v>
      </c>
      <c r="P625" s="10">
        <v>1105.0</v>
      </c>
      <c r="Q625" s="13">
        <v>152.58</v>
      </c>
      <c r="R625" s="13">
        <v>97.44</v>
      </c>
      <c r="S625" s="13">
        <f t="shared" si="3"/>
        <v>168600.9</v>
      </c>
      <c r="T625" s="13">
        <f t="shared" si="4"/>
        <v>107671.2</v>
      </c>
      <c r="U625" s="13">
        <f t="shared" si="5"/>
        <v>60929.7</v>
      </c>
      <c r="V625" s="3" t="str">
        <f>VLOOKUP(N625,products!A:B,2,0)</f>
        <v>Snacks</v>
      </c>
      <c r="W625" s="3" t="s">
        <v>28</v>
      </c>
      <c r="X625" s="3" t="s">
        <v>79</v>
      </c>
      <c r="Y625" s="14">
        <f t="shared" si="10"/>
        <v>0.3613841919</v>
      </c>
      <c r="Z625" s="3">
        <f t="shared" si="7"/>
        <v>34</v>
      </c>
      <c r="AA625" s="15">
        <f t="shared" si="8"/>
        <v>4</v>
      </c>
    </row>
    <row r="626" ht="15.75" customHeight="1">
      <c r="A626" s="3">
        <v>5.16460692E8</v>
      </c>
      <c r="B626" s="9">
        <v>40977.0</v>
      </c>
      <c r="C626" s="3">
        <f>IFERROR(__xludf.DUMMYFUNCTION("split(B626,""/"")"),9.0)</f>
        <v>9</v>
      </c>
      <c r="D626" s="10">
        <f>IFERROR(__xludf.DUMMYFUNCTION("""COMPUTED_VALUE"""),3.0)</f>
        <v>3</v>
      </c>
      <c r="E626" s="11">
        <f>IFERROR(__xludf.DUMMYFUNCTION("""COMPUTED_VALUE"""),2012.0)</f>
        <v>2012</v>
      </c>
      <c r="F626" s="12">
        <f t="shared" si="1"/>
        <v>41155</v>
      </c>
      <c r="G626" s="3" t="s">
        <v>1416</v>
      </c>
      <c r="H626" s="3">
        <f>IFERROR(__xludf.DUMMYFUNCTION("split(G626,""/"")"),9.0)</f>
        <v>9</v>
      </c>
      <c r="I626" s="3">
        <f>IFERROR(__xludf.DUMMYFUNCTION("""COMPUTED_VALUE"""),24.0)</f>
        <v>24</v>
      </c>
      <c r="J626" s="3">
        <f>IFERROR(__xludf.DUMMYFUNCTION("""COMPUTED_VALUE"""),2012.0)</f>
        <v>2012</v>
      </c>
      <c r="K626" s="12">
        <f t="shared" si="2"/>
        <v>41176</v>
      </c>
      <c r="L626" s="3" t="s">
        <v>814</v>
      </c>
      <c r="M626" s="3" t="s">
        <v>67</v>
      </c>
      <c r="N626" s="3">
        <v>7940.0</v>
      </c>
      <c r="O626" s="3" t="s">
        <v>818</v>
      </c>
      <c r="P626" s="10">
        <v>1051.0</v>
      </c>
      <c r="Q626" s="13">
        <v>668.27</v>
      </c>
      <c r="R626" s="13">
        <v>502.54</v>
      </c>
      <c r="S626" s="13">
        <f t="shared" si="3"/>
        <v>702351.77</v>
      </c>
      <c r="T626" s="13">
        <f t="shared" si="4"/>
        <v>528169.54</v>
      </c>
      <c r="U626" s="13">
        <f t="shared" si="5"/>
        <v>174182.23</v>
      </c>
      <c r="V626" s="3" t="str">
        <f>VLOOKUP(N626,products!A:B,2,0)</f>
        <v>Household</v>
      </c>
      <c r="W626" s="3" t="s">
        <v>23</v>
      </c>
      <c r="X626" s="3" t="s">
        <v>68</v>
      </c>
      <c r="Y626" s="14">
        <f t="shared" si="10"/>
        <v>0.2479985635</v>
      </c>
      <c r="Z626" s="3">
        <f t="shared" si="7"/>
        <v>21</v>
      </c>
      <c r="AA626" s="15">
        <f t="shared" si="8"/>
        <v>2</v>
      </c>
    </row>
    <row r="627" ht="15.75" customHeight="1">
      <c r="A627" s="3">
        <v>5.16485583E8</v>
      </c>
      <c r="B627" s="9">
        <v>40484.0</v>
      </c>
      <c r="C627" s="3">
        <f>IFERROR(__xludf.DUMMYFUNCTION("split(B627,""/"")"),2.0)</f>
        <v>2</v>
      </c>
      <c r="D627" s="10">
        <f>IFERROR(__xludf.DUMMYFUNCTION("""COMPUTED_VALUE"""),11.0)</f>
        <v>11</v>
      </c>
      <c r="E627" s="11">
        <f>IFERROR(__xludf.DUMMYFUNCTION("""COMPUTED_VALUE"""),2010.0)</f>
        <v>2010</v>
      </c>
      <c r="F627" s="12">
        <f t="shared" si="1"/>
        <v>40220</v>
      </c>
      <c r="G627" s="9">
        <v>40332.0</v>
      </c>
      <c r="H627" s="3">
        <f>IFERROR(__xludf.DUMMYFUNCTION("split(G627,""/"")"),3.0)</f>
        <v>3</v>
      </c>
      <c r="I627" s="3">
        <f>IFERROR(__xludf.DUMMYFUNCTION("""COMPUTED_VALUE"""),6.0)</f>
        <v>6</v>
      </c>
      <c r="J627" s="3">
        <f>IFERROR(__xludf.DUMMYFUNCTION("""COMPUTED_VALUE"""),2010.0)</f>
        <v>2010</v>
      </c>
      <c r="K627" s="12">
        <f t="shared" si="2"/>
        <v>40243</v>
      </c>
      <c r="L627" s="3" t="s">
        <v>814</v>
      </c>
      <c r="M627" s="3" t="s">
        <v>288</v>
      </c>
      <c r="N627" s="3">
        <v>8875.0</v>
      </c>
      <c r="O627" s="3" t="s">
        <v>818</v>
      </c>
      <c r="P627" s="10">
        <v>8416.0</v>
      </c>
      <c r="Q627" s="13">
        <v>421.89</v>
      </c>
      <c r="R627" s="13">
        <v>364.69</v>
      </c>
      <c r="S627" s="13">
        <f t="shared" si="3"/>
        <v>3550626.24</v>
      </c>
      <c r="T627" s="13">
        <f t="shared" si="4"/>
        <v>3069231.04</v>
      </c>
      <c r="U627" s="13">
        <f t="shared" si="5"/>
        <v>481395.2</v>
      </c>
      <c r="V627" s="3" t="str">
        <f>VLOOKUP(N627,products!A:B,2,0)</f>
        <v>Meat</v>
      </c>
      <c r="W627" s="3" t="s">
        <v>23</v>
      </c>
      <c r="X627" s="3" t="s">
        <v>68</v>
      </c>
      <c r="Y627" s="14">
        <f t="shared" si="10"/>
        <v>0.1355803646</v>
      </c>
      <c r="Z627" s="3">
        <f t="shared" si="7"/>
        <v>23</v>
      </c>
      <c r="AA627" s="15">
        <f t="shared" si="8"/>
        <v>5</v>
      </c>
    </row>
    <row r="628" ht="15.75" customHeight="1">
      <c r="A628" s="3">
        <v>5.16599738E8</v>
      </c>
      <c r="B628" s="9">
        <v>41309.0</v>
      </c>
      <c r="C628" s="3">
        <f>IFERROR(__xludf.DUMMYFUNCTION("split(B628,""/"")"),4.0)</f>
        <v>4</v>
      </c>
      <c r="D628" s="10">
        <f>IFERROR(__xludf.DUMMYFUNCTION("""COMPUTED_VALUE"""),2.0)</f>
        <v>2</v>
      </c>
      <c r="E628" s="11">
        <f>IFERROR(__xludf.DUMMYFUNCTION("""COMPUTED_VALUE"""),2013.0)</f>
        <v>2013</v>
      </c>
      <c r="F628" s="12">
        <f t="shared" si="1"/>
        <v>41366</v>
      </c>
      <c r="G628" s="9">
        <v>41522.0</v>
      </c>
      <c r="H628" s="3">
        <f>IFERROR(__xludf.DUMMYFUNCTION("split(G628,""/"")"),5.0)</f>
        <v>5</v>
      </c>
      <c r="I628" s="3">
        <f>IFERROR(__xludf.DUMMYFUNCTION("""COMPUTED_VALUE"""),9.0)</f>
        <v>9</v>
      </c>
      <c r="J628" s="3">
        <f>IFERROR(__xludf.DUMMYFUNCTION("""COMPUTED_VALUE"""),2013.0)</f>
        <v>2013</v>
      </c>
      <c r="K628" s="12">
        <f t="shared" si="2"/>
        <v>41403</v>
      </c>
      <c r="L628" s="3" t="s">
        <v>814</v>
      </c>
      <c r="M628" s="3" t="s">
        <v>300</v>
      </c>
      <c r="N628" s="3">
        <v>8681.0</v>
      </c>
      <c r="O628" s="3" t="s">
        <v>818</v>
      </c>
      <c r="P628" s="10">
        <v>2197.0</v>
      </c>
      <c r="Q628" s="13">
        <v>651.21</v>
      </c>
      <c r="R628" s="13">
        <v>524.96</v>
      </c>
      <c r="S628" s="13">
        <f t="shared" si="3"/>
        <v>1430708.37</v>
      </c>
      <c r="T628" s="13">
        <f t="shared" si="4"/>
        <v>1153337.12</v>
      </c>
      <c r="U628" s="13">
        <f t="shared" si="5"/>
        <v>277371.25</v>
      </c>
      <c r="V628" s="3" t="str">
        <f>VLOOKUP(N628,products!A:B,2,0)</f>
        <v>Office Supplies</v>
      </c>
      <c r="W628" s="3" t="s">
        <v>28</v>
      </c>
      <c r="X628" s="3" t="s">
        <v>33</v>
      </c>
      <c r="Y628" s="14">
        <f t="shared" si="10"/>
        <v>0.193869873</v>
      </c>
      <c r="Z628" s="3">
        <f t="shared" si="7"/>
        <v>37</v>
      </c>
      <c r="AA628" s="15">
        <f t="shared" si="8"/>
        <v>3</v>
      </c>
    </row>
    <row r="629" ht="15.75" customHeight="1">
      <c r="A629" s="3">
        <v>5.16635358E8</v>
      </c>
      <c r="B629" s="3" t="s">
        <v>1417</v>
      </c>
      <c r="C629" s="3">
        <f>IFERROR(__xludf.DUMMYFUNCTION("split(B629,""/"")"),1.0)</f>
        <v>1</v>
      </c>
      <c r="D629" s="10">
        <f>IFERROR(__xludf.DUMMYFUNCTION("""COMPUTED_VALUE"""),25.0)</f>
        <v>25</v>
      </c>
      <c r="E629" s="11">
        <f>IFERROR(__xludf.DUMMYFUNCTION("""COMPUTED_VALUE"""),2012.0)</f>
        <v>2012</v>
      </c>
      <c r="F629" s="12">
        <f t="shared" si="1"/>
        <v>40933</v>
      </c>
      <c r="G629" s="3" t="s">
        <v>1273</v>
      </c>
      <c r="H629" s="3">
        <f>IFERROR(__xludf.DUMMYFUNCTION("split(G629,""/"")"),2.0)</f>
        <v>2</v>
      </c>
      <c r="I629" s="3">
        <f>IFERROR(__xludf.DUMMYFUNCTION("""COMPUTED_VALUE"""),26.0)</f>
        <v>26</v>
      </c>
      <c r="J629" s="3">
        <f>IFERROR(__xludf.DUMMYFUNCTION("""COMPUTED_VALUE"""),2012.0)</f>
        <v>2012</v>
      </c>
      <c r="K629" s="12">
        <f t="shared" si="2"/>
        <v>40965</v>
      </c>
      <c r="L629" s="3" t="s">
        <v>827</v>
      </c>
      <c r="M629" s="3" t="s">
        <v>431</v>
      </c>
      <c r="N629" s="3">
        <v>7940.0</v>
      </c>
      <c r="O629" s="3" t="s">
        <v>815</v>
      </c>
      <c r="P629" s="10">
        <v>2738.0</v>
      </c>
      <c r="Q629" s="13">
        <v>668.27</v>
      </c>
      <c r="R629" s="13">
        <v>502.54</v>
      </c>
      <c r="S629" s="13">
        <f t="shared" si="3"/>
        <v>1829723.26</v>
      </c>
      <c r="T629" s="13">
        <f t="shared" si="4"/>
        <v>1375954.52</v>
      </c>
      <c r="U629" s="13">
        <f t="shared" si="5"/>
        <v>453768.74</v>
      </c>
      <c r="V629" s="3" t="str">
        <f>VLOOKUP(N629,products!A:B,2,0)</f>
        <v>Household</v>
      </c>
      <c r="W629" s="3" t="s">
        <v>28</v>
      </c>
      <c r="X629" s="3" t="s">
        <v>29</v>
      </c>
      <c r="Y629" s="14">
        <f t="shared" si="10"/>
        <v>0.2479985635</v>
      </c>
      <c r="Z629" s="3">
        <f t="shared" si="7"/>
        <v>32</v>
      </c>
      <c r="AA629" s="15">
        <f t="shared" si="8"/>
        <v>4</v>
      </c>
    </row>
    <row r="630" ht="15.75" customHeight="1">
      <c r="A630" s="3">
        <v>5.16994559E8</v>
      </c>
      <c r="B630" s="3" t="s">
        <v>1418</v>
      </c>
      <c r="C630" s="3">
        <f>IFERROR(__xludf.DUMMYFUNCTION("split(B630,""/"")"),6.0)</f>
        <v>6</v>
      </c>
      <c r="D630" s="10">
        <f>IFERROR(__xludf.DUMMYFUNCTION("""COMPUTED_VALUE"""),14.0)</f>
        <v>14</v>
      </c>
      <c r="E630" s="11">
        <f>IFERROR(__xludf.DUMMYFUNCTION("""COMPUTED_VALUE"""),2015.0)</f>
        <v>2015</v>
      </c>
      <c r="F630" s="12">
        <f t="shared" si="1"/>
        <v>42169</v>
      </c>
      <c r="G630" s="3" t="s">
        <v>1419</v>
      </c>
      <c r="H630" s="3">
        <f>IFERROR(__xludf.DUMMYFUNCTION("split(G630,""/"")"),6.0)</f>
        <v>6</v>
      </c>
      <c r="I630" s="3">
        <f>IFERROR(__xludf.DUMMYFUNCTION("""COMPUTED_VALUE"""),20.0)</f>
        <v>20</v>
      </c>
      <c r="J630" s="3">
        <f>IFERROR(__xludf.DUMMYFUNCTION("""COMPUTED_VALUE"""),2015.0)</f>
        <v>2015</v>
      </c>
      <c r="K630" s="12">
        <f t="shared" si="2"/>
        <v>42175</v>
      </c>
      <c r="L630" s="3" t="s">
        <v>827</v>
      </c>
      <c r="M630" s="3" t="s">
        <v>300</v>
      </c>
      <c r="N630" s="3">
        <v>4594.0</v>
      </c>
      <c r="O630" s="3" t="s">
        <v>818</v>
      </c>
      <c r="P630" s="10">
        <v>9034.0</v>
      </c>
      <c r="Q630" s="13">
        <v>9.33</v>
      </c>
      <c r="R630" s="13">
        <v>6.92</v>
      </c>
      <c r="S630" s="13">
        <f t="shared" si="3"/>
        <v>84287.22</v>
      </c>
      <c r="T630" s="13">
        <f t="shared" si="4"/>
        <v>62515.28</v>
      </c>
      <c r="U630" s="13">
        <f t="shared" si="5"/>
        <v>21771.94</v>
      </c>
      <c r="V630" s="3" t="str">
        <f>VLOOKUP(N630,products!A:B,2,0)</f>
        <v>Fruits</v>
      </c>
      <c r="W630" s="3" t="s">
        <v>28</v>
      </c>
      <c r="X630" s="3" t="s">
        <v>33</v>
      </c>
      <c r="Y630" s="14">
        <f t="shared" si="10"/>
        <v>0.258306538</v>
      </c>
      <c r="Z630" s="3">
        <f t="shared" si="7"/>
        <v>6</v>
      </c>
      <c r="AA630" s="15">
        <f t="shared" si="8"/>
        <v>1</v>
      </c>
    </row>
    <row r="631" ht="15.75" customHeight="1">
      <c r="A631" s="3">
        <v>5.17097985E8</v>
      </c>
      <c r="B631" s="3" t="s">
        <v>1420</v>
      </c>
      <c r="C631" s="3">
        <f>IFERROR(__xludf.DUMMYFUNCTION("split(B631,""/"")"),3.0)</f>
        <v>3</v>
      </c>
      <c r="D631" s="10">
        <f>IFERROR(__xludf.DUMMYFUNCTION("""COMPUTED_VALUE"""),18.0)</f>
        <v>18</v>
      </c>
      <c r="E631" s="11">
        <f>IFERROR(__xludf.DUMMYFUNCTION("""COMPUTED_VALUE"""),2017.0)</f>
        <v>2017</v>
      </c>
      <c r="F631" s="12">
        <f t="shared" si="1"/>
        <v>42812</v>
      </c>
      <c r="G631" s="3" t="s">
        <v>1421</v>
      </c>
      <c r="H631" s="3">
        <f>IFERROR(__xludf.DUMMYFUNCTION("split(G631,""/"")"),4.0)</f>
        <v>4</v>
      </c>
      <c r="I631" s="3">
        <f>IFERROR(__xludf.DUMMYFUNCTION("""COMPUTED_VALUE"""),14.0)</f>
        <v>14</v>
      </c>
      <c r="J631" s="3">
        <f>IFERROR(__xludf.DUMMYFUNCTION("""COMPUTED_VALUE"""),2017.0)</f>
        <v>2017</v>
      </c>
      <c r="K631" s="12">
        <f t="shared" si="2"/>
        <v>42839</v>
      </c>
      <c r="L631" s="3" t="s">
        <v>814</v>
      </c>
      <c r="M631" s="3" t="s">
        <v>413</v>
      </c>
      <c r="N631" s="3">
        <v>8969.0</v>
      </c>
      <c r="O631" s="3" t="s">
        <v>815</v>
      </c>
      <c r="P631" s="10">
        <v>9640.0</v>
      </c>
      <c r="Q631" s="13">
        <v>152.58</v>
      </c>
      <c r="R631" s="13">
        <v>97.44</v>
      </c>
      <c r="S631" s="13">
        <f t="shared" si="3"/>
        <v>1470871.2</v>
      </c>
      <c r="T631" s="13">
        <f t="shared" si="4"/>
        <v>939321.6</v>
      </c>
      <c r="U631" s="13">
        <f t="shared" si="5"/>
        <v>531549.6</v>
      </c>
      <c r="V631" s="3" t="str">
        <f>VLOOKUP(N631,products!A:B,2,0)</f>
        <v>Snacks</v>
      </c>
      <c r="W631" s="3" t="s">
        <v>28</v>
      </c>
      <c r="X631" s="3" t="s">
        <v>29</v>
      </c>
      <c r="Y631" s="14">
        <f t="shared" si="10"/>
        <v>0.3613841919</v>
      </c>
      <c r="Z631" s="3">
        <f t="shared" si="7"/>
        <v>27</v>
      </c>
      <c r="AA631" s="15">
        <f t="shared" si="8"/>
        <v>7</v>
      </c>
    </row>
    <row r="632" ht="15.75" customHeight="1">
      <c r="A632" s="3">
        <v>5.17514264E8</v>
      </c>
      <c r="B632" s="9">
        <v>41706.0</v>
      </c>
      <c r="C632" s="3">
        <f>IFERROR(__xludf.DUMMYFUNCTION("split(B632,""/"")"),8.0)</f>
        <v>8</v>
      </c>
      <c r="D632" s="10">
        <f>IFERROR(__xludf.DUMMYFUNCTION("""COMPUTED_VALUE"""),3.0)</f>
        <v>3</v>
      </c>
      <c r="E632" s="11">
        <f>IFERROR(__xludf.DUMMYFUNCTION("""COMPUTED_VALUE"""),2014.0)</f>
        <v>2014</v>
      </c>
      <c r="F632" s="12">
        <f t="shared" si="1"/>
        <v>41854</v>
      </c>
      <c r="G632" s="9">
        <v>41738.0</v>
      </c>
      <c r="H632" s="3">
        <f>IFERROR(__xludf.DUMMYFUNCTION("split(G632,""/"")"),9.0)</f>
        <v>9</v>
      </c>
      <c r="I632" s="3">
        <f>IFERROR(__xludf.DUMMYFUNCTION("""COMPUTED_VALUE"""),4.0)</f>
        <v>4</v>
      </c>
      <c r="J632" s="3">
        <f>IFERROR(__xludf.DUMMYFUNCTION("""COMPUTED_VALUE"""),2014.0)</f>
        <v>2014</v>
      </c>
      <c r="K632" s="12">
        <f t="shared" si="2"/>
        <v>41886</v>
      </c>
      <c r="L632" s="3" t="s">
        <v>825</v>
      </c>
      <c r="M632" s="3" t="s">
        <v>288</v>
      </c>
      <c r="N632" s="3">
        <v>8875.0</v>
      </c>
      <c r="O632" s="3" t="s">
        <v>818</v>
      </c>
      <c r="P632" s="10">
        <v>2826.0</v>
      </c>
      <c r="Q632" s="13">
        <v>421.89</v>
      </c>
      <c r="R632" s="13">
        <v>364.69</v>
      </c>
      <c r="S632" s="13">
        <f t="shared" si="3"/>
        <v>1192261.14</v>
      </c>
      <c r="T632" s="13">
        <f t="shared" si="4"/>
        <v>1030613.94</v>
      </c>
      <c r="U632" s="13">
        <f t="shared" si="5"/>
        <v>161647.2</v>
      </c>
      <c r="V632" s="3" t="str">
        <f>VLOOKUP(N632,products!A:B,2,0)</f>
        <v>Meat</v>
      </c>
      <c r="W632" s="3" t="s">
        <v>23</v>
      </c>
      <c r="X632" s="3" t="s">
        <v>68</v>
      </c>
      <c r="Y632" s="14">
        <f t="shared" si="10"/>
        <v>0.1355803646</v>
      </c>
      <c r="Z632" s="3">
        <f t="shared" si="7"/>
        <v>32</v>
      </c>
      <c r="AA632" s="15">
        <f t="shared" si="8"/>
        <v>1</v>
      </c>
    </row>
    <row r="633" ht="15.75" customHeight="1">
      <c r="A633" s="3">
        <v>5.18421494E8</v>
      </c>
      <c r="B633" s="3" t="s">
        <v>1422</v>
      </c>
      <c r="C633" s="3">
        <f>IFERROR(__xludf.DUMMYFUNCTION("split(B633,""/"")"),10.0)</f>
        <v>10</v>
      </c>
      <c r="D633" s="10">
        <f>IFERROR(__xludf.DUMMYFUNCTION("""COMPUTED_VALUE"""),22.0)</f>
        <v>22</v>
      </c>
      <c r="E633" s="11">
        <f>IFERROR(__xludf.DUMMYFUNCTION("""COMPUTED_VALUE"""),2016.0)</f>
        <v>2016</v>
      </c>
      <c r="F633" s="12">
        <f t="shared" si="1"/>
        <v>42665</v>
      </c>
      <c r="G633" s="3" t="s">
        <v>1422</v>
      </c>
      <c r="H633" s="3">
        <f>IFERROR(__xludf.DUMMYFUNCTION("split(G633,""/"")"),10.0)</f>
        <v>10</v>
      </c>
      <c r="I633" s="3">
        <f>IFERROR(__xludf.DUMMYFUNCTION("""COMPUTED_VALUE"""),22.0)</f>
        <v>22</v>
      </c>
      <c r="J633" s="3">
        <f>IFERROR(__xludf.DUMMYFUNCTION("""COMPUTED_VALUE"""),2016.0)</f>
        <v>2016</v>
      </c>
      <c r="K633" s="12">
        <f t="shared" si="2"/>
        <v>42665</v>
      </c>
      <c r="L633" s="3" t="s">
        <v>827</v>
      </c>
      <c r="M633" s="3" t="s">
        <v>623</v>
      </c>
      <c r="N633" s="3">
        <v>2103.0</v>
      </c>
      <c r="O633" s="3" t="s">
        <v>815</v>
      </c>
      <c r="P633" s="10">
        <v>1296.0</v>
      </c>
      <c r="Q633" s="13">
        <v>205.7</v>
      </c>
      <c r="R633" s="13">
        <v>117.11</v>
      </c>
      <c r="S633" s="13">
        <f t="shared" si="3"/>
        <v>266587.2</v>
      </c>
      <c r="T633" s="13">
        <f t="shared" si="4"/>
        <v>151774.56</v>
      </c>
      <c r="U633" s="13">
        <f t="shared" si="5"/>
        <v>114812.64</v>
      </c>
      <c r="V633" s="3" t="str">
        <f>VLOOKUP(N633,products!A:B,2,0)</f>
        <v>Cereal</v>
      </c>
      <c r="W633" s="3" t="s">
        <v>28</v>
      </c>
      <c r="X633" s="3" t="s">
        <v>33</v>
      </c>
      <c r="Y633" s="14">
        <f t="shared" si="10"/>
        <v>0.4306757414</v>
      </c>
      <c r="Z633" s="3">
        <f t="shared" si="7"/>
        <v>0</v>
      </c>
      <c r="AA633" s="15">
        <f t="shared" si="8"/>
        <v>7</v>
      </c>
    </row>
    <row r="634" ht="15.75" customHeight="1">
      <c r="A634" s="3">
        <v>5.19380223E8</v>
      </c>
      <c r="B634" s="9">
        <v>42339.0</v>
      </c>
      <c r="C634" s="3">
        <f>IFERROR(__xludf.DUMMYFUNCTION("split(B634,""/"")"),1.0)</f>
        <v>1</v>
      </c>
      <c r="D634" s="10">
        <f>IFERROR(__xludf.DUMMYFUNCTION("""COMPUTED_VALUE"""),12.0)</f>
        <v>12</v>
      </c>
      <c r="E634" s="11">
        <f>IFERROR(__xludf.DUMMYFUNCTION("""COMPUTED_VALUE"""),2015.0)</f>
        <v>2015</v>
      </c>
      <c r="F634" s="12">
        <f t="shared" si="1"/>
        <v>42016</v>
      </c>
      <c r="G634" s="3" t="s">
        <v>1423</v>
      </c>
      <c r="H634" s="3">
        <f>IFERROR(__xludf.DUMMYFUNCTION("split(G634,""/"")"),1.0)</f>
        <v>1</v>
      </c>
      <c r="I634" s="3">
        <f>IFERROR(__xludf.DUMMYFUNCTION("""COMPUTED_VALUE"""),17.0)</f>
        <v>17</v>
      </c>
      <c r="J634" s="3">
        <f>IFERROR(__xludf.DUMMYFUNCTION("""COMPUTED_VALUE"""),2015.0)</f>
        <v>2015</v>
      </c>
      <c r="K634" s="12">
        <f t="shared" si="2"/>
        <v>42021</v>
      </c>
      <c r="L634" s="3" t="s">
        <v>814</v>
      </c>
      <c r="M634" s="3" t="s">
        <v>101</v>
      </c>
      <c r="N634" s="3">
        <v>8969.0</v>
      </c>
      <c r="O634" s="3" t="s">
        <v>815</v>
      </c>
      <c r="P634" s="10">
        <v>5005.0</v>
      </c>
      <c r="Q634" s="13">
        <v>152.58</v>
      </c>
      <c r="R634" s="13">
        <v>97.44</v>
      </c>
      <c r="S634" s="13">
        <f t="shared" si="3"/>
        <v>763662.9</v>
      </c>
      <c r="T634" s="13">
        <f t="shared" si="4"/>
        <v>487687.2</v>
      </c>
      <c r="U634" s="13">
        <f t="shared" si="5"/>
        <v>275975.7</v>
      </c>
      <c r="V634" s="3" t="str">
        <f>VLOOKUP(N634,products!A:B,2,0)</f>
        <v>Snacks</v>
      </c>
      <c r="W634" s="3" t="s">
        <v>28</v>
      </c>
      <c r="X634" s="3" t="s">
        <v>79</v>
      </c>
      <c r="Y634" s="14">
        <f t="shared" si="10"/>
        <v>0.3613841919</v>
      </c>
      <c r="Z634" s="3">
        <f t="shared" si="7"/>
        <v>5</v>
      </c>
      <c r="AA634" s="15">
        <f t="shared" si="8"/>
        <v>2</v>
      </c>
    </row>
    <row r="635" ht="15.75" customHeight="1">
      <c r="A635" s="3">
        <v>5.2039088E8</v>
      </c>
      <c r="B635" s="9">
        <v>40822.0</v>
      </c>
      <c r="C635" s="3">
        <f>IFERROR(__xludf.DUMMYFUNCTION("split(B635,""/"")"),6.0)</f>
        <v>6</v>
      </c>
      <c r="D635" s="10">
        <f>IFERROR(__xludf.DUMMYFUNCTION("""COMPUTED_VALUE"""),10.0)</f>
        <v>10</v>
      </c>
      <c r="E635" s="11">
        <f>IFERROR(__xludf.DUMMYFUNCTION("""COMPUTED_VALUE"""),2011.0)</f>
        <v>2011</v>
      </c>
      <c r="F635" s="12">
        <f t="shared" si="1"/>
        <v>40704</v>
      </c>
      <c r="G635" s="3" t="s">
        <v>1424</v>
      </c>
      <c r="H635" s="3">
        <f>IFERROR(__xludf.DUMMYFUNCTION("split(G635,""/"")"),7.0)</f>
        <v>7</v>
      </c>
      <c r="I635" s="3">
        <f>IFERROR(__xludf.DUMMYFUNCTION("""COMPUTED_VALUE"""),24.0)</f>
        <v>24</v>
      </c>
      <c r="J635" s="3">
        <f>IFERROR(__xludf.DUMMYFUNCTION("""COMPUTED_VALUE"""),2011.0)</f>
        <v>2011</v>
      </c>
      <c r="K635" s="12">
        <f t="shared" si="2"/>
        <v>40748</v>
      </c>
      <c r="L635" s="3" t="s">
        <v>814</v>
      </c>
      <c r="M635" s="3" t="s">
        <v>575</v>
      </c>
      <c r="N635" s="3">
        <v>2103.0</v>
      </c>
      <c r="O635" s="3" t="s">
        <v>818</v>
      </c>
      <c r="P635" s="10">
        <v>4080.0</v>
      </c>
      <c r="Q635" s="13">
        <v>205.7</v>
      </c>
      <c r="R635" s="13">
        <v>117.11</v>
      </c>
      <c r="S635" s="13">
        <f t="shared" si="3"/>
        <v>839256</v>
      </c>
      <c r="T635" s="13">
        <f t="shared" si="4"/>
        <v>477808.8</v>
      </c>
      <c r="U635" s="13">
        <f t="shared" si="5"/>
        <v>361447.2</v>
      </c>
      <c r="V635" s="3" t="str">
        <f>VLOOKUP(N635,products!A:B,2,0)</f>
        <v>Cereal</v>
      </c>
      <c r="W635" s="3" t="s">
        <v>28</v>
      </c>
      <c r="X635" s="3" t="s">
        <v>98</v>
      </c>
      <c r="Y635" s="14">
        <f t="shared" si="10"/>
        <v>0.4306757414</v>
      </c>
      <c r="Z635" s="3">
        <f t="shared" si="7"/>
        <v>44</v>
      </c>
      <c r="AA635" s="15">
        <f t="shared" si="8"/>
        <v>6</v>
      </c>
    </row>
    <row r="636" ht="15.75" customHeight="1">
      <c r="A636" s="3">
        <v>5.20777547E8</v>
      </c>
      <c r="B636" s="9">
        <v>40212.0</v>
      </c>
      <c r="C636" s="3">
        <f>IFERROR(__xludf.DUMMYFUNCTION("split(B636,""/"")"),3.0)</f>
        <v>3</v>
      </c>
      <c r="D636" s="10">
        <f>IFERROR(__xludf.DUMMYFUNCTION("""COMPUTED_VALUE"""),2.0)</f>
        <v>2</v>
      </c>
      <c r="E636" s="11">
        <f>IFERROR(__xludf.DUMMYFUNCTION("""COMPUTED_VALUE"""),2010.0)</f>
        <v>2010</v>
      </c>
      <c r="F636" s="12">
        <f t="shared" si="1"/>
        <v>40239</v>
      </c>
      <c r="G636" s="3" t="s">
        <v>1425</v>
      </c>
      <c r="H636" s="3">
        <f>IFERROR(__xludf.DUMMYFUNCTION("split(G636,""/"")"),4.0)</f>
        <v>4</v>
      </c>
      <c r="I636" s="3">
        <f>IFERROR(__xludf.DUMMYFUNCTION("""COMPUTED_VALUE"""),15.0)</f>
        <v>15</v>
      </c>
      <c r="J636" s="3">
        <f>IFERROR(__xludf.DUMMYFUNCTION("""COMPUTED_VALUE"""),2010.0)</f>
        <v>2010</v>
      </c>
      <c r="K636" s="12">
        <f t="shared" si="2"/>
        <v>40283</v>
      </c>
      <c r="L636" s="3" t="s">
        <v>817</v>
      </c>
      <c r="M636" s="3" t="s">
        <v>142</v>
      </c>
      <c r="N636" s="3">
        <v>2455.0</v>
      </c>
      <c r="O636" s="3" t="s">
        <v>818</v>
      </c>
      <c r="P636" s="10">
        <v>8504.0</v>
      </c>
      <c r="Q636" s="13">
        <v>109.28</v>
      </c>
      <c r="R636" s="13">
        <v>35.84</v>
      </c>
      <c r="S636" s="13">
        <f t="shared" si="3"/>
        <v>929317.12</v>
      </c>
      <c r="T636" s="13">
        <f t="shared" si="4"/>
        <v>304783.36</v>
      </c>
      <c r="U636" s="13">
        <f t="shared" si="5"/>
        <v>624533.76</v>
      </c>
      <c r="V636" s="3" t="str">
        <f>VLOOKUP(N636,products!A:B,2,0)</f>
        <v>Clothes</v>
      </c>
      <c r="W636" s="3" t="s">
        <v>28</v>
      </c>
      <c r="X636" s="3" t="s">
        <v>98</v>
      </c>
      <c r="Y636" s="14">
        <f t="shared" si="10"/>
        <v>0.6720351391</v>
      </c>
      <c r="Z636" s="3">
        <f t="shared" si="7"/>
        <v>44</v>
      </c>
      <c r="AA636" s="15">
        <f t="shared" si="8"/>
        <v>3</v>
      </c>
    </row>
    <row r="637" ht="15.75" customHeight="1">
      <c r="A637" s="3">
        <v>5.20915305E8</v>
      </c>
      <c r="B637" s="3" t="s">
        <v>1426</v>
      </c>
      <c r="C637" s="3">
        <f>IFERROR(__xludf.DUMMYFUNCTION("split(B637,""/"")"),10.0)</f>
        <v>10</v>
      </c>
      <c r="D637" s="10">
        <f>IFERROR(__xludf.DUMMYFUNCTION("""COMPUTED_VALUE"""),16.0)</f>
        <v>16</v>
      </c>
      <c r="E637" s="11">
        <f>IFERROR(__xludf.DUMMYFUNCTION("""COMPUTED_VALUE"""),2011.0)</f>
        <v>2011</v>
      </c>
      <c r="F637" s="12">
        <f t="shared" si="1"/>
        <v>40832</v>
      </c>
      <c r="G637" s="9">
        <v>40735.0</v>
      </c>
      <c r="H637" s="3">
        <f>IFERROR(__xludf.DUMMYFUNCTION("split(G637,""/"")"),11.0)</f>
        <v>11</v>
      </c>
      <c r="I637" s="3">
        <f>IFERROR(__xludf.DUMMYFUNCTION("""COMPUTED_VALUE"""),7.0)</f>
        <v>7</v>
      </c>
      <c r="J637" s="3">
        <f>IFERROR(__xludf.DUMMYFUNCTION("""COMPUTED_VALUE"""),2011.0)</f>
        <v>2011</v>
      </c>
      <c r="K637" s="12">
        <f t="shared" si="2"/>
        <v>40854</v>
      </c>
      <c r="L637" s="3" t="s">
        <v>827</v>
      </c>
      <c r="M637" s="3" t="s">
        <v>593</v>
      </c>
      <c r="N637" s="3">
        <v>8681.0</v>
      </c>
      <c r="O637" s="3" t="s">
        <v>818</v>
      </c>
      <c r="P637" s="10">
        <v>9270.0</v>
      </c>
      <c r="Q637" s="13">
        <v>651.21</v>
      </c>
      <c r="R637" s="13">
        <v>524.96</v>
      </c>
      <c r="S637" s="13">
        <f t="shared" si="3"/>
        <v>6036716.7</v>
      </c>
      <c r="T637" s="13">
        <f t="shared" si="4"/>
        <v>4866379.2</v>
      </c>
      <c r="U637" s="13">
        <f t="shared" si="5"/>
        <v>1170337.5</v>
      </c>
      <c r="V637" s="3" t="str">
        <f>VLOOKUP(N637,products!A:B,2,0)</f>
        <v>Office Supplies</v>
      </c>
      <c r="W637" s="3" t="s">
        <v>28</v>
      </c>
      <c r="X637" s="3" t="s">
        <v>98</v>
      </c>
      <c r="Y637" s="14">
        <f t="shared" si="10"/>
        <v>0.193869873</v>
      </c>
      <c r="Z637" s="3">
        <f t="shared" si="7"/>
        <v>22</v>
      </c>
      <c r="AA637" s="15">
        <f t="shared" si="8"/>
        <v>1</v>
      </c>
    </row>
    <row r="638" ht="15.75" customHeight="1">
      <c r="A638" s="3">
        <v>5.21681344E8</v>
      </c>
      <c r="B638" s="3" t="s">
        <v>1427</v>
      </c>
      <c r="C638" s="3">
        <f>IFERROR(__xludf.DUMMYFUNCTION("split(B638,""/"")"),2.0)</f>
        <v>2</v>
      </c>
      <c r="D638" s="10">
        <f>IFERROR(__xludf.DUMMYFUNCTION("""COMPUTED_VALUE"""),16.0)</f>
        <v>16</v>
      </c>
      <c r="E638" s="11">
        <f>IFERROR(__xludf.DUMMYFUNCTION("""COMPUTED_VALUE"""),2010.0)</f>
        <v>2010</v>
      </c>
      <c r="F638" s="12">
        <f t="shared" si="1"/>
        <v>40225</v>
      </c>
      <c r="G638" s="9">
        <v>40241.0</v>
      </c>
      <c r="H638" s="3">
        <f>IFERROR(__xludf.DUMMYFUNCTION("split(G638,""/"")"),4.0)</f>
        <v>4</v>
      </c>
      <c r="I638" s="3">
        <f>IFERROR(__xludf.DUMMYFUNCTION("""COMPUTED_VALUE"""),3.0)</f>
        <v>3</v>
      </c>
      <c r="J638" s="3">
        <f>IFERROR(__xludf.DUMMYFUNCTION("""COMPUTED_VALUE"""),2010.0)</f>
        <v>2010</v>
      </c>
      <c r="K638" s="12">
        <f t="shared" si="2"/>
        <v>40271</v>
      </c>
      <c r="L638" s="3" t="s">
        <v>814</v>
      </c>
      <c r="M638" s="3" t="s">
        <v>218</v>
      </c>
      <c r="N638" s="3">
        <v>8681.0</v>
      </c>
      <c r="O638" s="3" t="s">
        <v>815</v>
      </c>
      <c r="P638" s="10">
        <v>5957.0</v>
      </c>
      <c r="Q638" s="13">
        <v>651.21</v>
      </c>
      <c r="R638" s="13">
        <v>524.96</v>
      </c>
      <c r="S638" s="13">
        <f t="shared" si="3"/>
        <v>3879257.97</v>
      </c>
      <c r="T638" s="13">
        <f t="shared" si="4"/>
        <v>3127186.72</v>
      </c>
      <c r="U638" s="13">
        <f t="shared" si="5"/>
        <v>752071.25</v>
      </c>
      <c r="V638" s="3" t="str">
        <f>VLOOKUP(N638,products!A:B,2,0)</f>
        <v>Office Supplies</v>
      </c>
      <c r="W638" s="3" t="s">
        <v>28</v>
      </c>
      <c r="X638" s="3" t="s">
        <v>98</v>
      </c>
      <c r="Y638" s="14">
        <f t="shared" si="10"/>
        <v>0.193869873</v>
      </c>
      <c r="Z638" s="3">
        <f t="shared" si="7"/>
        <v>46</v>
      </c>
      <c r="AA638" s="15">
        <f t="shared" si="8"/>
        <v>3</v>
      </c>
    </row>
    <row r="639" ht="15.75" customHeight="1">
      <c r="A639" s="3">
        <v>5.21874034E8</v>
      </c>
      <c r="B639" s="9">
        <v>40330.0</v>
      </c>
      <c r="C639" s="3">
        <f>IFERROR(__xludf.DUMMYFUNCTION("split(B639,""/"")"),1.0)</f>
        <v>1</v>
      </c>
      <c r="D639" s="10">
        <f>IFERROR(__xludf.DUMMYFUNCTION("""COMPUTED_VALUE"""),6.0)</f>
        <v>6</v>
      </c>
      <c r="E639" s="11">
        <f>IFERROR(__xludf.DUMMYFUNCTION("""COMPUTED_VALUE"""),2010.0)</f>
        <v>2010</v>
      </c>
      <c r="F639" s="12">
        <f t="shared" si="1"/>
        <v>40184</v>
      </c>
      <c r="G639" s="9">
        <v>40239.0</v>
      </c>
      <c r="H639" s="3">
        <f>IFERROR(__xludf.DUMMYFUNCTION("split(G639,""/"")"),2.0)</f>
        <v>2</v>
      </c>
      <c r="I639" s="3">
        <f>IFERROR(__xludf.DUMMYFUNCTION("""COMPUTED_VALUE"""),3.0)</f>
        <v>3</v>
      </c>
      <c r="J639" s="3">
        <f>IFERROR(__xludf.DUMMYFUNCTION("""COMPUTED_VALUE"""),2010.0)</f>
        <v>2010</v>
      </c>
      <c r="K639" s="12">
        <f t="shared" si="2"/>
        <v>40212</v>
      </c>
      <c r="L639" s="3" t="s">
        <v>814</v>
      </c>
      <c r="M639" s="3" t="s">
        <v>97</v>
      </c>
      <c r="N639" s="3">
        <v>8293.0</v>
      </c>
      <c r="O639" s="3" t="s">
        <v>818</v>
      </c>
      <c r="P639" s="10">
        <v>2979.0</v>
      </c>
      <c r="Q639" s="13">
        <v>437.2</v>
      </c>
      <c r="R639" s="13">
        <v>263.33</v>
      </c>
      <c r="S639" s="13">
        <f t="shared" si="3"/>
        <v>1302418.8</v>
      </c>
      <c r="T639" s="13">
        <f t="shared" si="4"/>
        <v>784460.07</v>
      </c>
      <c r="U639" s="13">
        <f t="shared" si="5"/>
        <v>517958.73</v>
      </c>
      <c r="V639" s="3" t="str">
        <f>VLOOKUP(N639,products!A:B,2,0)</f>
        <v>Cosmetics</v>
      </c>
      <c r="W639" s="3" t="s">
        <v>28</v>
      </c>
      <c r="X639" s="3" t="s">
        <v>98</v>
      </c>
      <c r="Y639" s="14">
        <f t="shared" si="10"/>
        <v>0.3976898445</v>
      </c>
      <c r="Z639" s="3">
        <f t="shared" si="7"/>
        <v>28</v>
      </c>
      <c r="AA639" s="15">
        <f t="shared" si="8"/>
        <v>4</v>
      </c>
    </row>
    <row r="640" ht="15.75" customHeight="1">
      <c r="A640" s="3">
        <v>5.22323358E8</v>
      </c>
      <c r="B640" s="3" t="s">
        <v>1428</v>
      </c>
      <c r="C640" s="3">
        <f>IFERROR(__xludf.DUMMYFUNCTION("split(B640,""/"")"),11.0)</f>
        <v>11</v>
      </c>
      <c r="D640" s="10">
        <f>IFERROR(__xludf.DUMMYFUNCTION("""COMPUTED_VALUE"""),16.0)</f>
        <v>16</v>
      </c>
      <c r="E640" s="11">
        <f>IFERROR(__xludf.DUMMYFUNCTION("""COMPUTED_VALUE"""),2015.0)</f>
        <v>2015</v>
      </c>
      <c r="F640" s="12">
        <f t="shared" si="1"/>
        <v>42324</v>
      </c>
      <c r="G640" s="3" t="s">
        <v>1429</v>
      </c>
      <c r="H640" s="3">
        <f>IFERROR(__xludf.DUMMYFUNCTION("split(G640,""/"")"),11.0)</f>
        <v>11</v>
      </c>
      <c r="I640" s="3">
        <f>IFERROR(__xludf.DUMMYFUNCTION("""COMPUTED_VALUE"""),20.0)</f>
        <v>20</v>
      </c>
      <c r="J640" s="3">
        <f>IFERROR(__xludf.DUMMYFUNCTION("""COMPUTED_VALUE"""),2015.0)</f>
        <v>2015</v>
      </c>
      <c r="K640" s="12">
        <f t="shared" si="2"/>
        <v>42328</v>
      </c>
      <c r="L640" s="3" t="s">
        <v>827</v>
      </c>
      <c r="M640" s="3" t="s">
        <v>590</v>
      </c>
      <c r="N640" s="3">
        <v>2455.0</v>
      </c>
      <c r="O640" s="3" t="s">
        <v>815</v>
      </c>
      <c r="P640" s="10">
        <v>5944.0</v>
      </c>
      <c r="Q640" s="13">
        <v>109.28</v>
      </c>
      <c r="R640" s="13">
        <v>35.84</v>
      </c>
      <c r="S640" s="13">
        <f t="shared" si="3"/>
        <v>649560.32</v>
      </c>
      <c r="T640" s="13">
        <f t="shared" si="4"/>
        <v>213032.96</v>
      </c>
      <c r="U640" s="13">
        <f t="shared" si="5"/>
        <v>436527.36</v>
      </c>
      <c r="V640" s="3" t="str">
        <f>VLOOKUP(N640,products!A:B,2,0)</f>
        <v>Clothes</v>
      </c>
      <c r="W640" s="3" t="s">
        <v>28</v>
      </c>
      <c r="X640" s="3" t="s">
        <v>98</v>
      </c>
      <c r="Y640" s="14">
        <f t="shared" si="10"/>
        <v>0.6720351391</v>
      </c>
      <c r="Z640" s="3">
        <f t="shared" si="7"/>
        <v>4</v>
      </c>
      <c r="AA640" s="15">
        <f t="shared" si="8"/>
        <v>2</v>
      </c>
    </row>
    <row r="641" ht="15.75" customHeight="1">
      <c r="A641" s="3">
        <v>5.23580348E8</v>
      </c>
      <c r="B641" s="3" t="s">
        <v>1038</v>
      </c>
      <c r="C641" s="3">
        <f>IFERROR(__xludf.DUMMYFUNCTION("split(B641,""/"")"),6.0)</f>
        <v>6</v>
      </c>
      <c r="D641" s="10">
        <f>IFERROR(__xludf.DUMMYFUNCTION("""COMPUTED_VALUE"""),25.0)</f>
        <v>25</v>
      </c>
      <c r="E641" s="11">
        <f>IFERROR(__xludf.DUMMYFUNCTION("""COMPUTED_VALUE"""),2011.0)</f>
        <v>2011</v>
      </c>
      <c r="F641" s="12">
        <f t="shared" si="1"/>
        <v>40719</v>
      </c>
      <c r="G641" s="9">
        <v>40641.0</v>
      </c>
      <c r="H641" s="3">
        <f>IFERROR(__xludf.DUMMYFUNCTION("split(G641,""/"")"),8.0)</f>
        <v>8</v>
      </c>
      <c r="I641" s="3">
        <f>IFERROR(__xludf.DUMMYFUNCTION("""COMPUTED_VALUE"""),4.0)</f>
        <v>4</v>
      </c>
      <c r="J641" s="3">
        <f>IFERROR(__xludf.DUMMYFUNCTION("""COMPUTED_VALUE"""),2011.0)</f>
        <v>2011</v>
      </c>
      <c r="K641" s="12">
        <f t="shared" si="2"/>
        <v>40759</v>
      </c>
      <c r="L641" s="3" t="s">
        <v>817</v>
      </c>
      <c r="M641" s="3" t="s">
        <v>635</v>
      </c>
      <c r="N641" s="3">
        <v>2455.0</v>
      </c>
      <c r="O641" s="3" t="s">
        <v>815</v>
      </c>
      <c r="P641" s="10">
        <v>7915.0</v>
      </c>
      <c r="Q641" s="13">
        <v>109.28</v>
      </c>
      <c r="R641" s="13">
        <v>35.84</v>
      </c>
      <c r="S641" s="13">
        <f t="shared" si="3"/>
        <v>864951.2</v>
      </c>
      <c r="T641" s="13">
        <f t="shared" si="4"/>
        <v>283673.6</v>
      </c>
      <c r="U641" s="13">
        <f t="shared" si="5"/>
        <v>581277.6</v>
      </c>
      <c r="V641" s="3" t="str">
        <f>VLOOKUP(N641,products!A:B,2,0)</f>
        <v>Clothes</v>
      </c>
      <c r="W641" s="3" t="s">
        <v>28</v>
      </c>
      <c r="X641" s="3" t="s">
        <v>33</v>
      </c>
      <c r="Y641" s="14">
        <f t="shared" si="10"/>
        <v>0.6720351391</v>
      </c>
      <c r="Z641" s="3">
        <f t="shared" si="7"/>
        <v>40</v>
      </c>
      <c r="AA641" s="15">
        <f t="shared" si="8"/>
        <v>7</v>
      </c>
    </row>
    <row r="642" ht="15.75" customHeight="1">
      <c r="A642" s="3">
        <v>5.23707807E8</v>
      </c>
      <c r="B642" s="3" t="s">
        <v>1430</v>
      </c>
      <c r="C642" s="3">
        <f>IFERROR(__xludf.DUMMYFUNCTION("split(B642,""/"")"),11.0)</f>
        <v>11</v>
      </c>
      <c r="D642" s="10">
        <f>IFERROR(__xludf.DUMMYFUNCTION("""COMPUTED_VALUE"""),25.0)</f>
        <v>25</v>
      </c>
      <c r="E642" s="11">
        <f>IFERROR(__xludf.DUMMYFUNCTION("""COMPUTED_VALUE"""),2013.0)</f>
        <v>2013</v>
      </c>
      <c r="F642" s="12">
        <f t="shared" si="1"/>
        <v>41603</v>
      </c>
      <c r="G642" s="3" t="s">
        <v>1431</v>
      </c>
      <c r="H642" s="3">
        <f>IFERROR(__xludf.DUMMYFUNCTION("split(G642,""/"")"),12.0)</f>
        <v>12</v>
      </c>
      <c r="I642" s="3">
        <f>IFERROR(__xludf.DUMMYFUNCTION("""COMPUTED_VALUE"""),16.0)</f>
        <v>16</v>
      </c>
      <c r="J642" s="3">
        <f>IFERROR(__xludf.DUMMYFUNCTION("""COMPUTED_VALUE"""),2013.0)</f>
        <v>2013</v>
      </c>
      <c r="K642" s="12">
        <f t="shared" si="2"/>
        <v>41624</v>
      </c>
      <c r="L642" s="3" t="s">
        <v>814</v>
      </c>
      <c r="M642" s="3" t="s">
        <v>123</v>
      </c>
      <c r="N642" s="3">
        <v>5988.0</v>
      </c>
      <c r="O642" s="3" t="s">
        <v>815</v>
      </c>
      <c r="P642" s="10">
        <v>5633.0</v>
      </c>
      <c r="Q642" s="13">
        <v>154.06</v>
      </c>
      <c r="R642" s="13">
        <v>90.93</v>
      </c>
      <c r="S642" s="13">
        <f t="shared" si="3"/>
        <v>867819.98</v>
      </c>
      <c r="T642" s="13">
        <f t="shared" si="4"/>
        <v>512208.69</v>
      </c>
      <c r="U642" s="13">
        <f t="shared" si="5"/>
        <v>355611.29</v>
      </c>
      <c r="V642" s="3" t="str">
        <f>VLOOKUP(N642,products!A:B,2,0)</f>
        <v>Vegetables</v>
      </c>
      <c r="W642" s="3" t="s">
        <v>28</v>
      </c>
      <c r="X642" s="3" t="s">
        <v>33</v>
      </c>
      <c r="Y642" s="14">
        <f t="shared" si="10"/>
        <v>0.4097754122</v>
      </c>
      <c r="Z642" s="3">
        <f t="shared" si="7"/>
        <v>21</v>
      </c>
      <c r="AA642" s="15">
        <f t="shared" si="8"/>
        <v>2</v>
      </c>
    </row>
    <row r="643" ht="15.75" customHeight="1">
      <c r="A643" s="3">
        <v>5.23836123E8</v>
      </c>
      <c r="B643" s="9">
        <v>41427.0</v>
      </c>
      <c r="C643" s="3">
        <f>IFERROR(__xludf.DUMMYFUNCTION("split(B643,""/"")"),2.0)</f>
        <v>2</v>
      </c>
      <c r="D643" s="10">
        <f>IFERROR(__xludf.DUMMYFUNCTION("""COMPUTED_VALUE"""),6.0)</f>
        <v>6</v>
      </c>
      <c r="E643" s="11">
        <f>IFERROR(__xludf.DUMMYFUNCTION("""COMPUTED_VALUE"""),2013.0)</f>
        <v>2013</v>
      </c>
      <c r="F643" s="12">
        <f t="shared" si="1"/>
        <v>41311</v>
      </c>
      <c r="G643" s="3" t="s">
        <v>1432</v>
      </c>
      <c r="H643" s="3">
        <f>IFERROR(__xludf.DUMMYFUNCTION("split(G643,""/"")"),3.0)</f>
        <v>3</v>
      </c>
      <c r="I643" s="3">
        <f>IFERROR(__xludf.DUMMYFUNCTION("""COMPUTED_VALUE"""),22.0)</f>
        <v>22</v>
      </c>
      <c r="J643" s="3">
        <f>IFERROR(__xludf.DUMMYFUNCTION("""COMPUTED_VALUE"""),2013.0)</f>
        <v>2013</v>
      </c>
      <c r="K643" s="12">
        <f t="shared" si="2"/>
        <v>41355</v>
      </c>
      <c r="L643" s="3" t="s">
        <v>817</v>
      </c>
      <c r="M643" s="3" t="s">
        <v>431</v>
      </c>
      <c r="N643" s="3">
        <v>2455.0</v>
      </c>
      <c r="O643" s="3" t="s">
        <v>815</v>
      </c>
      <c r="P643" s="10">
        <v>3605.0</v>
      </c>
      <c r="Q643" s="13">
        <v>109.28</v>
      </c>
      <c r="R643" s="13">
        <v>35.84</v>
      </c>
      <c r="S643" s="13">
        <f t="shared" si="3"/>
        <v>393954.4</v>
      </c>
      <c r="T643" s="13">
        <f t="shared" si="4"/>
        <v>129203.2</v>
      </c>
      <c r="U643" s="13">
        <f t="shared" si="5"/>
        <v>264751.2</v>
      </c>
      <c r="V643" s="3" t="str">
        <f>VLOOKUP(N643,products!A:B,2,0)</f>
        <v>Clothes</v>
      </c>
      <c r="W643" s="3" t="s">
        <v>28</v>
      </c>
      <c r="X643" s="3" t="s">
        <v>29</v>
      </c>
      <c r="Y643" s="14">
        <f t="shared" si="10"/>
        <v>0.6720351391</v>
      </c>
      <c r="Z643" s="3">
        <f t="shared" si="7"/>
        <v>44</v>
      </c>
      <c r="AA643" s="15">
        <f t="shared" si="8"/>
        <v>4</v>
      </c>
    </row>
    <row r="644" ht="15.75" customHeight="1">
      <c r="A644" s="3">
        <v>5.23899209E8</v>
      </c>
      <c r="B644" s="9">
        <v>41650.0</v>
      </c>
      <c r="C644" s="3">
        <f>IFERROR(__xludf.DUMMYFUNCTION("split(B644,""/"")"),11.0)</f>
        <v>11</v>
      </c>
      <c r="D644" s="10">
        <f>IFERROR(__xludf.DUMMYFUNCTION("""COMPUTED_VALUE"""),1.0)</f>
        <v>1</v>
      </c>
      <c r="E644" s="11">
        <f>IFERROR(__xludf.DUMMYFUNCTION("""COMPUTED_VALUE"""),2014.0)</f>
        <v>2014</v>
      </c>
      <c r="F644" s="12">
        <f t="shared" si="1"/>
        <v>41944</v>
      </c>
      <c r="G644" s="3" t="s">
        <v>1433</v>
      </c>
      <c r="H644" s="3">
        <f>IFERROR(__xludf.DUMMYFUNCTION("split(G644,""/"")"),11.0)</f>
        <v>11</v>
      </c>
      <c r="I644" s="3">
        <f>IFERROR(__xludf.DUMMYFUNCTION("""COMPUTED_VALUE"""),16.0)</f>
        <v>16</v>
      </c>
      <c r="J644" s="3">
        <f>IFERROR(__xludf.DUMMYFUNCTION("""COMPUTED_VALUE"""),2014.0)</f>
        <v>2014</v>
      </c>
      <c r="K644" s="12">
        <f t="shared" si="2"/>
        <v>41959</v>
      </c>
      <c r="L644" s="3" t="s">
        <v>817</v>
      </c>
      <c r="M644" s="3" t="s">
        <v>291</v>
      </c>
      <c r="N644" s="3">
        <v>7331.0</v>
      </c>
      <c r="O644" s="3" t="s">
        <v>818</v>
      </c>
      <c r="P644" s="10">
        <v>2273.0</v>
      </c>
      <c r="Q644" s="13">
        <v>255.28</v>
      </c>
      <c r="R644" s="13">
        <v>159.42</v>
      </c>
      <c r="S644" s="13">
        <f t="shared" si="3"/>
        <v>580251.44</v>
      </c>
      <c r="T644" s="13">
        <f t="shared" si="4"/>
        <v>362361.66</v>
      </c>
      <c r="U644" s="13">
        <f t="shared" si="5"/>
        <v>217889.78</v>
      </c>
      <c r="V644" s="3" t="str">
        <f>VLOOKUP(N644,products!A:B,2,0)</f>
        <v>Baby Food</v>
      </c>
      <c r="W644" s="3" t="s">
        <v>28</v>
      </c>
      <c r="X644" s="3" t="s">
        <v>79</v>
      </c>
      <c r="Y644" s="14">
        <f t="shared" si="10"/>
        <v>0.3755092448</v>
      </c>
      <c r="Z644" s="3">
        <f t="shared" si="7"/>
        <v>15</v>
      </c>
      <c r="AA644" s="15">
        <f t="shared" si="8"/>
        <v>7</v>
      </c>
    </row>
    <row r="645" ht="15.75" customHeight="1">
      <c r="A645" s="3">
        <v>5.24844634E8</v>
      </c>
      <c r="B645" s="9">
        <v>41557.0</v>
      </c>
      <c r="C645" s="3">
        <f>IFERROR(__xludf.DUMMYFUNCTION("split(B645,""/"")"),10.0)</f>
        <v>10</v>
      </c>
      <c r="D645" s="10">
        <f>IFERROR(__xludf.DUMMYFUNCTION("""COMPUTED_VALUE"""),10.0)</f>
        <v>10</v>
      </c>
      <c r="E645" s="11">
        <f>IFERROR(__xludf.DUMMYFUNCTION("""COMPUTED_VALUE"""),2013.0)</f>
        <v>2013</v>
      </c>
      <c r="F645" s="12">
        <f t="shared" si="1"/>
        <v>41557</v>
      </c>
      <c r="G645" s="3" t="s">
        <v>1434</v>
      </c>
      <c r="H645" s="3">
        <f>IFERROR(__xludf.DUMMYFUNCTION("split(G645,""/"")"),10.0)</f>
        <v>10</v>
      </c>
      <c r="I645" s="3">
        <f>IFERROR(__xludf.DUMMYFUNCTION("""COMPUTED_VALUE"""),13.0)</f>
        <v>13</v>
      </c>
      <c r="J645" s="3">
        <f>IFERROR(__xludf.DUMMYFUNCTION("""COMPUTED_VALUE"""),2013.0)</f>
        <v>2013</v>
      </c>
      <c r="K645" s="12">
        <f t="shared" si="2"/>
        <v>41560</v>
      </c>
      <c r="L645" s="3" t="s">
        <v>814</v>
      </c>
      <c r="M645" s="3" t="s">
        <v>300</v>
      </c>
      <c r="N645" s="3">
        <v>2103.0</v>
      </c>
      <c r="O645" s="3" t="s">
        <v>818</v>
      </c>
      <c r="P645" s="10">
        <v>2045.0</v>
      </c>
      <c r="Q645" s="13">
        <v>205.7</v>
      </c>
      <c r="R645" s="13">
        <v>117.11</v>
      </c>
      <c r="S645" s="13">
        <f t="shared" si="3"/>
        <v>420656.5</v>
      </c>
      <c r="T645" s="13">
        <f t="shared" si="4"/>
        <v>239489.95</v>
      </c>
      <c r="U645" s="13">
        <f t="shared" si="5"/>
        <v>181166.55</v>
      </c>
      <c r="V645" s="3" t="str">
        <f>VLOOKUP(N645,products!A:B,2,0)</f>
        <v>Cereal</v>
      </c>
      <c r="W645" s="3" t="s">
        <v>28</v>
      </c>
      <c r="X645" s="3" t="s">
        <v>33</v>
      </c>
      <c r="Y645" s="14">
        <f t="shared" si="10"/>
        <v>0.4306757414</v>
      </c>
      <c r="Z645" s="3">
        <f t="shared" si="7"/>
        <v>3</v>
      </c>
      <c r="AA645" s="15">
        <f t="shared" si="8"/>
        <v>5</v>
      </c>
    </row>
    <row r="646" ht="15.75" customHeight="1">
      <c r="A646" s="3">
        <v>5.24972951E8</v>
      </c>
      <c r="B646" s="3" t="s">
        <v>1060</v>
      </c>
      <c r="C646" s="3">
        <f>IFERROR(__xludf.DUMMYFUNCTION("split(B646,""/"")"),12.0)</f>
        <v>12</v>
      </c>
      <c r="D646" s="10">
        <f>IFERROR(__xludf.DUMMYFUNCTION("""COMPUTED_VALUE"""),22.0)</f>
        <v>22</v>
      </c>
      <c r="E646" s="11">
        <f>IFERROR(__xludf.DUMMYFUNCTION("""COMPUTED_VALUE"""),2012.0)</f>
        <v>2012</v>
      </c>
      <c r="F646" s="12">
        <f t="shared" si="1"/>
        <v>41265</v>
      </c>
      <c r="G646" s="3" t="s">
        <v>1156</v>
      </c>
      <c r="H646" s="3">
        <f>IFERROR(__xludf.DUMMYFUNCTION("split(G646,""/"")"),1.0)</f>
        <v>1</v>
      </c>
      <c r="I646" s="3">
        <f>IFERROR(__xludf.DUMMYFUNCTION("""COMPUTED_VALUE"""),17.0)</f>
        <v>17</v>
      </c>
      <c r="J646" s="3">
        <f>IFERROR(__xludf.DUMMYFUNCTION("""COMPUTED_VALUE"""),2013.0)</f>
        <v>2013</v>
      </c>
      <c r="K646" s="12">
        <f t="shared" si="2"/>
        <v>41291</v>
      </c>
      <c r="L646" s="3" t="s">
        <v>825</v>
      </c>
      <c r="M646" s="3" t="s">
        <v>590</v>
      </c>
      <c r="N646" s="3">
        <v>8875.0</v>
      </c>
      <c r="O646" s="3" t="s">
        <v>818</v>
      </c>
      <c r="P646" s="10">
        <v>17.0</v>
      </c>
      <c r="Q646" s="13">
        <v>421.89</v>
      </c>
      <c r="R646" s="13">
        <v>364.69</v>
      </c>
      <c r="S646" s="13">
        <f t="shared" si="3"/>
        <v>7172.13</v>
      </c>
      <c r="T646" s="13">
        <f t="shared" si="4"/>
        <v>6199.73</v>
      </c>
      <c r="U646" s="13">
        <f t="shared" si="5"/>
        <v>972.4</v>
      </c>
      <c r="V646" s="3" t="str">
        <f>VLOOKUP(N646,products!A:B,2,0)</f>
        <v>Meat</v>
      </c>
      <c r="W646" s="3" t="s">
        <v>28</v>
      </c>
      <c r="X646" s="3" t="s">
        <v>98</v>
      </c>
      <c r="Y646" s="14">
        <f t="shared" si="10"/>
        <v>0.1355803646</v>
      </c>
      <c r="Z646" s="3">
        <f t="shared" si="7"/>
        <v>26</v>
      </c>
      <c r="AA646" s="15">
        <f t="shared" si="8"/>
        <v>7</v>
      </c>
    </row>
    <row r="647" ht="15.75" customHeight="1">
      <c r="A647" s="3">
        <v>5.25321424E8</v>
      </c>
      <c r="B647" s="3" t="s">
        <v>1435</v>
      </c>
      <c r="C647" s="3">
        <f>IFERROR(__xludf.DUMMYFUNCTION("split(B647,""/"")"),12.0)</f>
        <v>12</v>
      </c>
      <c r="D647" s="10">
        <f>IFERROR(__xludf.DUMMYFUNCTION("""COMPUTED_VALUE"""),25.0)</f>
        <v>25</v>
      </c>
      <c r="E647" s="11">
        <f>IFERROR(__xludf.DUMMYFUNCTION("""COMPUTED_VALUE"""),2014.0)</f>
        <v>2014</v>
      </c>
      <c r="F647" s="12">
        <f t="shared" si="1"/>
        <v>41998</v>
      </c>
      <c r="G647" s="3" t="s">
        <v>1436</v>
      </c>
      <c r="H647" s="3">
        <f>IFERROR(__xludf.DUMMYFUNCTION("split(G647,""/"")"),12.0)</f>
        <v>12</v>
      </c>
      <c r="I647" s="3">
        <f>IFERROR(__xludf.DUMMYFUNCTION("""COMPUTED_VALUE"""),31.0)</f>
        <v>31</v>
      </c>
      <c r="J647" s="3">
        <f>IFERROR(__xludf.DUMMYFUNCTION("""COMPUTED_VALUE"""),2014.0)</f>
        <v>2014</v>
      </c>
      <c r="K647" s="12">
        <f t="shared" si="2"/>
        <v>42004</v>
      </c>
      <c r="L647" s="3" t="s">
        <v>827</v>
      </c>
      <c r="M647" s="3" t="s">
        <v>488</v>
      </c>
      <c r="N647" s="3">
        <v>7940.0</v>
      </c>
      <c r="O647" s="3" t="s">
        <v>815</v>
      </c>
      <c r="P647" s="10">
        <v>3138.0</v>
      </c>
      <c r="Q647" s="13">
        <v>668.27</v>
      </c>
      <c r="R647" s="13">
        <v>502.54</v>
      </c>
      <c r="S647" s="13">
        <f t="shared" si="3"/>
        <v>2097031.26</v>
      </c>
      <c r="T647" s="13">
        <f t="shared" si="4"/>
        <v>1576970.52</v>
      </c>
      <c r="U647" s="13">
        <f t="shared" si="5"/>
        <v>520060.74</v>
      </c>
      <c r="V647" s="3" t="str">
        <f>VLOOKUP(N647,products!A:B,2,0)</f>
        <v>Household</v>
      </c>
      <c r="W647" s="3" t="s">
        <v>28</v>
      </c>
      <c r="X647" s="3" t="s">
        <v>33</v>
      </c>
      <c r="Y647" s="14">
        <f t="shared" si="10"/>
        <v>0.2479985635</v>
      </c>
      <c r="Z647" s="3">
        <f t="shared" si="7"/>
        <v>6</v>
      </c>
      <c r="AA647" s="15">
        <f t="shared" si="8"/>
        <v>5</v>
      </c>
    </row>
    <row r="648" ht="15.75" customHeight="1">
      <c r="A648" s="3">
        <v>5.25472486E8</v>
      </c>
      <c r="B648" s="3" t="s">
        <v>1437</v>
      </c>
      <c r="C648" s="3">
        <f>IFERROR(__xludf.DUMMYFUNCTION("split(B648,""/"")"),11.0)</f>
        <v>11</v>
      </c>
      <c r="D648" s="10">
        <f>IFERROR(__xludf.DUMMYFUNCTION("""COMPUTED_VALUE"""),21.0)</f>
        <v>21</v>
      </c>
      <c r="E648" s="11">
        <f>IFERROR(__xludf.DUMMYFUNCTION("""COMPUTED_VALUE"""),2015.0)</f>
        <v>2015</v>
      </c>
      <c r="F648" s="12">
        <f t="shared" si="1"/>
        <v>42329</v>
      </c>
      <c r="G648" s="3" t="s">
        <v>1438</v>
      </c>
      <c r="H648" s="3">
        <f>IFERROR(__xludf.DUMMYFUNCTION("split(G648,""/"")"),11.0)</f>
        <v>11</v>
      </c>
      <c r="I648" s="3">
        <f>IFERROR(__xludf.DUMMYFUNCTION("""COMPUTED_VALUE"""),23.0)</f>
        <v>23</v>
      </c>
      <c r="J648" s="3">
        <f>IFERROR(__xludf.DUMMYFUNCTION("""COMPUTED_VALUE"""),2015.0)</f>
        <v>2015</v>
      </c>
      <c r="K648" s="12">
        <f t="shared" si="2"/>
        <v>42331</v>
      </c>
      <c r="L648" s="3" t="s">
        <v>814</v>
      </c>
      <c r="M648" s="3" t="s">
        <v>536</v>
      </c>
      <c r="N648" s="3">
        <v>7331.0</v>
      </c>
      <c r="O648" s="3" t="s">
        <v>815</v>
      </c>
      <c r="P648" s="10">
        <v>7840.0</v>
      </c>
      <c r="Q648" s="13">
        <v>255.28</v>
      </c>
      <c r="R648" s="13">
        <v>159.42</v>
      </c>
      <c r="S648" s="13">
        <f t="shared" si="3"/>
        <v>2001395.2</v>
      </c>
      <c r="T648" s="13">
        <f t="shared" si="4"/>
        <v>1249852.8</v>
      </c>
      <c r="U648" s="13">
        <f t="shared" si="5"/>
        <v>751542.4</v>
      </c>
      <c r="V648" s="3" t="str">
        <f>VLOOKUP(N648,products!A:B,2,0)</f>
        <v>Baby Food</v>
      </c>
      <c r="W648" s="3" t="s">
        <v>28</v>
      </c>
      <c r="X648" s="3" t="s">
        <v>33</v>
      </c>
      <c r="Y648" s="14">
        <f t="shared" si="10"/>
        <v>0.3755092448</v>
      </c>
      <c r="Z648" s="3">
        <f t="shared" si="7"/>
        <v>2</v>
      </c>
      <c r="AA648" s="15">
        <f t="shared" si="8"/>
        <v>7</v>
      </c>
    </row>
    <row r="649" ht="15.75" customHeight="1">
      <c r="A649" s="3">
        <v>5.25749719E8</v>
      </c>
      <c r="B649" s="9">
        <v>41161.0</v>
      </c>
      <c r="C649" s="3">
        <f>IFERROR(__xludf.DUMMYFUNCTION("split(B649,""/"")"),9.0)</f>
        <v>9</v>
      </c>
      <c r="D649" s="10">
        <f>IFERROR(__xludf.DUMMYFUNCTION("""COMPUTED_VALUE"""),9.0)</f>
        <v>9</v>
      </c>
      <c r="E649" s="11">
        <f>IFERROR(__xludf.DUMMYFUNCTION("""COMPUTED_VALUE"""),2012.0)</f>
        <v>2012</v>
      </c>
      <c r="F649" s="12">
        <f t="shared" si="1"/>
        <v>41161</v>
      </c>
      <c r="G649" s="3" t="s">
        <v>954</v>
      </c>
      <c r="H649" s="3">
        <f>IFERROR(__xludf.DUMMYFUNCTION("split(G649,""/"")"),10.0)</f>
        <v>10</v>
      </c>
      <c r="I649" s="3">
        <f>IFERROR(__xludf.DUMMYFUNCTION("""COMPUTED_VALUE"""),22.0)</f>
        <v>22</v>
      </c>
      <c r="J649" s="3">
        <f>IFERROR(__xludf.DUMMYFUNCTION("""COMPUTED_VALUE"""),2012.0)</f>
        <v>2012</v>
      </c>
      <c r="K649" s="12">
        <f t="shared" si="2"/>
        <v>41204</v>
      </c>
      <c r="L649" s="3" t="s">
        <v>825</v>
      </c>
      <c r="M649" s="3" t="s">
        <v>97</v>
      </c>
      <c r="N649" s="3">
        <v>8969.0</v>
      </c>
      <c r="O649" s="3" t="s">
        <v>815</v>
      </c>
      <c r="P649" s="10">
        <v>9880.0</v>
      </c>
      <c r="Q649" s="13">
        <v>152.58</v>
      </c>
      <c r="R649" s="13">
        <v>97.44</v>
      </c>
      <c r="S649" s="13">
        <f t="shared" si="3"/>
        <v>1507490.4</v>
      </c>
      <c r="T649" s="13">
        <f t="shared" si="4"/>
        <v>962707.2</v>
      </c>
      <c r="U649" s="13">
        <f t="shared" si="5"/>
        <v>544783.2</v>
      </c>
      <c r="V649" s="3" t="str">
        <f>VLOOKUP(N649,products!A:B,2,0)</f>
        <v>Snacks</v>
      </c>
      <c r="W649" s="3" t="s">
        <v>28</v>
      </c>
      <c r="X649" s="3" t="s">
        <v>98</v>
      </c>
      <c r="Y649" s="14">
        <f t="shared" si="10"/>
        <v>0.3613841919</v>
      </c>
      <c r="Z649" s="3">
        <f t="shared" si="7"/>
        <v>43</v>
      </c>
      <c r="AA649" s="15">
        <f t="shared" si="8"/>
        <v>1</v>
      </c>
    </row>
    <row r="650" ht="15.75" customHeight="1">
      <c r="A650" s="3">
        <v>5.26018369E8</v>
      </c>
      <c r="B650" s="9">
        <v>40608.0</v>
      </c>
      <c r="C650" s="3">
        <f>IFERROR(__xludf.DUMMYFUNCTION("split(B650,""/"")"),6.0)</f>
        <v>6</v>
      </c>
      <c r="D650" s="10">
        <f>IFERROR(__xludf.DUMMYFUNCTION("""COMPUTED_VALUE"""),3.0)</f>
        <v>3</v>
      </c>
      <c r="E650" s="11">
        <f>IFERROR(__xludf.DUMMYFUNCTION("""COMPUTED_VALUE"""),2011.0)</f>
        <v>2011</v>
      </c>
      <c r="F650" s="12">
        <f t="shared" si="1"/>
        <v>40697</v>
      </c>
      <c r="G650" s="3" t="s">
        <v>1439</v>
      </c>
      <c r="H650" s="3">
        <f>IFERROR(__xludf.DUMMYFUNCTION("split(G650,""/"")"),6.0)</f>
        <v>6</v>
      </c>
      <c r="I650" s="3">
        <f>IFERROR(__xludf.DUMMYFUNCTION("""COMPUTED_VALUE"""),21.0)</f>
        <v>21</v>
      </c>
      <c r="J650" s="3">
        <f>IFERROR(__xludf.DUMMYFUNCTION("""COMPUTED_VALUE"""),2011.0)</f>
        <v>2011</v>
      </c>
      <c r="K650" s="12">
        <f t="shared" si="2"/>
        <v>40715</v>
      </c>
      <c r="L650" s="3" t="s">
        <v>814</v>
      </c>
      <c r="M650" s="3" t="s">
        <v>821</v>
      </c>
      <c r="N650" s="3">
        <v>8293.0</v>
      </c>
      <c r="O650" s="3" t="s">
        <v>815</v>
      </c>
      <c r="P650" s="10">
        <v>9379.0</v>
      </c>
      <c r="Q650" s="13">
        <v>437.2</v>
      </c>
      <c r="R650" s="13">
        <v>263.33</v>
      </c>
      <c r="S650" s="13">
        <f t="shared" si="3"/>
        <v>4100498.8</v>
      </c>
      <c r="T650" s="13">
        <f t="shared" si="4"/>
        <v>2469772.07</v>
      </c>
      <c r="U650" s="13">
        <f t="shared" si="5"/>
        <v>1630726.73</v>
      </c>
      <c r="V650" s="3" t="str">
        <f>VLOOKUP(N650,products!A:B,2,0)</f>
        <v>Cosmetics</v>
      </c>
      <c r="W650" s="3" t="s">
        <v>821</v>
      </c>
      <c r="X650" s="3" t="s">
        <v>821</v>
      </c>
      <c r="Y650" s="14">
        <f t="shared" si="10"/>
        <v>0.3976898445</v>
      </c>
      <c r="Z650" s="3">
        <f t="shared" si="7"/>
        <v>18</v>
      </c>
      <c r="AA650" s="15">
        <f t="shared" si="8"/>
        <v>6</v>
      </c>
    </row>
    <row r="651" ht="15.75" customHeight="1">
      <c r="A651" s="3">
        <v>5.26350104E8</v>
      </c>
      <c r="B651" s="3" t="s">
        <v>1440</v>
      </c>
      <c r="C651" s="3">
        <f>IFERROR(__xludf.DUMMYFUNCTION("split(B651,""/"")"),11.0)</f>
        <v>11</v>
      </c>
      <c r="D651" s="10">
        <f>IFERROR(__xludf.DUMMYFUNCTION("""COMPUTED_VALUE"""),19.0)</f>
        <v>19</v>
      </c>
      <c r="E651" s="11">
        <f>IFERROR(__xludf.DUMMYFUNCTION("""COMPUTED_VALUE"""),2011.0)</f>
        <v>2011</v>
      </c>
      <c r="F651" s="12">
        <f t="shared" si="1"/>
        <v>40866</v>
      </c>
      <c r="G651" s="9">
        <v>40645.0</v>
      </c>
      <c r="H651" s="3">
        <f>IFERROR(__xludf.DUMMYFUNCTION("split(G651,""/"")"),12.0)</f>
        <v>12</v>
      </c>
      <c r="I651" s="3">
        <f>IFERROR(__xludf.DUMMYFUNCTION("""COMPUTED_VALUE"""),4.0)</f>
        <v>4</v>
      </c>
      <c r="J651" s="3">
        <f>IFERROR(__xludf.DUMMYFUNCTION("""COMPUTED_VALUE"""),2011.0)</f>
        <v>2011</v>
      </c>
      <c r="K651" s="12">
        <f t="shared" si="2"/>
        <v>40881</v>
      </c>
      <c r="L651" s="3" t="s">
        <v>814</v>
      </c>
      <c r="M651" s="3" t="s">
        <v>488</v>
      </c>
      <c r="N651" s="3">
        <v>2455.0</v>
      </c>
      <c r="O651" s="3" t="s">
        <v>818</v>
      </c>
      <c r="P651" s="10">
        <v>7547.0</v>
      </c>
      <c r="Q651" s="13">
        <v>109.28</v>
      </c>
      <c r="R651" s="13">
        <v>35.84</v>
      </c>
      <c r="S651" s="13">
        <f t="shared" si="3"/>
        <v>824736.16</v>
      </c>
      <c r="T651" s="13">
        <f t="shared" si="4"/>
        <v>270484.48</v>
      </c>
      <c r="U651" s="13">
        <f t="shared" si="5"/>
        <v>554251.68</v>
      </c>
      <c r="V651" s="3" t="str">
        <f>VLOOKUP(N651,products!A:B,2,0)</f>
        <v>Clothes</v>
      </c>
      <c r="W651" s="3" t="s">
        <v>28</v>
      </c>
      <c r="X651" s="3" t="s">
        <v>33</v>
      </c>
      <c r="Y651" s="14">
        <f t="shared" si="10"/>
        <v>0.6720351391</v>
      </c>
      <c r="Z651" s="3">
        <f t="shared" si="7"/>
        <v>15</v>
      </c>
      <c r="AA651" s="15">
        <f t="shared" si="8"/>
        <v>7</v>
      </c>
    </row>
    <row r="652" ht="15.75" customHeight="1">
      <c r="A652" s="3">
        <v>5.26533353E8</v>
      </c>
      <c r="B652" s="9">
        <v>42412.0</v>
      </c>
      <c r="C652" s="3">
        <f>IFERROR(__xludf.DUMMYFUNCTION("split(B652,""/"")"),12.0)</f>
        <v>12</v>
      </c>
      <c r="D652" s="10">
        <f>IFERROR(__xludf.DUMMYFUNCTION("""COMPUTED_VALUE"""),2.0)</f>
        <v>2</v>
      </c>
      <c r="E652" s="11">
        <f>IFERROR(__xludf.DUMMYFUNCTION("""COMPUTED_VALUE"""),2016.0)</f>
        <v>2016</v>
      </c>
      <c r="F652" s="12">
        <f t="shared" si="1"/>
        <v>42706</v>
      </c>
      <c r="G652" s="9">
        <v>43070.0</v>
      </c>
      <c r="H652" s="3">
        <f>IFERROR(__xludf.DUMMYFUNCTION("split(G652,""/"")"),1.0)</f>
        <v>1</v>
      </c>
      <c r="I652" s="3">
        <f>IFERROR(__xludf.DUMMYFUNCTION("""COMPUTED_VALUE"""),12.0)</f>
        <v>12</v>
      </c>
      <c r="J652" s="3">
        <f>IFERROR(__xludf.DUMMYFUNCTION("""COMPUTED_VALUE"""),2017.0)</f>
        <v>2017</v>
      </c>
      <c r="K652" s="12">
        <f t="shared" si="2"/>
        <v>42747</v>
      </c>
      <c r="L652" s="3" t="s">
        <v>814</v>
      </c>
      <c r="M652" s="3" t="s">
        <v>288</v>
      </c>
      <c r="N652" s="3">
        <v>4594.0</v>
      </c>
      <c r="O652" s="3" t="s">
        <v>815</v>
      </c>
      <c r="P652" s="10">
        <v>1775.0</v>
      </c>
      <c r="Q652" s="13">
        <v>9.33</v>
      </c>
      <c r="R652" s="13">
        <v>6.92</v>
      </c>
      <c r="S652" s="13">
        <f t="shared" si="3"/>
        <v>16560.75</v>
      </c>
      <c r="T652" s="13">
        <f t="shared" si="4"/>
        <v>12283</v>
      </c>
      <c r="U652" s="13">
        <f t="shared" si="5"/>
        <v>4277.75</v>
      </c>
      <c r="V652" s="3" t="str">
        <f>VLOOKUP(N652,products!A:B,2,0)</f>
        <v>Fruits</v>
      </c>
      <c r="W652" s="3" t="s">
        <v>23</v>
      </c>
      <c r="X652" s="3" t="s">
        <v>68</v>
      </c>
      <c r="Y652" s="14">
        <f t="shared" si="10"/>
        <v>0.258306538</v>
      </c>
      <c r="Z652" s="3">
        <f t="shared" si="7"/>
        <v>41</v>
      </c>
      <c r="AA652" s="15">
        <f t="shared" si="8"/>
        <v>6</v>
      </c>
    </row>
    <row r="653" ht="15.75" customHeight="1">
      <c r="A653" s="3">
        <v>5.27079236E8</v>
      </c>
      <c r="B653" s="3" t="s">
        <v>1441</v>
      </c>
      <c r="C653" s="3">
        <f>IFERROR(__xludf.DUMMYFUNCTION("split(B653,""/"")"),6.0)</f>
        <v>6</v>
      </c>
      <c r="D653" s="10">
        <f>IFERROR(__xludf.DUMMYFUNCTION("""COMPUTED_VALUE"""),14.0)</f>
        <v>14</v>
      </c>
      <c r="E653" s="11">
        <f>IFERROR(__xludf.DUMMYFUNCTION("""COMPUTED_VALUE"""),2012.0)</f>
        <v>2012</v>
      </c>
      <c r="F653" s="12">
        <f t="shared" si="1"/>
        <v>41074</v>
      </c>
      <c r="G653" s="3" t="s">
        <v>1442</v>
      </c>
      <c r="H653" s="3">
        <f>IFERROR(__xludf.DUMMYFUNCTION("split(G653,""/"")"),6.0)</f>
        <v>6</v>
      </c>
      <c r="I653" s="3">
        <f>IFERROR(__xludf.DUMMYFUNCTION("""COMPUTED_VALUE"""),20.0)</f>
        <v>20</v>
      </c>
      <c r="J653" s="3">
        <f>IFERROR(__xludf.DUMMYFUNCTION("""COMPUTED_VALUE"""),2012.0)</f>
        <v>2012</v>
      </c>
      <c r="K653" s="12">
        <f t="shared" si="2"/>
        <v>41080</v>
      </c>
      <c r="L653" s="3" t="s">
        <v>814</v>
      </c>
      <c r="M653" s="3" t="s">
        <v>218</v>
      </c>
      <c r="N653" s="3">
        <v>5988.0</v>
      </c>
      <c r="O653" s="3" t="s">
        <v>815</v>
      </c>
      <c r="P653" s="10">
        <v>3314.0</v>
      </c>
      <c r="Q653" s="13">
        <v>154.06</v>
      </c>
      <c r="R653" s="13">
        <v>90.93</v>
      </c>
      <c r="S653" s="13">
        <f t="shared" si="3"/>
        <v>510554.84</v>
      </c>
      <c r="T653" s="13">
        <f t="shared" si="4"/>
        <v>301342.02</v>
      </c>
      <c r="U653" s="13">
        <f t="shared" si="5"/>
        <v>209212.82</v>
      </c>
      <c r="V653" s="3" t="str">
        <f>VLOOKUP(N653,products!A:B,2,0)</f>
        <v>Vegetables</v>
      </c>
      <c r="W653" s="3" t="s">
        <v>28</v>
      </c>
      <c r="X653" s="3" t="s">
        <v>98</v>
      </c>
      <c r="Y653" s="14">
        <f t="shared" si="10"/>
        <v>0.4097754122</v>
      </c>
      <c r="Z653" s="3">
        <f t="shared" si="7"/>
        <v>6</v>
      </c>
      <c r="AA653" s="15">
        <f t="shared" si="8"/>
        <v>5</v>
      </c>
    </row>
    <row r="654" ht="15.75" customHeight="1">
      <c r="A654" s="3">
        <v>5.2725991E8</v>
      </c>
      <c r="B654" s="9">
        <v>41000.0</v>
      </c>
      <c r="C654" s="3">
        <f>IFERROR(__xludf.DUMMYFUNCTION("split(B654,""/"")"),1.0)</f>
        <v>1</v>
      </c>
      <c r="D654" s="10">
        <f>IFERROR(__xludf.DUMMYFUNCTION("""COMPUTED_VALUE"""),4.0)</f>
        <v>4</v>
      </c>
      <c r="E654" s="11">
        <f>IFERROR(__xludf.DUMMYFUNCTION("""COMPUTED_VALUE"""),2012.0)</f>
        <v>2012</v>
      </c>
      <c r="F654" s="12">
        <f t="shared" si="1"/>
        <v>40912</v>
      </c>
      <c r="G654" s="9">
        <v>41214.0</v>
      </c>
      <c r="H654" s="3">
        <f>IFERROR(__xludf.DUMMYFUNCTION("split(G654,""/"")"),1.0)</f>
        <v>1</v>
      </c>
      <c r="I654" s="3">
        <f>IFERROR(__xludf.DUMMYFUNCTION("""COMPUTED_VALUE"""),11.0)</f>
        <v>11</v>
      </c>
      <c r="J654" s="3">
        <f>IFERROR(__xludf.DUMMYFUNCTION("""COMPUTED_VALUE"""),2012.0)</f>
        <v>2012</v>
      </c>
      <c r="K654" s="12">
        <f t="shared" si="2"/>
        <v>40919</v>
      </c>
      <c r="L654" s="3" t="s">
        <v>827</v>
      </c>
      <c r="M654" s="3" t="s">
        <v>428</v>
      </c>
      <c r="N654" s="3">
        <v>3127.0</v>
      </c>
      <c r="O654" s="3" t="s">
        <v>815</v>
      </c>
      <c r="P654" s="10">
        <v>6779.0</v>
      </c>
      <c r="Q654" s="13">
        <v>81.73</v>
      </c>
      <c r="R654" s="13">
        <v>56.67</v>
      </c>
      <c r="S654" s="13">
        <f t="shared" si="3"/>
        <v>554047.67</v>
      </c>
      <c r="T654" s="13">
        <f t="shared" si="4"/>
        <v>384165.93</v>
      </c>
      <c r="U654" s="13">
        <f t="shared" si="5"/>
        <v>169881.74</v>
      </c>
      <c r="V654" s="3" t="str">
        <f>VLOOKUP(N654,products!A:B,2,0)</f>
        <v>Personal Care</v>
      </c>
      <c r="W654" s="3" t="s">
        <v>28</v>
      </c>
      <c r="X654" s="3" t="s">
        <v>79</v>
      </c>
      <c r="Y654" s="14">
        <f t="shared" si="10"/>
        <v>0.3066193564</v>
      </c>
      <c r="Z654" s="3">
        <f t="shared" si="7"/>
        <v>7</v>
      </c>
      <c r="AA654" s="15">
        <f t="shared" si="8"/>
        <v>4</v>
      </c>
    </row>
    <row r="655" ht="15.75" customHeight="1">
      <c r="A655" s="3">
        <v>5.27509677E8</v>
      </c>
      <c r="B655" s="3" t="s">
        <v>1443</v>
      </c>
      <c r="C655" s="3">
        <f>IFERROR(__xludf.DUMMYFUNCTION("split(B655,""/"")"),6.0)</f>
        <v>6</v>
      </c>
      <c r="D655" s="10">
        <f>IFERROR(__xludf.DUMMYFUNCTION("""COMPUTED_VALUE"""),19.0)</f>
        <v>19</v>
      </c>
      <c r="E655" s="11">
        <f>IFERROR(__xludf.DUMMYFUNCTION("""COMPUTED_VALUE"""),2013.0)</f>
        <v>2013</v>
      </c>
      <c r="F655" s="12">
        <f t="shared" si="1"/>
        <v>41444</v>
      </c>
      <c r="G655" s="9">
        <v>41554.0</v>
      </c>
      <c r="H655" s="3">
        <f>IFERROR(__xludf.DUMMYFUNCTION("split(G655,""/"")"),7.0)</f>
        <v>7</v>
      </c>
      <c r="I655" s="3">
        <f>IFERROR(__xludf.DUMMYFUNCTION("""COMPUTED_VALUE"""),10.0)</f>
        <v>10</v>
      </c>
      <c r="J655" s="3">
        <f>IFERROR(__xludf.DUMMYFUNCTION("""COMPUTED_VALUE"""),2013.0)</f>
        <v>2013</v>
      </c>
      <c r="K655" s="12">
        <f t="shared" si="2"/>
        <v>41465</v>
      </c>
      <c r="L655" s="3" t="s">
        <v>817</v>
      </c>
      <c r="M655" s="3" t="s">
        <v>349</v>
      </c>
      <c r="N655" s="3">
        <v>8681.0</v>
      </c>
      <c r="O655" s="3" t="s">
        <v>815</v>
      </c>
      <c r="P655" s="10">
        <v>691.0</v>
      </c>
      <c r="Q655" s="13">
        <v>651.21</v>
      </c>
      <c r="R655" s="13">
        <v>524.96</v>
      </c>
      <c r="S655" s="13">
        <f t="shared" si="3"/>
        <v>449986.11</v>
      </c>
      <c r="T655" s="13">
        <f t="shared" si="4"/>
        <v>362747.36</v>
      </c>
      <c r="U655" s="13">
        <f t="shared" si="5"/>
        <v>87238.75</v>
      </c>
      <c r="V655" s="3" t="str">
        <f>VLOOKUP(N655,products!A:B,2,0)</f>
        <v>Office Supplies</v>
      </c>
      <c r="W655" s="3" t="s">
        <v>28</v>
      </c>
      <c r="X655" s="3" t="s">
        <v>29</v>
      </c>
      <c r="Y655" s="14">
        <f t="shared" si="10"/>
        <v>0.193869873</v>
      </c>
      <c r="Z655" s="3">
        <f t="shared" si="7"/>
        <v>21</v>
      </c>
      <c r="AA655" s="15">
        <f t="shared" si="8"/>
        <v>4</v>
      </c>
    </row>
    <row r="656" ht="15.75" customHeight="1">
      <c r="A656" s="3">
        <v>5.30262696E8</v>
      </c>
      <c r="B656" s="3" t="s">
        <v>1444</v>
      </c>
      <c r="C656" s="3">
        <f>IFERROR(__xludf.DUMMYFUNCTION("split(B656,""/"")"),4.0)</f>
        <v>4</v>
      </c>
      <c r="D656" s="10">
        <f>IFERROR(__xludf.DUMMYFUNCTION("""COMPUTED_VALUE"""),29.0)</f>
        <v>29</v>
      </c>
      <c r="E656" s="11">
        <f>IFERROR(__xludf.DUMMYFUNCTION("""COMPUTED_VALUE"""),2012.0)</f>
        <v>2012</v>
      </c>
      <c r="F656" s="12">
        <f t="shared" si="1"/>
        <v>41028</v>
      </c>
      <c r="G656" s="9">
        <v>41218.0</v>
      </c>
      <c r="H656" s="3">
        <f>IFERROR(__xludf.DUMMYFUNCTION("split(G656,""/"")"),5.0)</f>
        <v>5</v>
      </c>
      <c r="I656" s="3">
        <f>IFERROR(__xludf.DUMMYFUNCTION("""COMPUTED_VALUE"""),11.0)</f>
        <v>11</v>
      </c>
      <c r="J656" s="3">
        <f>IFERROR(__xludf.DUMMYFUNCTION("""COMPUTED_VALUE"""),2012.0)</f>
        <v>2012</v>
      </c>
      <c r="K656" s="12">
        <f t="shared" si="2"/>
        <v>41040</v>
      </c>
      <c r="L656" s="3" t="s">
        <v>817</v>
      </c>
      <c r="M656" s="3" t="s">
        <v>431</v>
      </c>
      <c r="N656" s="3">
        <v>2455.0</v>
      </c>
      <c r="O656" s="3" t="s">
        <v>818</v>
      </c>
      <c r="P656" s="10">
        <v>5370.0</v>
      </c>
      <c r="Q656" s="13">
        <v>109.28</v>
      </c>
      <c r="R656" s="13">
        <v>35.84</v>
      </c>
      <c r="S656" s="13">
        <f t="shared" si="3"/>
        <v>586833.6</v>
      </c>
      <c r="T656" s="13">
        <f t="shared" si="4"/>
        <v>192460.8</v>
      </c>
      <c r="U656" s="13">
        <f t="shared" si="5"/>
        <v>394372.8</v>
      </c>
      <c r="V656" s="3" t="str">
        <f>VLOOKUP(N656,products!A:B,2,0)</f>
        <v>Clothes</v>
      </c>
      <c r="W656" s="3" t="s">
        <v>28</v>
      </c>
      <c r="X656" s="3" t="s">
        <v>29</v>
      </c>
      <c r="Y656" s="14">
        <f t="shared" si="10"/>
        <v>0.6720351391</v>
      </c>
      <c r="Z656" s="3">
        <f t="shared" si="7"/>
        <v>12</v>
      </c>
      <c r="AA656" s="15">
        <f t="shared" si="8"/>
        <v>1</v>
      </c>
    </row>
    <row r="657" ht="15.75" customHeight="1">
      <c r="A657" s="3">
        <v>5.30702579E8</v>
      </c>
      <c r="B657" s="9">
        <v>42195.0</v>
      </c>
      <c r="C657" s="3">
        <f>IFERROR(__xludf.DUMMYFUNCTION("split(B657,""/"")"),10.0)</f>
        <v>10</v>
      </c>
      <c r="D657" s="10">
        <f>IFERROR(__xludf.DUMMYFUNCTION("""COMPUTED_VALUE"""),7.0)</f>
        <v>7</v>
      </c>
      <c r="E657" s="11">
        <f>IFERROR(__xludf.DUMMYFUNCTION("""COMPUTED_VALUE"""),2015.0)</f>
        <v>2015</v>
      </c>
      <c r="F657" s="12">
        <f t="shared" si="1"/>
        <v>42284</v>
      </c>
      <c r="G657" s="9">
        <v>42258.0</v>
      </c>
      <c r="H657" s="3">
        <f>IFERROR(__xludf.DUMMYFUNCTION("split(G657,""/"")"),11.0)</f>
        <v>11</v>
      </c>
      <c r="I657" s="3">
        <f>IFERROR(__xludf.DUMMYFUNCTION("""COMPUTED_VALUE"""),9.0)</f>
        <v>9</v>
      </c>
      <c r="J657" s="3">
        <f>IFERROR(__xludf.DUMMYFUNCTION("""COMPUTED_VALUE"""),2015.0)</f>
        <v>2015</v>
      </c>
      <c r="K657" s="12">
        <f t="shared" si="2"/>
        <v>42317</v>
      </c>
      <c r="L657" s="3" t="s">
        <v>814</v>
      </c>
      <c r="M657" s="3" t="s">
        <v>746</v>
      </c>
      <c r="N657" s="3">
        <v>7331.0</v>
      </c>
      <c r="O657" s="3" t="s">
        <v>818</v>
      </c>
      <c r="P657" s="10">
        <v>5541.0</v>
      </c>
      <c r="Q657" s="13">
        <v>255.28</v>
      </c>
      <c r="R657" s="13">
        <v>159.42</v>
      </c>
      <c r="S657" s="13">
        <f t="shared" si="3"/>
        <v>1414506.48</v>
      </c>
      <c r="T657" s="13">
        <f t="shared" si="4"/>
        <v>883346.22</v>
      </c>
      <c r="U657" s="13">
        <f t="shared" si="5"/>
        <v>531160.26</v>
      </c>
      <c r="V657" s="3" t="str">
        <f>VLOOKUP(N657,products!A:B,2,0)</f>
        <v>Baby Food</v>
      </c>
      <c r="W657" s="3" t="s">
        <v>28</v>
      </c>
      <c r="X657" s="3" t="s">
        <v>29</v>
      </c>
      <c r="Y657" s="14">
        <f t="shared" si="10"/>
        <v>0.3755092448</v>
      </c>
      <c r="Z657" s="3">
        <f t="shared" si="7"/>
        <v>33</v>
      </c>
      <c r="AA657" s="15">
        <f t="shared" si="8"/>
        <v>4</v>
      </c>
    </row>
    <row r="658" ht="15.75" customHeight="1">
      <c r="A658" s="3">
        <v>5.30882394E8</v>
      </c>
      <c r="B658" s="3" t="s">
        <v>1445</v>
      </c>
      <c r="C658" s="3">
        <f>IFERROR(__xludf.DUMMYFUNCTION("split(B658,""/"")"),12.0)</f>
        <v>12</v>
      </c>
      <c r="D658" s="10">
        <f>IFERROR(__xludf.DUMMYFUNCTION("""COMPUTED_VALUE"""),21.0)</f>
        <v>21</v>
      </c>
      <c r="E658" s="11">
        <f>IFERROR(__xludf.DUMMYFUNCTION("""COMPUTED_VALUE"""),2010.0)</f>
        <v>2010</v>
      </c>
      <c r="F658" s="12">
        <f t="shared" si="1"/>
        <v>40533</v>
      </c>
      <c r="G658" s="9">
        <v>40576.0</v>
      </c>
      <c r="H658" s="3">
        <f>IFERROR(__xludf.DUMMYFUNCTION("split(G658,""/"")"),2.0)</f>
        <v>2</v>
      </c>
      <c r="I658" s="3">
        <f>IFERROR(__xludf.DUMMYFUNCTION("""COMPUTED_VALUE"""),2.0)</f>
        <v>2</v>
      </c>
      <c r="J658" s="3">
        <f>IFERROR(__xludf.DUMMYFUNCTION("""COMPUTED_VALUE"""),2011.0)</f>
        <v>2011</v>
      </c>
      <c r="K658" s="12">
        <f t="shared" si="2"/>
        <v>40576</v>
      </c>
      <c r="L658" s="3" t="s">
        <v>814</v>
      </c>
      <c r="M658" s="3" t="s">
        <v>206</v>
      </c>
      <c r="N658" s="3">
        <v>8875.0</v>
      </c>
      <c r="O658" s="3" t="s">
        <v>815</v>
      </c>
      <c r="P658" s="10">
        <v>8753.0</v>
      </c>
      <c r="Q658" s="13">
        <v>421.89</v>
      </c>
      <c r="R658" s="13">
        <v>364.69</v>
      </c>
      <c r="S658" s="13">
        <f t="shared" si="3"/>
        <v>3692803.17</v>
      </c>
      <c r="T658" s="13">
        <f t="shared" si="4"/>
        <v>3192131.57</v>
      </c>
      <c r="U658" s="13">
        <f t="shared" si="5"/>
        <v>500671.6</v>
      </c>
      <c r="V658" s="3" t="str">
        <f>VLOOKUP(N658,products!A:B,2,0)</f>
        <v>Meat</v>
      </c>
      <c r="W658" s="3" t="s">
        <v>28</v>
      </c>
      <c r="X658" s="3" t="s">
        <v>33</v>
      </c>
      <c r="Y658" s="14">
        <f t="shared" si="10"/>
        <v>0.1355803646</v>
      </c>
      <c r="Z658" s="3">
        <f t="shared" si="7"/>
        <v>43</v>
      </c>
      <c r="AA658" s="15">
        <f t="shared" si="8"/>
        <v>3</v>
      </c>
    </row>
    <row r="659" ht="15.75" customHeight="1">
      <c r="A659" s="3">
        <v>5.31281936E8</v>
      </c>
      <c r="B659" s="3" t="s">
        <v>1446</v>
      </c>
      <c r="C659" s="3">
        <f>IFERROR(__xludf.DUMMYFUNCTION("split(B659,""/"")"),5.0)</f>
        <v>5</v>
      </c>
      <c r="D659" s="10">
        <f>IFERROR(__xludf.DUMMYFUNCTION("""COMPUTED_VALUE"""),19.0)</f>
        <v>19</v>
      </c>
      <c r="E659" s="11">
        <f>IFERROR(__xludf.DUMMYFUNCTION("""COMPUTED_VALUE"""),2014.0)</f>
        <v>2014</v>
      </c>
      <c r="F659" s="12">
        <f t="shared" si="1"/>
        <v>41778</v>
      </c>
      <c r="G659" s="9">
        <v>41704.0</v>
      </c>
      <c r="H659" s="3">
        <f>IFERROR(__xludf.DUMMYFUNCTION("split(G659,""/"")"),6.0)</f>
        <v>6</v>
      </c>
      <c r="I659" s="3">
        <f>IFERROR(__xludf.DUMMYFUNCTION("""COMPUTED_VALUE"""),3.0)</f>
        <v>3</v>
      </c>
      <c r="J659" s="3">
        <f>IFERROR(__xludf.DUMMYFUNCTION("""COMPUTED_VALUE"""),2014.0)</f>
        <v>2014</v>
      </c>
      <c r="K659" s="12">
        <f t="shared" si="2"/>
        <v>41793</v>
      </c>
      <c r="L659" s="3" t="s">
        <v>817</v>
      </c>
      <c r="M659" s="3" t="s">
        <v>270</v>
      </c>
      <c r="N659" s="3">
        <v>8875.0</v>
      </c>
      <c r="O659" s="3" t="s">
        <v>815</v>
      </c>
      <c r="P659" s="10">
        <v>6986.0</v>
      </c>
      <c r="Q659" s="13">
        <v>421.89</v>
      </c>
      <c r="R659" s="13">
        <v>364.69</v>
      </c>
      <c r="S659" s="13">
        <f t="shared" si="3"/>
        <v>2947323.54</v>
      </c>
      <c r="T659" s="13">
        <f t="shared" si="4"/>
        <v>2547724.34</v>
      </c>
      <c r="U659" s="13">
        <f t="shared" si="5"/>
        <v>399599.2</v>
      </c>
      <c r="V659" s="3" t="str">
        <f>VLOOKUP(N659,products!A:B,2,0)</f>
        <v>Meat</v>
      </c>
      <c r="W659" s="3" t="s">
        <v>28</v>
      </c>
      <c r="X659" s="3" t="s">
        <v>79</v>
      </c>
      <c r="Y659" s="14">
        <f t="shared" si="10"/>
        <v>0.1355803646</v>
      </c>
      <c r="Z659" s="3">
        <f t="shared" si="7"/>
        <v>15</v>
      </c>
      <c r="AA659" s="15">
        <f t="shared" si="8"/>
        <v>2</v>
      </c>
    </row>
    <row r="660" ht="15.75" customHeight="1">
      <c r="A660" s="3">
        <v>5.33314406E8</v>
      </c>
      <c r="B660" s="3" t="s">
        <v>1447</v>
      </c>
      <c r="C660" s="3">
        <f>IFERROR(__xludf.DUMMYFUNCTION("split(B660,""/"")"),9.0)</f>
        <v>9</v>
      </c>
      <c r="D660" s="10">
        <f>IFERROR(__xludf.DUMMYFUNCTION("""COMPUTED_VALUE"""),29.0)</f>
        <v>29</v>
      </c>
      <c r="E660" s="11">
        <f>IFERROR(__xludf.DUMMYFUNCTION("""COMPUTED_VALUE"""),2010.0)</f>
        <v>2010</v>
      </c>
      <c r="F660" s="12">
        <f t="shared" si="1"/>
        <v>40450</v>
      </c>
      <c r="G660" s="3" t="s">
        <v>850</v>
      </c>
      <c r="H660" s="3">
        <f>IFERROR(__xludf.DUMMYFUNCTION("split(G660,""/"")"),10.0)</f>
        <v>10</v>
      </c>
      <c r="I660" s="3">
        <f>IFERROR(__xludf.DUMMYFUNCTION("""COMPUTED_VALUE"""),29.0)</f>
        <v>29</v>
      </c>
      <c r="J660" s="3">
        <f>IFERROR(__xludf.DUMMYFUNCTION("""COMPUTED_VALUE"""),2010.0)</f>
        <v>2010</v>
      </c>
      <c r="K660" s="12">
        <f t="shared" si="2"/>
        <v>40480</v>
      </c>
      <c r="L660" s="3" t="s">
        <v>817</v>
      </c>
      <c r="M660" s="3" t="s">
        <v>46</v>
      </c>
      <c r="N660" s="3">
        <v>7940.0</v>
      </c>
      <c r="O660" s="3" t="s">
        <v>815</v>
      </c>
      <c r="P660" s="10">
        <v>8439.0</v>
      </c>
      <c r="Q660" s="13">
        <v>668.27</v>
      </c>
      <c r="R660" s="13">
        <v>502.54</v>
      </c>
      <c r="S660" s="13">
        <f t="shared" si="3"/>
        <v>5639530.53</v>
      </c>
      <c r="T660" s="13">
        <f t="shared" si="4"/>
        <v>4240935.06</v>
      </c>
      <c r="U660" s="13">
        <f t="shared" si="5"/>
        <v>1398595.47</v>
      </c>
      <c r="V660" s="3" t="str">
        <f>VLOOKUP(N660,products!A:B,2,0)</f>
        <v>Household</v>
      </c>
      <c r="W660" s="3" t="s">
        <v>28</v>
      </c>
      <c r="X660" s="3" t="s">
        <v>33</v>
      </c>
      <c r="Y660" s="14">
        <f t="shared" si="10"/>
        <v>0.2479985635</v>
      </c>
      <c r="Z660" s="3">
        <f t="shared" si="7"/>
        <v>30</v>
      </c>
      <c r="AA660" s="15">
        <f t="shared" si="8"/>
        <v>4</v>
      </c>
    </row>
    <row r="661" ht="15.75" customHeight="1">
      <c r="A661" s="3">
        <v>5.33597218E8</v>
      </c>
      <c r="B661" s="9">
        <v>41519.0</v>
      </c>
      <c r="C661" s="3">
        <f>IFERROR(__xludf.DUMMYFUNCTION("split(B661,""/"")"),2.0)</f>
        <v>2</v>
      </c>
      <c r="D661" s="10">
        <f>IFERROR(__xludf.DUMMYFUNCTION("""COMPUTED_VALUE"""),9.0)</f>
        <v>9</v>
      </c>
      <c r="E661" s="11">
        <f>IFERROR(__xludf.DUMMYFUNCTION("""COMPUTED_VALUE"""),2013.0)</f>
        <v>2013</v>
      </c>
      <c r="F661" s="12">
        <f t="shared" si="1"/>
        <v>41314</v>
      </c>
      <c r="G661" s="3" t="s">
        <v>1233</v>
      </c>
      <c r="H661" s="3">
        <f>IFERROR(__xludf.DUMMYFUNCTION("split(G661,""/"")"),2.0)</f>
        <v>2</v>
      </c>
      <c r="I661" s="3">
        <f>IFERROR(__xludf.DUMMYFUNCTION("""COMPUTED_VALUE"""),24.0)</f>
        <v>24</v>
      </c>
      <c r="J661" s="3">
        <f>IFERROR(__xludf.DUMMYFUNCTION("""COMPUTED_VALUE"""),2013.0)</f>
        <v>2013</v>
      </c>
      <c r="K661" s="12">
        <f t="shared" si="2"/>
        <v>41329</v>
      </c>
      <c r="L661" s="3" t="s">
        <v>814</v>
      </c>
      <c r="M661" s="3" t="s">
        <v>578</v>
      </c>
      <c r="N661" s="3">
        <v>8681.0</v>
      </c>
      <c r="O661" s="3" t="s">
        <v>815</v>
      </c>
      <c r="P661" s="10">
        <v>2130.0</v>
      </c>
      <c r="Q661" s="13">
        <v>651.21</v>
      </c>
      <c r="R661" s="13">
        <v>524.96</v>
      </c>
      <c r="S661" s="13">
        <f t="shared" si="3"/>
        <v>1387077.3</v>
      </c>
      <c r="T661" s="13">
        <f t="shared" si="4"/>
        <v>1118164.8</v>
      </c>
      <c r="U661" s="13">
        <f t="shared" si="5"/>
        <v>268912.5</v>
      </c>
      <c r="V661" s="3" t="str">
        <f>VLOOKUP(N661,products!A:B,2,0)</f>
        <v>Office Supplies</v>
      </c>
      <c r="W661" s="3" t="s">
        <v>28</v>
      </c>
      <c r="X661" s="3" t="s">
        <v>33</v>
      </c>
      <c r="Y661" s="14">
        <f t="shared" si="10"/>
        <v>0.193869873</v>
      </c>
      <c r="Z661" s="3">
        <f t="shared" si="7"/>
        <v>15</v>
      </c>
      <c r="AA661" s="15">
        <f t="shared" si="8"/>
        <v>7</v>
      </c>
    </row>
    <row r="662" ht="15.75" customHeight="1">
      <c r="A662" s="3">
        <v>5.34641349E8</v>
      </c>
      <c r="B662" s="9">
        <v>41098.0</v>
      </c>
      <c r="C662" s="3">
        <f>IFERROR(__xludf.DUMMYFUNCTION("split(B662,""/"")"),8.0)</f>
        <v>8</v>
      </c>
      <c r="D662" s="10">
        <f>IFERROR(__xludf.DUMMYFUNCTION("""COMPUTED_VALUE"""),7.0)</f>
        <v>7</v>
      </c>
      <c r="E662" s="11">
        <f>IFERROR(__xludf.DUMMYFUNCTION("""COMPUTED_VALUE"""),2012.0)</f>
        <v>2012</v>
      </c>
      <c r="F662" s="12">
        <f t="shared" si="1"/>
        <v>41128</v>
      </c>
      <c r="G662" s="3" t="s">
        <v>1448</v>
      </c>
      <c r="H662" s="3">
        <f>IFERROR(__xludf.DUMMYFUNCTION("split(G662,""/"")"),8.0)</f>
        <v>8</v>
      </c>
      <c r="I662" s="3">
        <f>IFERROR(__xludf.DUMMYFUNCTION("""COMPUTED_VALUE"""),27.0)</f>
        <v>27</v>
      </c>
      <c r="J662" s="3">
        <f>IFERROR(__xludf.DUMMYFUNCTION("""COMPUTED_VALUE"""),2012.0)</f>
        <v>2012</v>
      </c>
      <c r="K662" s="12">
        <f t="shared" si="2"/>
        <v>41148</v>
      </c>
      <c r="L662" s="3" t="s">
        <v>825</v>
      </c>
      <c r="M662" s="3" t="s">
        <v>593</v>
      </c>
      <c r="N662" s="3">
        <v>1270.0</v>
      </c>
      <c r="O662" s="3" t="s">
        <v>818</v>
      </c>
      <c r="P662" s="10">
        <v>1111.0</v>
      </c>
      <c r="Q662" s="13">
        <v>47.45</v>
      </c>
      <c r="R662" s="13">
        <v>31.79</v>
      </c>
      <c r="S662" s="13">
        <f t="shared" si="3"/>
        <v>52716.95</v>
      </c>
      <c r="T662" s="13">
        <f t="shared" si="4"/>
        <v>35318.69</v>
      </c>
      <c r="U662" s="13">
        <f t="shared" si="5"/>
        <v>17398.26</v>
      </c>
      <c r="V662" s="3" t="str">
        <f>VLOOKUP(N662,products!A:B,2,0)</f>
        <v>Beverages</v>
      </c>
      <c r="W662" s="3" t="s">
        <v>28</v>
      </c>
      <c r="X662" s="3" t="s">
        <v>98</v>
      </c>
      <c r="Y662" s="14">
        <f t="shared" si="10"/>
        <v>0.3300316122</v>
      </c>
      <c r="Z662" s="3">
        <f t="shared" si="7"/>
        <v>20</v>
      </c>
      <c r="AA662" s="15">
        <f t="shared" si="8"/>
        <v>3</v>
      </c>
    </row>
    <row r="663" ht="15.75" customHeight="1">
      <c r="A663" s="3">
        <v>5.34709155E8</v>
      </c>
      <c r="B663" s="3" t="s">
        <v>1086</v>
      </c>
      <c r="C663" s="3">
        <f>IFERROR(__xludf.DUMMYFUNCTION("split(B663,""/"")"),7.0)</f>
        <v>7</v>
      </c>
      <c r="D663" s="10">
        <f>IFERROR(__xludf.DUMMYFUNCTION("""COMPUTED_VALUE"""),19.0)</f>
        <v>19</v>
      </c>
      <c r="E663" s="11">
        <f>IFERROR(__xludf.DUMMYFUNCTION("""COMPUTED_VALUE"""),2015.0)</f>
        <v>2015</v>
      </c>
      <c r="F663" s="12">
        <f t="shared" si="1"/>
        <v>42204</v>
      </c>
      <c r="G663" s="9">
        <v>42044.0</v>
      </c>
      <c r="H663" s="3">
        <f>IFERROR(__xludf.DUMMYFUNCTION("split(G663,""/"")"),9.0)</f>
        <v>9</v>
      </c>
      <c r="I663" s="3">
        <f>IFERROR(__xludf.DUMMYFUNCTION("""COMPUTED_VALUE"""),2.0)</f>
        <v>2</v>
      </c>
      <c r="J663" s="3">
        <f>IFERROR(__xludf.DUMMYFUNCTION("""COMPUTED_VALUE"""),2015.0)</f>
        <v>2015</v>
      </c>
      <c r="K663" s="12">
        <f t="shared" si="2"/>
        <v>42249</v>
      </c>
      <c r="L663" s="3" t="s">
        <v>827</v>
      </c>
      <c r="M663" s="3" t="s">
        <v>575</v>
      </c>
      <c r="N663" s="3">
        <v>5988.0</v>
      </c>
      <c r="O663" s="3" t="s">
        <v>815</v>
      </c>
      <c r="P663" s="10">
        <v>1176.0</v>
      </c>
      <c r="Q663" s="13">
        <v>154.06</v>
      </c>
      <c r="R663" s="13">
        <v>90.93</v>
      </c>
      <c r="S663" s="13">
        <f t="shared" si="3"/>
        <v>181174.56</v>
      </c>
      <c r="T663" s="13">
        <f t="shared" si="4"/>
        <v>106933.68</v>
      </c>
      <c r="U663" s="13">
        <f t="shared" si="5"/>
        <v>74240.88</v>
      </c>
      <c r="V663" s="3" t="str">
        <f>VLOOKUP(N663,products!A:B,2,0)</f>
        <v>Vegetables</v>
      </c>
      <c r="W663" s="3" t="s">
        <v>28</v>
      </c>
      <c r="X663" s="3" t="s">
        <v>98</v>
      </c>
      <c r="Y663" s="14">
        <f t="shared" si="10"/>
        <v>0.4097754122</v>
      </c>
      <c r="Z663" s="3">
        <f t="shared" si="7"/>
        <v>45</v>
      </c>
      <c r="AA663" s="15">
        <f t="shared" si="8"/>
        <v>1</v>
      </c>
    </row>
    <row r="664" ht="15.75" customHeight="1">
      <c r="A664" s="3">
        <v>5.35740411E8</v>
      </c>
      <c r="B664" s="9">
        <v>40456.0</v>
      </c>
      <c r="C664" s="3">
        <f>IFERROR(__xludf.DUMMYFUNCTION("split(B664,""/"")"),5.0)</f>
        <v>5</v>
      </c>
      <c r="D664" s="10">
        <f>IFERROR(__xludf.DUMMYFUNCTION("""COMPUTED_VALUE"""),10.0)</f>
        <v>10</v>
      </c>
      <c r="E664" s="11">
        <f>IFERROR(__xludf.DUMMYFUNCTION("""COMPUTED_VALUE"""),2010.0)</f>
        <v>2010</v>
      </c>
      <c r="F664" s="12">
        <f t="shared" si="1"/>
        <v>40308</v>
      </c>
      <c r="G664" s="9">
        <v>40365.0</v>
      </c>
      <c r="H664" s="3">
        <f>IFERROR(__xludf.DUMMYFUNCTION("split(G664,""/"")"),6.0)</f>
        <v>6</v>
      </c>
      <c r="I664" s="3">
        <f>IFERROR(__xludf.DUMMYFUNCTION("""COMPUTED_VALUE"""),7.0)</f>
        <v>7</v>
      </c>
      <c r="J664" s="3">
        <f>IFERROR(__xludf.DUMMYFUNCTION("""COMPUTED_VALUE"""),2010.0)</f>
        <v>2010</v>
      </c>
      <c r="K664" s="12">
        <f t="shared" si="2"/>
        <v>40336</v>
      </c>
      <c r="L664" s="3" t="s">
        <v>814</v>
      </c>
      <c r="M664" s="3" t="s">
        <v>78</v>
      </c>
      <c r="N664" s="3">
        <v>3127.0</v>
      </c>
      <c r="O664" s="3" t="s">
        <v>818</v>
      </c>
      <c r="P664" s="10">
        <v>6348.0</v>
      </c>
      <c r="Q664" s="13">
        <v>81.73</v>
      </c>
      <c r="R664" s="13">
        <v>56.67</v>
      </c>
      <c r="S664" s="13">
        <f t="shared" si="3"/>
        <v>518822.04</v>
      </c>
      <c r="T664" s="13">
        <f t="shared" si="4"/>
        <v>359741.16</v>
      </c>
      <c r="U664" s="13">
        <f t="shared" si="5"/>
        <v>159080.88</v>
      </c>
      <c r="V664" s="3" t="str">
        <f>VLOOKUP(N664,products!A:B,2,0)</f>
        <v>Personal Care</v>
      </c>
      <c r="W664" s="3" t="s">
        <v>28</v>
      </c>
      <c r="X664" s="3" t="s">
        <v>79</v>
      </c>
      <c r="Y664" s="14">
        <f t="shared" si="10"/>
        <v>0.3066193564</v>
      </c>
      <c r="Z664" s="3">
        <f t="shared" si="7"/>
        <v>28</v>
      </c>
      <c r="AA664" s="15">
        <f t="shared" si="8"/>
        <v>2</v>
      </c>
    </row>
    <row r="665" ht="15.75" customHeight="1">
      <c r="A665" s="3">
        <v>5.3609575E8</v>
      </c>
      <c r="B665" s="3" t="s">
        <v>1449</v>
      </c>
      <c r="C665" s="3">
        <f>IFERROR(__xludf.DUMMYFUNCTION("split(B665,""/"")"),11.0)</f>
        <v>11</v>
      </c>
      <c r="D665" s="10">
        <f>IFERROR(__xludf.DUMMYFUNCTION("""COMPUTED_VALUE"""),16.0)</f>
        <v>16</v>
      </c>
      <c r="E665" s="11">
        <f>IFERROR(__xludf.DUMMYFUNCTION("""COMPUTED_VALUE"""),2016.0)</f>
        <v>2016</v>
      </c>
      <c r="F665" s="12">
        <f t="shared" si="1"/>
        <v>42690</v>
      </c>
      <c r="G665" s="3" t="s">
        <v>1450</v>
      </c>
      <c r="H665" s="3">
        <f>IFERROR(__xludf.DUMMYFUNCTION("split(G665,""/"")"),12.0)</f>
        <v>12</v>
      </c>
      <c r="I665" s="3">
        <f>IFERROR(__xludf.DUMMYFUNCTION("""COMPUTED_VALUE"""),26.0)</f>
        <v>26</v>
      </c>
      <c r="J665" s="3">
        <f>IFERROR(__xludf.DUMMYFUNCTION("""COMPUTED_VALUE"""),2016.0)</f>
        <v>2016</v>
      </c>
      <c r="K665" s="12">
        <f t="shared" si="2"/>
        <v>42730</v>
      </c>
      <c r="L665" s="3" t="s">
        <v>817</v>
      </c>
      <c r="M665" s="3" t="s">
        <v>650</v>
      </c>
      <c r="N665" s="3">
        <v>8969.0</v>
      </c>
      <c r="O665" s="3" t="s">
        <v>818</v>
      </c>
      <c r="P665" s="10">
        <v>1500.0</v>
      </c>
      <c r="Q665" s="13">
        <v>152.58</v>
      </c>
      <c r="R665" s="13">
        <v>97.44</v>
      </c>
      <c r="S665" s="13">
        <f t="shared" si="3"/>
        <v>228870</v>
      </c>
      <c r="T665" s="13">
        <f t="shared" si="4"/>
        <v>146160</v>
      </c>
      <c r="U665" s="13">
        <f t="shared" si="5"/>
        <v>82710</v>
      </c>
      <c r="V665" s="3" t="str">
        <f>VLOOKUP(N665,products!A:B,2,0)</f>
        <v>Snacks</v>
      </c>
      <c r="W665" s="3" t="s">
        <v>28</v>
      </c>
      <c r="X665" s="3" t="s">
        <v>98</v>
      </c>
      <c r="Y665" s="14">
        <f t="shared" si="10"/>
        <v>0.3613841919</v>
      </c>
      <c r="Z665" s="3">
        <f t="shared" si="7"/>
        <v>40</v>
      </c>
      <c r="AA665" s="15">
        <f t="shared" si="8"/>
        <v>4</v>
      </c>
    </row>
    <row r="666" ht="15.75" customHeight="1">
      <c r="A666" s="3">
        <v>5.38430345E8</v>
      </c>
      <c r="B666" s="3" t="s">
        <v>1451</v>
      </c>
      <c r="C666" s="3">
        <f>IFERROR(__xludf.DUMMYFUNCTION("split(B666,""/"")"),1.0)</f>
        <v>1</v>
      </c>
      <c r="D666" s="10">
        <f>IFERROR(__xludf.DUMMYFUNCTION("""COMPUTED_VALUE"""),21.0)</f>
        <v>21</v>
      </c>
      <c r="E666" s="11">
        <f>IFERROR(__xludf.DUMMYFUNCTION("""COMPUTED_VALUE"""),2015.0)</f>
        <v>2015</v>
      </c>
      <c r="F666" s="12">
        <f t="shared" si="1"/>
        <v>42025</v>
      </c>
      <c r="G666" s="9">
        <v>42280.0</v>
      </c>
      <c r="H666" s="3">
        <f>IFERROR(__xludf.DUMMYFUNCTION("split(G666,""/"")"),3.0)</f>
        <v>3</v>
      </c>
      <c r="I666" s="3">
        <f>IFERROR(__xludf.DUMMYFUNCTION("""COMPUTED_VALUE"""),10.0)</f>
        <v>10</v>
      </c>
      <c r="J666" s="3">
        <f>IFERROR(__xludf.DUMMYFUNCTION("""COMPUTED_VALUE"""),2015.0)</f>
        <v>2015</v>
      </c>
      <c r="K666" s="12">
        <f t="shared" si="2"/>
        <v>42073</v>
      </c>
      <c r="L666" s="3" t="s">
        <v>827</v>
      </c>
      <c r="M666" s="3" t="s">
        <v>346</v>
      </c>
      <c r="N666" s="3">
        <v>2455.0</v>
      </c>
      <c r="O666" s="3" t="s">
        <v>818</v>
      </c>
      <c r="P666" s="10">
        <v>2359.0</v>
      </c>
      <c r="Q666" s="13">
        <v>109.28</v>
      </c>
      <c r="R666" s="13">
        <v>35.84</v>
      </c>
      <c r="S666" s="13">
        <f t="shared" si="3"/>
        <v>257791.52</v>
      </c>
      <c r="T666" s="13">
        <f t="shared" si="4"/>
        <v>84546.56</v>
      </c>
      <c r="U666" s="13">
        <f t="shared" si="5"/>
        <v>173244.96</v>
      </c>
      <c r="V666" s="3" t="str">
        <f>VLOOKUP(N666,products!A:B,2,0)</f>
        <v>Clothes</v>
      </c>
      <c r="W666" s="3" t="s">
        <v>28</v>
      </c>
      <c r="X666" s="3" t="s">
        <v>98</v>
      </c>
      <c r="Y666" s="14">
        <f t="shared" si="10"/>
        <v>0.6720351391</v>
      </c>
      <c r="Z666" s="3">
        <f t="shared" si="7"/>
        <v>48</v>
      </c>
      <c r="AA666" s="15">
        <f t="shared" si="8"/>
        <v>4</v>
      </c>
    </row>
    <row r="667" ht="15.75" customHeight="1">
      <c r="A667" s="3">
        <v>5.39002406E8</v>
      </c>
      <c r="B667" s="3" t="s">
        <v>1452</v>
      </c>
      <c r="C667" s="3">
        <f>IFERROR(__xludf.DUMMYFUNCTION("split(B667,""/"")"),7.0)</f>
        <v>7</v>
      </c>
      <c r="D667" s="10">
        <f>IFERROR(__xludf.DUMMYFUNCTION("""COMPUTED_VALUE"""),21.0)</f>
        <v>21</v>
      </c>
      <c r="E667" s="11">
        <f>IFERROR(__xludf.DUMMYFUNCTION("""COMPUTED_VALUE"""),2014.0)</f>
        <v>2014</v>
      </c>
      <c r="F667" s="12">
        <f t="shared" si="1"/>
        <v>41841</v>
      </c>
      <c r="G667" s="3" t="s">
        <v>1453</v>
      </c>
      <c r="H667" s="3">
        <f>IFERROR(__xludf.DUMMYFUNCTION("split(G667,""/"")"),7.0)</f>
        <v>7</v>
      </c>
      <c r="I667" s="3">
        <f>IFERROR(__xludf.DUMMYFUNCTION("""COMPUTED_VALUE"""),23.0)</f>
        <v>23</v>
      </c>
      <c r="J667" s="3">
        <f>IFERROR(__xludf.DUMMYFUNCTION("""COMPUTED_VALUE"""),2014.0)</f>
        <v>2014</v>
      </c>
      <c r="K667" s="12">
        <f t="shared" si="2"/>
        <v>41843</v>
      </c>
      <c r="L667" s="3" t="s">
        <v>817</v>
      </c>
      <c r="M667" s="3" t="s">
        <v>221</v>
      </c>
      <c r="N667" s="3">
        <v>2455.0</v>
      </c>
      <c r="O667" s="3" t="s">
        <v>815</v>
      </c>
      <c r="P667" s="10">
        <v>1645.0</v>
      </c>
      <c r="Q667" s="13">
        <v>109.28</v>
      </c>
      <c r="R667" s="13">
        <v>35.84</v>
      </c>
      <c r="S667" s="13">
        <f t="shared" si="3"/>
        <v>179765.6</v>
      </c>
      <c r="T667" s="13">
        <f t="shared" si="4"/>
        <v>58956.8</v>
      </c>
      <c r="U667" s="13">
        <f t="shared" si="5"/>
        <v>120808.8</v>
      </c>
      <c r="V667" s="3" t="str">
        <f>VLOOKUP(N667,products!A:B,2,0)</f>
        <v>Clothes</v>
      </c>
      <c r="W667" s="3" t="s">
        <v>28</v>
      </c>
      <c r="X667" s="3" t="s">
        <v>29</v>
      </c>
      <c r="Y667" s="14">
        <f t="shared" si="10"/>
        <v>0.6720351391</v>
      </c>
      <c r="Z667" s="3">
        <f t="shared" si="7"/>
        <v>2</v>
      </c>
      <c r="AA667" s="15">
        <f t="shared" si="8"/>
        <v>2</v>
      </c>
    </row>
    <row r="668" ht="15.75" customHeight="1">
      <c r="A668" s="3">
        <v>5.4098252E8</v>
      </c>
      <c r="B668" s="3" t="s">
        <v>1454</v>
      </c>
      <c r="C668" s="3">
        <f>IFERROR(__xludf.DUMMYFUNCTION("split(B668,""/"")"),7.0)</f>
        <v>7</v>
      </c>
      <c r="D668" s="10">
        <f>IFERROR(__xludf.DUMMYFUNCTION("""COMPUTED_VALUE"""),24.0)</f>
        <v>24</v>
      </c>
      <c r="E668" s="11">
        <f>IFERROR(__xludf.DUMMYFUNCTION("""COMPUTED_VALUE"""),2010.0)</f>
        <v>2010</v>
      </c>
      <c r="F668" s="12">
        <f t="shared" si="1"/>
        <v>40383</v>
      </c>
      <c r="G668" s="9">
        <v>40187.0</v>
      </c>
      <c r="H668" s="3">
        <f>IFERROR(__xludf.DUMMYFUNCTION("split(G668,""/"")"),9.0)</f>
        <v>9</v>
      </c>
      <c r="I668" s="3">
        <f>IFERROR(__xludf.DUMMYFUNCTION("""COMPUTED_VALUE"""),1.0)</f>
        <v>1</v>
      </c>
      <c r="J668" s="3">
        <f>IFERROR(__xludf.DUMMYFUNCTION("""COMPUTED_VALUE"""),2010.0)</f>
        <v>2010</v>
      </c>
      <c r="K668" s="12">
        <f t="shared" si="2"/>
        <v>40422</v>
      </c>
      <c r="L668" s="3" t="s">
        <v>825</v>
      </c>
      <c r="M668" s="3" t="s">
        <v>78</v>
      </c>
      <c r="N668" s="3">
        <v>8293.0</v>
      </c>
      <c r="O668" s="3" t="s">
        <v>818</v>
      </c>
      <c r="P668" s="10">
        <v>7604.0</v>
      </c>
      <c r="Q668" s="13">
        <v>437.2</v>
      </c>
      <c r="R668" s="13">
        <v>263.33</v>
      </c>
      <c r="S668" s="13">
        <f t="shared" si="3"/>
        <v>3324468.8</v>
      </c>
      <c r="T668" s="13">
        <f t="shared" si="4"/>
        <v>2002361.32</v>
      </c>
      <c r="U668" s="13">
        <f t="shared" si="5"/>
        <v>1322107.48</v>
      </c>
      <c r="V668" s="3" t="str">
        <f>VLOOKUP(N668,products!A:B,2,0)</f>
        <v>Cosmetics</v>
      </c>
      <c r="W668" s="3" t="s">
        <v>28</v>
      </c>
      <c r="X668" s="3" t="s">
        <v>79</v>
      </c>
      <c r="Y668" s="14">
        <f t="shared" si="10"/>
        <v>0.3976898445</v>
      </c>
      <c r="Z668" s="3">
        <f t="shared" si="7"/>
        <v>39</v>
      </c>
      <c r="AA668" s="15">
        <f t="shared" si="8"/>
        <v>7</v>
      </c>
    </row>
    <row r="669" ht="15.75" customHeight="1">
      <c r="A669" s="3">
        <v>5.43322694E8</v>
      </c>
      <c r="B669" s="3" t="s">
        <v>1455</v>
      </c>
      <c r="C669" s="3">
        <f>IFERROR(__xludf.DUMMYFUNCTION("split(B669,""/"")"),4.0)</f>
        <v>4</v>
      </c>
      <c r="D669" s="10">
        <f>IFERROR(__xludf.DUMMYFUNCTION("""COMPUTED_VALUE"""),21.0)</f>
        <v>21</v>
      </c>
      <c r="E669" s="11">
        <f>IFERROR(__xludf.DUMMYFUNCTION("""COMPUTED_VALUE"""),2014.0)</f>
        <v>2014</v>
      </c>
      <c r="F669" s="12">
        <f t="shared" si="1"/>
        <v>41750</v>
      </c>
      <c r="G669" s="9">
        <v>41645.0</v>
      </c>
      <c r="H669" s="3">
        <f>IFERROR(__xludf.DUMMYFUNCTION("split(G669,""/"")"),6.0)</f>
        <v>6</v>
      </c>
      <c r="I669" s="3">
        <f>IFERROR(__xludf.DUMMYFUNCTION("""COMPUTED_VALUE"""),1.0)</f>
        <v>1</v>
      </c>
      <c r="J669" s="3">
        <f>IFERROR(__xludf.DUMMYFUNCTION("""COMPUTED_VALUE"""),2014.0)</f>
        <v>2014</v>
      </c>
      <c r="K669" s="12">
        <f t="shared" si="2"/>
        <v>41791</v>
      </c>
      <c r="L669" s="3" t="s">
        <v>814</v>
      </c>
      <c r="M669" s="3" t="s">
        <v>593</v>
      </c>
      <c r="N669" s="3">
        <v>1270.0</v>
      </c>
      <c r="O669" s="3" t="s">
        <v>818</v>
      </c>
      <c r="P669" s="10">
        <v>114.0</v>
      </c>
      <c r="Q669" s="13">
        <v>47.45</v>
      </c>
      <c r="R669" s="13">
        <v>31.79</v>
      </c>
      <c r="S669" s="13">
        <f t="shared" si="3"/>
        <v>5409.3</v>
      </c>
      <c r="T669" s="13">
        <f t="shared" si="4"/>
        <v>3624.06</v>
      </c>
      <c r="U669" s="13">
        <f t="shared" si="5"/>
        <v>1785.24</v>
      </c>
      <c r="V669" s="3" t="str">
        <f>VLOOKUP(N669,products!A:B,2,0)</f>
        <v>Beverages</v>
      </c>
      <c r="W669" s="3" t="s">
        <v>28</v>
      </c>
      <c r="X669" s="3" t="s">
        <v>98</v>
      </c>
      <c r="Y669" s="14">
        <f t="shared" si="10"/>
        <v>0.3300316122</v>
      </c>
      <c r="Z669" s="3">
        <f t="shared" si="7"/>
        <v>41</v>
      </c>
      <c r="AA669" s="15">
        <f t="shared" si="8"/>
        <v>2</v>
      </c>
    </row>
    <row r="670" ht="15.75" customHeight="1">
      <c r="A670" s="3">
        <v>5.43396508E8</v>
      </c>
      <c r="B670" s="3" t="s">
        <v>1456</v>
      </c>
      <c r="C670" s="3">
        <f>IFERROR(__xludf.DUMMYFUNCTION("split(B670,""/"")"),5.0)</f>
        <v>5</v>
      </c>
      <c r="D670" s="10">
        <f>IFERROR(__xludf.DUMMYFUNCTION("""COMPUTED_VALUE"""),31.0)</f>
        <v>31</v>
      </c>
      <c r="E670" s="11">
        <f>IFERROR(__xludf.DUMMYFUNCTION("""COMPUTED_VALUE"""),2017.0)</f>
        <v>2017</v>
      </c>
      <c r="F670" s="12">
        <f t="shared" si="1"/>
        <v>42886</v>
      </c>
      <c r="G670" s="9">
        <v>42861.0</v>
      </c>
      <c r="H670" s="3">
        <f>IFERROR(__xludf.DUMMYFUNCTION("split(G670,""/"")"),6.0)</f>
        <v>6</v>
      </c>
      <c r="I670" s="3">
        <f>IFERROR(__xludf.DUMMYFUNCTION("""COMPUTED_VALUE"""),5.0)</f>
        <v>5</v>
      </c>
      <c r="J670" s="3">
        <f>IFERROR(__xludf.DUMMYFUNCTION("""COMPUTED_VALUE"""),2017.0)</f>
        <v>2017</v>
      </c>
      <c r="K670" s="12">
        <f t="shared" si="2"/>
        <v>42891</v>
      </c>
      <c r="L670" s="3" t="s">
        <v>817</v>
      </c>
      <c r="M670" s="3" t="s">
        <v>428</v>
      </c>
      <c r="N670" s="3">
        <v>8875.0</v>
      </c>
      <c r="O670" s="3" t="s">
        <v>815</v>
      </c>
      <c r="P670" s="10">
        <v>1957.0</v>
      </c>
      <c r="Q670" s="13">
        <v>421.89</v>
      </c>
      <c r="R670" s="13">
        <v>364.69</v>
      </c>
      <c r="S670" s="13">
        <f t="shared" si="3"/>
        <v>825638.73</v>
      </c>
      <c r="T670" s="13">
        <f t="shared" si="4"/>
        <v>713698.33</v>
      </c>
      <c r="U670" s="13">
        <f t="shared" si="5"/>
        <v>111940.4</v>
      </c>
      <c r="V670" s="3" t="str">
        <f>VLOOKUP(N670,products!A:B,2,0)</f>
        <v>Meat</v>
      </c>
      <c r="W670" s="3" t="s">
        <v>28</v>
      </c>
      <c r="X670" s="3" t="s">
        <v>79</v>
      </c>
      <c r="Y670" s="14">
        <f t="shared" si="10"/>
        <v>0.1355803646</v>
      </c>
      <c r="Z670" s="3">
        <f t="shared" si="7"/>
        <v>5</v>
      </c>
      <c r="AA670" s="15">
        <f t="shared" si="8"/>
        <v>4</v>
      </c>
    </row>
    <row r="671" ht="15.75" customHeight="1">
      <c r="A671" s="3">
        <v>5.44284856E8</v>
      </c>
      <c r="B671" s="3" t="s">
        <v>1457</v>
      </c>
      <c r="C671" s="3">
        <f>IFERROR(__xludf.DUMMYFUNCTION("split(B671,""/"")"),10.0)</f>
        <v>10</v>
      </c>
      <c r="D671" s="10">
        <f>IFERROR(__xludf.DUMMYFUNCTION("""COMPUTED_VALUE"""),14.0)</f>
        <v>14</v>
      </c>
      <c r="E671" s="11">
        <f>IFERROR(__xludf.DUMMYFUNCTION("""COMPUTED_VALUE"""),2014.0)</f>
        <v>2014</v>
      </c>
      <c r="F671" s="12">
        <f t="shared" si="1"/>
        <v>41926</v>
      </c>
      <c r="G671" s="3" t="s">
        <v>1458</v>
      </c>
      <c r="H671" s="3">
        <f>IFERROR(__xludf.DUMMYFUNCTION("split(G671,""/"")"),10.0)</f>
        <v>10</v>
      </c>
      <c r="I671" s="3">
        <f>IFERROR(__xludf.DUMMYFUNCTION("""COMPUTED_VALUE"""),25.0)</f>
        <v>25</v>
      </c>
      <c r="J671" s="3">
        <f>IFERROR(__xludf.DUMMYFUNCTION("""COMPUTED_VALUE"""),2014.0)</f>
        <v>2014</v>
      </c>
      <c r="K671" s="12">
        <f t="shared" si="2"/>
        <v>41937</v>
      </c>
      <c r="L671" s="3" t="s">
        <v>814</v>
      </c>
      <c r="M671" s="3" t="s">
        <v>431</v>
      </c>
      <c r="N671" s="3">
        <v>7940.0</v>
      </c>
      <c r="O671" s="3" t="s">
        <v>818</v>
      </c>
      <c r="P671" s="10">
        <v>4839.0</v>
      </c>
      <c r="Q671" s="13">
        <v>668.27</v>
      </c>
      <c r="R671" s="13">
        <v>502.54</v>
      </c>
      <c r="S671" s="13">
        <f t="shared" si="3"/>
        <v>3233758.53</v>
      </c>
      <c r="T671" s="13">
        <f t="shared" si="4"/>
        <v>2431791.06</v>
      </c>
      <c r="U671" s="13">
        <f t="shared" si="5"/>
        <v>801967.47</v>
      </c>
      <c r="V671" s="3" t="str">
        <f>VLOOKUP(N671,products!A:B,2,0)</f>
        <v>Household</v>
      </c>
      <c r="W671" s="3" t="s">
        <v>28</v>
      </c>
      <c r="X671" s="3" t="s">
        <v>29</v>
      </c>
      <c r="Y671" s="14">
        <f t="shared" si="10"/>
        <v>0.2479985635</v>
      </c>
      <c r="Z671" s="3">
        <f t="shared" si="7"/>
        <v>11</v>
      </c>
      <c r="AA671" s="15">
        <f t="shared" si="8"/>
        <v>3</v>
      </c>
    </row>
    <row r="672" ht="15.75" customHeight="1">
      <c r="A672" s="3">
        <v>5.44741475E8</v>
      </c>
      <c r="B672" s="9">
        <v>41185.0</v>
      </c>
      <c r="C672" s="3">
        <f>IFERROR(__xludf.DUMMYFUNCTION("split(B672,""/"")"),3.0)</f>
        <v>3</v>
      </c>
      <c r="D672" s="10">
        <f>IFERROR(__xludf.DUMMYFUNCTION("""COMPUTED_VALUE"""),10.0)</f>
        <v>10</v>
      </c>
      <c r="E672" s="11">
        <f>IFERROR(__xludf.DUMMYFUNCTION("""COMPUTED_VALUE"""),2012.0)</f>
        <v>2012</v>
      </c>
      <c r="F672" s="12">
        <f t="shared" si="1"/>
        <v>40978</v>
      </c>
      <c r="G672" s="3" t="s">
        <v>1211</v>
      </c>
      <c r="H672" s="3">
        <f>IFERROR(__xludf.DUMMYFUNCTION("split(G672,""/"")"),3.0)</f>
        <v>3</v>
      </c>
      <c r="I672" s="3">
        <f>IFERROR(__xludf.DUMMYFUNCTION("""COMPUTED_VALUE"""),25.0)</f>
        <v>25</v>
      </c>
      <c r="J672" s="3">
        <f>IFERROR(__xludf.DUMMYFUNCTION("""COMPUTED_VALUE"""),2012.0)</f>
        <v>2012</v>
      </c>
      <c r="K672" s="12">
        <f t="shared" si="2"/>
        <v>40993</v>
      </c>
      <c r="L672" s="3" t="s">
        <v>817</v>
      </c>
      <c r="M672" s="3" t="s">
        <v>512</v>
      </c>
      <c r="N672" s="3">
        <v>3127.0</v>
      </c>
      <c r="O672" s="3" t="s">
        <v>815</v>
      </c>
      <c r="P672" s="10">
        <v>9963.0</v>
      </c>
      <c r="Q672" s="13">
        <v>81.73</v>
      </c>
      <c r="R672" s="13">
        <v>56.67</v>
      </c>
      <c r="S672" s="13">
        <f t="shared" si="3"/>
        <v>814275.99</v>
      </c>
      <c r="T672" s="13">
        <f t="shared" si="4"/>
        <v>564603.21</v>
      </c>
      <c r="U672" s="13">
        <f t="shared" si="5"/>
        <v>249672.78</v>
      </c>
      <c r="V672" s="3" t="str">
        <f>VLOOKUP(N672,products!A:B,2,0)</f>
        <v>Personal Care</v>
      </c>
      <c r="W672" s="3" t="s">
        <v>28</v>
      </c>
      <c r="X672" s="3" t="s">
        <v>79</v>
      </c>
      <c r="Y672" s="14">
        <f t="shared" si="10"/>
        <v>0.3066193564</v>
      </c>
      <c r="Z672" s="3">
        <f t="shared" si="7"/>
        <v>15</v>
      </c>
      <c r="AA672" s="15">
        <f t="shared" si="8"/>
        <v>7</v>
      </c>
    </row>
    <row r="673" ht="15.75" customHeight="1">
      <c r="A673" s="3">
        <v>5.45059049E8</v>
      </c>
      <c r="B673" s="9">
        <v>42468.0</v>
      </c>
      <c r="C673" s="3">
        <f>IFERROR(__xludf.DUMMYFUNCTION("split(B673,""/"")"),8.0)</f>
        <v>8</v>
      </c>
      <c r="D673" s="10">
        <f>IFERROR(__xludf.DUMMYFUNCTION("""COMPUTED_VALUE"""),4.0)</f>
        <v>4</v>
      </c>
      <c r="E673" s="11">
        <f>IFERROR(__xludf.DUMMYFUNCTION("""COMPUTED_VALUE"""),2016.0)</f>
        <v>2016</v>
      </c>
      <c r="F673" s="12">
        <f t="shared" si="1"/>
        <v>42586</v>
      </c>
      <c r="G673" s="9">
        <v>42590.0</v>
      </c>
      <c r="H673" s="3">
        <f>IFERROR(__xludf.DUMMYFUNCTION("split(G673,""/"")"),8.0)</f>
        <v>8</v>
      </c>
      <c r="I673" s="3">
        <f>IFERROR(__xludf.DUMMYFUNCTION("""COMPUTED_VALUE"""),8.0)</f>
        <v>8</v>
      </c>
      <c r="J673" s="3">
        <f>IFERROR(__xludf.DUMMYFUNCTION("""COMPUTED_VALUE"""),2016.0)</f>
        <v>2016</v>
      </c>
      <c r="K673" s="12">
        <f t="shared" si="2"/>
        <v>42590</v>
      </c>
      <c r="L673" s="3" t="s">
        <v>827</v>
      </c>
      <c r="M673" s="3" t="s">
        <v>428</v>
      </c>
      <c r="N673" s="3">
        <v>2455.0</v>
      </c>
      <c r="O673" s="3" t="s">
        <v>818</v>
      </c>
      <c r="P673" s="10">
        <v>3940.0</v>
      </c>
      <c r="Q673" s="13">
        <v>109.28</v>
      </c>
      <c r="R673" s="13">
        <v>35.84</v>
      </c>
      <c r="S673" s="13">
        <f t="shared" si="3"/>
        <v>430563.2</v>
      </c>
      <c r="T673" s="13">
        <f t="shared" si="4"/>
        <v>141209.6</v>
      </c>
      <c r="U673" s="13">
        <f t="shared" si="5"/>
        <v>289353.6</v>
      </c>
      <c r="V673" s="3" t="str">
        <f>VLOOKUP(N673,products!A:B,2,0)</f>
        <v>Clothes</v>
      </c>
      <c r="W673" s="3" t="s">
        <v>28</v>
      </c>
      <c r="X673" s="3" t="s">
        <v>79</v>
      </c>
      <c r="Y673" s="14">
        <f t="shared" si="10"/>
        <v>0.6720351391</v>
      </c>
      <c r="Z673" s="3">
        <f t="shared" si="7"/>
        <v>4</v>
      </c>
      <c r="AA673" s="15">
        <f t="shared" si="8"/>
        <v>5</v>
      </c>
    </row>
    <row r="674" ht="15.75" customHeight="1">
      <c r="A674" s="3">
        <v>5.46081721E8</v>
      </c>
      <c r="B674" s="3" t="s">
        <v>1459</v>
      </c>
      <c r="C674" s="3">
        <f>IFERROR(__xludf.DUMMYFUNCTION("split(B674,""/"")"),4.0)</f>
        <v>4</v>
      </c>
      <c r="D674" s="10">
        <f>IFERROR(__xludf.DUMMYFUNCTION("""COMPUTED_VALUE"""),30.0)</f>
        <v>30</v>
      </c>
      <c r="E674" s="11">
        <f>IFERROR(__xludf.DUMMYFUNCTION("""COMPUTED_VALUE"""),2013.0)</f>
        <v>2013</v>
      </c>
      <c r="F674" s="12">
        <f t="shared" si="1"/>
        <v>41394</v>
      </c>
      <c r="G674" s="3" t="s">
        <v>1092</v>
      </c>
      <c r="H674" s="3">
        <f>IFERROR(__xludf.DUMMYFUNCTION("split(G674,""/"")"),5.0)</f>
        <v>5</v>
      </c>
      <c r="I674" s="3">
        <f>IFERROR(__xludf.DUMMYFUNCTION("""COMPUTED_VALUE"""),22.0)</f>
        <v>22</v>
      </c>
      <c r="J674" s="3">
        <f>IFERROR(__xludf.DUMMYFUNCTION("""COMPUTED_VALUE"""),2013.0)</f>
        <v>2013</v>
      </c>
      <c r="K674" s="12">
        <f t="shared" si="2"/>
        <v>41416</v>
      </c>
      <c r="L674" s="3" t="s">
        <v>827</v>
      </c>
      <c r="M674" s="3" t="s">
        <v>575</v>
      </c>
      <c r="N674" s="3">
        <v>8875.0</v>
      </c>
      <c r="O674" s="3" t="s">
        <v>815</v>
      </c>
      <c r="P674" s="10">
        <v>6571.0</v>
      </c>
      <c r="Q674" s="13">
        <v>421.89</v>
      </c>
      <c r="R674" s="13">
        <v>364.69</v>
      </c>
      <c r="S674" s="13">
        <f t="shared" si="3"/>
        <v>2772239.19</v>
      </c>
      <c r="T674" s="13">
        <f t="shared" si="4"/>
        <v>2396377.99</v>
      </c>
      <c r="U674" s="13">
        <f t="shared" si="5"/>
        <v>375861.2</v>
      </c>
      <c r="V674" s="3" t="str">
        <f>VLOOKUP(N674,products!A:B,2,0)</f>
        <v>Meat</v>
      </c>
      <c r="W674" s="3" t="s">
        <v>28</v>
      </c>
      <c r="X674" s="3" t="s">
        <v>98</v>
      </c>
      <c r="Y674" s="14">
        <f t="shared" si="10"/>
        <v>0.1355803646</v>
      </c>
      <c r="Z674" s="3">
        <f t="shared" si="7"/>
        <v>22</v>
      </c>
      <c r="AA674" s="15">
        <f t="shared" si="8"/>
        <v>3</v>
      </c>
    </row>
    <row r="675" ht="15.75" customHeight="1">
      <c r="A675" s="3">
        <v>5.46140086E8</v>
      </c>
      <c r="B675" s="9">
        <v>41466.0</v>
      </c>
      <c r="C675" s="3">
        <f>IFERROR(__xludf.DUMMYFUNCTION("split(B675,""/"")"),11.0)</f>
        <v>11</v>
      </c>
      <c r="D675" s="10">
        <f>IFERROR(__xludf.DUMMYFUNCTION("""COMPUTED_VALUE"""),7.0)</f>
        <v>7</v>
      </c>
      <c r="E675" s="11">
        <f>IFERROR(__xludf.DUMMYFUNCTION("""COMPUTED_VALUE"""),2013.0)</f>
        <v>2013</v>
      </c>
      <c r="F675" s="12">
        <f t="shared" si="1"/>
        <v>41585</v>
      </c>
      <c r="G675" s="3" t="s">
        <v>1058</v>
      </c>
      <c r="H675" s="3">
        <f>IFERROR(__xludf.DUMMYFUNCTION("split(G675,""/"")"),12.0)</f>
        <v>12</v>
      </c>
      <c r="I675" s="3">
        <f>IFERROR(__xludf.DUMMYFUNCTION("""COMPUTED_VALUE"""),19.0)</f>
        <v>19</v>
      </c>
      <c r="J675" s="3">
        <f>IFERROR(__xludf.DUMMYFUNCTION("""COMPUTED_VALUE"""),2013.0)</f>
        <v>2013</v>
      </c>
      <c r="K675" s="12">
        <f t="shared" si="2"/>
        <v>41627</v>
      </c>
      <c r="L675" s="3" t="s">
        <v>825</v>
      </c>
      <c r="M675" s="3" t="s">
        <v>349</v>
      </c>
      <c r="N675" s="3">
        <v>3127.0</v>
      </c>
      <c r="O675" s="3" t="s">
        <v>818</v>
      </c>
      <c r="P675" s="10">
        <v>3843.0</v>
      </c>
      <c r="Q675" s="13">
        <v>81.73</v>
      </c>
      <c r="R675" s="13">
        <v>56.67</v>
      </c>
      <c r="S675" s="13">
        <f t="shared" si="3"/>
        <v>314088.39</v>
      </c>
      <c r="T675" s="13">
        <f t="shared" si="4"/>
        <v>217782.81</v>
      </c>
      <c r="U675" s="13">
        <f t="shared" si="5"/>
        <v>96305.58</v>
      </c>
      <c r="V675" s="3" t="str">
        <f>VLOOKUP(N675,products!A:B,2,0)</f>
        <v>Personal Care</v>
      </c>
      <c r="W675" s="3" t="s">
        <v>28</v>
      </c>
      <c r="X675" s="3" t="s">
        <v>29</v>
      </c>
      <c r="Y675" s="14">
        <f t="shared" si="10"/>
        <v>0.3066193564</v>
      </c>
      <c r="Z675" s="3">
        <f t="shared" si="7"/>
        <v>42</v>
      </c>
      <c r="AA675" s="15">
        <f t="shared" si="8"/>
        <v>5</v>
      </c>
    </row>
    <row r="676" ht="15.75" customHeight="1">
      <c r="A676" s="3">
        <v>5.46544349E8</v>
      </c>
      <c r="B676" s="3" t="s">
        <v>1460</v>
      </c>
      <c r="C676" s="3">
        <f>IFERROR(__xludf.DUMMYFUNCTION("split(B676,""/"")"),11.0)</f>
        <v>11</v>
      </c>
      <c r="D676" s="10">
        <f>IFERROR(__xludf.DUMMYFUNCTION("""COMPUTED_VALUE"""),25.0)</f>
        <v>25</v>
      </c>
      <c r="E676" s="11">
        <f>IFERROR(__xludf.DUMMYFUNCTION("""COMPUTED_VALUE"""),2010.0)</f>
        <v>2010</v>
      </c>
      <c r="F676" s="12">
        <f t="shared" si="1"/>
        <v>40507</v>
      </c>
      <c r="G676" s="9">
        <v>40524.0</v>
      </c>
      <c r="H676" s="3">
        <f>IFERROR(__xludf.DUMMYFUNCTION("split(G676,""/"")"),12.0)</f>
        <v>12</v>
      </c>
      <c r="I676" s="3">
        <f>IFERROR(__xludf.DUMMYFUNCTION("""COMPUTED_VALUE"""),12.0)</f>
        <v>12</v>
      </c>
      <c r="J676" s="3">
        <f>IFERROR(__xludf.DUMMYFUNCTION("""COMPUTED_VALUE"""),2010.0)</f>
        <v>2010</v>
      </c>
      <c r="K676" s="12">
        <f t="shared" si="2"/>
        <v>40524</v>
      </c>
      <c r="L676" s="3" t="s">
        <v>825</v>
      </c>
      <c r="M676" s="3" t="s">
        <v>488</v>
      </c>
      <c r="N676" s="3">
        <v>7940.0</v>
      </c>
      <c r="O676" s="3" t="s">
        <v>818</v>
      </c>
      <c r="P676" s="10">
        <v>3473.0</v>
      </c>
      <c r="Q676" s="13">
        <v>668.27</v>
      </c>
      <c r="R676" s="13">
        <v>502.54</v>
      </c>
      <c r="S676" s="13">
        <f t="shared" si="3"/>
        <v>2320901.71</v>
      </c>
      <c r="T676" s="13">
        <f t="shared" si="4"/>
        <v>1745321.42</v>
      </c>
      <c r="U676" s="13">
        <f t="shared" si="5"/>
        <v>575580.29</v>
      </c>
      <c r="V676" s="3" t="str">
        <f>VLOOKUP(N676,products!A:B,2,0)</f>
        <v>Household</v>
      </c>
      <c r="W676" s="3" t="s">
        <v>28</v>
      </c>
      <c r="X676" s="3" t="s">
        <v>33</v>
      </c>
      <c r="Y676" s="14">
        <f t="shared" si="10"/>
        <v>0.2479985635</v>
      </c>
      <c r="Z676" s="3">
        <f t="shared" si="7"/>
        <v>17</v>
      </c>
      <c r="AA676" s="15">
        <f t="shared" si="8"/>
        <v>5</v>
      </c>
    </row>
    <row r="677" ht="15.75" customHeight="1">
      <c r="A677" s="3">
        <v>5.47225844E8</v>
      </c>
      <c r="B677" s="3" t="s">
        <v>1461</v>
      </c>
      <c r="C677" s="3">
        <f>IFERROR(__xludf.DUMMYFUNCTION("split(B677,""/"")"),4.0)</f>
        <v>4</v>
      </c>
      <c r="D677" s="10">
        <f>IFERROR(__xludf.DUMMYFUNCTION("""COMPUTED_VALUE"""),28.0)</f>
        <v>28</v>
      </c>
      <c r="E677" s="11">
        <f>IFERROR(__xludf.DUMMYFUNCTION("""COMPUTED_VALUE"""),2012.0)</f>
        <v>2012</v>
      </c>
      <c r="F677" s="12">
        <f t="shared" si="1"/>
        <v>41027</v>
      </c>
      <c r="G677" s="3" t="s">
        <v>1462</v>
      </c>
      <c r="H677" s="3">
        <f>IFERROR(__xludf.DUMMYFUNCTION("split(G677,""/"")"),5.0)</f>
        <v>5</v>
      </c>
      <c r="I677" s="3">
        <f>IFERROR(__xludf.DUMMYFUNCTION("""COMPUTED_VALUE"""),30.0)</f>
        <v>30</v>
      </c>
      <c r="J677" s="3">
        <f>IFERROR(__xludf.DUMMYFUNCTION("""COMPUTED_VALUE"""),2012.0)</f>
        <v>2012</v>
      </c>
      <c r="K677" s="12">
        <f t="shared" si="2"/>
        <v>41059</v>
      </c>
      <c r="L677" s="3" t="s">
        <v>825</v>
      </c>
      <c r="M677" s="3" t="s">
        <v>364</v>
      </c>
      <c r="N677" s="3">
        <v>3127.0</v>
      </c>
      <c r="O677" s="3" t="s">
        <v>818</v>
      </c>
      <c r="P677" s="10">
        <v>5143.0</v>
      </c>
      <c r="Q677" s="13">
        <v>81.73</v>
      </c>
      <c r="R677" s="13">
        <v>56.67</v>
      </c>
      <c r="S677" s="13">
        <f t="shared" si="3"/>
        <v>420337.39</v>
      </c>
      <c r="T677" s="13">
        <f t="shared" si="4"/>
        <v>291453.81</v>
      </c>
      <c r="U677" s="13">
        <f t="shared" si="5"/>
        <v>128883.58</v>
      </c>
      <c r="V677" s="3" t="str">
        <f>VLOOKUP(N677,products!A:B,2,0)</f>
        <v>Personal Care</v>
      </c>
      <c r="W677" s="3" t="s">
        <v>28</v>
      </c>
      <c r="X677" s="3" t="s">
        <v>29</v>
      </c>
      <c r="Y677" s="14">
        <f t="shared" si="10"/>
        <v>0.3066193564</v>
      </c>
      <c r="Z677" s="3">
        <f t="shared" si="7"/>
        <v>32</v>
      </c>
      <c r="AA677" s="15">
        <f t="shared" si="8"/>
        <v>7</v>
      </c>
    </row>
    <row r="678" ht="15.75" customHeight="1">
      <c r="A678" s="3">
        <v>5.47587192E8</v>
      </c>
      <c r="B678" s="9">
        <v>40792.0</v>
      </c>
      <c r="C678" s="3">
        <f>IFERROR(__xludf.DUMMYFUNCTION("split(B678,""/"")"),6.0)</f>
        <v>6</v>
      </c>
      <c r="D678" s="10">
        <f>IFERROR(__xludf.DUMMYFUNCTION("""COMPUTED_VALUE"""),9.0)</f>
        <v>9</v>
      </c>
      <c r="E678" s="11">
        <f>IFERROR(__xludf.DUMMYFUNCTION("""COMPUTED_VALUE"""),2011.0)</f>
        <v>2011</v>
      </c>
      <c r="F678" s="12">
        <f t="shared" si="1"/>
        <v>40703</v>
      </c>
      <c r="G678" s="3" t="s">
        <v>1463</v>
      </c>
      <c r="H678" s="3">
        <f>IFERROR(__xludf.DUMMYFUNCTION("split(G678,""/"")"),7.0)</f>
        <v>7</v>
      </c>
      <c r="I678" s="3">
        <f>IFERROR(__xludf.DUMMYFUNCTION("""COMPUTED_VALUE"""),14.0)</f>
        <v>14</v>
      </c>
      <c r="J678" s="3">
        <f>IFERROR(__xludf.DUMMYFUNCTION("""COMPUTED_VALUE"""),2011.0)</f>
        <v>2011</v>
      </c>
      <c r="K678" s="12">
        <f t="shared" si="2"/>
        <v>40738</v>
      </c>
      <c r="L678" s="3" t="s">
        <v>814</v>
      </c>
      <c r="M678" s="3" t="s">
        <v>821</v>
      </c>
      <c r="N678" s="3">
        <v>2103.0</v>
      </c>
      <c r="O678" s="3" t="s">
        <v>815</v>
      </c>
      <c r="P678" s="10">
        <v>2073.0</v>
      </c>
      <c r="Q678" s="13">
        <v>205.7</v>
      </c>
      <c r="R678" s="13">
        <v>117.11</v>
      </c>
      <c r="S678" s="13">
        <f t="shared" si="3"/>
        <v>426416.1</v>
      </c>
      <c r="T678" s="13">
        <f t="shared" si="4"/>
        <v>242769.03</v>
      </c>
      <c r="U678" s="13">
        <f t="shared" si="5"/>
        <v>183647.07</v>
      </c>
      <c r="V678" s="3" t="str">
        <f>VLOOKUP(N678,products!A:B,2,0)</f>
        <v>Cereal</v>
      </c>
      <c r="W678" s="3" t="s">
        <v>821</v>
      </c>
      <c r="X678" s="3" t="s">
        <v>821</v>
      </c>
      <c r="Y678" s="14">
        <f t="shared" si="10"/>
        <v>0.4306757414</v>
      </c>
      <c r="Z678" s="3">
        <f t="shared" si="7"/>
        <v>35</v>
      </c>
      <c r="AA678" s="15">
        <f t="shared" si="8"/>
        <v>5</v>
      </c>
    </row>
    <row r="679" ht="15.75" customHeight="1">
      <c r="A679" s="3">
        <v>5.47625386E8</v>
      </c>
      <c r="B679" s="3" t="s">
        <v>1464</v>
      </c>
      <c r="C679" s="3">
        <f>IFERROR(__xludf.DUMMYFUNCTION("split(B679,""/"")"),9.0)</f>
        <v>9</v>
      </c>
      <c r="D679" s="10">
        <f>IFERROR(__xludf.DUMMYFUNCTION("""COMPUTED_VALUE"""),25.0)</f>
        <v>25</v>
      </c>
      <c r="E679" s="11">
        <f>IFERROR(__xludf.DUMMYFUNCTION("""COMPUTED_VALUE"""),2015.0)</f>
        <v>2015</v>
      </c>
      <c r="F679" s="12">
        <f t="shared" si="1"/>
        <v>42272</v>
      </c>
      <c r="G679" s="3" t="s">
        <v>915</v>
      </c>
      <c r="H679" s="3">
        <f>IFERROR(__xludf.DUMMYFUNCTION("split(G679,""/"")"),9.0)</f>
        <v>9</v>
      </c>
      <c r="I679" s="3">
        <f>IFERROR(__xludf.DUMMYFUNCTION("""COMPUTED_VALUE"""),29.0)</f>
        <v>29</v>
      </c>
      <c r="J679" s="3">
        <f>IFERROR(__xludf.DUMMYFUNCTION("""COMPUTED_VALUE"""),2015.0)</f>
        <v>2015</v>
      </c>
      <c r="K679" s="12">
        <f t="shared" si="2"/>
        <v>42276</v>
      </c>
      <c r="L679" s="3" t="s">
        <v>827</v>
      </c>
      <c r="M679" s="3" t="s">
        <v>434</v>
      </c>
      <c r="N679" s="3">
        <v>3127.0</v>
      </c>
      <c r="O679" s="3" t="s">
        <v>818</v>
      </c>
      <c r="P679" s="10">
        <v>3376.0</v>
      </c>
      <c r="Q679" s="13">
        <v>81.73</v>
      </c>
      <c r="R679" s="13">
        <v>56.67</v>
      </c>
      <c r="S679" s="13">
        <f t="shared" si="3"/>
        <v>275920.48</v>
      </c>
      <c r="T679" s="13">
        <f t="shared" si="4"/>
        <v>191317.92</v>
      </c>
      <c r="U679" s="13">
        <f t="shared" si="5"/>
        <v>84602.56</v>
      </c>
      <c r="V679" s="3" t="str">
        <f>VLOOKUP(N679,products!A:B,2,0)</f>
        <v>Personal Care</v>
      </c>
      <c r="W679" s="3" t="s">
        <v>28</v>
      </c>
      <c r="X679" s="3" t="s">
        <v>79</v>
      </c>
      <c r="Y679" s="14">
        <f t="shared" si="10"/>
        <v>0.3066193564</v>
      </c>
      <c r="Z679" s="3">
        <f t="shared" si="7"/>
        <v>4</v>
      </c>
      <c r="AA679" s="15">
        <f t="shared" si="8"/>
        <v>6</v>
      </c>
    </row>
    <row r="680" ht="15.75" customHeight="1">
      <c r="A680" s="3">
        <v>5.48015487E8</v>
      </c>
      <c r="B680" s="3" t="s">
        <v>1465</v>
      </c>
      <c r="C680" s="3">
        <f>IFERROR(__xludf.DUMMYFUNCTION("split(B680,""/"")"),9.0)</f>
        <v>9</v>
      </c>
      <c r="D680" s="10">
        <f>IFERROR(__xludf.DUMMYFUNCTION("""COMPUTED_VALUE"""),19.0)</f>
        <v>19</v>
      </c>
      <c r="E680" s="11">
        <f>IFERROR(__xludf.DUMMYFUNCTION("""COMPUTED_VALUE"""),2016.0)</f>
        <v>2016</v>
      </c>
      <c r="F680" s="12">
        <f t="shared" si="1"/>
        <v>42632</v>
      </c>
      <c r="G680" s="9">
        <v>42623.0</v>
      </c>
      <c r="H680" s="3">
        <f>IFERROR(__xludf.DUMMYFUNCTION("split(G680,""/"")"),10.0)</f>
        <v>10</v>
      </c>
      <c r="I680" s="3">
        <f>IFERROR(__xludf.DUMMYFUNCTION("""COMPUTED_VALUE"""),9.0)</f>
        <v>9</v>
      </c>
      <c r="J680" s="3">
        <f>IFERROR(__xludf.DUMMYFUNCTION("""COMPUTED_VALUE"""),2016.0)</f>
        <v>2016</v>
      </c>
      <c r="K680" s="12">
        <f t="shared" si="2"/>
        <v>42652</v>
      </c>
      <c r="L680" s="3" t="s">
        <v>825</v>
      </c>
      <c r="M680" s="3" t="s">
        <v>364</v>
      </c>
      <c r="N680" s="3">
        <v>4594.0</v>
      </c>
      <c r="O680" s="3" t="s">
        <v>815</v>
      </c>
      <c r="P680" s="10">
        <v>8815.0</v>
      </c>
      <c r="Q680" s="13">
        <v>9.33</v>
      </c>
      <c r="R680" s="13">
        <v>6.92</v>
      </c>
      <c r="S680" s="13">
        <f t="shared" si="3"/>
        <v>82243.95</v>
      </c>
      <c r="T680" s="13">
        <f t="shared" si="4"/>
        <v>60999.8</v>
      </c>
      <c r="U680" s="13">
        <f t="shared" si="5"/>
        <v>21244.15</v>
      </c>
      <c r="V680" s="3" t="str">
        <f>VLOOKUP(N680,products!A:B,2,0)</f>
        <v>Fruits</v>
      </c>
      <c r="W680" s="3" t="s">
        <v>28</v>
      </c>
      <c r="X680" s="3" t="s">
        <v>29</v>
      </c>
      <c r="Y680" s="14">
        <f t="shared" si="10"/>
        <v>0.258306538</v>
      </c>
      <c r="Z680" s="3">
        <f t="shared" si="7"/>
        <v>20</v>
      </c>
      <c r="AA680" s="15">
        <f t="shared" si="8"/>
        <v>2</v>
      </c>
    </row>
    <row r="681" ht="15.75" customHeight="1">
      <c r="A681" s="3">
        <v>5.48343789E8</v>
      </c>
      <c r="B681" s="9">
        <v>41741.0</v>
      </c>
      <c r="C681" s="3">
        <f>IFERROR(__xludf.DUMMYFUNCTION("split(B681,""/"")"),12.0)</f>
        <v>12</v>
      </c>
      <c r="D681" s="10">
        <f>IFERROR(__xludf.DUMMYFUNCTION("""COMPUTED_VALUE"""),4.0)</f>
        <v>4</v>
      </c>
      <c r="E681" s="11">
        <f>IFERROR(__xludf.DUMMYFUNCTION("""COMPUTED_VALUE"""),2014.0)</f>
        <v>2014</v>
      </c>
      <c r="F681" s="12">
        <f t="shared" si="1"/>
        <v>41977</v>
      </c>
      <c r="G681" s="9">
        <v>41802.0</v>
      </c>
      <c r="H681" s="3">
        <f>IFERROR(__xludf.DUMMYFUNCTION("split(G681,""/"")"),12.0)</f>
        <v>12</v>
      </c>
      <c r="I681" s="3">
        <f>IFERROR(__xludf.DUMMYFUNCTION("""COMPUTED_VALUE"""),6.0)</f>
        <v>6</v>
      </c>
      <c r="J681" s="3">
        <f>IFERROR(__xludf.DUMMYFUNCTION("""COMPUTED_VALUE"""),2014.0)</f>
        <v>2014</v>
      </c>
      <c r="K681" s="12">
        <f t="shared" si="2"/>
        <v>41979</v>
      </c>
      <c r="L681" s="3" t="s">
        <v>825</v>
      </c>
      <c r="M681" s="3" t="s">
        <v>215</v>
      </c>
      <c r="N681" s="3">
        <v>8969.0</v>
      </c>
      <c r="O681" s="3" t="s">
        <v>818</v>
      </c>
      <c r="P681" s="10">
        <v>5967.0</v>
      </c>
      <c r="Q681" s="13">
        <v>152.58</v>
      </c>
      <c r="R681" s="13">
        <v>97.44</v>
      </c>
      <c r="S681" s="13">
        <f t="shared" si="3"/>
        <v>910444.86</v>
      </c>
      <c r="T681" s="13">
        <f t="shared" si="4"/>
        <v>581424.48</v>
      </c>
      <c r="U681" s="13">
        <f t="shared" si="5"/>
        <v>329020.38</v>
      </c>
      <c r="V681" s="3" t="str">
        <f>VLOOKUP(N681,products!A:B,2,0)</f>
        <v>Snacks</v>
      </c>
      <c r="W681" s="3" t="s">
        <v>23</v>
      </c>
      <c r="X681" s="3" t="s">
        <v>68</v>
      </c>
      <c r="Y681" s="14">
        <f t="shared" si="10"/>
        <v>0.3613841919</v>
      </c>
      <c r="Z681" s="3">
        <f t="shared" si="7"/>
        <v>2</v>
      </c>
      <c r="AA681" s="15">
        <f t="shared" si="8"/>
        <v>5</v>
      </c>
    </row>
    <row r="682" ht="15.75" customHeight="1">
      <c r="A682" s="3">
        <v>5.48403012E8</v>
      </c>
      <c r="B682" s="3" t="s">
        <v>1095</v>
      </c>
      <c r="C682" s="3">
        <f>IFERROR(__xludf.DUMMYFUNCTION("split(B682,""/"")"),3.0)</f>
        <v>3</v>
      </c>
      <c r="D682" s="10">
        <f>IFERROR(__xludf.DUMMYFUNCTION("""COMPUTED_VALUE"""),23.0)</f>
        <v>23</v>
      </c>
      <c r="E682" s="11">
        <f>IFERROR(__xludf.DUMMYFUNCTION("""COMPUTED_VALUE"""),2012.0)</f>
        <v>2012</v>
      </c>
      <c r="F682" s="12">
        <f t="shared" si="1"/>
        <v>40991</v>
      </c>
      <c r="G682" s="9">
        <v>41003.0</v>
      </c>
      <c r="H682" s="3">
        <f>IFERROR(__xludf.DUMMYFUNCTION("split(G682,""/"")"),4.0)</f>
        <v>4</v>
      </c>
      <c r="I682" s="3">
        <f>IFERROR(__xludf.DUMMYFUNCTION("""COMPUTED_VALUE"""),4.0)</f>
        <v>4</v>
      </c>
      <c r="J682" s="3">
        <f>IFERROR(__xludf.DUMMYFUNCTION("""COMPUTED_VALUE"""),2012.0)</f>
        <v>2012</v>
      </c>
      <c r="K682" s="12">
        <f t="shared" si="2"/>
        <v>41003</v>
      </c>
      <c r="L682" s="3" t="s">
        <v>817</v>
      </c>
      <c r="M682" s="3" t="s">
        <v>746</v>
      </c>
      <c r="N682" s="3">
        <v>7940.0</v>
      </c>
      <c r="O682" s="3" t="s">
        <v>815</v>
      </c>
      <c r="P682" s="10">
        <v>3493.0</v>
      </c>
      <c r="Q682" s="13">
        <v>668.27</v>
      </c>
      <c r="R682" s="13">
        <v>502.54</v>
      </c>
      <c r="S682" s="13">
        <f t="shared" si="3"/>
        <v>2334267.11</v>
      </c>
      <c r="T682" s="13">
        <f t="shared" si="4"/>
        <v>1755372.22</v>
      </c>
      <c r="U682" s="13">
        <f t="shared" si="5"/>
        <v>578894.89</v>
      </c>
      <c r="V682" s="3" t="str">
        <f>VLOOKUP(N682,products!A:B,2,0)</f>
        <v>Household</v>
      </c>
      <c r="W682" s="3" t="s">
        <v>28</v>
      </c>
      <c r="X682" s="3" t="s">
        <v>29</v>
      </c>
      <c r="Y682" s="14">
        <f t="shared" si="10"/>
        <v>0.2479985635</v>
      </c>
      <c r="Z682" s="3">
        <f t="shared" si="7"/>
        <v>12</v>
      </c>
      <c r="AA682" s="15">
        <f t="shared" si="8"/>
        <v>6</v>
      </c>
    </row>
    <row r="683" ht="15.75" customHeight="1">
      <c r="A683" s="3">
        <v>5.49048888E8</v>
      </c>
      <c r="B683" s="3" t="s">
        <v>972</v>
      </c>
      <c r="C683" s="3">
        <f>IFERROR(__xludf.DUMMYFUNCTION("split(B683,""/"")"),10.0)</f>
        <v>10</v>
      </c>
      <c r="D683" s="10">
        <f>IFERROR(__xludf.DUMMYFUNCTION("""COMPUTED_VALUE"""),31.0)</f>
        <v>31</v>
      </c>
      <c r="E683" s="11">
        <f>IFERROR(__xludf.DUMMYFUNCTION("""COMPUTED_VALUE"""),2014.0)</f>
        <v>2014</v>
      </c>
      <c r="F683" s="12">
        <f t="shared" si="1"/>
        <v>41943</v>
      </c>
      <c r="G683" s="9">
        <v>41682.0</v>
      </c>
      <c r="H683" s="3">
        <f>IFERROR(__xludf.DUMMYFUNCTION("split(G683,""/"")"),12.0)</f>
        <v>12</v>
      </c>
      <c r="I683" s="3">
        <f>IFERROR(__xludf.DUMMYFUNCTION("""COMPUTED_VALUE"""),2.0)</f>
        <v>2</v>
      </c>
      <c r="J683" s="3">
        <f>IFERROR(__xludf.DUMMYFUNCTION("""COMPUTED_VALUE"""),2014.0)</f>
        <v>2014</v>
      </c>
      <c r="K683" s="12">
        <f t="shared" si="2"/>
        <v>41975</v>
      </c>
      <c r="L683" s="3" t="s">
        <v>827</v>
      </c>
      <c r="M683" s="3" t="s">
        <v>434</v>
      </c>
      <c r="N683" s="3">
        <v>8681.0</v>
      </c>
      <c r="O683" s="3" t="s">
        <v>815</v>
      </c>
      <c r="P683" s="10">
        <v>4622.0</v>
      </c>
      <c r="Q683" s="13">
        <v>651.21</v>
      </c>
      <c r="R683" s="13">
        <v>524.96</v>
      </c>
      <c r="S683" s="13">
        <f t="shared" si="3"/>
        <v>3009892.62</v>
      </c>
      <c r="T683" s="13">
        <f t="shared" si="4"/>
        <v>2426365.12</v>
      </c>
      <c r="U683" s="13">
        <f t="shared" si="5"/>
        <v>583527.5</v>
      </c>
      <c r="V683" s="3" t="str">
        <f>VLOOKUP(N683,products!A:B,2,0)</f>
        <v>Office Supplies</v>
      </c>
      <c r="W683" s="3" t="s">
        <v>28</v>
      </c>
      <c r="X683" s="3" t="s">
        <v>79</v>
      </c>
      <c r="Y683" s="14">
        <f t="shared" si="10"/>
        <v>0.193869873</v>
      </c>
      <c r="Z683" s="3">
        <f t="shared" si="7"/>
        <v>32</v>
      </c>
      <c r="AA683" s="15">
        <f t="shared" si="8"/>
        <v>6</v>
      </c>
    </row>
    <row r="684" ht="15.75" customHeight="1">
      <c r="A684" s="3">
        <v>5.4905833E8</v>
      </c>
      <c r="B684" s="9">
        <v>42798.0</v>
      </c>
      <c r="C684" s="3">
        <f>IFERROR(__xludf.DUMMYFUNCTION("split(B684,""/"")"),4.0)</f>
        <v>4</v>
      </c>
      <c r="D684" s="10">
        <f>IFERROR(__xludf.DUMMYFUNCTION("""COMPUTED_VALUE"""),3.0)</f>
        <v>3</v>
      </c>
      <c r="E684" s="11">
        <f>IFERROR(__xludf.DUMMYFUNCTION("""COMPUTED_VALUE"""),2017.0)</f>
        <v>2017</v>
      </c>
      <c r="F684" s="12">
        <f t="shared" si="1"/>
        <v>42828</v>
      </c>
      <c r="G684" s="9">
        <v>43044.0</v>
      </c>
      <c r="H684" s="3">
        <f>IFERROR(__xludf.DUMMYFUNCTION("split(G684,""/"")"),5.0)</f>
        <v>5</v>
      </c>
      <c r="I684" s="3">
        <f>IFERROR(__xludf.DUMMYFUNCTION("""COMPUTED_VALUE"""),11.0)</f>
        <v>11</v>
      </c>
      <c r="J684" s="3">
        <f>IFERROR(__xludf.DUMMYFUNCTION("""COMPUTED_VALUE"""),2017.0)</f>
        <v>2017</v>
      </c>
      <c r="K684" s="12">
        <f t="shared" si="2"/>
        <v>42866</v>
      </c>
      <c r="L684" s="3" t="s">
        <v>827</v>
      </c>
      <c r="M684" s="3" t="s">
        <v>593</v>
      </c>
      <c r="N684" s="3">
        <v>7940.0</v>
      </c>
      <c r="O684" s="3" t="s">
        <v>815</v>
      </c>
      <c r="P684" s="10">
        <v>7416.0</v>
      </c>
      <c r="Q684" s="13">
        <v>668.27</v>
      </c>
      <c r="R684" s="13">
        <v>502.54</v>
      </c>
      <c r="S684" s="13">
        <f t="shared" si="3"/>
        <v>4955890.32</v>
      </c>
      <c r="T684" s="13">
        <f t="shared" si="4"/>
        <v>3726836.64</v>
      </c>
      <c r="U684" s="13">
        <f t="shared" si="5"/>
        <v>1229053.68</v>
      </c>
      <c r="V684" s="3" t="str">
        <f>VLOOKUP(N684,products!A:B,2,0)</f>
        <v>Household</v>
      </c>
      <c r="W684" s="3" t="s">
        <v>28</v>
      </c>
      <c r="X684" s="3" t="s">
        <v>98</v>
      </c>
      <c r="Y684" s="14">
        <f t="shared" si="10"/>
        <v>0.2479985635</v>
      </c>
      <c r="Z684" s="3">
        <f t="shared" si="7"/>
        <v>38</v>
      </c>
      <c r="AA684" s="15">
        <f t="shared" si="8"/>
        <v>2</v>
      </c>
    </row>
    <row r="685" ht="15.75" customHeight="1">
      <c r="A685" s="3">
        <v>5.49187934E8</v>
      </c>
      <c r="B685" s="3" t="s">
        <v>1466</v>
      </c>
      <c r="C685" s="3">
        <f>IFERROR(__xludf.DUMMYFUNCTION("split(B685,""/"")"),5.0)</f>
        <v>5</v>
      </c>
      <c r="D685" s="10">
        <f>IFERROR(__xludf.DUMMYFUNCTION("""COMPUTED_VALUE"""),30.0)</f>
        <v>30</v>
      </c>
      <c r="E685" s="11">
        <f>IFERROR(__xludf.DUMMYFUNCTION("""COMPUTED_VALUE"""),2015.0)</f>
        <v>2015</v>
      </c>
      <c r="F685" s="12">
        <f t="shared" si="1"/>
        <v>42154</v>
      </c>
      <c r="G685" s="3" t="s">
        <v>1467</v>
      </c>
      <c r="H685" s="3">
        <f>IFERROR(__xludf.DUMMYFUNCTION("split(G685,""/"")"),7.0)</f>
        <v>7</v>
      </c>
      <c r="I685" s="3">
        <f>IFERROR(__xludf.DUMMYFUNCTION("""COMPUTED_VALUE"""),17.0)</f>
        <v>17</v>
      </c>
      <c r="J685" s="3">
        <f>IFERROR(__xludf.DUMMYFUNCTION("""COMPUTED_VALUE"""),2015.0)</f>
        <v>2015</v>
      </c>
      <c r="K685" s="12">
        <f t="shared" si="2"/>
        <v>42202</v>
      </c>
      <c r="L685" s="3" t="s">
        <v>827</v>
      </c>
      <c r="M685" s="3" t="s">
        <v>650</v>
      </c>
      <c r="N685" s="3">
        <v>8293.0</v>
      </c>
      <c r="O685" s="3" t="s">
        <v>815</v>
      </c>
      <c r="P685" s="10">
        <v>5769.0</v>
      </c>
      <c r="Q685" s="13">
        <v>437.2</v>
      </c>
      <c r="R685" s="13">
        <v>263.33</v>
      </c>
      <c r="S685" s="13">
        <f t="shared" si="3"/>
        <v>2522206.8</v>
      </c>
      <c r="T685" s="13">
        <f t="shared" si="4"/>
        <v>1519150.77</v>
      </c>
      <c r="U685" s="13">
        <f t="shared" si="5"/>
        <v>1003056.03</v>
      </c>
      <c r="V685" s="3" t="str">
        <f>VLOOKUP(N685,products!A:B,2,0)</f>
        <v>Cosmetics</v>
      </c>
      <c r="W685" s="3" t="s">
        <v>28</v>
      </c>
      <c r="X685" s="3" t="s">
        <v>98</v>
      </c>
      <c r="Y685" s="14">
        <f t="shared" si="10"/>
        <v>0.3976898445</v>
      </c>
      <c r="Z685" s="3">
        <f t="shared" si="7"/>
        <v>48</v>
      </c>
      <c r="AA685" s="15">
        <f t="shared" si="8"/>
        <v>7</v>
      </c>
    </row>
    <row r="686" ht="15.75" customHeight="1">
      <c r="A686" s="3">
        <v>5.51118266E8</v>
      </c>
      <c r="B686" s="3" t="s">
        <v>1147</v>
      </c>
      <c r="C686" s="3">
        <f>IFERROR(__xludf.DUMMYFUNCTION("split(B686,""/"")"),7.0)</f>
        <v>7</v>
      </c>
      <c r="D686" s="10">
        <f>IFERROR(__xludf.DUMMYFUNCTION("""COMPUTED_VALUE"""),16.0)</f>
        <v>16</v>
      </c>
      <c r="E686" s="11">
        <f>IFERROR(__xludf.DUMMYFUNCTION("""COMPUTED_VALUE"""),2016.0)</f>
        <v>2016</v>
      </c>
      <c r="F686" s="12">
        <f t="shared" si="1"/>
        <v>42567</v>
      </c>
      <c r="G686" s="3" t="s">
        <v>1468</v>
      </c>
      <c r="H686" s="3">
        <f>IFERROR(__xludf.DUMMYFUNCTION("split(G686,""/"")"),8.0)</f>
        <v>8</v>
      </c>
      <c r="I686" s="3">
        <f>IFERROR(__xludf.DUMMYFUNCTION("""COMPUTED_VALUE"""),15.0)</f>
        <v>15</v>
      </c>
      <c r="J686" s="3">
        <f>IFERROR(__xludf.DUMMYFUNCTION("""COMPUTED_VALUE"""),2016.0)</f>
        <v>2016</v>
      </c>
      <c r="K686" s="12">
        <f t="shared" si="2"/>
        <v>42597</v>
      </c>
      <c r="L686" s="3" t="s">
        <v>825</v>
      </c>
      <c r="M686" s="3" t="s">
        <v>123</v>
      </c>
      <c r="N686" s="3">
        <v>7331.0</v>
      </c>
      <c r="O686" s="3" t="s">
        <v>815</v>
      </c>
      <c r="P686" s="10">
        <v>6997.0</v>
      </c>
      <c r="Q686" s="13">
        <v>255.28</v>
      </c>
      <c r="R686" s="13">
        <v>159.42</v>
      </c>
      <c r="S686" s="13">
        <f t="shared" si="3"/>
        <v>1786194.16</v>
      </c>
      <c r="T686" s="13">
        <f t="shared" si="4"/>
        <v>1115461.74</v>
      </c>
      <c r="U686" s="13">
        <f t="shared" si="5"/>
        <v>670732.42</v>
      </c>
      <c r="V686" s="3" t="str">
        <f>VLOOKUP(N686,products!A:B,2,0)</f>
        <v>Baby Food</v>
      </c>
      <c r="W686" s="3" t="s">
        <v>28</v>
      </c>
      <c r="X686" s="3" t="s">
        <v>33</v>
      </c>
      <c r="Y686" s="14">
        <f t="shared" si="10"/>
        <v>0.3755092448</v>
      </c>
      <c r="Z686" s="3">
        <f t="shared" si="7"/>
        <v>30</v>
      </c>
      <c r="AA686" s="15">
        <f t="shared" si="8"/>
        <v>7</v>
      </c>
    </row>
    <row r="687" ht="15.75" customHeight="1">
      <c r="A687" s="3">
        <v>5.52037513E8</v>
      </c>
      <c r="B687" s="9">
        <v>40762.0</v>
      </c>
      <c r="C687" s="3">
        <f>IFERROR(__xludf.DUMMYFUNCTION("split(B687,""/"")"),7.0)</f>
        <v>7</v>
      </c>
      <c r="D687" s="10">
        <f>IFERROR(__xludf.DUMMYFUNCTION("""COMPUTED_VALUE"""),8.0)</f>
        <v>8</v>
      </c>
      <c r="E687" s="11">
        <f>IFERROR(__xludf.DUMMYFUNCTION("""COMPUTED_VALUE"""),2011.0)</f>
        <v>2011</v>
      </c>
      <c r="F687" s="12">
        <f t="shared" si="1"/>
        <v>40732</v>
      </c>
      <c r="G687" s="9">
        <v>40671.0</v>
      </c>
      <c r="H687" s="3">
        <f>IFERROR(__xludf.DUMMYFUNCTION("split(G687,""/"")"),8.0)</f>
        <v>8</v>
      </c>
      <c r="I687" s="3">
        <f>IFERROR(__xludf.DUMMYFUNCTION("""COMPUTED_VALUE"""),5.0)</f>
        <v>5</v>
      </c>
      <c r="J687" s="3">
        <f>IFERROR(__xludf.DUMMYFUNCTION("""COMPUTED_VALUE"""),2011.0)</f>
        <v>2011</v>
      </c>
      <c r="K687" s="12">
        <f t="shared" si="2"/>
        <v>40760</v>
      </c>
      <c r="L687" s="3" t="s">
        <v>814</v>
      </c>
      <c r="M687" s="3" t="s">
        <v>218</v>
      </c>
      <c r="N687" s="3">
        <v>2103.0</v>
      </c>
      <c r="O687" s="3" t="s">
        <v>815</v>
      </c>
      <c r="P687" s="10">
        <v>9022.0</v>
      </c>
      <c r="Q687" s="13">
        <v>205.7</v>
      </c>
      <c r="R687" s="13">
        <v>117.11</v>
      </c>
      <c r="S687" s="13">
        <f t="shared" si="3"/>
        <v>1855825.4</v>
      </c>
      <c r="T687" s="13">
        <f t="shared" si="4"/>
        <v>1056566.42</v>
      </c>
      <c r="U687" s="13">
        <f t="shared" si="5"/>
        <v>799258.98</v>
      </c>
      <c r="V687" s="3" t="str">
        <f>VLOOKUP(N687,products!A:B,2,0)</f>
        <v>Cereal</v>
      </c>
      <c r="W687" s="3" t="s">
        <v>28</v>
      </c>
      <c r="X687" s="3" t="s">
        <v>98</v>
      </c>
      <c r="Y687" s="14">
        <f t="shared" si="10"/>
        <v>0.4306757414</v>
      </c>
      <c r="Z687" s="3">
        <f t="shared" si="7"/>
        <v>28</v>
      </c>
      <c r="AA687" s="15">
        <f t="shared" si="8"/>
        <v>6</v>
      </c>
    </row>
    <row r="688" ht="15.75" customHeight="1">
      <c r="A688" s="3">
        <v>5.52276551E8</v>
      </c>
      <c r="B688" s="9">
        <v>40702.0</v>
      </c>
      <c r="C688" s="3">
        <f>IFERROR(__xludf.DUMMYFUNCTION("split(B688,""/"")"),8.0)</f>
        <v>8</v>
      </c>
      <c r="D688" s="10">
        <f>IFERROR(__xludf.DUMMYFUNCTION("""COMPUTED_VALUE"""),6.0)</f>
        <v>6</v>
      </c>
      <c r="E688" s="11">
        <f>IFERROR(__xludf.DUMMYFUNCTION("""COMPUTED_VALUE"""),2011.0)</f>
        <v>2011</v>
      </c>
      <c r="F688" s="12">
        <f t="shared" si="1"/>
        <v>40761</v>
      </c>
      <c r="G688" s="3" t="s">
        <v>1469</v>
      </c>
      <c r="H688" s="3">
        <f>IFERROR(__xludf.DUMMYFUNCTION("split(G688,""/"")"),9.0)</f>
        <v>9</v>
      </c>
      <c r="I688" s="3">
        <f>IFERROR(__xludf.DUMMYFUNCTION("""COMPUTED_VALUE"""),24.0)</f>
        <v>24</v>
      </c>
      <c r="J688" s="3">
        <f>IFERROR(__xludf.DUMMYFUNCTION("""COMPUTED_VALUE"""),2011.0)</f>
        <v>2011</v>
      </c>
      <c r="K688" s="12">
        <f t="shared" si="2"/>
        <v>40810</v>
      </c>
      <c r="L688" s="3" t="s">
        <v>825</v>
      </c>
      <c r="M688" s="3" t="s">
        <v>218</v>
      </c>
      <c r="N688" s="3">
        <v>8875.0</v>
      </c>
      <c r="O688" s="3" t="s">
        <v>818</v>
      </c>
      <c r="P688" s="10">
        <v>9759.0</v>
      </c>
      <c r="Q688" s="13">
        <v>421.89</v>
      </c>
      <c r="R688" s="13">
        <v>364.69</v>
      </c>
      <c r="S688" s="13">
        <f t="shared" si="3"/>
        <v>4117224.51</v>
      </c>
      <c r="T688" s="13">
        <f t="shared" si="4"/>
        <v>3559009.71</v>
      </c>
      <c r="U688" s="13">
        <f t="shared" si="5"/>
        <v>558214.8</v>
      </c>
      <c r="V688" s="3" t="str">
        <f>VLOOKUP(N688,products!A:B,2,0)</f>
        <v>Meat</v>
      </c>
      <c r="W688" s="3" t="s">
        <v>28</v>
      </c>
      <c r="X688" s="3" t="s">
        <v>98</v>
      </c>
      <c r="Y688" s="14">
        <f t="shared" si="10"/>
        <v>0.1355803646</v>
      </c>
      <c r="Z688" s="3">
        <f t="shared" si="7"/>
        <v>49</v>
      </c>
      <c r="AA688" s="15">
        <f t="shared" si="8"/>
        <v>7</v>
      </c>
    </row>
    <row r="689" ht="15.75" customHeight="1">
      <c r="A689" s="3">
        <v>5.52931869E8</v>
      </c>
      <c r="B689" s="3" t="s">
        <v>1470</v>
      </c>
      <c r="C689" s="3">
        <f>IFERROR(__xludf.DUMMYFUNCTION("split(B689,""/"")"),8.0)</f>
        <v>8</v>
      </c>
      <c r="D689" s="10">
        <f>IFERROR(__xludf.DUMMYFUNCTION("""COMPUTED_VALUE"""),16.0)</f>
        <v>16</v>
      </c>
      <c r="E689" s="11">
        <f>IFERROR(__xludf.DUMMYFUNCTION("""COMPUTED_VALUE"""),2016.0)</f>
        <v>2016</v>
      </c>
      <c r="F689" s="12">
        <f t="shared" si="1"/>
        <v>42598</v>
      </c>
      <c r="G689" s="9">
        <v>42622.0</v>
      </c>
      <c r="H689" s="3">
        <f>IFERROR(__xludf.DUMMYFUNCTION("split(G689,""/"")"),9.0)</f>
        <v>9</v>
      </c>
      <c r="I689" s="3">
        <f>IFERROR(__xludf.DUMMYFUNCTION("""COMPUTED_VALUE"""),9.0)</f>
        <v>9</v>
      </c>
      <c r="J689" s="3">
        <f>IFERROR(__xludf.DUMMYFUNCTION("""COMPUTED_VALUE"""),2016.0)</f>
        <v>2016</v>
      </c>
      <c r="K689" s="12">
        <f t="shared" si="2"/>
        <v>42622</v>
      </c>
      <c r="L689" s="3" t="s">
        <v>827</v>
      </c>
      <c r="M689" s="3" t="s">
        <v>46</v>
      </c>
      <c r="N689" s="3">
        <v>8875.0</v>
      </c>
      <c r="O689" s="3" t="s">
        <v>818</v>
      </c>
      <c r="P689" s="10">
        <v>3682.0</v>
      </c>
      <c r="Q689" s="13">
        <v>421.89</v>
      </c>
      <c r="R689" s="13">
        <v>364.69</v>
      </c>
      <c r="S689" s="13">
        <f t="shared" si="3"/>
        <v>1553398.98</v>
      </c>
      <c r="T689" s="13">
        <f t="shared" si="4"/>
        <v>1342788.58</v>
      </c>
      <c r="U689" s="13">
        <f t="shared" si="5"/>
        <v>210610.4</v>
      </c>
      <c r="V689" s="3" t="str">
        <f>VLOOKUP(N689,products!A:B,2,0)</f>
        <v>Meat</v>
      </c>
      <c r="W689" s="3" t="s">
        <v>28</v>
      </c>
      <c r="X689" s="3" t="s">
        <v>33</v>
      </c>
      <c r="Y689" s="14">
        <f t="shared" si="10"/>
        <v>0.1355803646</v>
      </c>
      <c r="Z689" s="3">
        <f t="shared" si="7"/>
        <v>24</v>
      </c>
      <c r="AA689" s="15">
        <f t="shared" si="8"/>
        <v>3</v>
      </c>
    </row>
    <row r="690" ht="15.75" customHeight="1">
      <c r="A690" s="3">
        <v>5.53107821E8</v>
      </c>
      <c r="B690" s="3" t="s">
        <v>1471</v>
      </c>
      <c r="C690" s="3">
        <f>IFERROR(__xludf.DUMMYFUNCTION("split(B690,""/"")"),12.0)</f>
        <v>12</v>
      </c>
      <c r="D690" s="10">
        <f>IFERROR(__xludf.DUMMYFUNCTION("""COMPUTED_VALUE"""),21.0)</f>
        <v>21</v>
      </c>
      <c r="E690" s="11">
        <f>IFERROR(__xludf.DUMMYFUNCTION("""COMPUTED_VALUE"""),2014.0)</f>
        <v>2014</v>
      </c>
      <c r="F690" s="12">
        <f t="shared" si="1"/>
        <v>41994</v>
      </c>
      <c r="G690" s="3" t="s">
        <v>1472</v>
      </c>
      <c r="H690" s="3">
        <f>IFERROR(__xludf.DUMMYFUNCTION("split(G690,""/"")"),1.0)</f>
        <v>1</v>
      </c>
      <c r="I690" s="3">
        <f>IFERROR(__xludf.DUMMYFUNCTION("""COMPUTED_VALUE"""),13.0)</f>
        <v>13</v>
      </c>
      <c r="J690" s="3">
        <f>IFERROR(__xludf.DUMMYFUNCTION("""COMPUTED_VALUE"""),2015.0)</f>
        <v>2015</v>
      </c>
      <c r="K690" s="12">
        <f t="shared" si="2"/>
        <v>42017</v>
      </c>
      <c r="L690" s="3" t="s">
        <v>814</v>
      </c>
      <c r="M690" s="3" t="s">
        <v>215</v>
      </c>
      <c r="N690" s="3">
        <v>3127.0</v>
      </c>
      <c r="O690" s="3" t="s">
        <v>815</v>
      </c>
      <c r="P690" s="10">
        <v>5751.0</v>
      </c>
      <c r="Q690" s="13">
        <v>81.73</v>
      </c>
      <c r="R690" s="13">
        <v>56.67</v>
      </c>
      <c r="S690" s="13">
        <f t="shared" si="3"/>
        <v>470029.23</v>
      </c>
      <c r="T690" s="13">
        <f t="shared" si="4"/>
        <v>325909.17</v>
      </c>
      <c r="U690" s="13">
        <f t="shared" si="5"/>
        <v>144120.06</v>
      </c>
      <c r="V690" s="3" t="str">
        <f>VLOOKUP(N690,products!A:B,2,0)</f>
        <v>Personal Care</v>
      </c>
      <c r="W690" s="3" t="s">
        <v>23</v>
      </c>
      <c r="X690" s="3" t="s">
        <v>68</v>
      </c>
      <c r="Y690" s="14">
        <f t="shared" si="10"/>
        <v>0.3066193564</v>
      </c>
      <c r="Z690" s="3">
        <f t="shared" si="7"/>
        <v>23</v>
      </c>
      <c r="AA690" s="15">
        <f t="shared" si="8"/>
        <v>1</v>
      </c>
    </row>
    <row r="691" ht="15.75" customHeight="1">
      <c r="A691" s="3">
        <v>5.54554927E8</v>
      </c>
      <c r="B691" s="3" t="s">
        <v>1473</v>
      </c>
      <c r="C691" s="3">
        <f>IFERROR(__xludf.DUMMYFUNCTION("split(B691,""/"")"),7.0)</f>
        <v>7</v>
      </c>
      <c r="D691" s="10">
        <f>IFERROR(__xludf.DUMMYFUNCTION("""COMPUTED_VALUE"""),22.0)</f>
        <v>22</v>
      </c>
      <c r="E691" s="11">
        <f>IFERROR(__xludf.DUMMYFUNCTION("""COMPUTED_VALUE"""),2012.0)</f>
        <v>2012</v>
      </c>
      <c r="F691" s="12">
        <f t="shared" si="1"/>
        <v>41112</v>
      </c>
      <c r="G691" s="9">
        <v>41068.0</v>
      </c>
      <c r="H691" s="3">
        <f>IFERROR(__xludf.DUMMYFUNCTION("split(G691,""/"")"),8.0)</f>
        <v>8</v>
      </c>
      <c r="I691" s="3">
        <f>IFERROR(__xludf.DUMMYFUNCTION("""COMPUTED_VALUE"""),6.0)</f>
        <v>6</v>
      </c>
      <c r="J691" s="3">
        <f>IFERROR(__xludf.DUMMYFUNCTION("""COMPUTED_VALUE"""),2012.0)</f>
        <v>2012</v>
      </c>
      <c r="K691" s="12">
        <f t="shared" si="2"/>
        <v>41127</v>
      </c>
      <c r="L691" s="3" t="s">
        <v>817</v>
      </c>
      <c r="M691" s="3" t="s">
        <v>623</v>
      </c>
      <c r="N691" s="3">
        <v>2103.0</v>
      </c>
      <c r="O691" s="3" t="s">
        <v>818</v>
      </c>
      <c r="P691" s="10">
        <v>3981.0</v>
      </c>
      <c r="Q691" s="13">
        <v>205.7</v>
      </c>
      <c r="R691" s="13">
        <v>117.11</v>
      </c>
      <c r="S691" s="13">
        <f t="shared" si="3"/>
        <v>818891.7</v>
      </c>
      <c r="T691" s="13">
        <f t="shared" si="4"/>
        <v>466214.91</v>
      </c>
      <c r="U691" s="13">
        <f t="shared" si="5"/>
        <v>352676.79</v>
      </c>
      <c r="V691" s="3" t="str">
        <f>VLOOKUP(N691,products!A:B,2,0)</f>
        <v>Cereal</v>
      </c>
      <c r="W691" s="3" t="s">
        <v>28</v>
      </c>
      <c r="X691" s="3" t="s">
        <v>33</v>
      </c>
      <c r="Y691" s="14">
        <f t="shared" si="10"/>
        <v>0.4306757414</v>
      </c>
      <c r="Z691" s="3">
        <f t="shared" si="7"/>
        <v>15</v>
      </c>
      <c r="AA691" s="15">
        <f t="shared" si="8"/>
        <v>1</v>
      </c>
    </row>
    <row r="692" ht="15.75" customHeight="1">
      <c r="A692" s="3">
        <v>5.54721438E8</v>
      </c>
      <c r="B692" s="3" t="s">
        <v>1474</v>
      </c>
      <c r="C692" s="3">
        <f>IFERROR(__xludf.DUMMYFUNCTION("split(B692,""/"")"),1.0)</f>
        <v>1</v>
      </c>
      <c r="D692" s="10">
        <f>IFERROR(__xludf.DUMMYFUNCTION("""COMPUTED_VALUE"""),20.0)</f>
        <v>20</v>
      </c>
      <c r="E692" s="11">
        <f>IFERROR(__xludf.DUMMYFUNCTION("""COMPUTED_VALUE"""),2016.0)</f>
        <v>2016</v>
      </c>
      <c r="F692" s="12">
        <f t="shared" si="1"/>
        <v>42389</v>
      </c>
      <c r="G692" s="3" t="s">
        <v>1475</v>
      </c>
      <c r="H692" s="3">
        <f>IFERROR(__xludf.DUMMYFUNCTION("split(G692,""/"")"),1.0)</f>
        <v>1</v>
      </c>
      <c r="I692" s="3">
        <f>IFERROR(__xludf.DUMMYFUNCTION("""COMPUTED_VALUE"""),28.0)</f>
        <v>28</v>
      </c>
      <c r="J692" s="3">
        <f>IFERROR(__xludf.DUMMYFUNCTION("""COMPUTED_VALUE"""),2016.0)</f>
        <v>2016</v>
      </c>
      <c r="K692" s="12">
        <f t="shared" si="2"/>
        <v>42397</v>
      </c>
      <c r="L692" s="3" t="s">
        <v>827</v>
      </c>
      <c r="M692" s="3" t="s">
        <v>578</v>
      </c>
      <c r="N692" s="3">
        <v>1270.0</v>
      </c>
      <c r="O692" s="3" t="s">
        <v>818</v>
      </c>
      <c r="P692" s="10">
        <v>3256.0</v>
      </c>
      <c r="Q692" s="13">
        <v>47.45</v>
      </c>
      <c r="R692" s="13">
        <v>31.79</v>
      </c>
      <c r="S692" s="13">
        <f t="shared" si="3"/>
        <v>154497.2</v>
      </c>
      <c r="T692" s="13">
        <f t="shared" si="4"/>
        <v>103508.24</v>
      </c>
      <c r="U692" s="13">
        <f t="shared" si="5"/>
        <v>50988.96</v>
      </c>
      <c r="V692" s="3" t="str">
        <f>VLOOKUP(N692,products!A:B,2,0)</f>
        <v>Beverages</v>
      </c>
      <c r="W692" s="3" t="s">
        <v>28</v>
      </c>
      <c r="X692" s="3" t="s">
        <v>33</v>
      </c>
      <c r="Y692" s="14">
        <f t="shared" si="10"/>
        <v>0.3300316122</v>
      </c>
      <c r="Z692" s="3">
        <f t="shared" si="7"/>
        <v>8</v>
      </c>
      <c r="AA692" s="15">
        <f t="shared" si="8"/>
        <v>4</v>
      </c>
    </row>
    <row r="693" ht="15.75" customHeight="1">
      <c r="A693" s="3">
        <v>5.56263816E8</v>
      </c>
      <c r="B693" s="9">
        <v>40675.0</v>
      </c>
      <c r="C693" s="3">
        <f>IFERROR(__xludf.DUMMYFUNCTION("split(B693,""/"")"),12.0)</f>
        <v>12</v>
      </c>
      <c r="D693" s="10">
        <f>IFERROR(__xludf.DUMMYFUNCTION("""COMPUTED_VALUE"""),5.0)</f>
        <v>5</v>
      </c>
      <c r="E693" s="11">
        <f>IFERROR(__xludf.DUMMYFUNCTION("""COMPUTED_VALUE"""),2011.0)</f>
        <v>2011</v>
      </c>
      <c r="F693" s="12">
        <f t="shared" si="1"/>
        <v>40882</v>
      </c>
      <c r="G693" s="9">
        <v>40736.0</v>
      </c>
      <c r="H693" s="3">
        <f>IFERROR(__xludf.DUMMYFUNCTION("split(G693,""/"")"),12.0)</f>
        <v>12</v>
      </c>
      <c r="I693" s="3">
        <f>IFERROR(__xludf.DUMMYFUNCTION("""COMPUTED_VALUE"""),7.0)</f>
        <v>7</v>
      </c>
      <c r="J693" s="3">
        <f>IFERROR(__xludf.DUMMYFUNCTION("""COMPUTED_VALUE"""),2011.0)</f>
        <v>2011</v>
      </c>
      <c r="K693" s="12">
        <f t="shared" si="2"/>
        <v>40884</v>
      </c>
      <c r="L693" s="3" t="s">
        <v>814</v>
      </c>
      <c r="M693" s="3" t="s">
        <v>671</v>
      </c>
      <c r="N693" s="3">
        <v>1270.0</v>
      </c>
      <c r="O693" s="3" t="s">
        <v>815</v>
      </c>
      <c r="P693" s="10">
        <v>9679.0</v>
      </c>
      <c r="Q693" s="13">
        <v>47.45</v>
      </c>
      <c r="R693" s="13">
        <v>31.79</v>
      </c>
      <c r="S693" s="13">
        <f t="shared" si="3"/>
        <v>459268.55</v>
      </c>
      <c r="T693" s="13">
        <f t="shared" si="4"/>
        <v>307695.41</v>
      </c>
      <c r="U693" s="13">
        <f t="shared" si="5"/>
        <v>151573.14</v>
      </c>
      <c r="V693" s="3" t="str">
        <f>VLOOKUP(N693,products!A:B,2,0)</f>
        <v>Beverages</v>
      </c>
      <c r="W693" s="3" t="s">
        <v>28</v>
      </c>
      <c r="X693" s="3" t="s">
        <v>33</v>
      </c>
      <c r="Y693" s="14">
        <f t="shared" si="10"/>
        <v>0.3300316122</v>
      </c>
      <c r="Z693" s="3">
        <f t="shared" si="7"/>
        <v>2</v>
      </c>
      <c r="AA693" s="15">
        <f t="shared" si="8"/>
        <v>2</v>
      </c>
    </row>
    <row r="694" ht="15.75" customHeight="1">
      <c r="A694" s="3">
        <v>5.56647908E8</v>
      </c>
      <c r="B694" s="3" t="s">
        <v>1476</v>
      </c>
      <c r="C694" s="3">
        <f>IFERROR(__xludf.DUMMYFUNCTION("split(B694,""/"")"),9.0)</f>
        <v>9</v>
      </c>
      <c r="D694" s="10">
        <f>IFERROR(__xludf.DUMMYFUNCTION("""COMPUTED_VALUE"""),30.0)</f>
        <v>30</v>
      </c>
      <c r="E694" s="11">
        <f>IFERROR(__xludf.DUMMYFUNCTION("""COMPUTED_VALUE"""),2012.0)</f>
        <v>2012</v>
      </c>
      <c r="F694" s="12">
        <f t="shared" si="1"/>
        <v>41182</v>
      </c>
      <c r="G694" s="3" t="s">
        <v>1477</v>
      </c>
      <c r="H694" s="3">
        <f>IFERROR(__xludf.DUMMYFUNCTION("split(G694,""/"")"),10.0)</f>
        <v>10</v>
      </c>
      <c r="I694" s="3">
        <f>IFERROR(__xludf.DUMMYFUNCTION("""COMPUTED_VALUE"""),29.0)</f>
        <v>29</v>
      </c>
      <c r="J694" s="3">
        <f>IFERROR(__xludf.DUMMYFUNCTION("""COMPUTED_VALUE"""),2012.0)</f>
        <v>2012</v>
      </c>
      <c r="K694" s="12">
        <f t="shared" si="2"/>
        <v>41211</v>
      </c>
      <c r="L694" s="3" t="s">
        <v>817</v>
      </c>
      <c r="M694" s="3" t="s">
        <v>746</v>
      </c>
      <c r="N694" s="3">
        <v>5988.0</v>
      </c>
      <c r="O694" s="3" t="s">
        <v>815</v>
      </c>
      <c r="P694" s="10">
        <v>3341.0</v>
      </c>
      <c r="Q694" s="13">
        <v>154.06</v>
      </c>
      <c r="R694" s="13">
        <v>90.93</v>
      </c>
      <c r="S694" s="13">
        <f t="shared" si="3"/>
        <v>514714.46</v>
      </c>
      <c r="T694" s="13">
        <f t="shared" si="4"/>
        <v>303797.13</v>
      </c>
      <c r="U694" s="13">
        <f t="shared" si="5"/>
        <v>210917.33</v>
      </c>
      <c r="V694" s="3" t="str">
        <f>VLOOKUP(N694,products!A:B,2,0)</f>
        <v>Vegetables</v>
      </c>
      <c r="W694" s="3" t="s">
        <v>28</v>
      </c>
      <c r="X694" s="3" t="s">
        <v>29</v>
      </c>
      <c r="Y694" s="14">
        <f t="shared" si="10"/>
        <v>0.4097754122</v>
      </c>
      <c r="Z694" s="3">
        <f t="shared" si="7"/>
        <v>29</v>
      </c>
      <c r="AA694" s="15">
        <f t="shared" si="8"/>
        <v>1</v>
      </c>
    </row>
    <row r="695" ht="15.75" customHeight="1">
      <c r="A695" s="3">
        <v>5.56947886E8</v>
      </c>
      <c r="B695" s="9">
        <v>40667.0</v>
      </c>
      <c r="C695" s="3">
        <f>IFERROR(__xludf.DUMMYFUNCTION("split(B695,""/"")"),4.0)</f>
        <v>4</v>
      </c>
      <c r="D695" s="10">
        <f>IFERROR(__xludf.DUMMYFUNCTION("""COMPUTED_VALUE"""),5.0)</f>
        <v>5</v>
      </c>
      <c r="E695" s="11">
        <f>IFERROR(__xludf.DUMMYFUNCTION("""COMPUTED_VALUE"""),2011.0)</f>
        <v>2011</v>
      </c>
      <c r="F695" s="12">
        <f t="shared" si="1"/>
        <v>40638</v>
      </c>
      <c r="G695" s="3" t="s">
        <v>999</v>
      </c>
      <c r="H695" s="3">
        <f>IFERROR(__xludf.DUMMYFUNCTION("split(G695,""/"")"),5.0)</f>
        <v>5</v>
      </c>
      <c r="I695" s="3">
        <f>IFERROR(__xludf.DUMMYFUNCTION("""COMPUTED_VALUE"""),17.0)</f>
        <v>17</v>
      </c>
      <c r="J695" s="3">
        <f>IFERROR(__xludf.DUMMYFUNCTION("""COMPUTED_VALUE"""),2011.0)</f>
        <v>2011</v>
      </c>
      <c r="K695" s="12">
        <f t="shared" si="2"/>
        <v>40680</v>
      </c>
      <c r="L695" s="3" t="s">
        <v>825</v>
      </c>
      <c r="M695" s="3" t="s">
        <v>46</v>
      </c>
      <c r="N695" s="3">
        <v>2103.0</v>
      </c>
      <c r="O695" s="3" t="s">
        <v>815</v>
      </c>
      <c r="P695" s="10">
        <v>2111.0</v>
      </c>
      <c r="Q695" s="13">
        <v>205.7</v>
      </c>
      <c r="R695" s="13">
        <v>117.11</v>
      </c>
      <c r="S695" s="13">
        <f t="shared" si="3"/>
        <v>434232.7</v>
      </c>
      <c r="T695" s="13">
        <f t="shared" si="4"/>
        <v>247219.21</v>
      </c>
      <c r="U695" s="13">
        <f t="shared" si="5"/>
        <v>187013.49</v>
      </c>
      <c r="V695" s="3" t="str">
        <f>VLOOKUP(N695,products!A:B,2,0)</f>
        <v>Cereal</v>
      </c>
      <c r="W695" s="3" t="s">
        <v>28</v>
      </c>
      <c r="X695" s="3" t="s">
        <v>33</v>
      </c>
      <c r="Y695" s="14">
        <f t="shared" si="10"/>
        <v>0.4306757414</v>
      </c>
      <c r="Z695" s="3">
        <f t="shared" si="7"/>
        <v>42</v>
      </c>
      <c r="AA695" s="15">
        <f t="shared" si="8"/>
        <v>3</v>
      </c>
    </row>
    <row r="696" ht="15.75" customHeight="1">
      <c r="A696" s="3">
        <v>5.59183347E8</v>
      </c>
      <c r="B696" s="3" t="s">
        <v>1122</v>
      </c>
      <c r="C696" s="3">
        <f>IFERROR(__xludf.DUMMYFUNCTION("split(B696,""/"")"),4.0)</f>
        <v>4</v>
      </c>
      <c r="D696" s="10">
        <f>IFERROR(__xludf.DUMMYFUNCTION("""COMPUTED_VALUE"""),14.0)</f>
        <v>14</v>
      </c>
      <c r="E696" s="11">
        <f>IFERROR(__xludf.DUMMYFUNCTION("""COMPUTED_VALUE"""),2014.0)</f>
        <v>2014</v>
      </c>
      <c r="F696" s="12">
        <f t="shared" si="1"/>
        <v>41743</v>
      </c>
      <c r="G696" s="3" t="s">
        <v>1169</v>
      </c>
      <c r="H696" s="3">
        <f>IFERROR(__xludf.DUMMYFUNCTION("split(G696,""/"")"),5.0)</f>
        <v>5</v>
      </c>
      <c r="I696" s="3">
        <f>IFERROR(__xludf.DUMMYFUNCTION("""COMPUTED_VALUE"""),21.0)</f>
        <v>21</v>
      </c>
      <c r="J696" s="3">
        <f>IFERROR(__xludf.DUMMYFUNCTION("""COMPUTED_VALUE"""),2014.0)</f>
        <v>2014</v>
      </c>
      <c r="K696" s="12">
        <f t="shared" si="2"/>
        <v>41780</v>
      </c>
      <c r="L696" s="3" t="s">
        <v>825</v>
      </c>
      <c r="M696" s="3" t="s">
        <v>740</v>
      </c>
      <c r="N696" s="3">
        <v>2103.0</v>
      </c>
      <c r="O696" s="3" t="s">
        <v>818</v>
      </c>
      <c r="P696" s="10">
        <v>3633.0</v>
      </c>
      <c r="Q696" s="13">
        <v>205.7</v>
      </c>
      <c r="R696" s="13">
        <v>117.11</v>
      </c>
      <c r="S696" s="13">
        <f t="shared" si="3"/>
        <v>747308.1</v>
      </c>
      <c r="T696" s="13">
        <f t="shared" si="4"/>
        <v>425460.63</v>
      </c>
      <c r="U696" s="13">
        <f t="shared" si="5"/>
        <v>321847.47</v>
      </c>
      <c r="V696" s="3" t="str">
        <f>VLOOKUP(N696,products!A:B,2,0)</f>
        <v>Cereal</v>
      </c>
      <c r="W696" s="3" t="s">
        <v>28</v>
      </c>
      <c r="X696" s="3" t="s">
        <v>98</v>
      </c>
      <c r="Y696" s="14">
        <f t="shared" si="10"/>
        <v>0.4306757414</v>
      </c>
      <c r="Z696" s="3">
        <f t="shared" si="7"/>
        <v>37</v>
      </c>
      <c r="AA696" s="15">
        <f t="shared" si="8"/>
        <v>2</v>
      </c>
    </row>
    <row r="697" ht="15.75" customHeight="1">
      <c r="A697" s="3">
        <v>5.59417665E8</v>
      </c>
      <c r="B697" s="3" t="s">
        <v>1478</v>
      </c>
      <c r="C697" s="3">
        <f>IFERROR(__xludf.DUMMYFUNCTION("split(B697,""/"")"),2.0)</f>
        <v>2</v>
      </c>
      <c r="D697" s="10">
        <f>IFERROR(__xludf.DUMMYFUNCTION("""COMPUTED_VALUE"""),25.0)</f>
        <v>25</v>
      </c>
      <c r="E697" s="11">
        <f>IFERROR(__xludf.DUMMYFUNCTION("""COMPUTED_VALUE"""),2013.0)</f>
        <v>2013</v>
      </c>
      <c r="F697" s="12">
        <f t="shared" si="1"/>
        <v>41330</v>
      </c>
      <c r="G697" s="3" t="s">
        <v>1479</v>
      </c>
      <c r="H697" s="3">
        <f>IFERROR(__xludf.DUMMYFUNCTION("split(G697,""/"")"),2.0)</f>
        <v>2</v>
      </c>
      <c r="I697" s="3">
        <f>IFERROR(__xludf.DUMMYFUNCTION("""COMPUTED_VALUE"""),28.0)</f>
        <v>28</v>
      </c>
      <c r="J697" s="3">
        <f>IFERROR(__xludf.DUMMYFUNCTION("""COMPUTED_VALUE"""),2013.0)</f>
        <v>2013</v>
      </c>
      <c r="K697" s="12">
        <f t="shared" si="2"/>
        <v>41333</v>
      </c>
      <c r="L697" s="3" t="s">
        <v>814</v>
      </c>
      <c r="M697" s="3" t="s">
        <v>635</v>
      </c>
      <c r="N697" s="3">
        <v>5988.0</v>
      </c>
      <c r="O697" s="3" t="s">
        <v>818</v>
      </c>
      <c r="P697" s="10">
        <v>2973.0</v>
      </c>
      <c r="Q697" s="13">
        <v>154.06</v>
      </c>
      <c r="R697" s="13">
        <v>90.93</v>
      </c>
      <c r="S697" s="13">
        <f t="shared" si="3"/>
        <v>458020.38</v>
      </c>
      <c r="T697" s="13">
        <f t="shared" si="4"/>
        <v>270334.89</v>
      </c>
      <c r="U697" s="13">
        <f t="shared" si="5"/>
        <v>187685.49</v>
      </c>
      <c r="V697" s="3" t="str">
        <f>VLOOKUP(N697,products!A:B,2,0)</f>
        <v>Vegetables</v>
      </c>
      <c r="W697" s="3" t="s">
        <v>28</v>
      </c>
      <c r="X697" s="3" t="s">
        <v>33</v>
      </c>
      <c r="Y697" s="14">
        <f t="shared" si="10"/>
        <v>0.4097754122</v>
      </c>
      <c r="Z697" s="3">
        <f t="shared" si="7"/>
        <v>3</v>
      </c>
      <c r="AA697" s="15">
        <f t="shared" si="8"/>
        <v>2</v>
      </c>
    </row>
    <row r="698" ht="15.75" customHeight="1">
      <c r="A698" s="3">
        <v>5.60389268E8</v>
      </c>
      <c r="B698" s="3" t="s">
        <v>1480</v>
      </c>
      <c r="C698" s="3">
        <f>IFERROR(__xludf.DUMMYFUNCTION("split(B698,""/"")"),1.0)</f>
        <v>1</v>
      </c>
      <c r="D698" s="10">
        <f>IFERROR(__xludf.DUMMYFUNCTION("""COMPUTED_VALUE"""),22.0)</f>
        <v>22</v>
      </c>
      <c r="E698" s="11">
        <f>IFERROR(__xludf.DUMMYFUNCTION("""COMPUTED_VALUE"""),2016.0)</f>
        <v>2016</v>
      </c>
      <c r="F698" s="12">
        <f t="shared" si="1"/>
        <v>42391</v>
      </c>
      <c r="G698" s="3" t="s">
        <v>1481</v>
      </c>
      <c r="H698" s="3">
        <f>IFERROR(__xludf.DUMMYFUNCTION("split(G698,""/"")"),2.0)</f>
        <v>2</v>
      </c>
      <c r="I698" s="3">
        <f>IFERROR(__xludf.DUMMYFUNCTION("""COMPUTED_VALUE"""),22.0)</f>
        <v>22</v>
      </c>
      <c r="J698" s="3">
        <f>IFERROR(__xludf.DUMMYFUNCTION("""COMPUTED_VALUE"""),2016.0)</f>
        <v>2016</v>
      </c>
      <c r="K698" s="12">
        <f t="shared" si="2"/>
        <v>42422</v>
      </c>
      <c r="L698" s="3" t="s">
        <v>814</v>
      </c>
      <c r="M698" s="3" t="s">
        <v>623</v>
      </c>
      <c r="N698" s="3">
        <v>5988.0</v>
      </c>
      <c r="O698" s="3" t="s">
        <v>818</v>
      </c>
      <c r="P698" s="10">
        <v>492.0</v>
      </c>
      <c r="Q698" s="13">
        <v>154.06</v>
      </c>
      <c r="R698" s="13">
        <v>90.93</v>
      </c>
      <c r="S698" s="13">
        <f t="shared" si="3"/>
        <v>75797.52</v>
      </c>
      <c r="T698" s="13">
        <f t="shared" si="4"/>
        <v>44737.56</v>
      </c>
      <c r="U698" s="13">
        <f t="shared" si="5"/>
        <v>31059.96</v>
      </c>
      <c r="V698" s="3" t="str">
        <f>VLOOKUP(N698,products!A:B,2,0)</f>
        <v>Vegetables</v>
      </c>
      <c r="W698" s="3" t="s">
        <v>28</v>
      </c>
      <c r="X698" s="3" t="s">
        <v>33</v>
      </c>
      <c r="Y698" s="14">
        <f t="shared" si="10"/>
        <v>0.4097754122</v>
      </c>
      <c r="Z698" s="3">
        <f t="shared" si="7"/>
        <v>31</v>
      </c>
      <c r="AA698" s="15">
        <f t="shared" si="8"/>
        <v>6</v>
      </c>
    </row>
    <row r="699" ht="15.75" customHeight="1">
      <c r="A699" s="3">
        <v>5.60762631E8</v>
      </c>
      <c r="B699" s="9">
        <v>42070.0</v>
      </c>
      <c r="C699" s="3">
        <f>IFERROR(__xludf.DUMMYFUNCTION("split(B699,""/"")"),7.0)</f>
        <v>7</v>
      </c>
      <c r="D699" s="10">
        <f>IFERROR(__xludf.DUMMYFUNCTION("""COMPUTED_VALUE"""),3.0)</f>
        <v>3</v>
      </c>
      <c r="E699" s="11">
        <f>IFERROR(__xludf.DUMMYFUNCTION("""COMPUTED_VALUE"""),2015.0)</f>
        <v>2015</v>
      </c>
      <c r="F699" s="12">
        <f t="shared" si="1"/>
        <v>42188</v>
      </c>
      <c r="G699" s="3" t="s">
        <v>1482</v>
      </c>
      <c r="H699" s="3">
        <f>IFERROR(__xludf.DUMMYFUNCTION("split(G699,""/"")"),7.0)</f>
        <v>7</v>
      </c>
      <c r="I699" s="3">
        <f>IFERROR(__xludf.DUMMYFUNCTION("""COMPUTED_VALUE"""),16.0)</f>
        <v>16</v>
      </c>
      <c r="J699" s="3">
        <f>IFERROR(__xludf.DUMMYFUNCTION("""COMPUTED_VALUE"""),2015.0)</f>
        <v>2015</v>
      </c>
      <c r="K699" s="12">
        <f t="shared" si="2"/>
        <v>42201</v>
      </c>
      <c r="L699" s="3" t="s">
        <v>827</v>
      </c>
      <c r="M699" s="3" t="s">
        <v>746</v>
      </c>
      <c r="N699" s="3">
        <v>8681.0</v>
      </c>
      <c r="O699" s="3" t="s">
        <v>815</v>
      </c>
      <c r="P699" s="10">
        <v>979.0</v>
      </c>
      <c r="Q699" s="13">
        <v>651.21</v>
      </c>
      <c r="R699" s="13">
        <v>524.96</v>
      </c>
      <c r="S699" s="13">
        <f t="shared" si="3"/>
        <v>637534.59</v>
      </c>
      <c r="T699" s="13">
        <f t="shared" si="4"/>
        <v>513935.84</v>
      </c>
      <c r="U699" s="13">
        <f t="shared" si="5"/>
        <v>123598.75</v>
      </c>
      <c r="V699" s="3" t="str">
        <f>VLOOKUP(N699,products!A:B,2,0)</f>
        <v>Office Supplies</v>
      </c>
      <c r="W699" s="3" t="s">
        <v>28</v>
      </c>
      <c r="X699" s="3" t="s">
        <v>29</v>
      </c>
      <c r="Y699" s="14">
        <f t="shared" si="10"/>
        <v>0.193869873</v>
      </c>
      <c r="Z699" s="3">
        <f t="shared" si="7"/>
        <v>13</v>
      </c>
      <c r="AA699" s="15">
        <f t="shared" si="8"/>
        <v>6</v>
      </c>
    </row>
    <row r="700" ht="15.75" customHeight="1">
      <c r="A700" s="3">
        <v>5.61534678E8</v>
      </c>
      <c r="B700" s="9">
        <v>41671.0</v>
      </c>
      <c r="C700" s="3">
        <f>IFERROR(__xludf.DUMMYFUNCTION("split(B700,""/"")"),1.0)</f>
        <v>1</v>
      </c>
      <c r="D700" s="10">
        <f>IFERROR(__xludf.DUMMYFUNCTION("""COMPUTED_VALUE"""),2.0)</f>
        <v>2</v>
      </c>
      <c r="E700" s="11">
        <f>IFERROR(__xludf.DUMMYFUNCTION("""COMPUTED_VALUE"""),2014.0)</f>
        <v>2014</v>
      </c>
      <c r="F700" s="12">
        <f t="shared" si="1"/>
        <v>41641</v>
      </c>
      <c r="G700" s="3" t="s">
        <v>1483</v>
      </c>
      <c r="H700" s="3">
        <f>IFERROR(__xludf.DUMMYFUNCTION("split(G700,""/"")"),1.0)</f>
        <v>1</v>
      </c>
      <c r="I700" s="3">
        <f>IFERROR(__xludf.DUMMYFUNCTION("""COMPUTED_VALUE"""),29.0)</f>
        <v>29</v>
      </c>
      <c r="J700" s="3">
        <f>IFERROR(__xludf.DUMMYFUNCTION("""COMPUTED_VALUE"""),2014.0)</f>
        <v>2014</v>
      </c>
      <c r="K700" s="12">
        <f t="shared" si="2"/>
        <v>41668</v>
      </c>
      <c r="L700" s="3" t="s">
        <v>825</v>
      </c>
      <c r="M700" s="3" t="s">
        <v>215</v>
      </c>
      <c r="N700" s="3">
        <v>3127.0</v>
      </c>
      <c r="O700" s="3" t="s">
        <v>815</v>
      </c>
      <c r="P700" s="10">
        <v>9445.0</v>
      </c>
      <c r="Q700" s="13">
        <v>81.73</v>
      </c>
      <c r="R700" s="13">
        <v>56.67</v>
      </c>
      <c r="S700" s="13">
        <f t="shared" si="3"/>
        <v>771939.85</v>
      </c>
      <c r="T700" s="13">
        <f t="shared" si="4"/>
        <v>535248.15</v>
      </c>
      <c r="U700" s="13">
        <f t="shared" si="5"/>
        <v>236691.7</v>
      </c>
      <c r="V700" s="3" t="str">
        <f>VLOOKUP(N700,products!A:B,2,0)</f>
        <v>Personal Care</v>
      </c>
      <c r="W700" s="3" t="s">
        <v>23</v>
      </c>
      <c r="X700" s="3" t="s">
        <v>68</v>
      </c>
      <c r="Y700" s="14">
        <f t="shared" si="10"/>
        <v>0.3066193564</v>
      </c>
      <c r="Z700" s="3">
        <f t="shared" si="7"/>
        <v>27</v>
      </c>
      <c r="AA700" s="15">
        <f t="shared" si="8"/>
        <v>5</v>
      </c>
    </row>
    <row r="701" ht="15.75" customHeight="1">
      <c r="A701" s="3">
        <v>5.63939225E8</v>
      </c>
      <c r="B701" s="9">
        <v>40493.0</v>
      </c>
      <c r="C701" s="3">
        <f>IFERROR(__xludf.DUMMYFUNCTION("split(B701,""/"")"),11.0)</f>
        <v>11</v>
      </c>
      <c r="D701" s="10">
        <f>IFERROR(__xludf.DUMMYFUNCTION("""COMPUTED_VALUE"""),11.0)</f>
        <v>11</v>
      </c>
      <c r="E701" s="11">
        <f>IFERROR(__xludf.DUMMYFUNCTION("""COMPUTED_VALUE"""),2010.0)</f>
        <v>2010</v>
      </c>
      <c r="F701" s="12">
        <f t="shared" si="1"/>
        <v>40493</v>
      </c>
      <c r="G701" s="3" t="s">
        <v>1484</v>
      </c>
      <c r="H701" s="3">
        <f>IFERROR(__xludf.DUMMYFUNCTION("split(G701,""/"")"),12.0)</f>
        <v>12</v>
      </c>
      <c r="I701" s="3">
        <f>IFERROR(__xludf.DUMMYFUNCTION("""COMPUTED_VALUE"""),19.0)</f>
        <v>19</v>
      </c>
      <c r="J701" s="3">
        <f>IFERROR(__xludf.DUMMYFUNCTION("""COMPUTED_VALUE"""),2010.0)</f>
        <v>2010</v>
      </c>
      <c r="K701" s="12">
        <f t="shared" si="2"/>
        <v>40531</v>
      </c>
      <c r="L701" s="3" t="s">
        <v>817</v>
      </c>
      <c r="M701" s="3" t="s">
        <v>349</v>
      </c>
      <c r="N701" s="3">
        <v>2455.0</v>
      </c>
      <c r="O701" s="3" t="s">
        <v>818</v>
      </c>
      <c r="P701" s="10">
        <v>1004.0</v>
      </c>
      <c r="Q701" s="13">
        <v>109.28</v>
      </c>
      <c r="R701" s="13">
        <v>35.84</v>
      </c>
      <c r="S701" s="13">
        <f t="shared" si="3"/>
        <v>109717.12</v>
      </c>
      <c r="T701" s="13">
        <f t="shared" si="4"/>
        <v>35983.36</v>
      </c>
      <c r="U701" s="13">
        <f t="shared" si="5"/>
        <v>73733.76</v>
      </c>
      <c r="V701" s="3" t="str">
        <f>VLOOKUP(N701,products!A:B,2,0)</f>
        <v>Clothes</v>
      </c>
      <c r="W701" s="3" t="s">
        <v>28</v>
      </c>
      <c r="X701" s="3" t="s">
        <v>29</v>
      </c>
      <c r="Y701" s="14">
        <f t="shared" si="10"/>
        <v>0.6720351391</v>
      </c>
      <c r="Z701" s="3">
        <f t="shared" si="7"/>
        <v>38</v>
      </c>
      <c r="AA701" s="15">
        <f t="shared" si="8"/>
        <v>5</v>
      </c>
    </row>
    <row r="702" ht="15.75" customHeight="1">
      <c r="A702" s="3">
        <v>5.64173543E8</v>
      </c>
      <c r="B702" s="3" t="s">
        <v>1485</v>
      </c>
      <c r="C702" s="3">
        <f>IFERROR(__xludf.DUMMYFUNCTION("split(B702,""/"")"),4.0)</f>
        <v>4</v>
      </c>
      <c r="D702" s="10">
        <f>IFERROR(__xludf.DUMMYFUNCTION("""COMPUTED_VALUE"""),21.0)</f>
        <v>21</v>
      </c>
      <c r="E702" s="11">
        <f>IFERROR(__xludf.DUMMYFUNCTION("""COMPUTED_VALUE"""),2017.0)</f>
        <v>2017</v>
      </c>
      <c r="F702" s="12">
        <f t="shared" si="1"/>
        <v>42846</v>
      </c>
      <c r="G702" s="3" t="s">
        <v>1486</v>
      </c>
      <c r="H702" s="3">
        <f>IFERROR(__xludf.DUMMYFUNCTION("split(G702,""/"")"),4.0)</f>
        <v>4</v>
      </c>
      <c r="I702" s="3">
        <f>IFERROR(__xludf.DUMMYFUNCTION("""COMPUTED_VALUE"""),26.0)</f>
        <v>26</v>
      </c>
      <c r="J702" s="3">
        <f>IFERROR(__xludf.DUMMYFUNCTION("""COMPUTED_VALUE"""),2017.0)</f>
        <v>2017</v>
      </c>
      <c r="K702" s="12">
        <f t="shared" si="2"/>
        <v>42851</v>
      </c>
      <c r="L702" s="3" t="s">
        <v>825</v>
      </c>
      <c r="M702" s="3" t="s">
        <v>267</v>
      </c>
      <c r="N702" s="3">
        <v>7331.0</v>
      </c>
      <c r="O702" s="3" t="s">
        <v>818</v>
      </c>
      <c r="P702" s="10">
        <v>343.0</v>
      </c>
      <c r="Q702" s="13">
        <v>255.28</v>
      </c>
      <c r="R702" s="13">
        <v>159.42</v>
      </c>
      <c r="S702" s="13">
        <f t="shared" si="3"/>
        <v>87561.04</v>
      </c>
      <c r="T702" s="13">
        <f t="shared" si="4"/>
        <v>54681.06</v>
      </c>
      <c r="U702" s="13">
        <f t="shared" si="5"/>
        <v>32879.98</v>
      </c>
      <c r="V702" s="3" t="str">
        <f>VLOOKUP(N702,products!A:B,2,0)</f>
        <v>Baby Food</v>
      </c>
      <c r="W702" s="3" t="s">
        <v>28</v>
      </c>
      <c r="X702" s="3" t="s">
        <v>29</v>
      </c>
      <c r="Y702" s="14">
        <f t="shared" si="10"/>
        <v>0.3755092448</v>
      </c>
      <c r="Z702" s="3">
        <f t="shared" si="7"/>
        <v>5</v>
      </c>
      <c r="AA702" s="15">
        <f t="shared" si="8"/>
        <v>6</v>
      </c>
    </row>
    <row r="703" ht="15.75" customHeight="1">
      <c r="A703" s="3">
        <v>5.66428315E8</v>
      </c>
      <c r="B703" s="3" t="s">
        <v>1487</v>
      </c>
      <c r="C703" s="3">
        <f>IFERROR(__xludf.DUMMYFUNCTION("split(B703,""/"")"),3.0)</f>
        <v>3</v>
      </c>
      <c r="D703" s="10">
        <f>IFERROR(__xludf.DUMMYFUNCTION("""COMPUTED_VALUE"""),16.0)</f>
        <v>16</v>
      </c>
      <c r="E703" s="11">
        <f>IFERROR(__xludf.DUMMYFUNCTION("""COMPUTED_VALUE"""),2012.0)</f>
        <v>2012</v>
      </c>
      <c r="F703" s="12">
        <f t="shared" si="1"/>
        <v>40984</v>
      </c>
      <c r="G703" s="3" t="s">
        <v>1095</v>
      </c>
      <c r="H703" s="3">
        <f>IFERROR(__xludf.DUMMYFUNCTION("split(G703,""/"")"),3.0)</f>
        <v>3</v>
      </c>
      <c r="I703" s="3">
        <f>IFERROR(__xludf.DUMMYFUNCTION("""COMPUTED_VALUE"""),23.0)</f>
        <v>23</v>
      </c>
      <c r="J703" s="3">
        <f>IFERROR(__xludf.DUMMYFUNCTION("""COMPUTED_VALUE"""),2012.0)</f>
        <v>2012</v>
      </c>
      <c r="K703" s="12">
        <f t="shared" si="2"/>
        <v>40991</v>
      </c>
      <c r="L703" s="3" t="s">
        <v>827</v>
      </c>
      <c r="M703" s="3" t="s">
        <v>267</v>
      </c>
      <c r="N703" s="3">
        <v>1270.0</v>
      </c>
      <c r="O703" s="3" t="s">
        <v>815</v>
      </c>
      <c r="P703" s="10">
        <v>7581.0</v>
      </c>
      <c r="Q703" s="13">
        <v>47.45</v>
      </c>
      <c r="R703" s="13">
        <v>31.79</v>
      </c>
      <c r="S703" s="13">
        <f t="shared" si="3"/>
        <v>359718.45</v>
      </c>
      <c r="T703" s="13">
        <f t="shared" si="4"/>
        <v>240999.99</v>
      </c>
      <c r="U703" s="13">
        <f t="shared" si="5"/>
        <v>118718.46</v>
      </c>
      <c r="V703" s="3" t="str">
        <f>VLOOKUP(N703,products!A:B,2,0)</f>
        <v>Beverages</v>
      </c>
      <c r="W703" s="3" t="s">
        <v>28</v>
      </c>
      <c r="X703" s="3" t="s">
        <v>29</v>
      </c>
      <c r="Y703" s="14">
        <f t="shared" si="10"/>
        <v>0.3300316122</v>
      </c>
      <c r="Z703" s="3">
        <f t="shared" si="7"/>
        <v>7</v>
      </c>
      <c r="AA703" s="15">
        <f t="shared" si="8"/>
        <v>6</v>
      </c>
    </row>
    <row r="704" ht="15.75" customHeight="1">
      <c r="A704" s="3">
        <v>5.67412793E8</v>
      </c>
      <c r="B704" s="3" t="s">
        <v>1488</v>
      </c>
      <c r="C704" s="3">
        <f>IFERROR(__xludf.DUMMYFUNCTION("split(B704,""/"")"),3.0)</f>
        <v>3</v>
      </c>
      <c r="D704" s="10">
        <f>IFERROR(__xludf.DUMMYFUNCTION("""COMPUTED_VALUE"""),21.0)</f>
        <v>21</v>
      </c>
      <c r="E704" s="11">
        <f>IFERROR(__xludf.DUMMYFUNCTION("""COMPUTED_VALUE"""),2012.0)</f>
        <v>2012</v>
      </c>
      <c r="F704" s="12">
        <f t="shared" si="1"/>
        <v>40989</v>
      </c>
      <c r="G704" s="3" t="s">
        <v>1489</v>
      </c>
      <c r="H704" s="3">
        <f>IFERROR(__xludf.DUMMYFUNCTION("split(G704,""/"")"),3.0)</f>
        <v>3</v>
      </c>
      <c r="I704" s="3">
        <f>IFERROR(__xludf.DUMMYFUNCTION("""COMPUTED_VALUE"""),27.0)</f>
        <v>27</v>
      </c>
      <c r="J704" s="3">
        <f>IFERROR(__xludf.DUMMYFUNCTION("""COMPUTED_VALUE"""),2012.0)</f>
        <v>2012</v>
      </c>
      <c r="K704" s="12">
        <f t="shared" si="2"/>
        <v>40995</v>
      </c>
      <c r="L704" s="3" t="s">
        <v>814</v>
      </c>
      <c r="M704" s="3" t="s">
        <v>689</v>
      </c>
      <c r="N704" s="3">
        <v>4594.0</v>
      </c>
      <c r="O704" s="3" t="s">
        <v>818</v>
      </c>
      <c r="P704" s="10">
        <v>8910.0</v>
      </c>
      <c r="Q704" s="13">
        <v>9.33</v>
      </c>
      <c r="R704" s="13">
        <v>6.92</v>
      </c>
      <c r="S704" s="13">
        <f t="shared" si="3"/>
        <v>83130.3</v>
      </c>
      <c r="T704" s="13">
        <f t="shared" si="4"/>
        <v>61657.2</v>
      </c>
      <c r="U704" s="13">
        <f t="shared" si="5"/>
        <v>21473.1</v>
      </c>
      <c r="V704" s="3" t="str">
        <f>VLOOKUP(N704,products!A:B,2,0)</f>
        <v>Fruits</v>
      </c>
      <c r="W704" s="3" t="s">
        <v>28</v>
      </c>
      <c r="X704" s="3" t="s">
        <v>79</v>
      </c>
      <c r="Y704" s="14">
        <f t="shared" si="10"/>
        <v>0.258306538</v>
      </c>
      <c r="Z704" s="3">
        <f t="shared" si="7"/>
        <v>6</v>
      </c>
      <c r="AA704" s="15">
        <f t="shared" si="8"/>
        <v>4</v>
      </c>
    </row>
    <row r="705" ht="15.75" customHeight="1">
      <c r="A705" s="3">
        <v>5.67751824E8</v>
      </c>
      <c r="B705" s="3" t="s">
        <v>1490</v>
      </c>
      <c r="C705" s="3">
        <f>IFERROR(__xludf.DUMMYFUNCTION("split(B705,""/"")"),10.0)</f>
        <v>10</v>
      </c>
      <c r="D705" s="10">
        <f>IFERROR(__xludf.DUMMYFUNCTION("""COMPUTED_VALUE"""),21.0)</f>
        <v>21</v>
      </c>
      <c r="E705" s="11">
        <f>IFERROR(__xludf.DUMMYFUNCTION("""COMPUTED_VALUE"""),2011.0)</f>
        <v>2011</v>
      </c>
      <c r="F705" s="12">
        <f t="shared" si="1"/>
        <v>40837</v>
      </c>
      <c r="G705" s="3" t="s">
        <v>948</v>
      </c>
      <c r="H705" s="3">
        <f>IFERROR(__xludf.DUMMYFUNCTION("split(G705,""/"")"),11.0)</f>
        <v>11</v>
      </c>
      <c r="I705" s="3">
        <f>IFERROR(__xludf.DUMMYFUNCTION("""COMPUTED_VALUE"""),21.0)</f>
        <v>21</v>
      </c>
      <c r="J705" s="3">
        <f>IFERROR(__xludf.DUMMYFUNCTION("""COMPUTED_VALUE"""),2011.0)</f>
        <v>2011</v>
      </c>
      <c r="K705" s="12">
        <f t="shared" si="2"/>
        <v>40868</v>
      </c>
      <c r="L705" s="3" t="s">
        <v>817</v>
      </c>
      <c r="M705" s="3" t="s">
        <v>455</v>
      </c>
      <c r="N705" s="3">
        <v>8293.0</v>
      </c>
      <c r="O705" s="3" t="s">
        <v>815</v>
      </c>
      <c r="P705" s="10">
        <v>9236.0</v>
      </c>
      <c r="Q705" s="13">
        <v>437.2</v>
      </c>
      <c r="R705" s="13">
        <v>263.33</v>
      </c>
      <c r="S705" s="13">
        <f t="shared" si="3"/>
        <v>4037979.2</v>
      </c>
      <c r="T705" s="13">
        <f t="shared" si="4"/>
        <v>2432115.88</v>
      </c>
      <c r="U705" s="13">
        <f t="shared" si="5"/>
        <v>1605863.32</v>
      </c>
      <c r="V705" s="3" t="str">
        <f>VLOOKUP(N705,products!A:B,2,0)</f>
        <v>Cosmetics</v>
      </c>
      <c r="W705" s="3" t="s">
        <v>28</v>
      </c>
      <c r="X705" s="3" t="s">
        <v>33</v>
      </c>
      <c r="Y705" s="14">
        <f t="shared" si="10"/>
        <v>0.3976898445</v>
      </c>
      <c r="Z705" s="3">
        <f t="shared" si="7"/>
        <v>31</v>
      </c>
      <c r="AA705" s="15">
        <f t="shared" si="8"/>
        <v>6</v>
      </c>
    </row>
    <row r="706" ht="15.75" customHeight="1">
      <c r="A706" s="3">
        <v>5.69170606E8</v>
      </c>
      <c r="B706" s="9">
        <v>42920.0</v>
      </c>
      <c r="C706" s="3">
        <f>IFERROR(__xludf.DUMMYFUNCTION("split(B706,""/"")"),4.0)</f>
        <v>4</v>
      </c>
      <c r="D706" s="10">
        <f>IFERROR(__xludf.DUMMYFUNCTION("""COMPUTED_VALUE"""),7.0)</f>
        <v>7</v>
      </c>
      <c r="E706" s="11">
        <f>IFERROR(__xludf.DUMMYFUNCTION("""COMPUTED_VALUE"""),2017.0)</f>
        <v>2017</v>
      </c>
      <c r="F706" s="12">
        <f t="shared" si="1"/>
        <v>42832</v>
      </c>
      <c r="G706" s="3" t="s">
        <v>891</v>
      </c>
      <c r="H706" s="3">
        <f>IFERROR(__xludf.DUMMYFUNCTION("split(G706,""/"")"),4.0)</f>
        <v>4</v>
      </c>
      <c r="I706" s="3">
        <f>IFERROR(__xludf.DUMMYFUNCTION("""COMPUTED_VALUE"""),13.0)</f>
        <v>13</v>
      </c>
      <c r="J706" s="3">
        <f>IFERROR(__xludf.DUMMYFUNCTION("""COMPUTED_VALUE"""),2017.0)</f>
        <v>2017</v>
      </c>
      <c r="K706" s="12">
        <f t="shared" si="2"/>
        <v>42838</v>
      </c>
      <c r="L706" s="3" t="s">
        <v>814</v>
      </c>
      <c r="M706" s="3" t="s">
        <v>413</v>
      </c>
      <c r="N706" s="3">
        <v>8969.0</v>
      </c>
      <c r="O706" s="3" t="s">
        <v>818</v>
      </c>
      <c r="P706" s="10">
        <v>9085.0</v>
      </c>
      <c r="Q706" s="13">
        <v>152.58</v>
      </c>
      <c r="R706" s="13">
        <v>97.44</v>
      </c>
      <c r="S706" s="13">
        <f t="shared" si="3"/>
        <v>1386189.3</v>
      </c>
      <c r="T706" s="13">
        <f t="shared" si="4"/>
        <v>885242.4</v>
      </c>
      <c r="U706" s="13">
        <f t="shared" si="5"/>
        <v>500946.9</v>
      </c>
      <c r="V706" s="3" t="str">
        <f>VLOOKUP(N706,products!A:B,2,0)</f>
        <v>Snacks</v>
      </c>
      <c r="W706" s="3" t="s">
        <v>28</v>
      </c>
      <c r="X706" s="3" t="s">
        <v>29</v>
      </c>
      <c r="Y706" s="14">
        <f t="shared" si="10"/>
        <v>0.3613841919</v>
      </c>
      <c r="Z706" s="3">
        <f t="shared" si="7"/>
        <v>6</v>
      </c>
      <c r="AA706" s="15">
        <f t="shared" si="8"/>
        <v>6</v>
      </c>
    </row>
    <row r="707" ht="15.75" customHeight="1">
      <c r="A707" s="3">
        <v>5.69864976E8</v>
      </c>
      <c r="B707" s="3" t="s">
        <v>966</v>
      </c>
      <c r="C707" s="3">
        <f>IFERROR(__xludf.DUMMYFUNCTION("split(B707,""/"")"),10.0)</f>
        <v>10</v>
      </c>
      <c r="D707" s="10">
        <f>IFERROR(__xludf.DUMMYFUNCTION("""COMPUTED_VALUE"""),18.0)</f>
        <v>18</v>
      </c>
      <c r="E707" s="11">
        <f>IFERROR(__xludf.DUMMYFUNCTION("""COMPUTED_VALUE"""),2015.0)</f>
        <v>2015</v>
      </c>
      <c r="F707" s="12">
        <f t="shared" si="1"/>
        <v>42295</v>
      </c>
      <c r="G707" s="3" t="s">
        <v>1137</v>
      </c>
      <c r="H707" s="3">
        <f>IFERROR(__xludf.DUMMYFUNCTION("split(G707,""/"")"),11.0)</f>
        <v>11</v>
      </c>
      <c r="I707" s="3">
        <f>IFERROR(__xludf.DUMMYFUNCTION("""COMPUTED_VALUE"""),30.0)</f>
        <v>30</v>
      </c>
      <c r="J707" s="3">
        <f>IFERROR(__xludf.DUMMYFUNCTION("""COMPUTED_VALUE"""),2015.0)</f>
        <v>2015</v>
      </c>
      <c r="K707" s="12">
        <f t="shared" si="2"/>
        <v>42338</v>
      </c>
      <c r="L707" s="3" t="s">
        <v>814</v>
      </c>
      <c r="M707" s="3" t="s">
        <v>689</v>
      </c>
      <c r="N707" s="3">
        <v>2103.0</v>
      </c>
      <c r="O707" s="3" t="s">
        <v>818</v>
      </c>
      <c r="P707" s="10">
        <v>4565.0</v>
      </c>
      <c r="Q707" s="13">
        <v>205.7</v>
      </c>
      <c r="R707" s="13">
        <v>117.11</v>
      </c>
      <c r="S707" s="13">
        <f t="shared" si="3"/>
        <v>939020.5</v>
      </c>
      <c r="T707" s="13">
        <f t="shared" si="4"/>
        <v>534607.15</v>
      </c>
      <c r="U707" s="13">
        <f t="shared" si="5"/>
        <v>404413.35</v>
      </c>
      <c r="V707" s="3" t="str">
        <f>VLOOKUP(N707,products!A:B,2,0)</f>
        <v>Cereal</v>
      </c>
      <c r="W707" s="3" t="s">
        <v>28</v>
      </c>
      <c r="X707" s="3" t="s">
        <v>79</v>
      </c>
      <c r="Y707" s="14">
        <f t="shared" si="10"/>
        <v>0.4306757414</v>
      </c>
      <c r="Z707" s="3">
        <f t="shared" si="7"/>
        <v>43</v>
      </c>
      <c r="AA707" s="15">
        <f t="shared" si="8"/>
        <v>1</v>
      </c>
    </row>
    <row r="708" ht="15.75" customHeight="1">
      <c r="A708" s="3">
        <v>5.69941365E8</v>
      </c>
      <c r="B708" s="3" t="s">
        <v>1491</v>
      </c>
      <c r="C708" s="3">
        <f>IFERROR(__xludf.DUMMYFUNCTION("split(B708,""/"")"),10.0)</f>
        <v>10</v>
      </c>
      <c r="D708" s="10">
        <f>IFERROR(__xludf.DUMMYFUNCTION("""COMPUTED_VALUE"""),24.0)</f>
        <v>24</v>
      </c>
      <c r="E708" s="11">
        <f>IFERROR(__xludf.DUMMYFUNCTION("""COMPUTED_VALUE"""),2016.0)</f>
        <v>2016</v>
      </c>
      <c r="F708" s="12">
        <f t="shared" si="1"/>
        <v>42667</v>
      </c>
      <c r="G708" s="3" t="s">
        <v>1492</v>
      </c>
      <c r="H708" s="3">
        <f>IFERROR(__xludf.DUMMYFUNCTION("split(G708,""/"")"),11.0)</f>
        <v>11</v>
      </c>
      <c r="I708" s="3">
        <f>IFERROR(__xludf.DUMMYFUNCTION("""COMPUTED_VALUE"""),26.0)</f>
        <v>26</v>
      </c>
      <c r="J708" s="3">
        <f>IFERROR(__xludf.DUMMYFUNCTION("""COMPUTED_VALUE"""),2016.0)</f>
        <v>2016</v>
      </c>
      <c r="K708" s="12">
        <f t="shared" si="2"/>
        <v>42700</v>
      </c>
      <c r="L708" s="3" t="s">
        <v>814</v>
      </c>
      <c r="M708" s="3" t="s">
        <v>46</v>
      </c>
      <c r="N708" s="3">
        <v>7331.0</v>
      </c>
      <c r="O708" s="3" t="s">
        <v>815</v>
      </c>
      <c r="P708" s="10">
        <v>7170.0</v>
      </c>
      <c r="Q708" s="13">
        <v>255.28</v>
      </c>
      <c r="R708" s="13">
        <v>159.42</v>
      </c>
      <c r="S708" s="13">
        <f t="shared" si="3"/>
        <v>1830357.6</v>
      </c>
      <c r="T708" s="13">
        <f t="shared" si="4"/>
        <v>1143041.4</v>
      </c>
      <c r="U708" s="13">
        <f t="shared" si="5"/>
        <v>687316.2</v>
      </c>
      <c r="V708" s="3" t="str">
        <f>VLOOKUP(N708,products!A:B,2,0)</f>
        <v>Baby Food</v>
      </c>
      <c r="W708" s="3" t="s">
        <v>28</v>
      </c>
      <c r="X708" s="3" t="s">
        <v>33</v>
      </c>
      <c r="Y708" s="14">
        <f t="shared" si="10"/>
        <v>0.3755092448</v>
      </c>
      <c r="Z708" s="3">
        <f t="shared" si="7"/>
        <v>33</v>
      </c>
      <c r="AA708" s="15">
        <f t="shared" si="8"/>
        <v>2</v>
      </c>
    </row>
    <row r="709" ht="15.75" customHeight="1">
      <c r="A709" s="3">
        <v>5.7047652E8</v>
      </c>
      <c r="B709" s="3" t="s">
        <v>1493</v>
      </c>
      <c r="C709" s="3">
        <f>IFERROR(__xludf.DUMMYFUNCTION("split(B709,""/"")"),12.0)</f>
        <v>12</v>
      </c>
      <c r="D709" s="10">
        <f>IFERROR(__xludf.DUMMYFUNCTION("""COMPUTED_VALUE"""),20.0)</f>
        <v>20</v>
      </c>
      <c r="E709" s="11">
        <f>IFERROR(__xludf.DUMMYFUNCTION("""COMPUTED_VALUE"""),2010.0)</f>
        <v>2010</v>
      </c>
      <c r="F709" s="12">
        <f t="shared" si="1"/>
        <v>40532</v>
      </c>
      <c r="G709" s="3" t="s">
        <v>1494</v>
      </c>
      <c r="H709" s="3">
        <f>IFERROR(__xludf.DUMMYFUNCTION("split(G709,""/"")"),12.0)</f>
        <v>12</v>
      </c>
      <c r="I709" s="3">
        <f>IFERROR(__xludf.DUMMYFUNCTION("""COMPUTED_VALUE"""),24.0)</f>
        <v>24</v>
      </c>
      <c r="J709" s="3">
        <f>IFERROR(__xludf.DUMMYFUNCTION("""COMPUTED_VALUE"""),2010.0)</f>
        <v>2010</v>
      </c>
      <c r="K709" s="12">
        <f t="shared" si="2"/>
        <v>40536</v>
      </c>
      <c r="L709" s="3" t="s">
        <v>825</v>
      </c>
      <c r="M709" s="3" t="s">
        <v>32</v>
      </c>
      <c r="N709" s="3">
        <v>7940.0</v>
      </c>
      <c r="O709" s="3" t="s">
        <v>815</v>
      </c>
      <c r="P709" s="10">
        <v>5534.0</v>
      </c>
      <c r="Q709" s="13">
        <v>668.27</v>
      </c>
      <c r="R709" s="13">
        <v>502.54</v>
      </c>
      <c r="S709" s="13">
        <f t="shared" si="3"/>
        <v>3698206.18</v>
      </c>
      <c r="T709" s="13">
        <f t="shared" si="4"/>
        <v>2781056.36</v>
      </c>
      <c r="U709" s="13">
        <f t="shared" si="5"/>
        <v>917149.82</v>
      </c>
      <c r="V709" s="3" t="str">
        <f>VLOOKUP(N709,products!A:B,2,0)</f>
        <v>Household</v>
      </c>
      <c r="W709" s="3" t="s">
        <v>28</v>
      </c>
      <c r="X709" s="3" t="s">
        <v>33</v>
      </c>
      <c r="Y709" s="14">
        <f t="shared" si="10"/>
        <v>0.2479985635</v>
      </c>
      <c r="Z709" s="3">
        <f t="shared" si="7"/>
        <v>4</v>
      </c>
      <c r="AA709" s="15">
        <f t="shared" si="8"/>
        <v>2</v>
      </c>
    </row>
    <row r="710" ht="15.75" customHeight="1">
      <c r="A710" s="3">
        <v>5.70703542E8</v>
      </c>
      <c r="B710" s="3" t="s">
        <v>1495</v>
      </c>
      <c r="C710" s="3">
        <f>IFERROR(__xludf.DUMMYFUNCTION("split(B710,""/"")"),9.0)</f>
        <v>9</v>
      </c>
      <c r="D710" s="10">
        <f>IFERROR(__xludf.DUMMYFUNCTION("""COMPUTED_VALUE"""),19.0)</f>
        <v>19</v>
      </c>
      <c r="E710" s="11">
        <f>IFERROR(__xludf.DUMMYFUNCTION("""COMPUTED_VALUE"""),2010.0)</f>
        <v>2010</v>
      </c>
      <c r="F710" s="12">
        <f t="shared" si="1"/>
        <v>40440</v>
      </c>
      <c r="G710" s="9">
        <v>40248.0</v>
      </c>
      <c r="H710" s="3">
        <f>IFERROR(__xludf.DUMMYFUNCTION("split(G710,""/"")"),11.0)</f>
        <v>11</v>
      </c>
      <c r="I710" s="3">
        <f>IFERROR(__xludf.DUMMYFUNCTION("""COMPUTED_VALUE"""),3.0)</f>
        <v>3</v>
      </c>
      <c r="J710" s="3">
        <f>IFERROR(__xludf.DUMMYFUNCTION("""COMPUTED_VALUE"""),2010.0)</f>
        <v>2010</v>
      </c>
      <c r="K710" s="12">
        <f t="shared" si="2"/>
        <v>40485</v>
      </c>
      <c r="L710" s="3" t="s">
        <v>817</v>
      </c>
      <c r="M710" s="3" t="s">
        <v>349</v>
      </c>
      <c r="N710" s="3">
        <v>3127.0</v>
      </c>
      <c r="O710" s="3" t="s">
        <v>818</v>
      </c>
      <c r="P710" s="10">
        <v>2715.0</v>
      </c>
      <c r="Q710" s="13">
        <v>81.73</v>
      </c>
      <c r="R710" s="13">
        <v>56.67</v>
      </c>
      <c r="S710" s="13">
        <f t="shared" si="3"/>
        <v>221896.95</v>
      </c>
      <c r="T710" s="13">
        <f t="shared" si="4"/>
        <v>153859.05</v>
      </c>
      <c r="U710" s="13">
        <f t="shared" si="5"/>
        <v>68037.9</v>
      </c>
      <c r="V710" s="3" t="str">
        <f>VLOOKUP(N710,products!A:B,2,0)</f>
        <v>Personal Care</v>
      </c>
      <c r="W710" s="3" t="s">
        <v>28</v>
      </c>
      <c r="X710" s="3" t="s">
        <v>29</v>
      </c>
      <c r="Y710" s="14">
        <f t="shared" si="10"/>
        <v>0.3066193564</v>
      </c>
      <c r="Z710" s="3">
        <f t="shared" si="7"/>
        <v>45</v>
      </c>
      <c r="AA710" s="15">
        <f t="shared" si="8"/>
        <v>1</v>
      </c>
    </row>
    <row r="711" ht="15.75" customHeight="1">
      <c r="A711" s="3">
        <v>5.71161448E8</v>
      </c>
      <c r="B711" s="3" t="s">
        <v>1299</v>
      </c>
      <c r="C711" s="3">
        <f>IFERROR(__xludf.DUMMYFUNCTION("split(B711,""/"")"),8.0)</f>
        <v>8</v>
      </c>
      <c r="D711" s="10">
        <f>IFERROR(__xludf.DUMMYFUNCTION("""COMPUTED_VALUE"""),25.0)</f>
        <v>25</v>
      </c>
      <c r="E711" s="11">
        <f>IFERROR(__xludf.DUMMYFUNCTION("""COMPUTED_VALUE"""),2014.0)</f>
        <v>2014</v>
      </c>
      <c r="F711" s="12">
        <f t="shared" si="1"/>
        <v>41876</v>
      </c>
      <c r="G711" s="3" t="s">
        <v>1099</v>
      </c>
      <c r="H711" s="3">
        <f>IFERROR(__xludf.DUMMYFUNCTION("split(G711,""/"")"),9.0)</f>
        <v>9</v>
      </c>
      <c r="I711" s="3">
        <f>IFERROR(__xludf.DUMMYFUNCTION("""COMPUTED_VALUE"""),30.0)</f>
        <v>30</v>
      </c>
      <c r="J711" s="3">
        <f>IFERROR(__xludf.DUMMYFUNCTION("""COMPUTED_VALUE"""),2014.0)</f>
        <v>2014</v>
      </c>
      <c r="K711" s="12">
        <f t="shared" si="2"/>
        <v>41912</v>
      </c>
      <c r="L711" s="3" t="s">
        <v>825</v>
      </c>
      <c r="M711" s="3" t="s">
        <v>218</v>
      </c>
      <c r="N711" s="3">
        <v>7940.0</v>
      </c>
      <c r="O711" s="3" t="s">
        <v>815</v>
      </c>
      <c r="P711" s="10">
        <v>8220.0</v>
      </c>
      <c r="Q711" s="13">
        <v>668.27</v>
      </c>
      <c r="R711" s="13">
        <v>502.54</v>
      </c>
      <c r="S711" s="13">
        <f t="shared" si="3"/>
        <v>5493179.4</v>
      </c>
      <c r="T711" s="13">
        <f t="shared" si="4"/>
        <v>4130878.8</v>
      </c>
      <c r="U711" s="13">
        <f t="shared" si="5"/>
        <v>1362300.6</v>
      </c>
      <c r="V711" s="3" t="str">
        <f>VLOOKUP(N711,products!A:B,2,0)</f>
        <v>Household</v>
      </c>
      <c r="W711" s="3" t="s">
        <v>28</v>
      </c>
      <c r="X711" s="3" t="s">
        <v>98</v>
      </c>
      <c r="Y711" s="14">
        <f t="shared" si="10"/>
        <v>0.2479985635</v>
      </c>
      <c r="Z711" s="3">
        <f t="shared" si="7"/>
        <v>36</v>
      </c>
      <c r="AA711" s="15">
        <f t="shared" si="8"/>
        <v>2</v>
      </c>
    </row>
    <row r="712" ht="15.75" customHeight="1">
      <c r="A712" s="3">
        <v>5.71323239E8</v>
      </c>
      <c r="B712" s="9">
        <v>42563.0</v>
      </c>
      <c r="C712" s="3">
        <f>IFERROR(__xludf.DUMMYFUNCTION("split(B712,""/"")"),12.0)</f>
        <v>12</v>
      </c>
      <c r="D712" s="10">
        <f>IFERROR(__xludf.DUMMYFUNCTION("""COMPUTED_VALUE"""),7.0)</f>
        <v>7</v>
      </c>
      <c r="E712" s="11">
        <f>IFERROR(__xludf.DUMMYFUNCTION("""COMPUTED_VALUE"""),2016.0)</f>
        <v>2016</v>
      </c>
      <c r="F712" s="12">
        <f t="shared" si="1"/>
        <v>42711</v>
      </c>
      <c r="G712" s="9">
        <v>42736.0</v>
      </c>
      <c r="H712" s="3">
        <f>IFERROR(__xludf.DUMMYFUNCTION("split(G712,""/"")"),1.0)</f>
        <v>1</v>
      </c>
      <c r="I712" s="3">
        <f>IFERROR(__xludf.DUMMYFUNCTION("""COMPUTED_VALUE"""),1.0)</f>
        <v>1</v>
      </c>
      <c r="J712" s="3">
        <f>IFERROR(__xludf.DUMMYFUNCTION("""COMPUTED_VALUE"""),2017.0)</f>
        <v>2017</v>
      </c>
      <c r="K712" s="12">
        <f t="shared" si="2"/>
        <v>42736</v>
      </c>
      <c r="L712" s="3" t="s">
        <v>814</v>
      </c>
      <c r="M712" s="3" t="s">
        <v>67</v>
      </c>
      <c r="N712" s="3">
        <v>5988.0</v>
      </c>
      <c r="O712" s="3" t="s">
        <v>815</v>
      </c>
      <c r="P712" s="10">
        <v>6097.0</v>
      </c>
      <c r="Q712" s="13">
        <v>154.06</v>
      </c>
      <c r="R712" s="13">
        <v>90.93</v>
      </c>
      <c r="S712" s="13">
        <f t="shared" si="3"/>
        <v>939303.82</v>
      </c>
      <c r="T712" s="13">
        <f t="shared" si="4"/>
        <v>554400.21</v>
      </c>
      <c r="U712" s="13">
        <f t="shared" si="5"/>
        <v>384903.61</v>
      </c>
      <c r="V712" s="3" t="str">
        <f>VLOOKUP(N712,products!A:B,2,0)</f>
        <v>Vegetables</v>
      </c>
      <c r="W712" s="3" t="s">
        <v>23</v>
      </c>
      <c r="X712" s="3" t="s">
        <v>68</v>
      </c>
      <c r="Y712" s="14">
        <f t="shared" si="10"/>
        <v>0.4097754122</v>
      </c>
      <c r="Z712" s="3">
        <f t="shared" si="7"/>
        <v>25</v>
      </c>
      <c r="AA712" s="15">
        <f t="shared" si="8"/>
        <v>4</v>
      </c>
    </row>
    <row r="713" ht="15.75" customHeight="1">
      <c r="A713" s="3">
        <v>5.72634732E8</v>
      </c>
      <c r="B713" s="3" t="s">
        <v>1496</v>
      </c>
      <c r="C713" s="3">
        <f>IFERROR(__xludf.DUMMYFUNCTION("split(B713,""/"")"),3.0)</f>
        <v>3</v>
      </c>
      <c r="D713" s="10">
        <f>IFERROR(__xludf.DUMMYFUNCTION("""COMPUTED_VALUE"""),14.0)</f>
        <v>14</v>
      </c>
      <c r="E713" s="11">
        <f>IFERROR(__xludf.DUMMYFUNCTION("""COMPUTED_VALUE"""),2016.0)</f>
        <v>2016</v>
      </c>
      <c r="F713" s="12">
        <f t="shared" si="1"/>
        <v>42443</v>
      </c>
      <c r="G713" s="9">
        <v>42373.0</v>
      </c>
      <c r="H713" s="3">
        <f>IFERROR(__xludf.DUMMYFUNCTION("split(G713,""/"")"),4.0)</f>
        <v>4</v>
      </c>
      <c r="I713" s="3">
        <f>IFERROR(__xludf.DUMMYFUNCTION("""COMPUTED_VALUE"""),1.0)</f>
        <v>1</v>
      </c>
      <c r="J713" s="3">
        <f>IFERROR(__xludf.DUMMYFUNCTION("""COMPUTED_VALUE"""),2016.0)</f>
        <v>2016</v>
      </c>
      <c r="K713" s="12">
        <f t="shared" si="2"/>
        <v>42461</v>
      </c>
      <c r="L713" s="3" t="s">
        <v>827</v>
      </c>
      <c r="M713" s="3" t="s">
        <v>590</v>
      </c>
      <c r="N713" s="3">
        <v>2103.0</v>
      </c>
      <c r="O713" s="3" t="s">
        <v>815</v>
      </c>
      <c r="P713" s="10">
        <v>4197.0</v>
      </c>
      <c r="Q713" s="13">
        <v>205.7</v>
      </c>
      <c r="R713" s="13">
        <v>117.11</v>
      </c>
      <c r="S713" s="13">
        <f t="shared" si="3"/>
        <v>863322.9</v>
      </c>
      <c r="T713" s="13">
        <f t="shared" si="4"/>
        <v>491510.67</v>
      </c>
      <c r="U713" s="13">
        <f t="shared" si="5"/>
        <v>371812.23</v>
      </c>
      <c r="V713" s="3" t="str">
        <f>VLOOKUP(N713,products!A:B,2,0)</f>
        <v>Cereal</v>
      </c>
      <c r="W713" s="3" t="s">
        <v>28</v>
      </c>
      <c r="X713" s="3" t="s">
        <v>98</v>
      </c>
      <c r="Y713" s="14">
        <f t="shared" si="10"/>
        <v>0.4306757414</v>
      </c>
      <c r="Z713" s="3">
        <f t="shared" si="7"/>
        <v>18</v>
      </c>
      <c r="AA713" s="15">
        <f t="shared" si="8"/>
        <v>2</v>
      </c>
    </row>
    <row r="714" ht="15.75" customHeight="1">
      <c r="A714" s="3">
        <v>5.74247491E8</v>
      </c>
      <c r="B714" s="9">
        <v>41041.0</v>
      </c>
      <c r="C714" s="3">
        <f>IFERROR(__xludf.DUMMYFUNCTION("split(B714,""/"")"),12.0)</f>
        <v>12</v>
      </c>
      <c r="D714" s="10">
        <f>IFERROR(__xludf.DUMMYFUNCTION("""COMPUTED_VALUE"""),5.0)</f>
        <v>5</v>
      </c>
      <c r="E714" s="11">
        <f>IFERROR(__xludf.DUMMYFUNCTION("""COMPUTED_VALUE"""),2012.0)</f>
        <v>2012</v>
      </c>
      <c r="F714" s="12">
        <f t="shared" si="1"/>
        <v>41248</v>
      </c>
      <c r="G714" s="3" t="s">
        <v>933</v>
      </c>
      <c r="H714" s="3">
        <f>IFERROR(__xludf.DUMMYFUNCTION("split(G714,""/"")"),12.0)</f>
        <v>12</v>
      </c>
      <c r="I714" s="3">
        <f>IFERROR(__xludf.DUMMYFUNCTION("""COMPUTED_VALUE"""),17.0)</f>
        <v>17</v>
      </c>
      <c r="J714" s="3">
        <f>IFERROR(__xludf.DUMMYFUNCTION("""COMPUTED_VALUE"""),2012.0)</f>
        <v>2012</v>
      </c>
      <c r="K714" s="12">
        <f t="shared" si="2"/>
        <v>41260</v>
      </c>
      <c r="L714" s="3" t="s">
        <v>827</v>
      </c>
      <c r="M714" s="3" t="s">
        <v>218</v>
      </c>
      <c r="N714" s="3">
        <v>7940.0</v>
      </c>
      <c r="O714" s="3" t="s">
        <v>818</v>
      </c>
      <c r="P714" s="10">
        <v>1448.0</v>
      </c>
      <c r="Q714" s="13">
        <v>668.27</v>
      </c>
      <c r="R714" s="13">
        <v>502.54</v>
      </c>
      <c r="S714" s="13">
        <f t="shared" si="3"/>
        <v>967654.96</v>
      </c>
      <c r="T714" s="13">
        <f t="shared" si="4"/>
        <v>727677.92</v>
      </c>
      <c r="U714" s="13">
        <f t="shared" si="5"/>
        <v>239977.04</v>
      </c>
      <c r="V714" s="3" t="str">
        <f>VLOOKUP(N714,products!A:B,2,0)</f>
        <v>Household</v>
      </c>
      <c r="W714" s="3" t="s">
        <v>28</v>
      </c>
      <c r="X714" s="3" t="s">
        <v>98</v>
      </c>
      <c r="Y714" s="14">
        <f t="shared" si="10"/>
        <v>0.2479985635</v>
      </c>
      <c r="Z714" s="3">
        <f t="shared" si="7"/>
        <v>12</v>
      </c>
      <c r="AA714" s="15">
        <f t="shared" si="8"/>
        <v>4</v>
      </c>
    </row>
    <row r="715" ht="15.75" customHeight="1">
      <c r="A715" s="3">
        <v>5.74925124E8</v>
      </c>
      <c r="B715" s="3" t="s">
        <v>1497</v>
      </c>
      <c r="C715" s="3">
        <f>IFERROR(__xludf.DUMMYFUNCTION("split(B715,""/"")"),6.0)</f>
        <v>6</v>
      </c>
      <c r="D715" s="10">
        <f>IFERROR(__xludf.DUMMYFUNCTION("""COMPUTED_VALUE"""),28.0)</f>
        <v>28</v>
      </c>
      <c r="E715" s="11">
        <f>IFERROR(__xludf.DUMMYFUNCTION("""COMPUTED_VALUE"""),2017.0)</f>
        <v>2017</v>
      </c>
      <c r="F715" s="12">
        <f t="shared" si="1"/>
        <v>42914</v>
      </c>
      <c r="G715" s="3" t="s">
        <v>1498</v>
      </c>
      <c r="H715" s="3">
        <f>IFERROR(__xludf.DUMMYFUNCTION("split(G715,""/"")"),7.0)</f>
        <v>7</v>
      </c>
      <c r="I715" s="3">
        <f>IFERROR(__xludf.DUMMYFUNCTION("""COMPUTED_VALUE"""),13.0)</f>
        <v>13</v>
      </c>
      <c r="J715" s="3">
        <f>IFERROR(__xludf.DUMMYFUNCTION("""COMPUTED_VALUE"""),2017.0)</f>
        <v>2017</v>
      </c>
      <c r="K715" s="12">
        <f t="shared" si="2"/>
        <v>42929</v>
      </c>
      <c r="L715" s="3" t="s">
        <v>814</v>
      </c>
      <c r="M715" s="3" t="s">
        <v>740</v>
      </c>
      <c r="N715" s="3">
        <v>8293.0</v>
      </c>
      <c r="O715" s="3" t="s">
        <v>818</v>
      </c>
      <c r="P715" s="10">
        <v>1975.0</v>
      </c>
      <c r="Q715" s="13">
        <v>437.2</v>
      </c>
      <c r="R715" s="13">
        <v>263.33</v>
      </c>
      <c r="S715" s="13">
        <f t="shared" si="3"/>
        <v>863470</v>
      </c>
      <c r="T715" s="13">
        <f t="shared" si="4"/>
        <v>520076.75</v>
      </c>
      <c r="U715" s="13">
        <f t="shared" si="5"/>
        <v>343393.25</v>
      </c>
      <c r="V715" s="3" t="str">
        <f>VLOOKUP(N715,products!A:B,2,0)</f>
        <v>Cosmetics</v>
      </c>
      <c r="W715" s="3" t="s">
        <v>28</v>
      </c>
      <c r="X715" s="3" t="s">
        <v>98</v>
      </c>
      <c r="Y715" s="14">
        <f t="shared" si="10"/>
        <v>0.3976898445</v>
      </c>
      <c r="Z715" s="3">
        <f t="shared" si="7"/>
        <v>15</v>
      </c>
      <c r="AA715" s="15">
        <f t="shared" si="8"/>
        <v>4</v>
      </c>
    </row>
    <row r="716" ht="15.75" customHeight="1">
      <c r="A716" s="3">
        <v>5.7547959E8</v>
      </c>
      <c r="B716" s="9">
        <v>40635.0</v>
      </c>
      <c r="C716" s="3">
        <f>IFERROR(__xludf.DUMMYFUNCTION("split(B716,""/"")"),2.0)</f>
        <v>2</v>
      </c>
      <c r="D716" s="10">
        <f>IFERROR(__xludf.DUMMYFUNCTION("""COMPUTED_VALUE"""),4.0)</f>
        <v>4</v>
      </c>
      <c r="E716" s="11">
        <f>IFERROR(__xludf.DUMMYFUNCTION("""COMPUTED_VALUE"""),2011.0)</f>
        <v>2011</v>
      </c>
      <c r="F716" s="12">
        <f t="shared" si="1"/>
        <v>40578</v>
      </c>
      <c r="G716" s="3" t="s">
        <v>1499</v>
      </c>
      <c r="H716" s="3">
        <f>IFERROR(__xludf.DUMMYFUNCTION("split(G716,""/"")"),3.0)</f>
        <v>3</v>
      </c>
      <c r="I716" s="3">
        <f>IFERROR(__xludf.DUMMYFUNCTION("""COMPUTED_VALUE"""),22.0)</f>
        <v>22</v>
      </c>
      <c r="J716" s="3">
        <f>IFERROR(__xludf.DUMMYFUNCTION("""COMPUTED_VALUE"""),2011.0)</f>
        <v>2011</v>
      </c>
      <c r="K716" s="12">
        <f t="shared" si="2"/>
        <v>40624</v>
      </c>
      <c r="L716" s="3" t="s">
        <v>825</v>
      </c>
      <c r="M716" s="3" t="s">
        <v>46</v>
      </c>
      <c r="N716" s="3">
        <v>8969.0</v>
      </c>
      <c r="O716" s="3" t="s">
        <v>815</v>
      </c>
      <c r="P716" s="10">
        <v>6054.0</v>
      </c>
      <c r="Q716" s="13">
        <v>152.58</v>
      </c>
      <c r="R716" s="13">
        <v>97.44</v>
      </c>
      <c r="S716" s="13">
        <f t="shared" si="3"/>
        <v>923719.32</v>
      </c>
      <c r="T716" s="13">
        <f t="shared" si="4"/>
        <v>589901.76</v>
      </c>
      <c r="U716" s="13">
        <f t="shared" si="5"/>
        <v>333817.56</v>
      </c>
      <c r="V716" s="3" t="str">
        <f>VLOOKUP(N716,products!A:B,2,0)</f>
        <v>Snacks</v>
      </c>
      <c r="W716" s="3" t="s">
        <v>28</v>
      </c>
      <c r="X716" s="3" t="s">
        <v>33</v>
      </c>
      <c r="Y716" s="14">
        <f t="shared" si="10"/>
        <v>0.3613841919</v>
      </c>
      <c r="Z716" s="3">
        <f t="shared" si="7"/>
        <v>46</v>
      </c>
      <c r="AA716" s="15">
        <f t="shared" si="8"/>
        <v>6</v>
      </c>
    </row>
    <row r="717" ht="15.75" customHeight="1">
      <c r="A717" s="3">
        <v>5.75552117E8</v>
      </c>
      <c r="B717" s="9">
        <v>42067.0</v>
      </c>
      <c r="C717" s="3">
        <f>IFERROR(__xludf.DUMMYFUNCTION("split(B717,""/"")"),4.0)</f>
        <v>4</v>
      </c>
      <c r="D717" s="10">
        <f>IFERROR(__xludf.DUMMYFUNCTION("""COMPUTED_VALUE"""),3.0)</f>
        <v>3</v>
      </c>
      <c r="E717" s="11">
        <f>IFERROR(__xludf.DUMMYFUNCTION("""COMPUTED_VALUE"""),2015.0)</f>
        <v>2015</v>
      </c>
      <c r="F717" s="12">
        <f t="shared" si="1"/>
        <v>42097</v>
      </c>
      <c r="G717" s="3" t="s">
        <v>1500</v>
      </c>
      <c r="H717" s="3">
        <f>IFERROR(__xludf.DUMMYFUNCTION("split(G717,""/"")"),4.0)</f>
        <v>4</v>
      </c>
      <c r="I717" s="3">
        <f>IFERROR(__xludf.DUMMYFUNCTION("""COMPUTED_VALUE"""),26.0)</f>
        <v>26</v>
      </c>
      <c r="J717" s="3">
        <f>IFERROR(__xludf.DUMMYFUNCTION("""COMPUTED_VALUE"""),2015.0)</f>
        <v>2015</v>
      </c>
      <c r="K717" s="12">
        <f t="shared" si="2"/>
        <v>42120</v>
      </c>
      <c r="L717" s="3" t="s">
        <v>817</v>
      </c>
      <c r="M717" s="3" t="s">
        <v>78</v>
      </c>
      <c r="N717" s="3">
        <v>8681.0</v>
      </c>
      <c r="O717" s="3" t="s">
        <v>818</v>
      </c>
      <c r="P717" s="10">
        <v>7516.0</v>
      </c>
      <c r="Q717" s="13">
        <v>651.21</v>
      </c>
      <c r="R717" s="13">
        <v>524.96</v>
      </c>
      <c r="S717" s="13">
        <f t="shared" si="3"/>
        <v>4894494.36</v>
      </c>
      <c r="T717" s="13">
        <f t="shared" si="4"/>
        <v>3945599.36</v>
      </c>
      <c r="U717" s="13">
        <f t="shared" si="5"/>
        <v>948895</v>
      </c>
      <c r="V717" s="3" t="str">
        <f>VLOOKUP(N717,products!A:B,2,0)</f>
        <v>Office Supplies</v>
      </c>
      <c r="W717" s="3" t="s">
        <v>28</v>
      </c>
      <c r="X717" s="3" t="s">
        <v>79</v>
      </c>
      <c r="Y717" s="14">
        <f t="shared" si="10"/>
        <v>0.193869873</v>
      </c>
      <c r="Z717" s="3">
        <f t="shared" si="7"/>
        <v>23</v>
      </c>
      <c r="AA717" s="15">
        <f t="shared" si="8"/>
        <v>6</v>
      </c>
    </row>
    <row r="718" ht="15.75" customHeight="1">
      <c r="A718" s="3">
        <v>5.75583016E8</v>
      </c>
      <c r="B718" s="9">
        <v>41132.0</v>
      </c>
      <c r="C718" s="3">
        <f>IFERROR(__xludf.DUMMYFUNCTION("split(B718,""/"")"),11.0)</f>
        <v>11</v>
      </c>
      <c r="D718" s="10">
        <f>IFERROR(__xludf.DUMMYFUNCTION("""COMPUTED_VALUE"""),8.0)</f>
        <v>8</v>
      </c>
      <c r="E718" s="11">
        <f>IFERROR(__xludf.DUMMYFUNCTION("""COMPUTED_VALUE"""),2012.0)</f>
        <v>2012</v>
      </c>
      <c r="F718" s="12">
        <f t="shared" si="1"/>
        <v>41221</v>
      </c>
      <c r="G718" s="3" t="s">
        <v>1501</v>
      </c>
      <c r="H718" s="3">
        <f>IFERROR(__xludf.DUMMYFUNCTION("split(G718,""/"")"),11.0)</f>
        <v>11</v>
      </c>
      <c r="I718" s="3">
        <f>IFERROR(__xludf.DUMMYFUNCTION("""COMPUTED_VALUE"""),24.0)</f>
        <v>24</v>
      </c>
      <c r="J718" s="3">
        <f>IFERROR(__xludf.DUMMYFUNCTION("""COMPUTED_VALUE"""),2012.0)</f>
        <v>2012</v>
      </c>
      <c r="K718" s="12">
        <f t="shared" si="2"/>
        <v>41237</v>
      </c>
      <c r="L718" s="3" t="s">
        <v>817</v>
      </c>
      <c r="M718" s="3" t="s">
        <v>123</v>
      </c>
      <c r="N718" s="3">
        <v>8681.0</v>
      </c>
      <c r="O718" s="3" t="s">
        <v>818</v>
      </c>
      <c r="P718" s="10">
        <v>6660.0</v>
      </c>
      <c r="Q718" s="13">
        <v>651.21</v>
      </c>
      <c r="R718" s="13">
        <v>524.96</v>
      </c>
      <c r="S718" s="13">
        <f t="shared" si="3"/>
        <v>4337058.6</v>
      </c>
      <c r="T718" s="13">
        <f t="shared" si="4"/>
        <v>3496233.6</v>
      </c>
      <c r="U718" s="13">
        <f t="shared" si="5"/>
        <v>840825</v>
      </c>
      <c r="V718" s="3" t="str">
        <f>VLOOKUP(N718,products!A:B,2,0)</f>
        <v>Office Supplies</v>
      </c>
      <c r="W718" s="3" t="s">
        <v>28</v>
      </c>
      <c r="X718" s="3" t="s">
        <v>33</v>
      </c>
      <c r="Y718" s="14">
        <f t="shared" si="10"/>
        <v>0.193869873</v>
      </c>
      <c r="Z718" s="3">
        <f t="shared" si="7"/>
        <v>16</v>
      </c>
      <c r="AA718" s="15">
        <f t="shared" si="8"/>
        <v>5</v>
      </c>
    </row>
    <row r="719" ht="15.75" customHeight="1">
      <c r="A719" s="3">
        <v>5.75758969E8</v>
      </c>
      <c r="B719" s="3" t="s">
        <v>1502</v>
      </c>
      <c r="C719" s="3">
        <f>IFERROR(__xludf.DUMMYFUNCTION("split(B719,""/"")"),3.0)</f>
        <v>3</v>
      </c>
      <c r="D719" s="10">
        <f>IFERROR(__xludf.DUMMYFUNCTION("""COMPUTED_VALUE"""),15.0)</f>
        <v>15</v>
      </c>
      <c r="E719" s="11">
        <f>IFERROR(__xludf.DUMMYFUNCTION("""COMPUTED_VALUE"""),2011.0)</f>
        <v>2011</v>
      </c>
      <c r="F719" s="12">
        <f t="shared" si="1"/>
        <v>40617</v>
      </c>
      <c r="G719" s="3" t="s">
        <v>904</v>
      </c>
      <c r="H719" s="3">
        <f>IFERROR(__xludf.DUMMYFUNCTION("split(G719,""/"")"),3.0)</f>
        <v>3</v>
      </c>
      <c r="I719" s="3">
        <f>IFERROR(__xludf.DUMMYFUNCTION("""COMPUTED_VALUE"""),29.0)</f>
        <v>29</v>
      </c>
      <c r="J719" s="3">
        <f>IFERROR(__xludf.DUMMYFUNCTION("""COMPUTED_VALUE"""),2011.0)</f>
        <v>2011</v>
      </c>
      <c r="K719" s="12">
        <f t="shared" si="2"/>
        <v>40631</v>
      </c>
      <c r="L719" s="3" t="s">
        <v>827</v>
      </c>
      <c r="M719" s="3" t="s">
        <v>270</v>
      </c>
      <c r="N719" s="3">
        <v>3127.0</v>
      </c>
      <c r="O719" s="3" t="s">
        <v>815</v>
      </c>
      <c r="P719" s="10">
        <v>8729.0</v>
      </c>
      <c r="Q719" s="13">
        <v>81.73</v>
      </c>
      <c r="R719" s="13">
        <v>56.67</v>
      </c>
      <c r="S719" s="13">
        <f t="shared" si="3"/>
        <v>713421.17</v>
      </c>
      <c r="T719" s="13">
        <f t="shared" si="4"/>
        <v>494672.43</v>
      </c>
      <c r="U719" s="13">
        <f t="shared" si="5"/>
        <v>218748.74</v>
      </c>
      <c r="V719" s="3" t="str">
        <f>VLOOKUP(N719,products!A:B,2,0)</f>
        <v>Personal Care</v>
      </c>
      <c r="W719" s="3" t="s">
        <v>28</v>
      </c>
      <c r="X719" s="3" t="s">
        <v>79</v>
      </c>
      <c r="Y719" s="14">
        <f t="shared" si="10"/>
        <v>0.3066193564</v>
      </c>
      <c r="Z719" s="3">
        <f t="shared" si="7"/>
        <v>14</v>
      </c>
      <c r="AA719" s="15">
        <f t="shared" si="8"/>
        <v>3</v>
      </c>
    </row>
    <row r="720" ht="15.75" customHeight="1">
      <c r="A720" s="3">
        <v>5.7694472E8</v>
      </c>
      <c r="B720" s="3" t="s">
        <v>1503</v>
      </c>
      <c r="C720" s="3">
        <f>IFERROR(__xludf.DUMMYFUNCTION("split(B720,""/"")"),9.0)</f>
        <v>9</v>
      </c>
      <c r="D720" s="10">
        <f>IFERROR(__xludf.DUMMYFUNCTION("""COMPUTED_VALUE"""),30.0)</f>
        <v>30</v>
      </c>
      <c r="E720" s="11">
        <f>IFERROR(__xludf.DUMMYFUNCTION("""COMPUTED_VALUE"""),2016.0)</f>
        <v>2016</v>
      </c>
      <c r="F720" s="12">
        <f t="shared" si="1"/>
        <v>42643</v>
      </c>
      <c r="G720" s="9">
        <v>42623.0</v>
      </c>
      <c r="H720" s="3">
        <f>IFERROR(__xludf.DUMMYFUNCTION("split(G720,""/"")"),10.0)</f>
        <v>10</v>
      </c>
      <c r="I720" s="3">
        <f>IFERROR(__xludf.DUMMYFUNCTION("""COMPUTED_VALUE"""),9.0)</f>
        <v>9</v>
      </c>
      <c r="J720" s="3">
        <f>IFERROR(__xludf.DUMMYFUNCTION("""COMPUTED_VALUE"""),2016.0)</f>
        <v>2016</v>
      </c>
      <c r="K720" s="12">
        <f t="shared" si="2"/>
        <v>42652</v>
      </c>
      <c r="L720" s="3" t="s">
        <v>825</v>
      </c>
      <c r="M720" s="3" t="s">
        <v>32</v>
      </c>
      <c r="N720" s="3">
        <v>8293.0</v>
      </c>
      <c r="O720" s="3" t="s">
        <v>818</v>
      </c>
      <c r="P720" s="10">
        <v>9619.0</v>
      </c>
      <c r="Q720" s="13">
        <v>437.2</v>
      </c>
      <c r="R720" s="13">
        <v>263.33</v>
      </c>
      <c r="S720" s="13">
        <f t="shared" si="3"/>
        <v>4205426.8</v>
      </c>
      <c r="T720" s="13">
        <f t="shared" si="4"/>
        <v>2532971.27</v>
      </c>
      <c r="U720" s="13">
        <f t="shared" si="5"/>
        <v>1672455.53</v>
      </c>
      <c r="V720" s="3" t="str">
        <f>VLOOKUP(N720,products!A:B,2,0)</f>
        <v>Cosmetics</v>
      </c>
      <c r="W720" s="3" t="s">
        <v>28</v>
      </c>
      <c r="X720" s="3" t="s">
        <v>33</v>
      </c>
      <c r="Y720" s="14">
        <f t="shared" si="10"/>
        <v>0.3976898445</v>
      </c>
      <c r="Z720" s="3">
        <f t="shared" si="7"/>
        <v>9</v>
      </c>
      <c r="AA720" s="15">
        <f t="shared" si="8"/>
        <v>6</v>
      </c>
    </row>
    <row r="721" ht="15.75" customHeight="1">
      <c r="A721" s="3">
        <v>5.77530944E8</v>
      </c>
      <c r="B721" s="3" t="s">
        <v>1212</v>
      </c>
      <c r="C721" s="3">
        <f>IFERROR(__xludf.DUMMYFUNCTION("split(B721,""/"")"),4.0)</f>
        <v>4</v>
      </c>
      <c r="D721" s="10">
        <f>IFERROR(__xludf.DUMMYFUNCTION("""COMPUTED_VALUE"""),22.0)</f>
        <v>22</v>
      </c>
      <c r="E721" s="11">
        <f>IFERROR(__xludf.DUMMYFUNCTION("""COMPUTED_VALUE"""),2012.0)</f>
        <v>2012</v>
      </c>
      <c r="F721" s="12">
        <f t="shared" si="1"/>
        <v>41021</v>
      </c>
      <c r="G721" s="3" t="s">
        <v>1504</v>
      </c>
      <c r="H721" s="3">
        <f>IFERROR(__xludf.DUMMYFUNCTION("split(G721,""/"")"),5.0)</f>
        <v>5</v>
      </c>
      <c r="I721" s="3">
        <f>IFERROR(__xludf.DUMMYFUNCTION("""COMPUTED_VALUE"""),15.0)</f>
        <v>15</v>
      </c>
      <c r="J721" s="3">
        <f>IFERROR(__xludf.DUMMYFUNCTION("""COMPUTED_VALUE"""),2012.0)</f>
        <v>2012</v>
      </c>
      <c r="K721" s="12">
        <f t="shared" si="2"/>
        <v>41044</v>
      </c>
      <c r="L721" s="3" t="s">
        <v>817</v>
      </c>
      <c r="M721" s="3" t="s">
        <v>218</v>
      </c>
      <c r="N721" s="3">
        <v>3127.0</v>
      </c>
      <c r="O721" s="3" t="s">
        <v>815</v>
      </c>
      <c r="P721" s="10">
        <v>3095.0</v>
      </c>
      <c r="Q721" s="13">
        <v>81.73</v>
      </c>
      <c r="R721" s="13">
        <v>56.67</v>
      </c>
      <c r="S721" s="13">
        <f t="shared" si="3"/>
        <v>252954.35</v>
      </c>
      <c r="T721" s="13">
        <f t="shared" si="4"/>
        <v>175393.65</v>
      </c>
      <c r="U721" s="13">
        <f t="shared" si="5"/>
        <v>77560.7</v>
      </c>
      <c r="V721" s="3" t="str">
        <f>VLOOKUP(N721,products!A:B,2,0)</f>
        <v>Personal Care</v>
      </c>
      <c r="W721" s="3" t="s">
        <v>28</v>
      </c>
      <c r="X721" s="3" t="s">
        <v>98</v>
      </c>
      <c r="Y721" s="14">
        <f t="shared" si="10"/>
        <v>0.3066193564</v>
      </c>
      <c r="Z721" s="3">
        <f t="shared" si="7"/>
        <v>23</v>
      </c>
      <c r="AA721" s="15">
        <f t="shared" si="8"/>
        <v>1</v>
      </c>
    </row>
    <row r="722" ht="15.75" customHeight="1">
      <c r="A722" s="3">
        <v>5.78356206E8</v>
      </c>
      <c r="B722" s="9">
        <v>42254.0</v>
      </c>
      <c r="C722" s="3">
        <f>IFERROR(__xludf.DUMMYFUNCTION("split(B722,""/"")"),7.0)</f>
        <v>7</v>
      </c>
      <c r="D722" s="10">
        <f>IFERROR(__xludf.DUMMYFUNCTION("""COMPUTED_VALUE"""),9.0)</f>
        <v>9</v>
      </c>
      <c r="E722" s="11">
        <f>IFERROR(__xludf.DUMMYFUNCTION("""COMPUTED_VALUE"""),2015.0)</f>
        <v>2015</v>
      </c>
      <c r="F722" s="12">
        <f t="shared" si="1"/>
        <v>42194</v>
      </c>
      <c r="G722" s="3" t="s">
        <v>1505</v>
      </c>
      <c r="H722" s="3">
        <f>IFERROR(__xludf.DUMMYFUNCTION("split(G722,""/"")"),7.0)</f>
        <v>7</v>
      </c>
      <c r="I722" s="3">
        <f>IFERROR(__xludf.DUMMYFUNCTION("""COMPUTED_VALUE"""),15.0)</f>
        <v>15</v>
      </c>
      <c r="J722" s="3">
        <f>IFERROR(__xludf.DUMMYFUNCTION("""COMPUTED_VALUE"""),2015.0)</f>
        <v>2015</v>
      </c>
      <c r="K722" s="12">
        <f t="shared" si="2"/>
        <v>42200</v>
      </c>
      <c r="L722" s="3" t="s">
        <v>814</v>
      </c>
      <c r="M722" s="3" t="s">
        <v>349</v>
      </c>
      <c r="N722" s="3">
        <v>8875.0</v>
      </c>
      <c r="O722" s="3" t="s">
        <v>815</v>
      </c>
      <c r="P722" s="10">
        <v>7309.0</v>
      </c>
      <c r="Q722" s="13">
        <v>421.89</v>
      </c>
      <c r="R722" s="13">
        <v>364.69</v>
      </c>
      <c r="S722" s="13">
        <f t="shared" si="3"/>
        <v>3083594.01</v>
      </c>
      <c r="T722" s="13">
        <f t="shared" si="4"/>
        <v>2665519.21</v>
      </c>
      <c r="U722" s="13">
        <f t="shared" si="5"/>
        <v>418074.8</v>
      </c>
      <c r="V722" s="3" t="str">
        <f>VLOOKUP(N722,products!A:B,2,0)</f>
        <v>Meat</v>
      </c>
      <c r="W722" s="3" t="s">
        <v>28</v>
      </c>
      <c r="X722" s="3" t="s">
        <v>29</v>
      </c>
      <c r="Y722" s="14">
        <f t="shared" si="10"/>
        <v>0.1355803646</v>
      </c>
      <c r="Z722" s="3">
        <f t="shared" si="7"/>
        <v>6</v>
      </c>
      <c r="AA722" s="15">
        <f t="shared" si="8"/>
        <v>5</v>
      </c>
    </row>
    <row r="723" ht="15.75" customHeight="1">
      <c r="A723" s="3">
        <v>5.78666484E8</v>
      </c>
      <c r="B723" s="3" t="s">
        <v>1506</v>
      </c>
      <c r="C723" s="3">
        <f>IFERROR(__xludf.DUMMYFUNCTION("split(B723,""/"")"),3.0)</f>
        <v>3</v>
      </c>
      <c r="D723" s="10">
        <f>IFERROR(__xludf.DUMMYFUNCTION("""COMPUTED_VALUE"""),24.0)</f>
        <v>24</v>
      </c>
      <c r="E723" s="11">
        <f>IFERROR(__xludf.DUMMYFUNCTION("""COMPUTED_VALUE"""),2013.0)</f>
        <v>2013</v>
      </c>
      <c r="F723" s="12">
        <f t="shared" si="1"/>
        <v>41357</v>
      </c>
      <c r="G723" s="9">
        <v>41582.0</v>
      </c>
      <c r="H723" s="3">
        <f>IFERROR(__xludf.DUMMYFUNCTION("split(G723,""/"")"),4.0)</f>
        <v>4</v>
      </c>
      <c r="I723" s="3">
        <f>IFERROR(__xludf.DUMMYFUNCTION("""COMPUTED_VALUE"""),11.0)</f>
        <v>11</v>
      </c>
      <c r="J723" s="3">
        <f>IFERROR(__xludf.DUMMYFUNCTION("""COMPUTED_VALUE"""),2013.0)</f>
        <v>2013</v>
      </c>
      <c r="K723" s="12">
        <f t="shared" si="2"/>
        <v>41375</v>
      </c>
      <c r="L723" s="3" t="s">
        <v>827</v>
      </c>
      <c r="M723" s="3" t="s">
        <v>593</v>
      </c>
      <c r="N723" s="3">
        <v>4594.0</v>
      </c>
      <c r="O723" s="3" t="s">
        <v>818</v>
      </c>
      <c r="P723" s="10">
        <v>9127.0</v>
      </c>
      <c r="Q723" s="13">
        <v>9.33</v>
      </c>
      <c r="R723" s="13">
        <v>6.92</v>
      </c>
      <c r="S723" s="13">
        <f t="shared" si="3"/>
        <v>85154.91</v>
      </c>
      <c r="T723" s="13">
        <f t="shared" si="4"/>
        <v>63158.84</v>
      </c>
      <c r="U723" s="13">
        <f t="shared" si="5"/>
        <v>21996.07</v>
      </c>
      <c r="V723" s="3" t="str">
        <f>VLOOKUP(N723,products!A:B,2,0)</f>
        <v>Fruits</v>
      </c>
      <c r="W723" s="3" t="s">
        <v>28</v>
      </c>
      <c r="X723" s="3" t="s">
        <v>98</v>
      </c>
      <c r="Y723" s="14">
        <f t="shared" si="10"/>
        <v>0.258306538</v>
      </c>
      <c r="Z723" s="3">
        <f t="shared" si="7"/>
        <v>18</v>
      </c>
      <c r="AA723" s="15">
        <f t="shared" si="8"/>
        <v>1</v>
      </c>
    </row>
    <row r="724" ht="15.75" customHeight="1">
      <c r="A724" s="3">
        <v>5.79094779E8</v>
      </c>
      <c r="B724" s="9">
        <v>40402.0</v>
      </c>
      <c r="C724" s="3">
        <f>IFERROR(__xludf.DUMMYFUNCTION("split(B724,""/"")"),12.0)</f>
        <v>12</v>
      </c>
      <c r="D724" s="10">
        <f>IFERROR(__xludf.DUMMYFUNCTION("""COMPUTED_VALUE"""),8.0)</f>
        <v>8</v>
      </c>
      <c r="E724" s="11">
        <f>IFERROR(__xludf.DUMMYFUNCTION("""COMPUTED_VALUE"""),2010.0)</f>
        <v>2010</v>
      </c>
      <c r="F724" s="12">
        <f t="shared" si="1"/>
        <v>40520</v>
      </c>
      <c r="G724" s="9">
        <v>40494.0</v>
      </c>
      <c r="H724" s="3">
        <f>IFERROR(__xludf.DUMMYFUNCTION("split(G724,""/"")"),12.0)</f>
        <v>12</v>
      </c>
      <c r="I724" s="3">
        <f>IFERROR(__xludf.DUMMYFUNCTION("""COMPUTED_VALUE"""),11.0)</f>
        <v>11</v>
      </c>
      <c r="J724" s="3">
        <f>IFERROR(__xludf.DUMMYFUNCTION("""COMPUTED_VALUE"""),2010.0)</f>
        <v>2010</v>
      </c>
      <c r="K724" s="12">
        <f t="shared" si="2"/>
        <v>40523</v>
      </c>
      <c r="L724" s="3" t="s">
        <v>814</v>
      </c>
      <c r="M724" s="3" t="s">
        <v>215</v>
      </c>
      <c r="N724" s="3">
        <v>5988.0</v>
      </c>
      <c r="O724" s="3" t="s">
        <v>818</v>
      </c>
      <c r="P724" s="10">
        <v>5869.0</v>
      </c>
      <c r="Q724" s="13">
        <v>154.06</v>
      </c>
      <c r="R724" s="13">
        <v>90.93</v>
      </c>
      <c r="S724" s="13">
        <f t="shared" si="3"/>
        <v>904178.14</v>
      </c>
      <c r="T724" s="13">
        <f t="shared" si="4"/>
        <v>533668.17</v>
      </c>
      <c r="U724" s="13">
        <f t="shared" si="5"/>
        <v>370509.97</v>
      </c>
      <c r="V724" s="3" t="str">
        <f>VLOOKUP(N724,products!A:B,2,0)</f>
        <v>Vegetables</v>
      </c>
      <c r="W724" s="3" t="s">
        <v>23</v>
      </c>
      <c r="X724" s="3" t="s">
        <v>68</v>
      </c>
      <c r="Y724" s="14">
        <f t="shared" si="10"/>
        <v>0.4097754122</v>
      </c>
      <c r="Z724" s="3">
        <f t="shared" si="7"/>
        <v>3</v>
      </c>
      <c r="AA724" s="15">
        <f t="shared" si="8"/>
        <v>4</v>
      </c>
    </row>
    <row r="725" ht="15.75" customHeight="1">
      <c r="A725" s="3">
        <v>5.79463422E8</v>
      </c>
      <c r="B725" s="3" t="s">
        <v>1210</v>
      </c>
      <c r="C725" s="3">
        <f>IFERROR(__xludf.DUMMYFUNCTION("split(B725,""/"")"),9.0)</f>
        <v>9</v>
      </c>
      <c r="D725" s="10">
        <f>IFERROR(__xludf.DUMMYFUNCTION("""COMPUTED_VALUE"""),28.0)</f>
        <v>28</v>
      </c>
      <c r="E725" s="11">
        <f>IFERROR(__xludf.DUMMYFUNCTION("""COMPUTED_VALUE"""),2016.0)</f>
        <v>2016</v>
      </c>
      <c r="F725" s="12">
        <f t="shared" si="1"/>
        <v>42641</v>
      </c>
      <c r="G725" s="9">
        <v>42380.0</v>
      </c>
      <c r="H725" s="3">
        <f>IFERROR(__xludf.DUMMYFUNCTION("split(G725,""/"")"),11.0)</f>
        <v>11</v>
      </c>
      <c r="I725" s="3">
        <f>IFERROR(__xludf.DUMMYFUNCTION("""COMPUTED_VALUE"""),1.0)</f>
        <v>1</v>
      </c>
      <c r="J725" s="3">
        <f>IFERROR(__xludf.DUMMYFUNCTION("""COMPUTED_VALUE"""),2016.0)</f>
        <v>2016</v>
      </c>
      <c r="K725" s="12">
        <f t="shared" si="2"/>
        <v>42675</v>
      </c>
      <c r="L725" s="3" t="s">
        <v>825</v>
      </c>
      <c r="M725" s="3" t="s">
        <v>248</v>
      </c>
      <c r="N725" s="3">
        <v>4594.0</v>
      </c>
      <c r="O725" s="3" t="s">
        <v>815</v>
      </c>
      <c r="P725" s="10">
        <v>4958.0</v>
      </c>
      <c r="Q725" s="13">
        <v>9.33</v>
      </c>
      <c r="R725" s="13">
        <v>6.92</v>
      </c>
      <c r="S725" s="13">
        <f t="shared" si="3"/>
        <v>46258.14</v>
      </c>
      <c r="T725" s="13">
        <f t="shared" si="4"/>
        <v>34309.36</v>
      </c>
      <c r="U725" s="13">
        <f t="shared" si="5"/>
        <v>11948.78</v>
      </c>
      <c r="V725" s="3" t="str">
        <f>VLOOKUP(N725,products!A:B,2,0)</f>
        <v>Fruits</v>
      </c>
      <c r="W725" s="3" t="s">
        <v>28</v>
      </c>
      <c r="X725" s="3" t="s">
        <v>29</v>
      </c>
      <c r="Y725" s="14">
        <f t="shared" si="10"/>
        <v>0.258306538</v>
      </c>
      <c r="Z725" s="3">
        <f t="shared" si="7"/>
        <v>34</v>
      </c>
      <c r="AA725" s="15">
        <f t="shared" si="8"/>
        <v>4</v>
      </c>
    </row>
    <row r="726" ht="15.75" customHeight="1">
      <c r="A726" s="3">
        <v>5.80314862E8</v>
      </c>
      <c r="B726" s="9">
        <v>42526.0</v>
      </c>
      <c r="C726" s="3">
        <f>IFERROR(__xludf.DUMMYFUNCTION("split(B726,""/"")"),5.0)</f>
        <v>5</v>
      </c>
      <c r="D726" s="10">
        <f>IFERROR(__xludf.DUMMYFUNCTION("""COMPUTED_VALUE"""),6.0)</f>
        <v>6</v>
      </c>
      <c r="E726" s="11">
        <f>IFERROR(__xludf.DUMMYFUNCTION("""COMPUTED_VALUE"""),2016.0)</f>
        <v>2016</v>
      </c>
      <c r="F726" s="12">
        <f t="shared" si="1"/>
        <v>42496</v>
      </c>
      <c r="G726" s="9">
        <v>42709.0</v>
      </c>
      <c r="H726" s="3">
        <f>IFERROR(__xludf.DUMMYFUNCTION("split(G726,""/"")"),5.0)</f>
        <v>5</v>
      </c>
      <c r="I726" s="3">
        <f>IFERROR(__xludf.DUMMYFUNCTION("""COMPUTED_VALUE"""),12.0)</f>
        <v>12</v>
      </c>
      <c r="J726" s="3">
        <f>IFERROR(__xludf.DUMMYFUNCTION("""COMPUTED_VALUE"""),2016.0)</f>
        <v>2016</v>
      </c>
      <c r="K726" s="12">
        <f t="shared" si="2"/>
        <v>42502</v>
      </c>
      <c r="L726" s="3" t="s">
        <v>817</v>
      </c>
      <c r="M726" s="3" t="s">
        <v>349</v>
      </c>
      <c r="N726" s="3">
        <v>7331.0</v>
      </c>
      <c r="O726" s="3" t="s">
        <v>818</v>
      </c>
      <c r="P726" s="10">
        <v>6918.0</v>
      </c>
      <c r="Q726" s="13">
        <v>255.28</v>
      </c>
      <c r="R726" s="13">
        <v>159.42</v>
      </c>
      <c r="S726" s="13">
        <f t="shared" si="3"/>
        <v>1766027.04</v>
      </c>
      <c r="T726" s="13">
        <f t="shared" si="4"/>
        <v>1102867.56</v>
      </c>
      <c r="U726" s="13">
        <f t="shared" si="5"/>
        <v>663159.48</v>
      </c>
      <c r="V726" s="3" t="str">
        <f>VLOOKUP(N726,products!A:B,2,0)</f>
        <v>Baby Food</v>
      </c>
      <c r="W726" s="3" t="s">
        <v>28</v>
      </c>
      <c r="X726" s="3" t="s">
        <v>29</v>
      </c>
      <c r="Y726" s="14">
        <f t="shared" si="10"/>
        <v>0.3755092448</v>
      </c>
      <c r="Z726" s="3">
        <f t="shared" si="7"/>
        <v>6</v>
      </c>
      <c r="AA726" s="15">
        <f t="shared" si="8"/>
        <v>6</v>
      </c>
    </row>
    <row r="727" ht="15.75" customHeight="1">
      <c r="A727" s="3">
        <v>5.80342328E8</v>
      </c>
      <c r="B727" s="9">
        <v>40825.0</v>
      </c>
      <c r="C727" s="3">
        <f>IFERROR(__xludf.DUMMYFUNCTION("split(B727,""/"")"),9.0)</f>
        <v>9</v>
      </c>
      <c r="D727" s="10">
        <f>IFERROR(__xludf.DUMMYFUNCTION("""COMPUTED_VALUE"""),10.0)</f>
        <v>10</v>
      </c>
      <c r="E727" s="11">
        <f>IFERROR(__xludf.DUMMYFUNCTION("""COMPUTED_VALUE"""),2011.0)</f>
        <v>2011</v>
      </c>
      <c r="F727" s="12">
        <f t="shared" si="1"/>
        <v>40796</v>
      </c>
      <c r="G727" s="3" t="s">
        <v>1507</v>
      </c>
      <c r="H727" s="3">
        <f>IFERROR(__xludf.DUMMYFUNCTION("split(G727,""/"")"),10.0)</f>
        <v>10</v>
      </c>
      <c r="I727" s="3">
        <f>IFERROR(__xludf.DUMMYFUNCTION("""COMPUTED_VALUE"""),14.0)</f>
        <v>14</v>
      </c>
      <c r="J727" s="3">
        <f>IFERROR(__xludf.DUMMYFUNCTION("""COMPUTED_VALUE"""),2011.0)</f>
        <v>2011</v>
      </c>
      <c r="K727" s="12">
        <f t="shared" si="2"/>
        <v>40830</v>
      </c>
      <c r="L727" s="3" t="s">
        <v>827</v>
      </c>
      <c r="M727" s="3" t="s">
        <v>67</v>
      </c>
      <c r="N727" s="3">
        <v>2103.0</v>
      </c>
      <c r="O727" s="3" t="s">
        <v>818</v>
      </c>
      <c r="P727" s="10">
        <v>5046.0</v>
      </c>
      <c r="Q727" s="13">
        <v>205.7</v>
      </c>
      <c r="R727" s="13">
        <v>117.11</v>
      </c>
      <c r="S727" s="13">
        <f t="shared" si="3"/>
        <v>1037962.2</v>
      </c>
      <c r="T727" s="13">
        <f t="shared" si="4"/>
        <v>590937.06</v>
      </c>
      <c r="U727" s="13">
        <f t="shared" si="5"/>
        <v>447025.14</v>
      </c>
      <c r="V727" s="3" t="str">
        <f>VLOOKUP(N727,products!A:B,2,0)</f>
        <v>Cereal</v>
      </c>
      <c r="W727" s="3" t="s">
        <v>23</v>
      </c>
      <c r="X727" s="3" t="s">
        <v>68</v>
      </c>
      <c r="Y727" s="14">
        <f t="shared" si="10"/>
        <v>0.4306757414</v>
      </c>
      <c r="Z727" s="3">
        <f t="shared" si="7"/>
        <v>34</v>
      </c>
      <c r="AA727" s="15">
        <f t="shared" si="8"/>
        <v>7</v>
      </c>
    </row>
    <row r="728" ht="15.75" customHeight="1">
      <c r="A728" s="3">
        <v>5.80463349E8</v>
      </c>
      <c r="B728" s="9">
        <v>40826.0</v>
      </c>
      <c r="C728" s="3">
        <f>IFERROR(__xludf.DUMMYFUNCTION("split(B728,""/"")"),10.0)</f>
        <v>10</v>
      </c>
      <c r="D728" s="10">
        <f>IFERROR(__xludf.DUMMYFUNCTION("""COMPUTED_VALUE"""),10.0)</f>
        <v>10</v>
      </c>
      <c r="E728" s="11">
        <f>IFERROR(__xludf.DUMMYFUNCTION("""COMPUTED_VALUE"""),2011.0)</f>
        <v>2011</v>
      </c>
      <c r="F728" s="12">
        <f t="shared" si="1"/>
        <v>40826</v>
      </c>
      <c r="G728" s="9">
        <v>40766.0</v>
      </c>
      <c r="H728" s="3">
        <f>IFERROR(__xludf.DUMMYFUNCTION("split(G728,""/"")"),11.0)</f>
        <v>11</v>
      </c>
      <c r="I728" s="3">
        <f>IFERROR(__xludf.DUMMYFUNCTION("""COMPUTED_VALUE"""),8.0)</f>
        <v>8</v>
      </c>
      <c r="J728" s="3">
        <f>IFERROR(__xludf.DUMMYFUNCTION("""COMPUTED_VALUE"""),2011.0)</f>
        <v>2011</v>
      </c>
      <c r="K728" s="12">
        <f t="shared" si="2"/>
        <v>40855</v>
      </c>
      <c r="L728" s="3" t="s">
        <v>817</v>
      </c>
      <c r="M728" s="3" t="s">
        <v>740</v>
      </c>
      <c r="N728" s="3">
        <v>2103.0</v>
      </c>
      <c r="O728" s="3" t="s">
        <v>818</v>
      </c>
      <c r="P728" s="10">
        <v>859.0</v>
      </c>
      <c r="Q728" s="13">
        <v>205.7</v>
      </c>
      <c r="R728" s="13">
        <v>117.11</v>
      </c>
      <c r="S728" s="13">
        <f t="shared" si="3"/>
        <v>176696.3</v>
      </c>
      <c r="T728" s="13">
        <f t="shared" si="4"/>
        <v>100597.49</v>
      </c>
      <c r="U728" s="13">
        <f t="shared" si="5"/>
        <v>76098.81</v>
      </c>
      <c r="V728" s="3" t="str">
        <f>VLOOKUP(N728,products!A:B,2,0)</f>
        <v>Cereal</v>
      </c>
      <c r="W728" s="3" t="s">
        <v>28</v>
      </c>
      <c r="X728" s="3" t="s">
        <v>98</v>
      </c>
      <c r="Y728" s="14">
        <f t="shared" si="10"/>
        <v>0.4306757414</v>
      </c>
      <c r="Z728" s="3">
        <f t="shared" si="7"/>
        <v>29</v>
      </c>
      <c r="AA728" s="15">
        <f t="shared" si="8"/>
        <v>2</v>
      </c>
    </row>
    <row r="729" ht="15.75" customHeight="1">
      <c r="A729" s="3">
        <v>5.8056935E8</v>
      </c>
      <c r="B729" s="9">
        <v>40822.0</v>
      </c>
      <c r="C729" s="3">
        <f>IFERROR(__xludf.DUMMYFUNCTION("split(B729,""/"")"),6.0)</f>
        <v>6</v>
      </c>
      <c r="D729" s="10">
        <f>IFERROR(__xludf.DUMMYFUNCTION("""COMPUTED_VALUE"""),10.0)</f>
        <v>10</v>
      </c>
      <c r="E729" s="11">
        <f>IFERROR(__xludf.DUMMYFUNCTION("""COMPUTED_VALUE"""),2011.0)</f>
        <v>2011</v>
      </c>
      <c r="F729" s="12">
        <f t="shared" si="1"/>
        <v>40704</v>
      </c>
      <c r="G729" s="9">
        <v>40609.0</v>
      </c>
      <c r="H729" s="3">
        <f>IFERROR(__xludf.DUMMYFUNCTION("split(G729,""/"")"),7.0)</f>
        <v>7</v>
      </c>
      <c r="I729" s="3">
        <f>IFERROR(__xludf.DUMMYFUNCTION("""COMPUTED_VALUE"""),3.0)</f>
        <v>3</v>
      </c>
      <c r="J729" s="3">
        <f>IFERROR(__xludf.DUMMYFUNCTION("""COMPUTED_VALUE"""),2011.0)</f>
        <v>2011</v>
      </c>
      <c r="K729" s="12">
        <f t="shared" si="2"/>
        <v>40727</v>
      </c>
      <c r="L729" s="3" t="s">
        <v>814</v>
      </c>
      <c r="M729" s="3" t="s">
        <v>364</v>
      </c>
      <c r="N729" s="3">
        <v>1270.0</v>
      </c>
      <c r="O729" s="3" t="s">
        <v>818</v>
      </c>
      <c r="P729" s="10">
        <v>2227.0</v>
      </c>
      <c r="Q729" s="13">
        <v>47.45</v>
      </c>
      <c r="R729" s="13">
        <v>31.79</v>
      </c>
      <c r="S729" s="13">
        <f t="shared" si="3"/>
        <v>105671.15</v>
      </c>
      <c r="T729" s="13">
        <f t="shared" si="4"/>
        <v>70796.33</v>
      </c>
      <c r="U729" s="13">
        <f t="shared" si="5"/>
        <v>34874.82</v>
      </c>
      <c r="V729" s="3" t="str">
        <f>VLOOKUP(N729,products!A:B,2,0)</f>
        <v>Beverages</v>
      </c>
      <c r="W729" s="3" t="s">
        <v>28</v>
      </c>
      <c r="X729" s="3" t="s">
        <v>29</v>
      </c>
      <c r="Y729" s="14">
        <f t="shared" si="10"/>
        <v>0.3300316122</v>
      </c>
      <c r="Z729" s="3">
        <f t="shared" si="7"/>
        <v>23</v>
      </c>
      <c r="AA729" s="15">
        <f t="shared" si="8"/>
        <v>6</v>
      </c>
    </row>
    <row r="730" ht="15.75" customHeight="1">
      <c r="A730" s="3">
        <v>5.8078221E8</v>
      </c>
      <c r="B730" s="3" t="s">
        <v>1136</v>
      </c>
      <c r="C730" s="3">
        <f>IFERROR(__xludf.DUMMYFUNCTION("split(B730,""/"")"),2.0)</f>
        <v>2</v>
      </c>
      <c r="D730" s="10">
        <f>IFERROR(__xludf.DUMMYFUNCTION("""COMPUTED_VALUE"""),16.0)</f>
        <v>16</v>
      </c>
      <c r="E730" s="11">
        <f>IFERROR(__xludf.DUMMYFUNCTION("""COMPUTED_VALUE"""),2015.0)</f>
        <v>2015</v>
      </c>
      <c r="F730" s="12">
        <f t="shared" si="1"/>
        <v>42051</v>
      </c>
      <c r="G730" s="3" t="s">
        <v>1508</v>
      </c>
      <c r="H730" s="3">
        <f>IFERROR(__xludf.DUMMYFUNCTION("split(G730,""/"")"),2.0)</f>
        <v>2</v>
      </c>
      <c r="I730" s="3">
        <f>IFERROR(__xludf.DUMMYFUNCTION("""COMPUTED_VALUE"""),20.0)</f>
        <v>20</v>
      </c>
      <c r="J730" s="3">
        <f>IFERROR(__xludf.DUMMYFUNCTION("""COMPUTED_VALUE"""),2015.0)</f>
        <v>2015</v>
      </c>
      <c r="K730" s="12">
        <f t="shared" si="2"/>
        <v>42055</v>
      </c>
      <c r="L730" s="3" t="s">
        <v>817</v>
      </c>
      <c r="M730" s="3" t="s">
        <v>821</v>
      </c>
      <c r="N730" s="3">
        <v>8681.0</v>
      </c>
      <c r="O730" s="3" t="s">
        <v>815</v>
      </c>
      <c r="P730" s="10">
        <v>5217.0</v>
      </c>
      <c r="Q730" s="13">
        <v>651.21</v>
      </c>
      <c r="R730" s="13">
        <v>524.96</v>
      </c>
      <c r="S730" s="13">
        <f t="shared" si="3"/>
        <v>3397362.57</v>
      </c>
      <c r="T730" s="13">
        <f t="shared" si="4"/>
        <v>2738716.32</v>
      </c>
      <c r="U730" s="13">
        <f t="shared" si="5"/>
        <v>658646.25</v>
      </c>
      <c r="V730" s="3" t="str">
        <f>VLOOKUP(N730,products!A:B,2,0)</f>
        <v>Office Supplies</v>
      </c>
      <c r="W730" s="3" t="s">
        <v>821</v>
      </c>
      <c r="X730" s="3" t="s">
        <v>821</v>
      </c>
      <c r="Y730" s="14">
        <f t="shared" si="10"/>
        <v>0.193869873</v>
      </c>
      <c r="Z730" s="3">
        <f t="shared" si="7"/>
        <v>4</v>
      </c>
      <c r="AA730" s="15">
        <f t="shared" si="8"/>
        <v>2</v>
      </c>
    </row>
    <row r="731" ht="15.75" customHeight="1">
      <c r="A731" s="3">
        <v>5.81193768E8</v>
      </c>
      <c r="B731" s="3" t="s">
        <v>1509</v>
      </c>
      <c r="C731" s="3">
        <f>IFERROR(__xludf.DUMMYFUNCTION("split(B731,""/"")"),4.0)</f>
        <v>4</v>
      </c>
      <c r="D731" s="10">
        <f>IFERROR(__xludf.DUMMYFUNCTION("""COMPUTED_VALUE"""),18.0)</f>
        <v>18</v>
      </c>
      <c r="E731" s="11">
        <f>IFERROR(__xludf.DUMMYFUNCTION("""COMPUTED_VALUE"""),2011.0)</f>
        <v>2011</v>
      </c>
      <c r="F731" s="12">
        <f t="shared" si="1"/>
        <v>40651</v>
      </c>
      <c r="G731" s="3" t="s">
        <v>1510</v>
      </c>
      <c r="H731" s="3">
        <f>IFERROR(__xludf.DUMMYFUNCTION("split(G731,""/"")"),4.0)</f>
        <v>4</v>
      </c>
      <c r="I731" s="3">
        <f>IFERROR(__xludf.DUMMYFUNCTION("""COMPUTED_VALUE"""),24.0)</f>
        <v>24</v>
      </c>
      <c r="J731" s="3">
        <f>IFERROR(__xludf.DUMMYFUNCTION("""COMPUTED_VALUE"""),2011.0)</f>
        <v>2011</v>
      </c>
      <c r="K731" s="12">
        <f t="shared" si="2"/>
        <v>40657</v>
      </c>
      <c r="L731" s="3" t="s">
        <v>814</v>
      </c>
      <c r="M731" s="3" t="s">
        <v>215</v>
      </c>
      <c r="N731" s="3">
        <v>8969.0</v>
      </c>
      <c r="O731" s="3" t="s">
        <v>815</v>
      </c>
      <c r="P731" s="10">
        <v>7006.0</v>
      </c>
      <c r="Q731" s="13">
        <v>152.58</v>
      </c>
      <c r="R731" s="13">
        <v>97.44</v>
      </c>
      <c r="S731" s="13">
        <f t="shared" si="3"/>
        <v>1068975.48</v>
      </c>
      <c r="T731" s="13">
        <f t="shared" si="4"/>
        <v>682664.64</v>
      </c>
      <c r="U731" s="13">
        <f t="shared" si="5"/>
        <v>386310.84</v>
      </c>
      <c r="V731" s="3" t="str">
        <f>VLOOKUP(N731,products!A:B,2,0)</f>
        <v>Snacks</v>
      </c>
      <c r="W731" s="3" t="s">
        <v>23</v>
      </c>
      <c r="X731" s="3" t="s">
        <v>68</v>
      </c>
      <c r="Y731" s="14">
        <f t="shared" si="10"/>
        <v>0.3613841919</v>
      </c>
      <c r="Z731" s="3">
        <f t="shared" si="7"/>
        <v>6</v>
      </c>
      <c r="AA731" s="15">
        <f t="shared" si="8"/>
        <v>2</v>
      </c>
    </row>
    <row r="732" ht="15.75" customHeight="1">
      <c r="A732" s="3">
        <v>5.82560193E8</v>
      </c>
      <c r="B732" s="3" t="s">
        <v>1511</v>
      </c>
      <c r="C732" s="3">
        <f>IFERROR(__xludf.DUMMYFUNCTION("split(B732,""/"")"),5.0)</f>
        <v>5</v>
      </c>
      <c r="D732" s="10">
        <f>IFERROR(__xludf.DUMMYFUNCTION("""COMPUTED_VALUE"""),25.0)</f>
        <v>25</v>
      </c>
      <c r="E732" s="11">
        <f>IFERROR(__xludf.DUMMYFUNCTION("""COMPUTED_VALUE"""),2016.0)</f>
        <v>2016</v>
      </c>
      <c r="F732" s="12">
        <f t="shared" si="1"/>
        <v>42515</v>
      </c>
      <c r="G732" s="3" t="s">
        <v>1146</v>
      </c>
      <c r="H732" s="3">
        <f>IFERROR(__xludf.DUMMYFUNCTION("split(G732,""/"")"),5.0)</f>
        <v>5</v>
      </c>
      <c r="I732" s="3">
        <f>IFERROR(__xludf.DUMMYFUNCTION("""COMPUTED_VALUE"""),28.0)</f>
        <v>28</v>
      </c>
      <c r="J732" s="3">
        <f>IFERROR(__xludf.DUMMYFUNCTION("""COMPUTED_VALUE"""),2016.0)</f>
        <v>2016</v>
      </c>
      <c r="K732" s="12">
        <f t="shared" si="2"/>
        <v>42518</v>
      </c>
      <c r="L732" s="3" t="s">
        <v>825</v>
      </c>
      <c r="M732" s="3" t="s">
        <v>206</v>
      </c>
      <c r="N732" s="3">
        <v>7940.0</v>
      </c>
      <c r="O732" s="3" t="s">
        <v>815</v>
      </c>
      <c r="P732" s="10">
        <v>1362.0</v>
      </c>
      <c r="Q732" s="13">
        <v>668.27</v>
      </c>
      <c r="R732" s="13">
        <v>502.54</v>
      </c>
      <c r="S732" s="13">
        <f t="shared" si="3"/>
        <v>910183.74</v>
      </c>
      <c r="T732" s="13">
        <f t="shared" si="4"/>
        <v>684459.48</v>
      </c>
      <c r="U732" s="13">
        <f t="shared" si="5"/>
        <v>225724.26</v>
      </c>
      <c r="V732" s="3" t="str">
        <f>VLOOKUP(N732,products!A:B,2,0)</f>
        <v>Household</v>
      </c>
      <c r="W732" s="3" t="s">
        <v>28</v>
      </c>
      <c r="X732" s="3" t="s">
        <v>33</v>
      </c>
      <c r="Y732" s="14">
        <f t="shared" si="10"/>
        <v>0.2479985635</v>
      </c>
      <c r="Z732" s="3">
        <f t="shared" si="7"/>
        <v>3</v>
      </c>
      <c r="AA732" s="15">
        <f t="shared" si="8"/>
        <v>4</v>
      </c>
    </row>
    <row r="733" ht="15.75" customHeight="1">
      <c r="A733" s="3">
        <v>5.82563626E8</v>
      </c>
      <c r="B733" s="3" t="s">
        <v>1512</v>
      </c>
      <c r="C733" s="3">
        <f>IFERROR(__xludf.DUMMYFUNCTION("split(B733,""/"")"),1.0)</f>
        <v>1</v>
      </c>
      <c r="D733" s="10">
        <f>IFERROR(__xludf.DUMMYFUNCTION("""COMPUTED_VALUE"""),31.0)</f>
        <v>31</v>
      </c>
      <c r="E733" s="11">
        <f>IFERROR(__xludf.DUMMYFUNCTION("""COMPUTED_VALUE"""),2011.0)</f>
        <v>2011</v>
      </c>
      <c r="F733" s="12">
        <f t="shared" si="1"/>
        <v>40574</v>
      </c>
      <c r="G733" s="3" t="s">
        <v>913</v>
      </c>
      <c r="H733" s="3">
        <f>IFERROR(__xludf.DUMMYFUNCTION("split(G733,""/"")"),2.0)</f>
        <v>2</v>
      </c>
      <c r="I733" s="3">
        <f>IFERROR(__xludf.DUMMYFUNCTION("""COMPUTED_VALUE"""),19.0)</f>
        <v>19</v>
      </c>
      <c r="J733" s="3">
        <f>IFERROR(__xludf.DUMMYFUNCTION("""COMPUTED_VALUE"""),2011.0)</f>
        <v>2011</v>
      </c>
      <c r="K733" s="12">
        <f t="shared" si="2"/>
        <v>40593</v>
      </c>
      <c r="L733" s="3" t="s">
        <v>814</v>
      </c>
      <c r="M733" s="3" t="s">
        <v>821</v>
      </c>
      <c r="N733" s="3">
        <v>7940.0</v>
      </c>
      <c r="O733" s="3" t="s">
        <v>815</v>
      </c>
      <c r="P733" s="10">
        <v>2378.0</v>
      </c>
      <c r="Q733" s="13">
        <v>668.27</v>
      </c>
      <c r="R733" s="13">
        <v>502.54</v>
      </c>
      <c r="S733" s="13">
        <f t="shared" si="3"/>
        <v>1589146.06</v>
      </c>
      <c r="T733" s="13">
        <f t="shared" si="4"/>
        <v>1195040.12</v>
      </c>
      <c r="U733" s="13">
        <f t="shared" si="5"/>
        <v>394105.94</v>
      </c>
      <c r="V733" s="3" t="str">
        <f>VLOOKUP(N733,products!A:B,2,0)</f>
        <v>Household</v>
      </c>
      <c r="W733" s="3" t="s">
        <v>821</v>
      </c>
      <c r="X733" s="3" t="s">
        <v>821</v>
      </c>
      <c r="Y733" s="14">
        <f t="shared" si="10"/>
        <v>0.2479985635</v>
      </c>
      <c r="Z733" s="3">
        <f t="shared" si="7"/>
        <v>19</v>
      </c>
      <c r="AA733" s="15">
        <f t="shared" si="8"/>
        <v>2</v>
      </c>
    </row>
    <row r="734" ht="15.75" customHeight="1">
      <c r="A734" s="3">
        <v>5.82836139E8</v>
      </c>
      <c r="B734" s="3" t="s">
        <v>1513</v>
      </c>
      <c r="C734" s="3">
        <f>IFERROR(__xludf.DUMMYFUNCTION("split(B734,""/"")"),3.0)</f>
        <v>3</v>
      </c>
      <c r="D734" s="10">
        <f>IFERROR(__xludf.DUMMYFUNCTION("""COMPUTED_VALUE"""),31.0)</f>
        <v>31</v>
      </c>
      <c r="E734" s="11">
        <f>IFERROR(__xludf.DUMMYFUNCTION("""COMPUTED_VALUE"""),2014.0)</f>
        <v>2014</v>
      </c>
      <c r="F734" s="12">
        <f t="shared" si="1"/>
        <v>41729</v>
      </c>
      <c r="G734" s="9">
        <v>41763.0</v>
      </c>
      <c r="H734" s="3">
        <f>IFERROR(__xludf.DUMMYFUNCTION("split(G734,""/"")"),4.0)</f>
        <v>4</v>
      </c>
      <c r="I734" s="3">
        <f>IFERROR(__xludf.DUMMYFUNCTION("""COMPUTED_VALUE"""),5.0)</f>
        <v>5</v>
      </c>
      <c r="J734" s="3">
        <f>IFERROR(__xludf.DUMMYFUNCTION("""COMPUTED_VALUE"""),2014.0)</f>
        <v>2014</v>
      </c>
      <c r="K734" s="12">
        <f t="shared" si="2"/>
        <v>41734</v>
      </c>
      <c r="L734" s="3" t="s">
        <v>827</v>
      </c>
      <c r="M734" s="3" t="s">
        <v>46</v>
      </c>
      <c r="N734" s="3">
        <v>8681.0</v>
      </c>
      <c r="O734" s="3" t="s">
        <v>815</v>
      </c>
      <c r="P734" s="10">
        <v>3020.0</v>
      </c>
      <c r="Q734" s="13">
        <v>651.21</v>
      </c>
      <c r="R734" s="13">
        <v>524.96</v>
      </c>
      <c r="S734" s="13">
        <f t="shared" si="3"/>
        <v>1966654.2</v>
      </c>
      <c r="T734" s="13">
        <f t="shared" si="4"/>
        <v>1585379.2</v>
      </c>
      <c r="U734" s="13">
        <f t="shared" si="5"/>
        <v>381275</v>
      </c>
      <c r="V734" s="3" t="str">
        <f>VLOOKUP(N734,products!A:B,2,0)</f>
        <v>Office Supplies</v>
      </c>
      <c r="W734" s="3" t="s">
        <v>28</v>
      </c>
      <c r="X734" s="3" t="s">
        <v>33</v>
      </c>
      <c r="Y734" s="14">
        <f t="shared" si="10"/>
        <v>0.193869873</v>
      </c>
      <c r="Z734" s="3">
        <f t="shared" si="7"/>
        <v>5</v>
      </c>
      <c r="AA734" s="15">
        <f t="shared" si="8"/>
        <v>2</v>
      </c>
    </row>
    <row r="735" ht="15.75" customHeight="1">
      <c r="A735" s="3">
        <v>5.83089339E8</v>
      </c>
      <c r="B735" s="3" t="s">
        <v>1514</v>
      </c>
      <c r="C735" s="3">
        <f>IFERROR(__xludf.DUMMYFUNCTION("split(B735,""/"")"),5.0)</f>
        <v>5</v>
      </c>
      <c r="D735" s="10">
        <f>IFERROR(__xludf.DUMMYFUNCTION("""COMPUTED_VALUE"""),22.0)</f>
        <v>22</v>
      </c>
      <c r="E735" s="11">
        <f>IFERROR(__xludf.DUMMYFUNCTION("""COMPUTED_VALUE"""),2010.0)</f>
        <v>2010</v>
      </c>
      <c r="F735" s="12">
        <f t="shared" si="1"/>
        <v>40320</v>
      </c>
      <c r="G735" s="3" t="s">
        <v>1111</v>
      </c>
      <c r="H735" s="3">
        <f>IFERROR(__xludf.DUMMYFUNCTION("split(G735,""/"")"),6.0)</f>
        <v>6</v>
      </c>
      <c r="I735" s="3">
        <f>IFERROR(__xludf.DUMMYFUNCTION("""COMPUTED_VALUE"""),26.0)</f>
        <v>26</v>
      </c>
      <c r="J735" s="3">
        <f>IFERROR(__xludf.DUMMYFUNCTION("""COMPUTED_VALUE"""),2010.0)</f>
        <v>2010</v>
      </c>
      <c r="K735" s="12">
        <f t="shared" si="2"/>
        <v>40355</v>
      </c>
      <c r="L735" s="3" t="s">
        <v>817</v>
      </c>
      <c r="M735" s="3" t="s">
        <v>300</v>
      </c>
      <c r="N735" s="3">
        <v>8293.0</v>
      </c>
      <c r="O735" s="3" t="s">
        <v>815</v>
      </c>
      <c r="P735" s="10">
        <v>7948.0</v>
      </c>
      <c r="Q735" s="13">
        <v>437.2</v>
      </c>
      <c r="R735" s="13">
        <v>263.33</v>
      </c>
      <c r="S735" s="13">
        <f t="shared" si="3"/>
        <v>3474865.6</v>
      </c>
      <c r="T735" s="13">
        <f t="shared" si="4"/>
        <v>2092946.84</v>
      </c>
      <c r="U735" s="13">
        <f t="shared" si="5"/>
        <v>1381918.76</v>
      </c>
      <c r="V735" s="3" t="str">
        <f>VLOOKUP(N735,products!A:B,2,0)</f>
        <v>Cosmetics</v>
      </c>
      <c r="W735" s="3" t="s">
        <v>28</v>
      </c>
      <c r="X735" s="3" t="s">
        <v>33</v>
      </c>
      <c r="Y735" s="14">
        <f t="shared" si="10"/>
        <v>0.3976898445</v>
      </c>
      <c r="Z735" s="3">
        <f t="shared" si="7"/>
        <v>35</v>
      </c>
      <c r="AA735" s="15">
        <f t="shared" si="8"/>
        <v>7</v>
      </c>
    </row>
    <row r="736" ht="15.75" customHeight="1">
      <c r="A736" s="3">
        <v>5.83451974E8</v>
      </c>
      <c r="B736" s="9">
        <v>42675.0</v>
      </c>
      <c r="C736" s="3">
        <f>IFERROR(__xludf.DUMMYFUNCTION("split(B736,""/"")"),1.0)</f>
        <v>1</v>
      </c>
      <c r="D736" s="10">
        <f>IFERROR(__xludf.DUMMYFUNCTION("""COMPUTED_VALUE"""),11.0)</f>
        <v>11</v>
      </c>
      <c r="E736" s="11">
        <f>IFERROR(__xludf.DUMMYFUNCTION("""COMPUTED_VALUE"""),2016.0)</f>
        <v>2016</v>
      </c>
      <c r="F736" s="12">
        <f t="shared" si="1"/>
        <v>42380</v>
      </c>
      <c r="G736" s="9">
        <v>42492.0</v>
      </c>
      <c r="H736" s="3">
        <f>IFERROR(__xludf.DUMMYFUNCTION("split(G736,""/"")"),2.0)</f>
        <v>2</v>
      </c>
      <c r="I736" s="3">
        <f>IFERROR(__xludf.DUMMYFUNCTION("""COMPUTED_VALUE"""),5.0)</f>
        <v>5</v>
      </c>
      <c r="J736" s="3">
        <f>IFERROR(__xludf.DUMMYFUNCTION("""COMPUTED_VALUE"""),2016.0)</f>
        <v>2016</v>
      </c>
      <c r="K736" s="12">
        <f t="shared" si="2"/>
        <v>42405</v>
      </c>
      <c r="L736" s="3" t="s">
        <v>827</v>
      </c>
      <c r="M736" s="3" t="s">
        <v>821</v>
      </c>
      <c r="N736" s="3">
        <v>8969.0</v>
      </c>
      <c r="O736" s="3" t="s">
        <v>818</v>
      </c>
      <c r="P736" s="10">
        <v>5260.0</v>
      </c>
      <c r="Q736" s="13">
        <v>152.58</v>
      </c>
      <c r="R736" s="13">
        <v>97.44</v>
      </c>
      <c r="S736" s="13">
        <f t="shared" si="3"/>
        <v>802570.8</v>
      </c>
      <c r="T736" s="13">
        <f t="shared" si="4"/>
        <v>512534.4</v>
      </c>
      <c r="U736" s="13">
        <f t="shared" si="5"/>
        <v>290036.4</v>
      </c>
      <c r="V736" s="3" t="str">
        <f>VLOOKUP(N736,products!A:B,2,0)</f>
        <v>Snacks</v>
      </c>
      <c r="W736" s="3" t="s">
        <v>821</v>
      </c>
      <c r="X736" s="3" t="s">
        <v>821</v>
      </c>
      <c r="Y736" s="14">
        <f t="shared" si="10"/>
        <v>0.3613841919</v>
      </c>
      <c r="Z736" s="3">
        <f t="shared" si="7"/>
        <v>25</v>
      </c>
      <c r="AA736" s="15">
        <f t="shared" si="8"/>
        <v>2</v>
      </c>
    </row>
    <row r="737" ht="15.75" customHeight="1">
      <c r="A737" s="3">
        <v>5.83654105E8</v>
      </c>
      <c r="B737" s="9">
        <v>40369.0</v>
      </c>
      <c r="C737" s="3">
        <f>IFERROR(__xludf.DUMMYFUNCTION("split(B737,""/"")"),10.0)</f>
        <v>10</v>
      </c>
      <c r="D737" s="10">
        <f>IFERROR(__xludf.DUMMYFUNCTION("""COMPUTED_VALUE"""),7.0)</f>
        <v>7</v>
      </c>
      <c r="E737" s="11">
        <f>IFERROR(__xludf.DUMMYFUNCTION("""COMPUTED_VALUE"""),2010.0)</f>
        <v>2010</v>
      </c>
      <c r="F737" s="12">
        <f t="shared" si="1"/>
        <v>40458</v>
      </c>
      <c r="G737" s="3" t="s">
        <v>1515</v>
      </c>
      <c r="H737" s="3">
        <f>IFERROR(__xludf.DUMMYFUNCTION("split(G737,""/"")"),10.0)</f>
        <v>10</v>
      </c>
      <c r="I737" s="3">
        <f>IFERROR(__xludf.DUMMYFUNCTION("""COMPUTED_VALUE"""),19.0)</f>
        <v>19</v>
      </c>
      <c r="J737" s="3">
        <f>IFERROR(__xludf.DUMMYFUNCTION("""COMPUTED_VALUE"""),2010.0)</f>
        <v>2010</v>
      </c>
      <c r="K737" s="12">
        <f t="shared" si="2"/>
        <v>40470</v>
      </c>
      <c r="L737" s="3" t="s">
        <v>817</v>
      </c>
      <c r="M737" s="3" t="s">
        <v>578</v>
      </c>
      <c r="N737" s="3">
        <v>8969.0</v>
      </c>
      <c r="O737" s="3" t="s">
        <v>815</v>
      </c>
      <c r="P737" s="10">
        <v>5075.0</v>
      </c>
      <c r="Q737" s="13">
        <v>152.58</v>
      </c>
      <c r="R737" s="13">
        <v>97.44</v>
      </c>
      <c r="S737" s="13">
        <f t="shared" si="3"/>
        <v>774343.5</v>
      </c>
      <c r="T737" s="13">
        <f t="shared" si="4"/>
        <v>494508</v>
      </c>
      <c r="U737" s="13">
        <f t="shared" si="5"/>
        <v>279835.5</v>
      </c>
      <c r="V737" s="3" t="str">
        <f>VLOOKUP(N737,products!A:B,2,0)</f>
        <v>Snacks</v>
      </c>
      <c r="W737" s="3" t="s">
        <v>28</v>
      </c>
      <c r="X737" s="3" t="s">
        <v>33</v>
      </c>
      <c r="Y737" s="14">
        <f t="shared" si="10"/>
        <v>0.3613841919</v>
      </c>
      <c r="Z737" s="3">
        <f t="shared" si="7"/>
        <v>12</v>
      </c>
      <c r="AA737" s="15">
        <f t="shared" si="8"/>
        <v>5</v>
      </c>
    </row>
    <row r="738" ht="15.75" customHeight="1">
      <c r="A738" s="3">
        <v>5.85362994E8</v>
      </c>
      <c r="B738" s="3" t="s">
        <v>1516</v>
      </c>
      <c r="C738" s="3">
        <f>IFERROR(__xludf.DUMMYFUNCTION("split(B738,""/"")"),2.0)</f>
        <v>2</v>
      </c>
      <c r="D738" s="10">
        <f>IFERROR(__xludf.DUMMYFUNCTION("""COMPUTED_VALUE"""),20.0)</f>
        <v>20</v>
      </c>
      <c r="E738" s="11">
        <f>IFERROR(__xludf.DUMMYFUNCTION("""COMPUTED_VALUE"""),2010.0)</f>
        <v>2010</v>
      </c>
      <c r="F738" s="12">
        <f t="shared" si="1"/>
        <v>40229</v>
      </c>
      <c r="G738" s="9">
        <v>40486.0</v>
      </c>
      <c r="H738" s="3">
        <f>IFERROR(__xludf.DUMMYFUNCTION("split(G738,""/"")"),4.0)</f>
        <v>4</v>
      </c>
      <c r="I738" s="3">
        <f>IFERROR(__xludf.DUMMYFUNCTION("""COMPUTED_VALUE"""),11.0)</f>
        <v>11</v>
      </c>
      <c r="J738" s="3">
        <f>IFERROR(__xludf.DUMMYFUNCTION("""COMPUTED_VALUE"""),2010.0)</f>
        <v>2010</v>
      </c>
      <c r="K738" s="12">
        <f t="shared" si="2"/>
        <v>40279</v>
      </c>
      <c r="L738" s="3" t="s">
        <v>825</v>
      </c>
      <c r="M738" s="3" t="s">
        <v>650</v>
      </c>
      <c r="N738" s="3">
        <v>7940.0</v>
      </c>
      <c r="O738" s="3" t="s">
        <v>818</v>
      </c>
      <c r="P738" s="10">
        <v>773.0</v>
      </c>
      <c r="Q738" s="13">
        <v>668.27</v>
      </c>
      <c r="R738" s="13">
        <v>502.54</v>
      </c>
      <c r="S738" s="13">
        <f t="shared" si="3"/>
        <v>516572.71</v>
      </c>
      <c r="T738" s="13">
        <f t="shared" si="4"/>
        <v>388463.42</v>
      </c>
      <c r="U738" s="13">
        <f t="shared" si="5"/>
        <v>128109.29</v>
      </c>
      <c r="V738" s="3" t="str">
        <f>VLOOKUP(N738,products!A:B,2,0)</f>
        <v>Household</v>
      </c>
      <c r="W738" s="3" t="s">
        <v>28</v>
      </c>
      <c r="X738" s="3" t="s">
        <v>98</v>
      </c>
      <c r="Y738" s="14">
        <f t="shared" si="10"/>
        <v>0.2479985635</v>
      </c>
      <c r="Z738" s="3">
        <f t="shared" si="7"/>
        <v>50</v>
      </c>
      <c r="AA738" s="15">
        <f t="shared" si="8"/>
        <v>7</v>
      </c>
    </row>
    <row r="739" ht="15.75" customHeight="1">
      <c r="A739" s="3">
        <v>5.85677134E8</v>
      </c>
      <c r="B739" s="3" t="s">
        <v>1033</v>
      </c>
      <c r="C739" s="3">
        <f>IFERROR(__xludf.DUMMYFUNCTION("split(B739,""/"")"),4.0)</f>
        <v>4</v>
      </c>
      <c r="D739" s="10">
        <f>IFERROR(__xludf.DUMMYFUNCTION("""COMPUTED_VALUE"""),13.0)</f>
        <v>13</v>
      </c>
      <c r="E739" s="11">
        <f>IFERROR(__xludf.DUMMYFUNCTION("""COMPUTED_VALUE"""),2012.0)</f>
        <v>2012</v>
      </c>
      <c r="F739" s="12">
        <f t="shared" si="1"/>
        <v>41012</v>
      </c>
      <c r="G739" s="9">
        <v>41004.0</v>
      </c>
      <c r="H739" s="3">
        <f>IFERROR(__xludf.DUMMYFUNCTION("split(G739,""/"")"),5.0)</f>
        <v>5</v>
      </c>
      <c r="I739" s="3">
        <f>IFERROR(__xludf.DUMMYFUNCTION("""COMPUTED_VALUE"""),4.0)</f>
        <v>4</v>
      </c>
      <c r="J739" s="3">
        <f>IFERROR(__xludf.DUMMYFUNCTION("""COMPUTED_VALUE"""),2012.0)</f>
        <v>2012</v>
      </c>
      <c r="K739" s="12">
        <f t="shared" si="2"/>
        <v>41033</v>
      </c>
      <c r="L739" s="3" t="s">
        <v>827</v>
      </c>
      <c r="M739" s="3" t="s">
        <v>221</v>
      </c>
      <c r="N739" s="3">
        <v>8969.0</v>
      </c>
      <c r="O739" s="3" t="s">
        <v>815</v>
      </c>
      <c r="P739" s="10">
        <v>3734.0</v>
      </c>
      <c r="Q739" s="13">
        <v>152.58</v>
      </c>
      <c r="R739" s="13">
        <v>97.44</v>
      </c>
      <c r="S739" s="13">
        <f t="shared" si="3"/>
        <v>569733.72</v>
      </c>
      <c r="T739" s="13">
        <f t="shared" si="4"/>
        <v>363840.96</v>
      </c>
      <c r="U739" s="13">
        <f t="shared" si="5"/>
        <v>205892.76</v>
      </c>
      <c r="V739" s="3" t="str">
        <f>VLOOKUP(N739,products!A:B,2,0)</f>
        <v>Snacks</v>
      </c>
      <c r="W739" s="3" t="s">
        <v>28</v>
      </c>
      <c r="X739" s="3" t="s">
        <v>29</v>
      </c>
      <c r="Y739" s="14">
        <f t="shared" si="10"/>
        <v>0.3613841919</v>
      </c>
      <c r="Z739" s="3">
        <f t="shared" si="7"/>
        <v>21</v>
      </c>
      <c r="AA739" s="15">
        <f t="shared" si="8"/>
        <v>6</v>
      </c>
    </row>
    <row r="740" ht="15.75" customHeight="1">
      <c r="A740" s="3">
        <v>5.86812674E8</v>
      </c>
      <c r="B740" s="3" t="s">
        <v>1517</v>
      </c>
      <c r="C740" s="3">
        <f>IFERROR(__xludf.DUMMYFUNCTION("split(B740,""/"")"),3.0)</f>
        <v>3</v>
      </c>
      <c r="D740" s="10">
        <f>IFERROR(__xludf.DUMMYFUNCTION("""COMPUTED_VALUE"""),15.0)</f>
        <v>15</v>
      </c>
      <c r="E740" s="11">
        <f>IFERROR(__xludf.DUMMYFUNCTION("""COMPUTED_VALUE"""),2013.0)</f>
        <v>2013</v>
      </c>
      <c r="F740" s="12">
        <f t="shared" si="1"/>
        <v>41348</v>
      </c>
      <c r="G740" s="3" t="s">
        <v>1275</v>
      </c>
      <c r="H740" s="3">
        <f>IFERROR(__xludf.DUMMYFUNCTION("split(G740,""/"")"),3.0)</f>
        <v>3</v>
      </c>
      <c r="I740" s="3">
        <f>IFERROR(__xludf.DUMMYFUNCTION("""COMPUTED_VALUE"""),31.0)</f>
        <v>31</v>
      </c>
      <c r="J740" s="3">
        <f>IFERROR(__xludf.DUMMYFUNCTION("""COMPUTED_VALUE"""),2013.0)</f>
        <v>2013</v>
      </c>
      <c r="K740" s="12">
        <f t="shared" si="2"/>
        <v>41364</v>
      </c>
      <c r="L740" s="3" t="s">
        <v>814</v>
      </c>
      <c r="M740" s="3" t="s">
        <v>593</v>
      </c>
      <c r="N740" s="3">
        <v>8681.0</v>
      </c>
      <c r="O740" s="3" t="s">
        <v>818</v>
      </c>
      <c r="P740" s="10">
        <v>9766.0</v>
      </c>
      <c r="Q740" s="13">
        <v>651.21</v>
      </c>
      <c r="R740" s="13">
        <v>524.96</v>
      </c>
      <c r="S740" s="13">
        <f t="shared" si="3"/>
        <v>6359716.86</v>
      </c>
      <c r="T740" s="13">
        <f t="shared" si="4"/>
        <v>5126759.36</v>
      </c>
      <c r="U740" s="13">
        <f t="shared" si="5"/>
        <v>1232957.5</v>
      </c>
      <c r="V740" s="3" t="str">
        <f>VLOOKUP(N740,products!A:B,2,0)</f>
        <v>Office Supplies</v>
      </c>
      <c r="W740" s="3" t="s">
        <v>28</v>
      </c>
      <c r="X740" s="3" t="s">
        <v>98</v>
      </c>
      <c r="Y740" s="14">
        <f t="shared" si="10"/>
        <v>0.193869873</v>
      </c>
      <c r="Z740" s="3">
        <f t="shared" si="7"/>
        <v>16</v>
      </c>
      <c r="AA740" s="15">
        <f t="shared" si="8"/>
        <v>6</v>
      </c>
    </row>
    <row r="741" ht="15.75" customHeight="1">
      <c r="A741" s="3">
        <v>5.87598884E8</v>
      </c>
      <c r="B741" s="9">
        <v>42129.0</v>
      </c>
      <c r="C741" s="3">
        <f>IFERROR(__xludf.DUMMYFUNCTION("split(B741,""/"")"),5.0)</f>
        <v>5</v>
      </c>
      <c r="D741" s="10">
        <f>IFERROR(__xludf.DUMMYFUNCTION("""COMPUTED_VALUE"""),5.0)</f>
        <v>5</v>
      </c>
      <c r="E741" s="11">
        <f>IFERROR(__xludf.DUMMYFUNCTION("""COMPUTED_VALUE"""),2015.0)</f>
        <v>2015</v>
      </c>
      <c r="F741" s="12">
        <f t="shared" si="1"/>
        <v>42129</v>
      </c>
      <c r="G741" s="3" t="s">
        <v>1200</v>
      </c>
      <c r="H741" s="3">
        <f>IFERROR(__xludf.DUMMYFUNCTION("split(G741,""/"")"),6.0)</f>
        <v>6</v>
      </c>
      <c r="I741" s="3">
        <f>IFERROR(__xludf.DUMMYFUNCTION("""COMPUTED_VALUE"""),13.0)</f>
        <v>13</v>
      </c>
      <c r="J741" s="3">
        <f>IFERROR(__xludf.DUMMYFUNCTION("""COMPUTED_VALUE"""),2015.0)</f>
        <v>2015</v>
      </c>
      <c r="K741" s="12">
        <f t="shared" si="2"/>
        <v>42168</v>
      </c>
      <c r="L741" s="3" t="s">
        <v>827</v>
      </c>
      <c r="M741" s="3" t="s">
        <v>300</v>
      </c>
      <c r="N741" s="3">
        <v>2103.0</v>
      </c>
      <c r="O741" s="3" t="s">
        <v>815</v>
      </c>
      <c r="P741" s="10">
        <v>2422.0</v>
      </c>
      <c r="Q741" s="13">
        <v>205.7</v>
      </c>
      <c r="R741" s="13">
        <v>117.11</v>
      </c>
      <c r="S741" s="13">
        <f t="shared" si="3"/>
        <v>498205.4</v>
      </c>
      <c r="T741" s="13">
        <f t="shared" si="4"/>
        <v>283640.42</v>
      </c>
      <c r="U741" s="13">
        <f t="shared" si="5"/>
        <v>214564.98</v>
      </c>
      <c r="V741" s="3" t="str">
        <f>VLOOKUP(N741,products!A:B,2,0)</f>
        <v>Cereal</v>
      </c>
      <c r="W741" s="3" t="s">
        <v>28</v>
      </c>
      <c r="X741" s="3" t="s">
        <v>33</v>
      </c>
      <c r="Y741" s="14">
        <f t="shared" si="10"/>
        <v>0.4306757414</v>
      </c>
      <c r="Z741" s="3">
        <f t="shared" si="7"/>
        <v>39</v>
      </c>
      <c r="AA741" s="15">
        <f t="shared" si="8"/>
        <v>3</v>
      </c>
    </row>
    <row r="742" ht="15.75" customHeight="1">
      <c r="A742" s="3">
        <v>5.87799727E8</v>
      </c>
      <c r="B742" s="3" t="s">
        <v>1518</v>
      </c>
      <c r="C742" s="3">
        <f>IFERROR(__xludf.DUMMYFUNCTION("split(B742,""/"")"),2.0)</f>
        <v>2</v>
      </c>
      <c r="D742" s="10">
        <f>IFERROR(__xludf.DUMMYFUNCTION("""COMPUTED_VALUE"""),15.0)</f>
        <v>15</v>
      </c>
      <c r="E742" s="11">
        <f>IFERROR(__xludf.DUMMYFUNCTION("""COMPUTED_VALUE"""),2011.0)</f>
        <v>2011</v>
      </c>
      <c r="F742" s="12">
        <f t="shared" si="1"/>
        <v>40589</v>
      </c>
      <c r="G742" s="3" t="s">
        <v>1519</v>
      </c>
      <c r="H742" s="3">
        <f>IFERROR(__xludf.DUMMYFUNCTION("split(G742,""/"")"),3.0)</f>
        <v>3</v>
      </c>
      <c r="I742" s="3">
        <f>IFERROR(__xludf.DUMMYFUNCTION("""COMPUTED_VALUE"""),27.0)</f>
        <v>27</v>
      </c>
      <c r="J742" s="3">
        <f>IFERROR(__xludf.DUMMYFUNCTION("""COMPUTED_VALUE"""),2011.0)</f>
        <v>2011</v>
      </c>
      <c r="K742" s="12">
        <f t="shared" si="2"/>
        <v>40629</v>
      </c>
      <c r="L742" s="3" t="s">
        <v>825</v>
      </c>
      <c r="M742" s="3" t="s">
        <v>623</v>
      </c>
      <c r="N742" s="3">
        <v>7331.0</v>
      </c>
      <c r="O742" s="3" t="s">
        <v>818</v>
      </c>
      <c r="P742" s="10">
        <v>1856.0</v>
      </c>
      <c r="Q742" s="13">
        <v>255.28</v>
      </c>
      <c r="R742" s="13">
        <v>159.42</v>
      </c>
      <c r="S742" s="13">
        <f t="shared" si="3"/>
        <v>473799.68</v>
      </c>
      <c r="T742" s="13">
        <f t="shared" si="4"/>
        <v>295883.52</v>
      </c>
      <c r="U742" s="13">
        <f t="shared" si="5"/>
        <v>177916.16</v>
      </c>
      <c r="V742" s="3" t="str">
        <f>VLOOKUP(N742,products!A:B,2,0)</f>
        <v>Baby Food</v>
      </c>
      <c r="W742" s="3" t="s">
        <v>28</v>
      </c>
      <c r="X742" s="3" t="s">
        <v>33</v>
      </c>
      <c r="Y742" s="14">
        <f t="shared" si="10"/>
        <v>0.3755092448</v>
      </c>
      <c r="Z742" s="3">
        <f t="shared" si="7"/>
        <v>40</v>
      </c>
      <c r="AA742" s="15">
        <f t="shared" si="8"/>
        <v>3</v>
      </c>
    </row>
    <row r="743" ht="15.75" customHeight="1">
      <c r="A743" s="3">
        <v>5.87846076E8</v>
      </c>
      <c r="B743" s="3" t="s">
        <v>885</v>
      </c>
      <c r="C743" s="3">
        <f>IFERROR(__xludf.DUMMYFUNCTION("split(B743,""/"")"),4.0)</f>
        <v>4</v>
      </c>
      <c r="D743" s="10">
        <f>IFERROR(__xludf.DUMMYFUNCTION("""COMPUTED_VALUE"""),26.0)</f>
        <v>26</v>
      </c>
      <c r="E743" s="11">
        <f>IFERROR(__xludf.DUMMYFUNCTION("""COMPUTED_VALUE"""),2011.0)</f>
        <v>2011</v>
      </c>
      <c r="F743" s="12">
        <f t="shared" si="1"/>
        <v>40659</v>
      </c>
      <c r="G743" s="3" t="s">
        <v>1520</v>
      </c>
      <c r="H743" s="3">
        <f>IFERROR(__xludf.DUMMYFUNCTION("split(G743,""/"")"),5.0)</f>
        <v>5</v>
      </c>
      <c r="I743" s="3">
        <f>IFERROR(__xludf.DUMMYFUNCTION("""COMPUTED_VALUE"""),24.0)</f>
        <v>24</v>
      </c>
      <c r="J743" s="3">
        <f>IFERROR(__xludf.DUMMYFUNCTION("""COMPUTED_VALUE"""),2011.0)</f>
        <v>2011</v>
      </c>
      <c r="K743" s="12">
        <f t="shared" si="2"/>
        <v>40687</v>
      </c>
      <c r="L743" s="3" t="s">
        <v>817</v>
      </c>
      <c r="M743" s="3" t="s">
        <v>686</v>
      </c>
      <c r="N743" s="3">
        <v>3127.0</v>
      </c>
      <c r="O743" s="3" t="s">
        <v>815</v>
      </c>
      <c r="P743" s="10">
        <v>5572.0</v>
      </c>
      <c r="Q743" s="13">
        <v>81.73</v>
      </c>
      <c r="R743" s="13">
        <v>56.67</v>
      </c>
      <c r="S743" s="13">
        <f t="shared" si="3"/>
        <v>455399.56</v>
      </c>
      <c r="T743" s="13">
        <f t="shared" si="4"/>
        <v>315765.24</v>
      </c>
      <c r="U743" s="13">
        <f t="shared" si="5"/>
        <v>139634.32</v>
      </c>
      <c r="V743" s="3" t="str">
        <f>VLOOKUP(N743,products!A:B,2,0)</f>
        <v>Personal Care</v>
      </c>
      <c r="W743" s="3" t="s">
        <v>28</v>
      </c>
      <c r="X743" s="3" t="s">
        <v>29</v>
      </c>
      <c r="Y743" s="14">
        <f t="shared" si="10"/>
        <v>0.3066193564</v>
      </c>
      <c r="Z743" s="3">
        <f t="shared" si="7"/>
        <v>28</v>
      </c>
      <c r="AA743" s="15">
        <f t="shared" si="8"/>
        <v>3</v>
      </c>
    </row>
    <row r="744" ht="15.75" customHeight="1">
      <c r="A744" s="3">
        <v>5.88528859E8</v>
      </c>
      <c r="B744" s="9">
        <v>40856.0</v>
      </c>
      <c r="C744" s="3">
        <f>IFERROR(__xludf.DUMMYFUNCTION("split(B744,""/"")"),9.0)</f>
        <v>9</v>
      </c>
      <c r="D744" s="10">
        <f>IFERROR(__xludf.DUMMYFUNCTION("""COMPUTED_VALUE"""),11.0)</f>
        <v>11</v>
      </c>
      <c r="E744" s="11">
        <f>IFERROR(__xludf.DUMMYFUNCTION("""COMPUTED_VALUE"""),2011.0)</f>
        <v>2011</v>
      </c>
      <c r="F744" s="12">
        <f t="shared" si="1"/>
        <v>40797</v>
      </c>
      <c r="G744" s="9">
        <v>40887.0</v>
      </c>
      <c r="H744" s="3">
        <f>IFERROR(__xludf.DUMMYFUNCTION("split(G744,""/"")"),10.0)</f>
        <v>10</v>
      </c>
      <c r="I744" s="3">
        <f>IFERROR(__xludf.DUMMYFUNCTION("""COMPUTED_VALUE"""),12.0)</f>
        <v>12</v>
      </c>
      <c r="J744" s="3">
        <f>IFERROR(__xludf.DUMMYFUNCTION("""COMPUTED_VALUE"""),2011.0)</f>
        <v>2011</v>
      </c>
      <c r="K744" s="12">
        <f t="shared" si="2"/>
        <v>40828</v>
      </c>
      <c r="L744" s="3" t="s">
        <v>825</v>
      </c>
      <c r="M744" s="3" t="s">
        <v>300</v>
      </c>
      <c r="N744" s="3">
        <v>3127.0</v>
      </c>
      <c r="O744" s="3" t="s">
        <v>815</v>
      </c>
      <c r="P744" s="10">
        <v>7623.0</v>
      </c>
      <c r="Q744" s="13">
        <v>81.73</v>
      </c>
      <c r="R744" s="13">
        <v>56.67</v>
      </c>
      <c r="S744" s="13">
        <f t="shared" si="3"/>
        <v>623027.79</v>
      </c>
      <c r="T744" s="13">
        <f t="shared" si="4"/>
        <v>431995.41</v>
      </c>
      <c r="U744" s="13">
        <f t="shared" si="5"/>
        <v>191032.38</v>
      </c>
      <c r="V744" s="3" t="str">
        <f>VLOOKUP(N744,products!A:B,2,0)</f>
        <v>Personal Care</v>
      </c>
      <c r="W744" s="3" t="s">
        <v>28</v>
      </c>
      <c r="X744" s="3" t="s">
        <v>33</v>
      </c>
      <c r="Y744" s="14">
        <f t="shared" si="10"/>
        <v>0.3066193564</v>
      </c>
      <c r="Z744" s="3">
        <f t="shared" si="7"/>
        <v>31</v>
      </c>
      <c r="AA744" s="15">
        <f t="shared" si="8"/>
        <v>1</v>
      </c>
    </row>
    <row r="745" ht="15.75" customHeight="1">
      <c r="A745" s="3">
        <v>5.89842927E8</v>
      </c>
      <c r="B745" s="9">
        <v>42619.0</v>
      </c>
      <c r="C745" s="3">
        <f>IFERROR(__xludf.DUMMYFUNCTION("split(B745,""/"")"),6.0)</f>
        <v>6</v>
      </c>
      <c r="D745" s="10">
        <f>IFERROR(__xludf.DUMMYFUNCTION("""COMPUTED_VALUE"""),9.0)</f>
        <v>9</v>
      </c>
      <c r="E745" s="11">
        <f>IFERROR(__xludf.DUMMYFUNCTION("""COMPUTED_VALUE"""),2016.0)</f>
        <v>2016</v>
      </c>
      <c r="F745" s="12">
        <f t="shared" si="1"/>
        <v>42530</v>
      </c>
      <c r="G745" s="3" t="s">
        <v>1521</v>
      </c>
      <c r="H745" s="3">
        <f>IFERROR(__xludf.DUMMYFUNCTION("split(G745,""/"")"),7.0)</f>
        <v>7</v>
      </c>
      <c r="I745" s="3">
        <f>IFERROR(__xludf.DUMMYFUNCTION("""COMPUTED_VALUE"""),28.0)</f>
        <v>28</v>
      </c>
      <c r="J745" s="3">
        <f>IFERROR(__xludf.DUMMYFUNCTION("""COMPUTED_VALUE"""),2016.0)</f>
        <v>2016</v>
      </c>
      <c r="K745" s="12">
        <f t="shared" si="2"/>
        <v>42579</v>
      </c>
      <c r="L745" s="3" t="s">
        <v>814</v>
      </c>
      <c r="M745" s="3" t="s">
        <v>373</v>
      </c>
      <c r="N745" s="3">
        <v>3127.0</v>
      </c>
      <c r="O745" s="3" t="s">
        <v>818</v>
      </c>
      <c r="P745" s="10">
        <v>6485.0</v>
      </c>
      <c r="Q745" s="13">
        <v>81.73</v>
      </c>
      <c r="R745" s="13">
        <v>56.67</v>
      </c>
      <c r="S745" s="13">
        <f t="shared" si="3"/>
        <v>530019.05</v>
      </c>
      <c r="T745" s="13">
        <f t="shared" si="4"/>
        <v>367504.95</v>
      </c>
      <c r="U745" s="13">
        <f t="shared" si="5"/>
        <v>162514.1</v>
      </c>
      <c r="V745" s="3" t="str">
        <f>VLOOKUP(N745,products!A:B,2,0)</f>
        <v>Personal Care</v>
      </c>
      <c r="W745" s="3" t="s">
        <v>28</v>
      </c>
      <c r="X745" s="3" t="s">
        <v>33</v>
      </c>
      <c r="Y745" s="14">
        <f t="shared" si="10"/>
        <v>0.3066193564</v>
      </c>
      <c r="Z745" s="3">
        <f t="shared" si="7"/>
        <v>49</v>
      </c>
      <c r="AA745" s="15">
        <f t="shared" si="8"/>
        <v>5</v>
      </c>
    </row>
    <row r="746" ht="15.75" customHeight="1">
      <c r="A746" s="3">
        <v>5.91287887E8</v>
      </c>
      <c r="B746" s="3" t="s">
        <v>1150</v>
      </c>
      <c r="C746" s="3">
        <f>IFERROR(__xludf.DUMMYFUNCTION("split(B746,""/"")"),9.0)</f>
        <v>9</v>
      </c>
      <c r="D746" s="10">
        <f>IFERROR(__xludf.DUMMYFUNCTION("""COMPUTED_VALUE"""),20.0)</f>
        <v>20</v>
      </c>
      <c r="E746" s="11">
        <f>IFERROR(__xludf.DUMMYFUNCTION("""COMPUTED_VALUE"""),2010.0)</f>
        <v>2010</v>
      </c>
      <c r="F746" s="12">
        <f t="shared" si="1"/>
        <v>40441</v>
      </c>
      <c r="G746" s="9">
        <v>40219.0</v>
      </c>
      <c r="H746" s="3">
        <f>IFERROR(__xludf.DUMMYFUNCTION("split(G746,""/"")"),10.0)</f>
        <v>10</v>
      </c>
      <c r="I746" s="3">
        <f>IFERROR(__xludf.DUMMYFUNCTION("""COMPUTED_VALUE"""),2.0)</f>
        <v>2</v>
      </c>
      <c r="J746" s="3">
        <f>IFERROR(__xludf.DUMMYFUNCTION("""COMPUTED_VALUE"""),2010.0)</f>
        <v>2010</v>
      </c>
      <c r="K746" s="12">
        <f t="shared" si="2"/>
        <v>40453</v>
      </c>
      <c r="L746" s="3" t="s">
        <v>825</v>
      </c>
      <c r="M746" s="3" t="s">
        <v>267</v>
      </c>
      <c r="N746" s="3">
        <v>4594.0</v>
      </c>
      <c r="O746" s="3" t="s">
        <v>818</v>
      </c>
      <c r="P746" s="10">
        <v>4080.0</v>
      </c>
      <c r="Q746" s="13">
        <v>9.33</v>
      </c>
      <c r="R746" s="13">
        <v>6.92</v>
      </c>
      <c r="S746" s="13">
        <f t="shared" si="3"/>
        <v>38066.4</v>
      </c>
      <c r="T746" s="13">
        <f t="shared" si="4"/>
        <v>28233.6</v>
      </c>
      <c r="U746" s="13">
        <f t="shared" si="5"/>
        <v>9832.8</v>
      </c>
      <c r="V746" s="3" t="str">
        <f>VLOOKUP(N746,products!A:B,2,0)</f>
        <v>Fruits</v>
      </c>
      <c r="W746" s="3" t="s">
        <v>28</v>
      </c>
      <c r="X746" s="3" t="s">
        <v>29</v>
      </c>
      <c r="Y746" s="14">
        <f t="shared" si="10"/>
        <v>0.258306538</v>
      </c>
      <c r="Z746" s="3">
        <f t="shared" si="7"/>
        <v>12</v>
      </c>
      <c r="AA746" s="15">
        <f t="shared" si="8"/>
        <v>2</v>
      </c>
    </row>
    <row r="747" ht="15.75" customHeight="1">
      <c r="A747" s="3">
        <v>5.91774117E8</v>
      </c>
      <c r="B747" s="9">
        <v>41856.0</v>
      </c>
      <c r="C747" s="3">
        <f>IFERROR(__xludf.DUMMYFUNCTION("split(B747,""/"")"),5.0)</f>
        <v>5</v>
      </c>
      <c r="D747" s="10">
        <f>IFERROR(__xludf.DUMMYFUNCTION("""COMPUTED_VALUE"""),8.0)</f>
        <v>8</v>
      </c>
      <c r="E747" s="11">
        <f>IFERROR(__xludf.DUMMYFUNCTION("""COMPUTED_VALUE"""),2014.0)</f>
        <v>2014</v>
      </c>
      <c r="F747" s="12">
        <f t="shared" si="1"/>
        <v>41767</v>
      </c>
      <c r="G747" s="3" t="s">
        <v>1522</v>
      </c>
      <c r="H747" s="3">
        <f>IFERROR(__xludf.DUMMYFUNCTION("split(G747,""/"")"),5.0)</f>
        <v>5</v>
      </c>
      <c r="I747" s="3">
        <f>IFERROR(__xludf.DUMMYFUNCTION("""COMPUTED_VALUE"""),30.0)</f>
        <v>30</v>
      </c>
      <c r="J747" s="3">
        <f>IFERROR(__xludf.DUMMYFUNCTION("""COMPUTED_VALUE"""),2014.0)</f>
        <v>2014</v>
      </c>
      <c r="K747" s="12">
        <f t="shared" si="2"/>
        <v>41789</v>
      </c>
      <c r="L747" s="3" t="s">
        <v>814</v>
      </c>
      <c r="M747" s="3" t="s">
        <v>623</v>
      </c>
      <c r="N747" s="3">
        <v>2103.0</v>
      </c>
      <c r="O747" s="3" t="s">
        <v>815</v>
      </c>
      <c r="P747" s="10">
        <v>7967.0</v>
      </c>
      <c r="Q747" s="13">
        <v>205.7</v>
      </c>
      <c r="R747" s="13">
        <v>117.11</v>
      </c>
      <c r="S747" s="13">
        <f t="shared" si="3"/>
        <v>1638811.9</v>
      </c>
      <c r="T747" s="13">
        <f t="shared" si="4"/>
        <v>933015.37</v>
      </c>
      <c r="U747" s="13">
        <f t="shared" si="5"/>
        <v>705796.53</v>
      </c>
      <c r="V747" s="3" t="str">
        <f>VLOOKUP(N747,products!A:B,2,0)</f>
        <v>Cereal</v>
      </c>
      <c r="W747" s="3" t="s">
        <v>28</v>
      </c>
      <c r="X747" s="3" t="s">
        <v>33</v>
      </c>
      <c r="Y747" s="14">
        <f t="shared" si="10"/>
        <v>0.4306757414</v>
      </c>
      <c r="Z747" s="3">
        <f t="shared" si="7"/>
        <v>22</v>
      </c>
      <c r="AA747" s="15">
        <f t="shared" si="8"/>
        <v>5</v>
      </c>
    </row>
    <row r="748" ht="15.75" customHeight="1">
      <c r="A748" s="3">
        <v>5.93018233E8</v>
      </c>
      <c r="B748" s="9">
        <v>41040.0</v>
      </c>
      <c r="C748" s="3">
        <f>IFERROR(__xludf.DUMMYFUNCTION("split(B748,""/"")"),11.0)</f>
        <v>11</v>
      </c>
      <c r="D748" s="10">
        <f>IFERROR(__xludf.DUMMYFUNCTION("""COMPUTED_VALUE"""),5.0)</f>
        <v>5</v>
      </c>
      <c r="E748" s="11">
        <f>IFERROR(__xludf.DUMMYFUNCTION("""COMPUTED_VALUE"""),2012.0)</f>
        <v>2012</v>
      </c>
      <c r="F748" s="12">
        <f t="shared" si="1"/>
        <v>41218</v>
      </c>
      <c r="G748" s="9">
        <v>41225.0</v>
      </c>
      <c r="H748" s="3">
        <f>IFERROR(__xludf.DUMMYFUNCTION("split(G748,""/"")"),12.0)</f>
        <v>12</v>
      </c>
      <c r="I748" s="3">
        <f>IFERROR(__xludf.DUMMYFUNCTION("""COMPUTED_VALUE"""),11.0)</f>
        <v>11</v>
      </c>
      <c r="J748" s="3">
        <f>IFERROR(__xludf.DUMMYFUNCTION("""COMPUTED_VALUE"""),2012.0)</f>
        <v>2012</v>
      </c>
      <c r="K748" s="12">
        <f t="shared" si="2"/>
        <v>41254</v>
      </c>
      <c r="L748" s="3" t="s">
        <v>814</v>
      </c>
      <c r="M748" s="3" t="s">
        <v>215</v>
      </c>
      <c r="N748" s="3">
        <v>8969.0</v>
      </c>
      <c r="O748" s="3" t="s">
        <v>815</v>
      </c>
      <c r="P748" s="10">
        <v>6128.0</v>
      </c>
      <c r="Q748" s="13">
        <v>152.58</v>
      </c>
      <c r="R748" s="13">
        <v>97.44</v>
      </c>
      <c r="S748" s="13">
        <f t="shared" si="3"/>
        <v>935010.24</v>
      </c>
      <c r="T748" s="13">
        <f t="shared" si="4"/>
        <v>597112.32</v>
      </c>
      <c r="U748" s="13">
        <f t="shared" si="5"/>
        <v>337897.92</v>
      </c>
      <c r="V748" s="3" t="str">
        <f>VLOOKUP(N748,products!A:B,2,0)</f>
        <v>Snacks</v>
      </c>
      <c r="W748" s="3" t="s">
        <v>23</v>
      </c>
      <c r="X748" s="3" t="s">
        <v>68</v>
      </c>
      <c r="Y748" s="14">
        <f t="shared" si="10"/>
        <v>0.3613841919</v>
      </c>
      <c r="Z748" s="3">
        <f t="shared" si="7"/>
        <v>36</v>
      </c>
      <c r="AA748" s="15">
        <f t="shared" si="8"/>
        <v>2</v>
      </c>
    </row>
    <row r="749" ht="15.75" customHeight="1">
      <c r="A749" s="3">
        <v>5.93158566E8</v>
      </c>
      <c r="B749" s="3" t="s">
        <v>1523</v>
      </c>
      <c r="C749" s="3">
        <f>IFERROR(__xludf.DUMMYFUNCTION("split(B749,""/"")"),5.0)</f>
        <v>5</v>
      </c>
      <c r="D749" s="10">
        <f>IFERROR(__xludf.DUMMYFUNCTION("""COMPUTED_VALUE"""),17.0)</f>
        <v>17</v>
      </c>
      <c r="E749" s="11">
        <f>IFERROR(__xludf.DUMMYFUNCTION("""COMPUTED_VALUE"""),2012.0)</f>
        <v>2012</v>
      </c>
      <c r="F749" s="12">
        <f t="shared" si="1"/>
        <v>41046</v>
      </c>
      <c r="G749" s="3" t="s">
        <v>1291</v>
      </c>
      <c r="H749" s="3">
        <f>IFERROR(__xludf.DUMMYFUNCTION("split(G749,""/"")"),6.0)</f>
        <v>6</v>
      </c>
      <c r="I749" s="3">
        <f>IFERROR(__xludf.DUMMYFUNCTION("""COMPUTED_VALUE"""),25.0)</f>
        <v>25</v>
      </c>
      <c r="J749" s="3">
        <f>IFERROR(__xludf.DUMMYFUNCTION("""COMPUTED_VALUE"""),2012.0)</f>
        <v>2012</v>
      </c>
      <c r="K749" s="12">
        <f t="shared" si="2"/>
        <v>41085</v>
      </c>
      <c r="L749" s="3" t="s">
        <v>817</v>
      </c>
      <c r="M749" s="3" t="s">
        <v>215</v>
      </c>
      <c r="N749" s="3">
        <v>2455.0</v>
      </c>
      <c r="O749" s="3" t="s">
        <v>815</v>
      </c>
      <c r="P749" s="10">
        <v>7656.0</v>
      </c>
      <c r="Q749" s="13">
        <v>109.28</v>
      </c>
      <c r="R749" s="13">
        <v>35.84</v>
      </c>
      <c r="S749" s="13">
        <f t="shared" si="3"/>
        <v>836647.68</v>
      </c>
      <c r="T749" s="13">
        <f t="shared" si="4"/>
        <v>274391.04</v>
      </c>
      <c r="U749" s="13">
        <f t="shared" si="5"/>
        <v>562256.64</v>
      </c>
      <c r="V749" s="3" t="str">
        <f>VLOOKUP(N749,products!A:B,2,0)</f>
        <v>Clothes</v>
      </c>
      <c r="W749" s="3" t="s">
        <v>23</v>
      </c>
      <c r="X749" s="3" t="s">
        <v>68</v>
      </c>
      <c r="Y749" s="14">
        <f t="shared" si="10"/>
        <v>0.6720351391</v>
      </c>
      <c r="Z749" s="3">
        <f t="shared" si="7"/>
        <v>39</v>
      </c>
      <c r="AA749" s="15">
        <f t="shared" si="8"/>
        <v>5</v>
      </c>
    </row>
    <row r="750" ht="15.75" customHeight="1">
      <c r="A750" s="3">
        <v>5.94699656E8</v>
      </c>
      <c r="B750" s="3" t="s">
        <v>1524</v>
      </c>
      <c r="C750" s="3">
        <f>IFERROR(__xludf.DUMMYFUNCTION("split(B750,""/"")"),11.0)</f>
        <v>11</v>
      </c>
      <c r="D750" s="10">
        <f>IFERROR(__xludf.DUMMYFUNCTION("""COMPUTED_VALUE"""),14.0)</f>
        <v>14</v>
      </c>
      <c r="E750" s="11">
        <f>IFERROR(__xludf.DUMMYFUNCTION("""COMPUTED_VALUE"""),2016.0)</f>
        <v>2016</v>
      </c>
      <c r="F750" s="12">
        <f t="shared" si="1"/>
        <v>42688</v>
      </c>
      <c r="G750" s="3" t="s">
        <v>1525</v>
      </c>
      <c r="H750" s="3">
        <f>IFERROR(__xludf.DUMMYFUNCTION("split(G750,""/"")"),12.0)</f>
        <v>12</v>
      </c>
      <c r="I750" s="3">
        <f>IFERROR(__xludf.DUMMYFUNCTION("""COMPUTED_VALUE"""),30.0)</f>
        <v>30</v>
      </c>
      <c r="J750" s="3">
        <f>IFERROR(__xludf.DUMMYFUNCTION("""COMPUTED_VALUE"""),2016.0)</f>
        <v>2016</v>
      </c>
      <c r="K750" s="12">
        <f t="shared" si="2"/>
        <v>42734</v>
      </c>
      <c r="L750" s="3" t="s">
        <v>825</v>
      </c>
      <c r="M750" s="3" t="s">
        <v>488</v>
      </c>
      <c r="N750" s="3">
        <v>3127.0</v>
      </c>
      <c r="O750" s="3" t="s">
        <v>818</v>
      </c>
      <c r="P750" s="10">
        <v>3699.0</v>
      </c>
      <c r="Q750" s="13">
        <v>81.73</v>
      </c>
      <c r="R750" s="13">
        <v>56.67</v>
      </c>
      <c r="S750" s="13">
        <f t="shared" si="3"/>
        <v>302319.27</v>
      </c>
      <c r="T750" s="13">
        <f t="shared" si="4"/>
        <v>209622.33</v>
      </c>
      <c r="U750" s="13">
        <f t="shared" si="5"/>
        <v>92696.94</v>
      </c>
      <c r="V750" s="3" t="str">
        <f>VLOOKUP(N750,products!A:B,2,0)</f>
        <v>Personal Care</v>
      </c>
      <c r="W750" s="3" t="s">
        <v>28</v>
      </c>
      <c r="X750" s="3" t="s">
        <v>33</v>
      </c>
      <c r="Y750" s="14">
        <f t="shared" si="10"/>
        <v>0.3066193564</v>
      </c>
      <c r="Z750" s="3">
        <f t="shared" si="7"/>
        <v>46</v>
      </c>
      <c r="AA750" s="15">
        <f t="shared" si="8"/>
        <v>2</v>
      </c>
    </row>
    <row r="751" ht="15.75" customHeight="1">
      <c r="A751" s="3">
        <v>5.94813811E8</v>
      </c>
      <c r="B751" s="9">
        <v>41127.0</v>
      </c>
      <c r="C751" s="3">
        <f>IFERROR(__xludf.DUMMYFUNCTION("split(B751,""/"")"),6.0)</f>
        <v>6</v>
      </c>
      <c r="D751" s="10">
        <f>IFERROR(__xludf.DUMMYFUNCTION("""COMPUTED_VALUE"""),8.0)</f>
        <v>8</v>
      </c>
      <c r="E751" s="11">
        <f>IFERROR(__xludf.DUMMYFUNCTION("""COMPUTED_VALUE"""),2012.0)</f>
        <v>2012</v>
      </c>
      <c r="F751" s="12">
        <f t="shared" si="1"/>
        <v>41068</v>
      </c>
      <c r="G751" s="3" t="s">
        <v>1336</v>
      </c>
      <c r="H751" s="3">
        <f>IFERROR(__xludf.DUMMYFUNCTION("split(G751,""/"")"),6.0)</f>
        <v>6</v>
      </c>
      <c r="I751" s="3">
        <f>IFERROR(__xludf.DUMMYFUNCTION("""COMPUTED_VALUE"""),17.0)</f>
        <v>17</v>
      </c>
      <c r="J751" s="3">
        <f>IFERROR(__xludf.DUMMYFUNCTION("""COMPUTED_VALUE"""),2012.0)</f>
        <v>2012</v>
      </c>
      <c r="K751" s="12">
        <f t="shared" si="2"/>
        <v>41077</v>
      </c>
      <c r="L751" s="3" t="s">
        <v>814</v>
      </c>
      <c r="M751" s="3" t="s">
        <v>542</v>
      </c>
      <c r="N751" s="3">
        <v>3127.0</v>
      </c>
      <c r="O751" s="3" t="s">
        <v>818</v>
      </c>
      <c r="P751" s="10">
        <v>7480.0</v>
      </c>
      <c r="Q751" s="13">
        <v>81.73</v>
      </c>
      <c r="R751" s="13">
        <v>56.67</v>
      </c>
      <c r="S751" s="13">
        <f t="shared" si="3"/>
        <v>611340.4</v>
      </c>
      <c r="T751" s="13">
        <f t="shared" si="4"/>
        <v>423891.6</v>
      </c>
      <c r="U751" s="13">
        <f t="shared" si="5"/>
        <v>187448.8</v>
      </c>
      <c r="V751" s="3" t="str">
        <f>VLOOKUP(N751,products!A:B,2,0)</f>
        <v>Personal Care</v>
      </c>
      <c r="W751" s="3" t="s">
        <v>28</v>
      </c>
      <c r="X751" s="3" t="s">
        <v>29</v>
      </c>
      <c r="Y751" s="14">
        <f t="shared" si="10"/>
        <v>0.3066193564</v>
      </c>
      <c r="Z751" s="3">
        <f t="shared" si="7"/>
        <v>9</v>
      </c>
      <c r="AA751" s="15">
        <f t="shared" si="8"/>
        <v>6</v>
      </c>
    </row>
    <row r="752" ht="15.75" customHeight="1">
      <c r="A752" s="3">
        <v>5.94991052E8</v>
      </c>
      <c r="B752" s="3" t="s">
        <v>1526</v>
      </c>
      <c r="C752" s="3">
        <f>IFERROR(__xludf.DUMMYFUNCTION("split(B752,""/"")"),4.0)</f>
        <v>4</v>
      </c>
      <c r="D752" s="10">
        <f>IFERROR(__xludf.DUMMYFUNCTION("""COMPUTED_VALUE"""),22.0)</f>
        <v>22</v>
      </c>
      <c r="E752" s="11">
        <f>IFERROR(__xludf.DUMMYFUNCTION("""COMPUTED_VALUE"""),2017.0)</f>
        <v>2017</v>
      </c>
      <c r="F752" s="12">
        <f t="shared" si="1"/>
        <v>42847</v>
      </c>
      <c r="G752" s="9">
        <v>42892.0</v>
      </c>
      <c r="H752" s="3">
        <f>IFERROR(__xludf.DUMMYFUNCTION("split(G752,""/"")"),6.0)</f>
        <v>6</v>
      </c>
      <c r="I752" s="3">
        <f>IFERROR(__xludf.DUMMYFUNCTION("""COMPUTED_VALUE"""),6.0)</f>
        <v>6</v>
      </c>
      <c r="J752" s="3">
        <f>IFERROR(__xludf.DUMMYFUNCTION("""COMPUTED_VALUE"""),2017.0)</f>
        <v>2017</v>
      </c>
      <c r="K752" s="12">
        <f t="shared" si="2"/>
        <v>42892</v>
      </c>
      <c r="L752" s="3" t="s">
        <v>814</v>
      </c>
      <c r="M752" s="3" t="s">
        <v>434</v>
      </c>
      <c r="N752" s="3">
        <v>8969.0</v>
      </c>
      <c r="O752" s="3" t="s">
        <v>818</v>
      </c>
      <c r="P752" s="10">
        <v>9929.0</v>
      </c>
      <c r="Q752" s="13">
        <v>152.58</v>
      </c>
      <c r="R752" s="13">
        <v>97.44</v>
      </c>
      <c r="S752" s="13">
        <f t="shared" si="3"/>
        <v>1514966.82</v>
      </c>
      <c r="T752" s="13">
        <f t="shared" si="4"/>
        <v>967481.76</v>
      </c>
      <c r="U752" s="13">
        <f t="shared" si="5"/>
        <v>547485.06</v>
      </c>
      <c r="V752" s="3" t="str">
        <f>VLOOKUP(N752,products!A:B,2,0)</f>
        <v>Snacks</v>
      </c>
      <c r="W752" s="3" t="s">
        <v>28</v>
      </c>
      <c r="X752" s="3" t="s">
        <v>79</v>
      </c>
      <c r="Y752" s="14">
        <f t="shared" si="10"/>
        <v>0.3613841919</v>
      </c>
      <c r="Z752" s="3">
        <f t="shared" si="7"/>
        <v>45</v>
      </c>
      <c r="AA752" s="15">
        <f t="shared" si="8"/>
        <v>7</v>
      </c>
    </row>
    <row r="753" ht="15.75" customHeight="1">
      <c r="A753" s="3">
        <v>5.95385873E8</v>
      </c>
      <c r="B753" s="9">
        <v>40736.0</v>
      </c>
      <c r="C753" s="3">
        <f>IFERROR(__xludf.DUMMYFUNCTION("split(B753,""/"")"),12.0)</f>
        <v>12</v>
      </c>
      <c r="D753" s="10">
        <f>IFERROR(__xludf.DUMMYFUNCTION("""COMPUTED_VALUE"""),7.0)</f>
        <v>7</v>
      </c>
      <c r="E753" s="11">
        <f>IFERROR(__xludf.DUMMYFUNCTION("""COMPUTED_VALUE"""),2011.0)</f>
        <v>2011</v>
      </c>
      <c r="F753" s="12">
        <f t="shared" si="1"/>
        <v>40884</v>
      </c>
      <c r="G753" s="3" t="s">
        <v>1258</v>
      </c>
      <c r="H753" s="3">
        <f>IFERROR(__xludf.DUMMYFUNCTION("split(G753,""/"")"),12.0)</f>
        <v>12</v>
      </c>
      <c r="I753" s="3">
        <f>IFERROR(__xludf.DUMMYFUNCTION("""COMPUTED_VALUE"""),21.0)</f>
        <v>21</v>
      </c>
      <c r="J753" s="3">
        <f>IFERROR(__xludf.DUMMYFUNCTION("""COMPUTED_VALUE"""),2011.0)</f>
        <v>2011</v>
      </c>
      <c r="K753" s="12">
        <f t="shared" si="2"/>
        <v>40898</v>
      </c>
      <c r="L753" s="3" t="s">
        <v>814</v>
      </c>
      <c r="M753" s="3" t="s">
        <v>434</v>
      </c>
      <c r="N753" s="3">
        <v>3127.0</v>
      </c>
      <c r="O753" s="3" t="s">
        <v>818</v>
      </c>
      <c r="P753" s="10">
        <v>6765.0</v>
      </c>
      <c r="Q753" s="13">
        <v>81.73</v>
      </c>
      <c r="R753" s="13">
        <v>56.67</v>
      </c>
      <c r="S753" s="13">
        <f t="shared" si="3"/>
        <v>552903.45</v>
      </c>
      <c r="T753" s="13">
        <f t="shared" si="4"/>
        <v>383372.55</v>
      </c>
      <c r="U753" s="13">
        <f t="shared" si="5"/>
        <v>169530.9</v>
      </c>
      <c r="V753" s="3" t="str">
        <f>VLOOKUP(N753,products!A:B,2,0)</f>
        <v>Personal Care</v>
      </c>
      <c r="W753" s="3" t="s">
        <v>28</v>
      </c>
      <c r="X753" s="3" t="s">
        <v>79</v>
      </c>
      <c r="Y753" s="14">
        <f t="shared" si="10"/>
        <v>0.3066193564</v>
      </c>
      <c r="Z753" s="3">
        <f t="shared" si="7"/>
        <v>14</v>
      </c>
      <c r="AA753" s="15">
        <f t="shared" si="8"/>
        <v>4</v>
      </c>
    </row>
    <row r="754" ht="15.75" customHeight="1">
      <c r="A754" s="3">
        <v>5.95395314E8</v>
      </c>
      <c r="B754" s="9">
        <v>41917.0</v>
      </c>
      <c r="C754" s="3">
        <f>IFERROR(__xludf.DUMMYFUNCTION("split(B754,""/"")"),5.0)</f>
        <v>5</v>
      </c>
      <c r="D754" s="10">
        <f>IFERROR(__xludf.DUMMYFUNCTION("""COMPUTED_VALUE"""),10.0)</f>
        <v>10</v>
      </c>
      <c r="E754" s="11">
        <f>IFERROR(__xludf.DUMMYFUNCTION("""COMPUTED_VALUE"""),2014.0)</f>
        <v>2014</v>
      </c>
      <c r="F754" s="12">
        <f t="shared" si="1"/>
        <v>41769</v>
      </c>
      <c r="G754" s="3" t="s">
        <v>1522</v>
      </c>
      <c r="H754" s="3">
        <f>IFERROR(__xludf.DUMMYFUNCTION("split(G754,""/"")"),5.0)</f>
        <v>5</v>
      </c>
      <c r="I754" s="3">
        <f>IFERROR(__xludf.DUMMYFUNCTION("""COMPUTED_VALUE"""),30.0)</f>
        <v>30</v>
      </c>
      <c r="J754" s="3">
        <f>IFERROR(__xludf.DUMMYFUNCTION("""COMPUTED_VALUE"""),2014.0)</f>
        <v>2014</v>
      </c>
      <c r="K754" s="12">
        <f t="shared" si="2"/>
        <v>41789</v>
      </c>
      <c r="L754" s="3" t="s">
        <v>814</v>
      </c>
      <c r="M754" s="3" t="s">
        <v>623</v>
      </c>
      <c r="N754" s="3">
        <v>1270.0</v>
      </c>
      <c r="O754" s="3" t="s">
        <v>818</v>
      </c>
      <c r="P754" s="10">
        <v>9559.0</v>
      </c>
      <c r="Q754" s="13">
        <v>47.45</v>
      </c>
      <c r="R754" s="13">
        <v>31.79</v>
      </c>
      <c r="S754" s="13">
        <f t="shared" si="3"/>
        <v>453574.55</v>
      </c>
      <c r="T754" s="13">
        <f t="shared" si="4"/>
        <v>303880.61</v>
      </c>
      <c r="U754" s="13">
        <f t="shared" si="5"/>
        <v>149693.94</v>
      </c>
      <c r="V754" s="3" t="str">
        <f>VLOOKUP(N754,products!A:B,2,0)</f>
        <v>Beverages</v>
      </c>
      <c r="W754" s="3" t="s">
        <v>28</v>
      </c>
      <c r="X754" s="3" t="s">
        <v>33</v>
      </c>
      <c r="Y754" s="14">
        <f t="shared" si="10"/>
        <v>0.3300316122</v>
      </c>
      <c r="Z754" s="3">
        <f t="shared" si="7"/>
        <v>20</v>
      </c>
      <c r="AA754" s="15">
        <f t="shared" si="8"/>
        <v>7</v>
      </c>
    </row>
    <row r="755" ht="15.75" customHeight="1">
      <c r="A755" s="3">
        <v>5.95496594E8</v>
      </c>
      <c r="B755" s="3" t="s">
        <v>1527</v>
      </c>
      <c r="C755" s="3">
        <f>IFERROR(__xludf.DUMMYFUNCTION("split(B755,""/"")"),10.0)</f>
        <v>10</v>
      </c>
      <c r="D755" s="10">
        <f>IFERROR(__xludf.DUMMYFUNCTION("""COMPUTED_VALUE"""),24.0)</f>
        <v>24</v>
      </c>
      <c r="E755" s="11">
        <f>IFERROR(__xludf.DUMMYFUNCTION("""COMPUTED_VALUE"""),2012.0)</f>
        <v>2012</v>
      </c>
      <c r="F755" s="12">
        <f t="shared" si="1"/>
        <v>41206</v>
      </c>
      <c r="G755" s="9">
        <v>41010.0</v>
      </c>
      <c r="H755" s="3">
        <f>IFERROR(__xludf.DUMMYFUNCTION("split(G755,""/"")"),11.0)</f>
        <v>11</v>
      </c>
      <c r="I755" s="3">
        <f>IFERROR(__xludf.DUMMYFUNCTION("""COMPUTED_VALUE"""),4.0)</f>
        <v>4</v>
      </c>
      <c r="J755" s="3">
        <f>IFERROR(__xludf.DUMMYFUNCTION("""COMPUTED_VALUE"""),2012.0)</f>
        <v>2012</v>
      </c>
      <c r="K755" s="12">
        <f t="shared" si="2"/>
        <v>41217</v>
      </c>
      <c r="L755" s="3" t="s">
        <v>827</v>
      </c>
      <c r="M755" s="3" t="s">
        <v>142</v>
      </c>
      <c r="N755" s="3">
        <v>3127.0</v>
      </c>
      <c r="O755" s="3" t="s">
        <v>818</v>
      </c>
      <c r="P755" s="10">
        <v>9530.0</v>
      </c>
      <c r="Q755" s="13">
        <v>81.73</v>
      </c>
      <c r="R755" s="13">
        <v>56.67</v>
      </c>
      <c r="S755" s="13">
        <f t="shared" si="3"/>
        <v>778886.9</v>
      </c>
      <c r="T755" s="13">
        <f t="shared" si="4"/>
        <v>540065.1</v>
      </c>
      <c r="U755" s="13">
        <f t="shared" si="5"/>
        <v>238821.8</v>
      </c>
      <c r="V755" s="3" t="str">
        <f>VLOOKUP(N755,products!A:B,2,0)</f>
        <v>Personal Care</v>
      </c>
      <c r="W755" s="3" t="s">
        <v>28</v>
      </c>
      <c r="X755" s="3" t="s">
        <v>98</v>
      </c>
      <c r="Y755" s="14">
        <f t="shared" si="10"/>
        <v>0.3066193564</v>
      </c>
      <c r="Z755" s="3">
        <f t="shared" si="7"/>
        <v>11</v>
      </c>
      <c r="AA755" s="15">
        <f t="shared" si="8"/>
        <v>4</v>
      </c>
    </row>
    <row r="756" ht="15.75" customHeight="1">
      <c r="A756" s="3">
        <v>5.95922315E8</v>
      </c>
      <c r="B756" s="9">
        <v>41251.0</v>
      </c>
      <c r="C756" s="3">
        <f>IFERROR(__xludf.DUMMYFUNCTION("split(B756,""/"")"),8.0)</f>
        <v>8</v>
      </c>
      <c r="D756" s="10">
        <f>IFERROR(__xludf.DUMMYFUNCTION("""COMPUTED_VALUE"""),12.0)</f>
        <v>12</v>
      </c>
      <c r="E756" s="11">
        <f>IFERROR(__xludf.DUMMYFUNCTION("""COMPUTED_VALUE"""),2012.0)</f>
        <v>2012</v>
      </c>
      <c r="F756" s="12">
        <f t="shared" si="1"/>
        <v>41133</v>
      </c>
      <c r="G756" s="9">
        <v>41008.0</v>
      </c>
      <c r="H756" s="3">
        <f>IFERROR(__xludf.DUMMYFUNCTION("split(G756,""/"")"),9.0)</f>
        <v>9</v>
      </c>
      <c r="I756" s="3">
        <f>IFERROR(__xludf.DUMMYFUNCTION("""COMPUTED_VALUE"""),4.0)</f>
        <v>4</v>
      </c>
      <c r="J756" s="3">
        <f>IFERROR(__xludf.DUMMYFUNCTION("""COMPUTED_VALUE"""),2012.0)</f>
        <v>2012</v>
      </c>
      <c r="K756" s="12">
        <f t="shared" si="2"/>
        <v>41156</v>
      </c>
      <c r="L756" s="3" t="s">
        <v>814</v>
      </c>
      <c r="M756" s="3" t="s">
        <v>221</v>
      </c>
      <c r="N756" s="3">
        <v>8875.0</v>
      </c>
      <c r="O756" s="3" t="s">
        <v>818</v>
      </c>
      <c r="P756" s="10">
        <v>5510.0</v>
      </c>
      <c r="Q756" s="13">
        <v>421.89</v>
      </c>
      <c r="R756" s="13">
        <v>364.69</v>
      </c>
      <c r="S756" s="13">
        <f t="shared" si="3"/>
        <v>2324613.9</v>
      </c>
      <c r="T756" s="13">
        <f t="shared" si="4"/>
        <v>2009441.9</v>
      </c>
      <c r="U756" s="13">
        <f t="shared" si="5"/>
        <v>315172</v>
      </c>
      <c r="V756" s="3" t="str">
        <f>VLOOKUP(N756,products!A:B,2,0)</f>
        <v>Meat</v>
      </c>
      <c r="W756" s="3" t="s">
        <v>28</v>
      </c>
      <c r="X756" s="3" t="s">
        <v>29</v>
      </c>
      <c r="Y756" s="14">
        <f t="shared" si="10"/>
        <v>0.1355803646</v>
      </c>
      <c r="Z756" s="3">
        <f t="shared" si="7"/>
        <v>23</v>
      </c>
      <c r="AA756" s="15">
        <f t="shared" si="8"/>
        <v>1</v>
      </c>
    </row>
    <row r="757" ht="15.75" customHeight="1">
      <c r="A757" s="3">
        <v>5.96166074E8</v>
      </c>
      <c r="B757" s="3" t="s">
        <v>1373</v>
      </c>
      <c r="C757" s="3">
        <f>IFERROR(__xludf.DUMMYFUNCTION("split(B757,""/"")"),11.0)</f>
        <v>11</v>
      </c>
      <c r="D757" s="10">
        <f>IFERROR(__xludf.DUMMYFUNCTION("""COMPUTED_VALUE"""),27.0)</f>
        <v>27</v>
      </c>
      <c r="E757" s="11">
        <f>IFERROR(__xludf.DUMMYFUNCTION("""COMPUTED_VALUE"""),2013.0)</f>
        <v>2013</v>
      </c>
      <c r="F757" s="12">
        <f t="shared" si="1"/>
        <v>41605</v>
      </c>
      <c r="G757" s="3" t="s">
        <v>1528</v>
      </c>
      <c r="H757" s="3">
        <f>IFERROR(__xludf.DUMMYFUNCTION("split(G757,""/"")"),1.0)</f>
        <v>1</v>
      </c>
      <c r="I757" s="3">
        <f>IFERROR(__xludf.DUMMYFUNCTION("""COMPUTED_VALUE"""),13.0)</f>
        <v>13</v>
      </c>
      <c r="J757" s="3">
        <f>IFERROR(__xludf.DUMMYFUNCTION("""COMPUTED_VALUE"""),2014.0)</f>
        <v>2014</v>
      </c>
      <c r="K757" s="12">
        <f t="shared" si="2"/>
        <v>41652</v>
      </c>
      <c r="L757" s="3" t="s">
        <v>827</v>
      </c>
      <c r="M757" s="3" t="s">
        <v>291</v>
      </c>
      <c r="N757" s="3">
        <v>7331.0</v>
      </c>
      <c r="O757" s="3" t="s">
        <v>818</v>
      </c>
      <c r="P757" s="10">
        <v>7644.0</v>
      </c>
      <c r="Q757" s="13">
        <v>255.28</v>
      </c>
      <c r="R757" s="13">
        <v>159.42</v>
      </c>
      <c r="S757" s="13">
        <f t="shared" si="3"/>
        <v>1951360.32</v>
      </c>
      <c r="T757" s="13">
        <f t="shared" si="4"/>
        <v>1218606.48</v>
      </c>
      <c r="U757" s="13">
        <f t="shared" si="5"/>
        <v>732753.84</v>
      </c>
      <c r="V757" s="3" t="str">
        <f>VLOOKUP(N757,products!A:B,2,0)</f>
        <v>Baby Food</v>
      </c>
      <c r="W757" s="3" t="s">
        <v>28</v>
      </c>
      <c r="X757" s="3" t="s">
        <v>79</v>
      </c>
      <c r="Y757" s="14">
        <f t="shared" si="10"/>
        <v>0.3755092448</v>
      </c>
      <c r="Z757" s="3">
        <f t="shared" si="7"/>
        <v>47</v>
      </c>
      <c r="AA757" s="15">
        <f t="shared" si="8"/>
        <v>4</v>
      </c>
    </row>
    <row r="758" ht="15.75" customHeight="1">
      <c r="A758" s="3">
        <v>5.97105491E8</v>
      </c>
      <c r="B758" s="9">
        <v>41069.0</v>
      </c>
      <c r="C758" s="3">
        <f>IFERROR(__xludf.DUMMYFUNCTION("split(B758,""/"")"),9.0)</f>
        <v>9</v>
      </c>
      <c r="D758" s="10">
        <f>IFERROR(__xludf.DUMMYFUNCTION("""COMPUTED_VALUE"""),6.0)</f>
        <v>6</v>
      </c>
      <c r="E758" s="11">
        <f>IFERROR(__xludf.DUMMYFUNCTION("""COMPUTED_VALUE"""),2012.0)</f>
        <v>2012</v>
      </c>
      <c r="F758" s="12">
        <f t="shared" si="1"/>
        <v>41158</v>
      </c>
      <c r="G758" s="3" t="s">
        <v>833</v>
      </c>
      <c r="H758" s="3">
        <f>IFERROR(__xludf.DUMMYFUNCTION("split(G758,""/"")"),10.0)</f>
        <v>10</v>
      </c>
      <c r="I758" s="3">
        <f>IFERROR(__xludf.DUMMYFUNCTION("""COMPUTED_VALUE"""),20.0)</f>
        <v>20</v>
      </c>
      <c r="J758" s="3">
        <f>IFERROR(__xludf.DUMMYFUNCTION("""COMPUTED_VALUE"""),2012.0)</f>
        <v>2012</v>
      </c>
      <c r="K758" s="12">
        <f t="shared" si="2"/>
        <v>41202</v>
      </c>
      <c r="L758" s="3" t="s">
        <v>814</v>
      </c>
      <c r="M758" s="3" t="s">
        <v>536</v>
      </c>
      <c r="N758" s="3">
        <v>8969.0</v>
      </c>
      <c r="O758" s="3" t="s">
        <v>818</v>
      </c>
      <c r="P758" s="10">
        <v>5639.0</v>
      </c>
      <c r="Q758" s="13">
        <v>152.58</v>
      </c>
      <c r="R758" s="13">
        <v>97.44</v>
      </c>
      <c r="S758" s="13">
        <f t="shared" si="3"/>
        <v>860398.62</v>
      </c>
      <c r="T758" s="13">
        <f t="shared" si="4"/>
        <v>549464.16</v>
      </c>
      <c r="U758" s="13">
        <f t="shared" si="5"/>
        <v>310934.46</v>
      </c>
      <c r="V758" s="3" t="str">
        <f>VLOOKUP(N758,products!A:B,2,0)</f>
        <v>Snacks</v>
      </c>
      <c r="W758" s="3" t="s">
        <v>28</v>
      </c>
      <c r="X758" s="3" t="s">
        <v>33</v>
      </c>
      <c r="Y758" s="14">
        <f t="shared" si="10"/>
        <v>0.3613841919</v>
      </c>
      <c r="Z758" s="3">
        <f t="shared" si="7"/>
        <v>44</v>
      </c>
      <c r="AA758" s="15">
        <f t="shared" si="8"/>
        <v>5</v>
      </c>
    </row>
    <row r="759" ht="15.75" customHeight="1">
      <c r="A759" s="3">
        <v>5.97839343E8</v>
      </c>
      <c r="B759" s="3" t="s">
        <v>1039</v>
      </c>
      <c r="C759" s="3">
        <f>IFERROR(__xludf.DUMMYFUNCTION("split(B759,""/"")"),6.0)</f>
        <v>6</v>
      </c>
      <c r="D759" s="10">
        <f>IFERROR(__xludf.DUMMYFUNCTION("""COMPUTED_VALUE"""),18.0)</f>
        <v>18</v>
      </c>
      <c r="E759" s="11">
        <f>IFERROR(__xludf.DUMMYFUNCTION("""COMPUTED_VALUE"""),2014.0)</f>
        <v>2014</v>
      </c>
      <c r="F759" s="12">
        <f t="shared" si="1"/>
        <v>41808</v>
      </c>
      <c r="G759" s="3" t="s">
        <v>1529</v>
      </c>
      <c r="H759" s="3">
        <f>IFERROR(__xludf.DUMMYFUNCTION("split(G759,""/"")"),7.0)</f>
        <v>7</v>
      </c>
      <c r="I759" s="3">
        <f>IFERROR(__xludf.DUMMYFUNCTION("""COMPUTED_VALUE"""),26.0)</f>
        <v>26</v>
      </c>
      <c r="J759" s="3">
        <f>IFERROR(__xludf.DUMMYFUNCTION("""COMPUTED_VALUE"""),2014.0)</f>
        <v>2014</v>
      </c>
      <c r="K759" s="12">
        <f t="shared" si="2"/>
        <v>41846</v>
      </c>
      <c r="L759" s="3" t="s">
        <v>817</v>
      </c>
      <c r="M759" s="3" t="s">
        <v>221</v>
      </c>
      <c r="N759" s="3">
        <v>3127.0</v>
      </c>
      <c r="O759" s="3" t="s">
        <v>818</v>
      </c>
      <c r="P759" s="10">
        <v>2802.0</v>
      </c>
      <c r="Q759" s="13">
        <v>81.73</v>
      </c>
      <c r="R759" s="13">
        <v>56.67</v>
      </c>
      <c r="S759" s="13">
        <f t="shared" si="3"/>
        <v>229007.46</v>
      </c>
      <c r="T759" s="13">
        <f t="shared" si="4"/>
        <v>158789.34</v>
      </c>
      <c r="U759" s="13">
        <f t="shared" si="5"/>
        <v>70218.12</v>
      </c>
      <c r="V759" s="3" t="str">
        <f>VLOOKUP(N759,products!A:B,2,0)</f>
        <v>Personal Care</v>
      </c>
      <c r="W759" s="3" t="s">
        <v>28</v>
      </c>
      <c r="X759" s="3" t="s">
        <v>29</v>
      </c>
      <c r="Y759" s="14">
        <f t="shared" si="10"/>
        <v>0.3066193564</v>
      </c>
      <c r="Z759" s="3">
        <f t="shared" si="7"/>
        <v>38</v>
      </c>
      <c r="AA759" s="15">
        <f t="shared" si="8"/>
        <v>4</v>
      </c>
    </row>
    <row r="760" ht="15.75" customHeight="1">
      <c r="A760" s="3">
        <v>5.98404109E8</v>
      </c>
      <c r="B760" s="9">
        <v>41709.0</v>
      </c>
      <c r="C760" s="3">
        <f>IFERROR(__xludf.DUMMYFUNCTION("split(B760,""/"")"),11.0)</f>
        <v>11</v>
      </c>
      <c r="D760" s="10">
        <f>IFERROR(__xludf.DUMMYFUNCTION("""COMPUTED_VALUE"""),3.0)</f>
        <v>3</v>
      </c>
      <c r="E760" s="11">
        <f>IFERROR(__xludf.DUMMYFUNCTION("""COMPUTED_VALUE"""),2014.0)</f>
        <v>2014</v>
      </c>
      <c r="F760" s="12">
        <f t="shared" si="1"/>
        <v>41946</v>
      </c>
      <c r="G760" s="3" t="s">
        <v>1530</v>
      </c>
      <c r="H760" s="3">
        <f>IFERROR(__xludf.DUMMYFUNCTION("split(G760,""/"")"),11.0)</f>
        <v>11</v>
      </c>
      <c r="I760" s="3">
        <f>IFERROR(__xludf.DUMMYFUNCTION("""COMPUTED_VALUE"""),18.0)</f>
        <v>18</v>
      </c>
      <c r="J760" s="3">
        <f>IFERROR(__xludf.DUMMYFUNCTION("""COMPUTED_VALUE"""),2014.0)</f>
        <v>2014</v>
      </c>
      <c r="K760" s="12">
        <f t="shared" si="2"/>
        <v>41961</v>
      </c>
      <c r="L760" s="3" t="s">
        <v>827</v>
      </c>
      <c r="M760" s="3" t="s">
        <v>821</v>
      </c>
      <c r="N760" s="3">
        <v>4594.0</v>
      </c>
      <c r="O760" s="3" t="s">
        <v>815</v>
      </c>
      <c r="P760" s="10">
        <v>9929.0</v>
      </c>
      <c r="Q760" s="13">
        <v>9.33</v>
      </c>
      <c r="R760" s="13">
        <v>6.92</v>
      </c>
      <c r="S760" s="13">
        <f t="shared" si="3"/>
        <v>92637.57</v>
      </c>
      <c r="T760" s="13">
        <f t="shared" si="4"/>
        <v>68708.68</v>
      </c>
      <c r="U760" s="13">
        <f t="shared" si="5"/>
        <v>23928.89</v>
      </c>
      <c r="V760" s="3" t="str">
        <f>VLOOKUP(N760,products!A:B,2,0)</f>
        <v>Fruits</v>
      </c>
      <c r="W760" s="3" t="s">
        <v>821</v>
      </c>
      <c r="X760" s="3" t="s">
        <v>821</v>
      </c>
      <c r="Y760" s="14">
        <f t="shared" si="10"/>
        <v>0.258306538</v>
      </c>
      <c r="Z760" s="3">
        <f t="shared" si="7"/>
        <v>15</v>
      </c>
      <c r="AA760" s="15">
        <f t="shared" si="8"/>
        <v>2</v>
      </c>
    </row>
    <row r="761" ht="15.75" customHeight="1">
      <c r="A761" s="3">
        <v>5.99624192E8</v>
      </c>
      <c r="B761" s="9">
        <v>40977.0</v>
      </c>
      <c r="C761" s="3">
        <f>IFERROR(__xludf.DUMMYFUNCTION("split(B761,""/"")"),9.0)</f>
        <v>9</v>
      </c>
      <c r="D761" s="10">
        <f>IFERROR(__xludf.DUMMYFUNCTION("""COMPUTED_VALUE"""),3.0)</f>
        <v>3</v>
      </c>
      <c r="E761" s="11">
        <f>IFERROR(__xludf.DUMMYFUNCTION("""COMPUTED_VALUE"""),2012.0)</f>
        <v>2012</v>
      </c>
      <c r="F761" s="12">
        <f t="shared" si="1"/>
        <v>41155</v>
      </c>
      <c r="G761" s="3" t="s">
        <v>1531</v>
      </c>
      <c r="H761" s="3">
        <f>IFERROR(__xludf.DUMMYFUNCTION("split(G761,""/"")"),9.0)</f>
        <v>9</v>
      </c>
      <c r="I761" s="3">
        <f>IFERROR(__xludf.DUMMYFUNCTION("""COMPUTED_VALUE"""),21.0)</f>
        <v>21</v>
      </c>
      <c r="J761" s="3">
        <f>IFERROR(__xludf.DUMMYFUNCTION("""COMPUTED_VALUE"""),2012.0)</f>
        <v>2012</v>
      </c>
      <c r="K761" s="12">
        <f t="shared" si="2"/>
        <v>41173</v>
      </c>
      <c r="L761" s="3" t="s">
        <v>825</v>
      </c>
      <c r="M761" s="3" t="s">
        <v>635</v>
      </c>
      <c r="N761" s="3">
        <v>1270.0</v>
      </c>
      <c r="O761" s="3" t="s">
        <v>815</v>
      </c>
      <c r="P761" s="10">
        <v>978.0</v>
      </c>
      <c r="Q761" s="13">
        <v>47.45</v>
      </c>
      <c r="R761" s="13">
        <v>31.79</v>
      </c>
      <c r="S761" s="13">
        <f t="shared" si="3"/>
        <v>46406.1</v>
      </c>
      <c r="T761" s="13">
        <f t="shared" si="4"/>
        <v>31090.62</v>
      </c>
      <c r="U761" s="13">
        <f t="shared" si="5"/>
        <v>15315.48</v>
      </c>
      <c r="V761" s="3" t="str">
        <f>VLOOKUP(N761,products!A:B,2,0)</f>
        <v>Beverages</v>
      </c>
      <c r="W761" s="3" t="s">
        <v>28</v>
      </c>
      <c r="X761" s="3" t="s">
        <v>33</v>
      </c>
      <c r="Y761" s="14">
        <f t="shared" si="10"/>
        <v>0.3300316122</v>
      </c>
      <c r="Z761" s="3">
        <f t="shared" si="7"/>
        <v>18</v>
      </c>
      <c r="AA761" s="15">
        <f t="shared" si="8"/>
        <v>2</v>
      </c>
    </row>
    <row r="762" ht="15.75" customHeight="1">
      <c r="A762" s="3">
        <v>5.99997556E8</v>
      </c>
      <c r="B762" s="3" t="s">
        <v>1064</v>
      </c>
      <c r="C762" s="3">
        <f>IFERROR(__xludf.DUMMYFUNCTION("split(B762,""/"")"),2.0)</f>
        <v>2</v>
      </c>
      <c r="D762" s="10">
        <f>IFERROR(__xludf.DUMMYFUNCTION("""COMPUTED_VALUE"""),13.0)</f>
        <v>13</v>
      </c>
      <c r="E762" s="11">
        <f>IFERROR(__xludf.DUMMYFUNCTION("""COMPUTED_VALUE"""),2012.0)</f>
        <v>2012</v>
      </c>
      <c r="F762" s="12">
        <f t="shared" si="1"/>
        <v>40952</v>
      </c>
      <c r="G762" s="3" t="s">
        <v>1532</v>
      </c>
      <c r="H762" s="3">
        <f>IFERROR(__xludf.DUMMYFUNCTION("split(G762,""/"")"),2.0)</f>
        <v>2</v>
      </c>
      <c r="I762" s="3">
        <f>IFERROR(__xludf.DUMMYFUNCTION("""COMPUTED_VALUE"""),14.0)</f>
        <v>14</v>
      </c>
      <c r="J762" s="3">
        <f>IFERROR(__xludf.DUMMYFUNCTION("""COMPUTED_VALUE"""),2012.0)</f>
        <v>2012</v>
      </c>
      <c r="K762" s="12">
        <f t="shared" si="2"/>
        <v>40953</v>
      </c>
      <c r="L762" s="3" t="s">
        <v>827</v>
      </c>
      <c r="M762" s="3" t="s">
        <v>821</v>
      </c>
      <c r="N762" s="3">
        <v>1270.0</v>
      </c>
      <c r="O762" s="3" t="s">
        <v>818</v>
      </c>
      <c r="P762" s="10">
        <v>1465.0</v>
      </c>
      <c r="Q762" s="13">
        <v>47.45</v>
      </c>
      <c r="R762" s="13">
        <v>31.79</v>
      </c>
      <c r="S762" s="13">
        <f t="shared" si="3"/>
        <v>69514.25</v>
      </c>
      <c r="T762" s="13">
        <f t="shared" si="4"/>
        <v>46572.35</v>
      </c>
      <c r="U762" s="13">
        <f t="shared" si="5"/>
        <v>22941.9</v>
      </c>
      <c r="V762" s="3" t="str">
        <f>VLOOKUP(N762,products!A:B,2,0)</f>
        <v>Beverages</v>
      </c>
      <c r="W762" s="3" t="s">
        <v>821</v>
      </c>
      <c r="X762" s="3" t="s">
        <v>821</v>
      </c>
      <c r="Y762" s="14">
        <f t="shared" si="10"/>
        <v>0.3300316122</v>
      </c>
      <c r="Z762" s="3">
        <f t="shared" si="7"/>
        <v>1</v>
      </c>
      <c r="AA762" s="15">
        <f t="shared" si="8"/>
        <v>2</v>
      </c>
    </row>
    <row r="763" ht="15.75" customHeight="1">
      <c r="A763" s="3">
        <v>6.00515115E8</v>
      </c>
      <c r="B763" s="9">
        <v>42345.0</v>
      </c>
      <c r="C763" s="3">
        <f>IFERROR(__xludf.DUMMYFUNCTION("split(B763,""/"")"),7.0)</f>
        <v>7</v>
      </c>
      <c r="D763" s="10">
        <f>IFERROR(__xludf.DUMMYFUNCTION("""COMPUTED_VALUE"""),12.0)</f>
        <v>12</v>
      </c>
      <c r="E763" s="11">
        <f>IFERROR(__xludf.DUMMYFUNCTION("""COMPUTED_VALUE"""),2015.0)</f>
        <v>2015</v>
      </c>
      <c r="F763" s="12">
        <f t="shared" si="1"/>
        <v>42197</v>
      </c>
      <c r="G763" s="3" t="s">
        <v>1533</v>
      </c>
      <c r="H763" s="3">
        <f>IFERROR(__xludf.DUMMYFUNCTION("split(G763,""/"")"),8.0)</f>
        <v>8</v>
      </c>
      <c r="I763" s="3">
        <f>IFERROR(__xludf.DUMMYFUNCTION("""COMPUTED_VALUE"""),30.0)</f>
        <v>30</v>
      </c>
      <c r="J763" s="3">
        <f>IFERROR(__xludf.DUMMYFUNCTION("""COMPUTED_VALUE"""),2015.0)</f>
        <v>2015</v>
      </c>
      <c r="K763" s="12">
        <f t="shared" si="2"/>
        <v>42246</v>
      </c>
      <c r="L763" s="3" t="s">
        <v>814</v>
      </c>
      <c r="M763" s="3" t="s">
        <v>215</v>
      </c>
      <c r="N763" s="3">
        <v>4594.0</v>
      </c>
      <c r="O763" s="3" t="s">
        <v>818</v>
      </c>
      <c r="P763" s="10">
        <v>4622.0</v>
      </c>
      <c r="Q763" s="13">
        <v>9.33</v>
      </c>
      <c r="R763" s="13">
        <v>6.92</v>
      </c>
      <c r="S763" s="13">
        <f t="shared" si="3"/>
        <v>43123.26</v>
      </c>
      <c r="T763" s="13">
        <f t="shared" si="4"/>
        <v>31984.24</v>
      </c>
      <c r="U763" s="13">
        <f t="shared" si="5"/>
        <v>11139.02</v>
      </c>
      <c r="V763" s="3" t="str">
        <f>VLOOKUP(N763,products!A:B,2,0)</f>
        <v>Fruits</v>
      </c>
      <c r="W763" s="3" t="s">
        <v>23</v>
      </c>
      <c r="X763" s="3" t="s">
        <v>68</v>
      </c>
      <c r="Y763" s="14">
        <f t="shared" si="10"/>
        <v>0.258306538</v>
      </c>
      <c r="Z763" s="3">
        <f t="shared" si="7"/>
        <v>49</v>
      </c>
      <c r="AA763" s="15">
        <f t="shared" si="8"/>
        <v>1</v>
      </c>
    </row>
    <row r="764" ht="15.75" customHeight="1">
      <c r="A764" s="3">
        <v>6.01422345E8</v>
      </c>
      <c r="B764" s="9">
        <v>40271.0</v>
      </c>
      <c r="C764" s="3">
        <f>IFERROR(__xludf.DUMMYFUNCTION("split(B764,""/"")"),3.0)</f>
        <v>3</v>
      </c>
      <c r="D764" s="10">
        <f>IFERROR(__xludf.DUMMYFUNCTION("""COMPUTED_VALUE"""),4.0)</f>
        <v>4</v>
      </c>
      <c r="E764" s="11">
        <f>IFERROR(__xludf.DUMMYFUNCTION("""COMPUTED_VALUE"""),2010.0)</f>
        <v>2010</v>
      </c>
      <c r="F764" s="12">
        <f t="shared" si="1"/>
        <v>40241</v>
      </c>
      <c r="G764" s="3" t="s">
        <v>1267</v>
      </c>
      <c r="H764" s="3">
        <f>IFERROR(__xludf.DUMMYFUNCTION("split(G764,""/"")"),3.0)</f>
        <v>3</v>
      </c>
      <c r="I764" s="3">
        <f>IFERROR(__xludf.DUMMYFUNCTION("""COMPUTED_VALUE"""),20.0)</f>
        <v>20</v>
      </c>
      <c r="J764" s="3">
        <f>IFERROR(__xludf.DUMMYFUNCTION("""COMPUTED_VALUE"""),2010.0)</f>
        <v>2010</v>
      </c>
      <c r="K764" s="12">
        <f t="shared" si="2"/>
        <v>40257</v>
      </c>
      <c r="L764" s="3" t="s">
        <v>817</v>
      </c>
      <c r="M764" s="3" t="s">
        <v>512</v>
      </c>
      <c r="N764" s="3">
        <v>1270.0</v>
      </c>
      <c r="O764" s="3" t="s">
        <v>815</v>
      </c>
      <c r="P764" s="10">
        <v>3092.0</v>
      </c>
      <c r="Q764" s="13">
        <v>47.45</v>
      </c>
      <c r="R764" s="13">
        <v>31.79</v>
      </c>
      <c r="S764" s="13">
        <f t="shared" si="3"/>
        <v>146715.4</v>
      </c>
      <c r="T764" s="13">
        <f t="shared" si="4"/>
        <v>98294.68</v>
      </c>
      <c r="U764" s="13">
        <f t="shared" si="5"/>
        <v>48420.72</v>
      </c>
      <c r="V764" s="3" t="str">
        <f>VLOOKUP(N764,products!A:B,2,0)</f>
        <v>Beverages</v>
      </c>
      <c r="W764" s="3" t="s">
        <v>28</v>
      </c>
      <c r="X764" s="3" t="s">
        <v>79</v>
      </c>
      <c r="Y764" s="14">
        <f t="shared" si="10"/>
        <v>0.3300316122</v>
      </c>
      <c r="Z764" s="3">
        <f t="shared" si="7"/>
        <v>16</v>
      </c>
      <c r="AA764" s="15">
        <f t="shared" si="8"/>
        <v>5</v>
      </c>
    </row>
    <row r="765" ht="15.75" customHeight="1">
      <c r="A765" s="3">
        <v>6.01588857E8</v>
      </c>
      <c r="B765" s="9">
        <v>41283.0</v>
      </c>
      <c r="C765" s="3">
        <f>IFERROR(__xludf.DUMMYFUNCTION("split(B765,""/"")"),9.0)</f>
        <v>9</v>
      </c>
      <c r="D765" s="10">
        <f>IFERROR(__xludf.DUMMYFUNCTION("""COMPUTED_VALUE"""),1.0)</f>
        <v>1</v>
      </c>
      <c r="E765" s="11">
        <f>IFERROR(__xludf.DUMMYFUNCTION("""COMPUTED_VALUE"""),2013.0)</f>
        <v>2013</v>
      </c>
      <c r="F765" s="12">
        <f t="shared" si="1"/>
        <v>41518</v>
      </c>
      <c r="G765" s="9">
        <v>41556.0</v>
      </c>
      <c r="H765" s="3">
        <f>IFERROR(__xludf.DUMMYFUNCTION("split(G765,""/"")"),9.0)</f>
        <v>9</v>
      </c>
      <c r="I765" s="3">
        <f>IFERROR(__xludf.DUMMYFUNCTION("""COMPUTED_VALUE"""),10.0)</f>
        <v>10</v>
      </c>
      <c r="J765" s="3">
        <f>IFERROR(__xludf.DUMMYFUNCTION("""COMPUTED_VALUE"""),2013.0)</f>
        <v>2013</v>
      </c>
      <c r="K765" s="12">
        <f t="shared" si="2"/>
        <v>41527</v>
      </c>
      <c r="L765" s="3" t="s">
        <v>827</v>
      </c>
      <c r="M765" s="3" t="s">
        <v>821</v>
      </c>
      <c r="N765" s="3">
        <v>2455.0</v>
      </c>
      <c r="O765" s="3" t="s">
        <v>818</v>
      </c>
      <c r="P765" s="10">
        <v>2366.0</v>
      </c>
      <c r="Q765" s="13">
        <v>109.28</v>
      </c>
      <c r="R765" s="13">
        <v>35.84</v>
      </c>
      <c r="S765" s="13">
        <f t="shared" si="3"/>
        <v>258556.48</v>
      </c>
      <c r="T765" s="13">
        <f t="shared" si="4"/>
        <v>84797.44</v>
      </c>
      <c r="U765" s="13">
        <f t="shared" si="5"/>
        <v>173759.04</v>
      </c>
      <c r="V765" s="3" t="str">
        <f>VLOOKUP(N765,products!A:B,2,0)</f>
        <v>Clothes</v>
      </c>
      <c r="W765" s="3" t="s">
        <v>821</v>
      </c>
      <c r="X765" s="3" t="s">
        <v>821</v>
      </c>
      <c r="Y765" s="14">
        <f t="shared" si="10"/>
        <v>0.6720351391</v>
      </c>
      <c r="Z765" s="3">
        <f t="shared" si="7"/>
        <v>9</v>
      </c>
      <c r="AA765" s="15">
        <f t="shared" si="8"/>
        <v>1</v>
      </c>
    </row>
    <row r="766" ht="15.75" customHeight="1">
      <c r="A766" s="3">
        <v>6.0188626E8</v>
      </c>
      <c r="B766" s="9">
        <v>41886.0</v>
      </c>
      <c r="C766" s="3">
        <f>IFERROR(__xludf.DUMMYFUNCTION("split(B766,""/"")"),4.0)</f>
        <v>4</v>
      </c>
      <c r="D766" s="10">
        <f>IFERROR(__xludf.DUMMYFUNCTION("""COMPUTED_VALUE"""),9.0)</f>
        <v>9</v>
      </c>
      <c r="E766" s="11">
        <f>IFERROR(__xludf.DUMMYFUNCTION("""COMPUTED_VALUE"""),2014.0)</f>
        <v>2014</v>
      </c>
      <c r="F766" s="12">
        <f t="shared" si="1"/>
        <v>41738</v>
      </c>
      <c r="G766" s="3" t="s">
        <v>1534</v>
      </c>
      <c r="H766" s="3">
        <f>IFERROR(__xludf.DUMMYFUNCTION("split(G766,""/"")"),5.0)</f>
        <v>5</v>
      </c>
      <c r="I766" s="3">
        <f>IFERROR(__xludf.DUMMYFUNCTION("""COMPUTED_VALUE"""),27.0)</f>
        <v>27</v>
      </c>
      <c r="J766" s="3">
        <f>IFERROR(__xludf.DUMMYFUNCTION("""COMPUTED_VALUE"""),2014.0)</f>
        <v>2014</v>
      </c>
      <c r="K766" s="12">
        <f t="shared" si="2"/>
        <v>41786</v>
      </c>
      <c r="L766" s="3" t="s">
        <v>817</v>
      </c>
      <c r="M766" s="3" t="s">
        <v>270</v>
      </c>
      <c r="N766" s="3">
        <v>4594.0</v>
      </c>
      <c r="O766" s="3" t="s">
        <v>818</v>
      </c>
      <c r="P766" s="10">
        <v>374.0</v>
      </c>
      <c r="Q766" s="13">
        <v>9.33</v>
      </c>
      <c r="R766" s="13">
        <v>6.92</v>
      </c>
      <c r="S766" s="13">
        <f t="shared" si="3"/>
        <v>3489.42</v>
      </c>
      <c r="T766" s="13">
        <f t="shared" si="4"/>
        <v>2588.08</v>
      </c>
      <c r="U766" s="13">
        <f t="shared" si="5"/>
        <v>901.34</v>
      </c>
      <c r="V766" s="3" t="str">
        <f>VLOOKUP(N766,products!A:B,2,0)</f>
        <v>Fruits</v>
      </c>
      <c r="W766" s="3" t="s">
        <v>28</v>
      </c>
      <c r="X766" s="3" t="s">
        <v>79</v>
      </c>
      <c r="Y766" s="14">
        <f t="shared" si="10"/>
        <v>0.258306538</v>
      </c>
      <c r="Z766" s="3">
        <f t="shared" si="7"/>
        <v>48</v>
      </c>
      <c r="AA766" s="15">
        <f t="shared" si="8"/>
        <v>4</v>
      </c>
    </row>
    <row r="767" ht="15.75" customHeight="1">
      <c r="A767" s="3">
        <v>6.01894414E8</v>
      </c>
      <c r="B767" s="9">
        <v>40212.0</v>
      </c>
      <c r="C767" s="3">
        <f>IFERROR(__xludf.DUMMYFUNCTION("split(B767,""/"")"),3.0)</f>
        <v>3</v>
      </c>
      <c r="D767" s="10">
        <f>IFERROR(__xludf.DUMMYFUNCTION("""COMPUTED_VALUE"""),2.0)</f>
        <v>2</v>
      </c>
      <c r="E767" s="11">
        <f>IFERROR(__xludf.DUMMYFUNCTION("""COMPUTED_VALUE"""),2010.0)</f>
        <v>2010</v>
      </c>
      <c r="F767" s="12">
        <f t="shared" si="1"/>
        <v>40239</v>
      </c>
      <c r="G767" s="3" t="s">
        <v>1535</v>
      </c>
      <c r="H767" s="3">
        <f>IFERROR(__xludf.DUMMYFUNCTION("split(G767,""/"")"),3.0)</f>
        <v>3</v>
      </c>
      <c r="I767" s="3">
        <f>IFERROR(__xludf.DUMMYFUNCTION("""COMPUTED_VALUE"""),19.0)</f>
        <v>19</v>
      </c>
      <c r="J767" s="3">
        <f>IFERROR(__xludf.DUMMYFUNCTION("""COMPUTED_VALUE"""),2010.0)</f>
        <v>2010</v>
      </c>
      <c r="K767" s="12">
        <f t="shared" si="2"/>
        <v>40256</v>
      </c>
      <c r="L767" s="3" t="s">
        <v>814</v>
      </c>
      <c r="M767" s="3" t="s">
        <v>650</v>
      </c>
      <c r="N767" s="3">
        <v>8681.0</v>
      </c>
      <c r="O767" s="3" t="s">
        <v>818</v>
      </c>
      <c r="P767" s="10">
        <v>2787.0</v>
      </c>
      <c r="Q767" s="13">
        <v>651.21</v>
      </c>
      <c r="R767" s="13">
        <v>524.96</v>
      </c>
      <c r="S767" s="13">
        <f t="shared" si="3"/>
        <v>1814922.27</v>
      </c>
      <c r="T767" s="13">
        <f t="shared" si="4"/>
        <v>1463063.52</v>
      </c>
      <c r="U767" s="13">
        <f t="shared" si="5"/>
        <v>351858.75</v>
      </c>
      <c r="V767" s="3" t="str">
        <f>VLOOKUP(N767,products!A:B,2,0)</f>
        <v>Office Supplies</v>
      </c>
      <c r="W767" s="3" t="s">
        <v>28</v>
      </c>
      <c r="X767" s="3" t="s">
        <v>98</v>
      </c>
      <c r="Y767" s="14">
        <f t="shared" si="10"/>
        <v>0.193869873</v>
      </c>
      <c r="Z767" s="3">
        <f t="shared" si="7"/>
        <v>17</v>
      </c>
      <c r="AA767" s="15">
        <f t="shared" si="8"/>
        <v>3</v>
      </c>
    </row>
    <row r="768" ht="15.75" customHeight="1">
      <c r="A768" s="3">
        <v>6.02264344E8</v>
      </c>
      <c r="B768" s="9">
        <v>41741.0</v>
      </c>
      <c r="C768" s="3">
        <f>IFERROR(__xludf.DUMMYFUNCTION("split(B768,""/"")"),12.0)</f>
        <v>12</v>
      </c>
      <c r="D768" s="10">
        <f>IFERROR(__xludf.DUMMYFUNCTION("""COMPUTED_VALUE"""),4.0)</f>
        <v>4</v>
      </c>
      <c r="E768" s="11">
        <f>IFERROR(__xludf.DUMMYFUNCTION("""COMPUTED_VALUE"""),2014.0)</f>
        <v>2014</v>
      </c>
      <c r="F768" s="12">
        <f t="shared" si="1"/>
        <v>41977</v>
      </c>
      <c r="G768" s="9">
        <v>42186.0</v>
      </c>
      <c r="H768" s="3">
        <f>IFERROR(__xludf.DUMMYFUNCTION("split(G768,""/"")"),1.0)</f>
        <v>1</v>
      </c>
      <c r="I768" s="3">
        <f>IFERROR(__xludf.DUMMYFUNCTION("""COMPUTED_VALUE"""),7.0)</f>
        <v>7</v>
      </c>
      <c r="J768" s="3">
        <f>IFERROR(__xludf.DUMMYFUNCTION("""COMPUTED_VALUE"""),2015.0)</f>
        <v>2015</v>
      </c>
      <c r="K768" s="12">
        <f t="shared" si="2"/>
        <v>42011</v>
      </c>
      <c r="L768" s="3" t="s">
        <v>827</v>
      </c>
      <c r="M768" s="3" t="s">
        <v>455</v>
      </c>
      <c r="N768" s="3">
        <v>8681.0</v>
      </c>
      <c r="O768" s="3" t="s">
        <v>818</v>
      </c>
      <c r="P768" s="10">
        <v>2258.0</v>
      </c>
      <c r="Q768" s="13">
        <v>651.21</v>
      </c>
      <c r="R768" s="13">
        <v>524.96</v>
      </c>
      <c r="S768" s="13">
        <f t="shared" si="3"/>
        <v>1470432.18</v>
      </c>
      <c r="T768" s="13">
        <f t="shared" si="4"/>
        <v>1185359.68</v>
      </c>
      <c r="U768" s="13">
        <f t="shared" si="5"/>
        <v>285072.5</v>
      </c>
      <c r="V768" s="3" t="str">
        <f>VLOOKUP(N768,products!A:B,2,0)</f>
        <v>Office Supplies</v>
      </c>
      <c r="W768" s="3" t="s">
        <v>28</v>
      </c>
      <c r="X768" s="3" t="s">
        <v>33</v>
      </c>
      <c r="Y768" s="14">
        <f t="shared" si="10"/>
        <v>0.193869873</v>
      </c>
      <c r="Z768" s="3">
        <f t="shared" si="7"/>
        <v>34</v>
      </c>
      <c r="AA768" s="15">
        <f t="shared" si="8"/>
        <v>5</v>
      </c>
    </row>
    <row r="769" ht="15.75" customHeight="1">
      <c r="A769" s="3">
        <v>6.02301251E8</v>
      </c>
      <c r="B769" s="9">
        <v>41222.0</v>
      </c>
      <c r="C769" s="3">
        <f>IFERROR(__xludf.DUMMYFUNCTION("split(B769,""/"")"),9.0)</f>
        <v>9</v>
      </c>
      <c r="D769" s="10">
        <f>IFERROR(__xludf.DUMMYFUNCTION("""COMPUTED_VALUE"""),11.0)</f>
        <v>11</v>
      </c>
      <c r="E769" s="11">
        <f>IFERROR(__xludf.DUMMYFUNCTION("""COMPUTED_VALUE"""),2012.0)</f>
        <v>2012</v>
      </c>
      <c r="F769" s="12">
        <f t="shared" si="1"/>
        <v>41163</v>
      </c>
      <c r="G769" s="3" t="s">
        <v>1536</v>
      </c>
      <c r="H769" s="3">
        <f>IFERROR(__xludf.DUMMYFUNCTION("split(G769,""/"")"),9.0)</f>
        <v>9</v>
      </c>
      <c r="I769" s="3">
        <f>IFERROR(__xludf.DUMMYFUNCTION("""COMPUTED_VALUE"""),27.0)</f>
        <v>27</v>
      </c>
      <c r="J769" s="3">
        <f>IFERROR(__xludf.DUMMYFUNCTION("""COMPUTED_VALUE"""),2012.0)</f>
        <v>2012</v>
      </c>
      <c r="K769" s="12">
        <f t="shared" si="2"/>
        <v>41179</v>
      </c>
      <c r="L769" s="3" t="s">
        <v>814</v>
      </c>
      <c r="M769" s="3" t="s">
        <v>373</v>
      </c>
      <c r="N769" s="3">
        <v>2455.0</v>
      </c>
      <c r="O769" s="3" t="s">
        <v>818</v>
      </c>
      <c r="P769" s="10">
        <v>3180.0</v>
      </c>
      <c r="Q769" s="13">
        <v>109.28</v>
      </c>
      <c r="R769" s="13">
        <v>35.84</v>
      </c>
      <c r="S769" s="13">
        <f t="shared" si="3"/>
        <v>347510.4</v>
      </c>
      <c r="T769" s="13">
        <f t="shared" si="4"/>
        <v>113971.2</v>
      </c>
      <c r="U769" s="13">
        <f t="shared" si="5"/>
        <v>233539.2</v>
      </c>
      <c r="V769" s="3" t="str">
        <f>VLOOKUP(N769,products!A:B,2,0)</f>
        <v>Clothes</v>
      </c>
      <c r="W769" s="3" t="s">
        <v>28</v>
      </c>
      <c r="X769" s="3" t="s">
        <v>33</v>
      </c>
      <c r="Y769" s="14">
        <f t="shared" si="10"/>
        <v>0.6720351391</v>
      </c>
      <c r="Z769" s="3">
        <f t="shared" si="7"/>
        <v>16</v>
      </c>
      <c r="AA769" s="15">
        <f t="shared" si="8"/>
        <v>3</v>
      </c>
    </row>
    <row r="770" ht="15.75" customHeight="1">
      <c r="A770" s="3">
        <v>6.02357041E8</v>
      </c>
      <c r="B770" s="3" t="s">
        <v>1537</v>
      </c>
      <c r="C770" s="3">
        <f>IFERROR(__xludf.DUMMYFUNCTION("split(B770,""/"")"),4.0)</f>
        <v>4</v>
      </c>
      <c r="D770" s="10">
        <f>IFERROR(__xludf.DUMMYFUNCTION("""COMPUTED_VALUE"""),24.0)</f>
        <v>24</v>
      </c>
      <c r="E770" s="11">
        <f>IFERROR(__xludf.DUMMYFUNCTION("""COMPUTED_VALUE"""),2015.0)</f>
        <v>2015</v>
      </c>
      <c r="F770" s="12">
        <f t="shared" si="1"/>
        <v>42118</v>
      </c>
      <c r="G770" s="9">
        <v>42129.0</v>
      </c>
      <c r="H770" s="3">
        <f>IFERROR(__xludf.DUMMYFUNCTION("split(G770,""/"")"),5.0)</f>
        <v>5</v>
      </c>
      <c r="I770" s="3">
        <f>IFERROR(__xludf.DUMMYFUNCTION("""COMPUTED_VALUE"""),5.0)</f>
        <v>5</v>
      </c>
      <c r="J770" s="3">
        <f>IFERROR(__xludf.DUMMYFUNCTION("""COMPUTED_VALUE"""),2015.0)</f>
        <v>2015</v>
      </c>
      <c r="K770" s="12">
        <f t="shared" si="2"/>
        <v>42129</v>
      </c>
      <c r="L770" s="3" t="s">
        <v>825</v>
      </c>
      <c r="M770" s="3" t="s">
        <v>593</v>
      </c>
      <c r="N770" s="3">
        <v>3127.0</v>
      </c>
      <c r="O770" s="3" t="s">
        <v>815</v>
      </c>
      <c r="P770" s="10">
        <v>9689.0</v>
      </c>
      <c r="Q770" s="13">
        <v>81.73</v>
      </c>
      <c r="R770" s="13">
        <v>56.67</v>
      </c>
      <c r="S770" s="13">
        <f t="shared" si="3"/>
        <v>791881.97</v>
      </c>
      <c r="T770" s="13">
        <f t="shared" si="4"/>
        <v>549075.63</v>
      </c>
      <c r="U770" s="13">
        <f t="shared" si="5"/>
        <v>242806.34</v>
      </c>
      <c r="V770" s="3" t="str">
        <f>VLOOKUP(N770,products!A:B,2,0)</f>
        <v>Personal Care</v>
      </c>
      <c r="W770" s="3" t="s">
        <v>28</v>
      </c>
      <c r="X770" s="3" t="s">
        <v>98</v>
      </c>
      <c r="Y770" s="14">
        <f t="shared" si="10"/>
        <v>0.3066193564</v>
      </c>
      <c r="Z770" s="3">
        <f t="shared" si="7"/>
        <v>11</v>
      </c>
      <c r="AA770" s="15">
        <f t="shared" si="8"/>
        <v>6</v>
      </c>
    </row>
    <row r="771" ht="15.75" customHeight="1">
      <c r="A771" s="3">
        <v>6.04124295E8</v>
      </c>
      <c r="B771" s="3" t="s">
        <v>1538</v>
      </c>
      <c r="C771" s="3">
        <f>IFERROR(__xludf.DUMMYFUNCTION("split(B771,""/"")"),3.0)</f>
        <v>3</v>
      </c>
      <c r="D771" s="10">
        <f>IFERROR(__xludf.DUMMYFUNCTION("""COMPUTED_VALUE"""),16.0)</f>
        <v>16</v>
      </c>
      <c r="E771" s="11">
        <f>IFERROR(__xludf.DUMMYFUNCTION("""COMPUTED_VALUE"""),2015.0)</f>
        <v>2015</v>
      </c>
      <c r="F771" s="12">
        <f t="shared" si="1"/>
        <v>42079</v>
      </c>
      <c r="G771" s="9">
        <v>42039.0</v>
      </c>
      <c r="H771" s="3">
        <f>IFERROR(__xludf.DUMMYFUNCTION("split(G771,""/"")"),4.0)</f>
        <v>4</v>
      </c>
      <c r="I771" s="3">
        <f>IFERROR(__xludf.DUMMYFUNCTION("""COMPUTED_VALUE"""),2.0)</f>
        <v>2</v>
      </c>
      <c r="J771" s="3">
        <f>IFERROR(__xludf.DUMMYFUNCTION("""COMPUTED_VALUE"""),2015.0)</f>
        <v>2015</v>
      </c>
      <c r="K771" s="12">
        <f t="shared" si="2"/>
        <v>42096</v>
      </c>
      <c r="L771" s="3" t="s">
        <v>817</v>
      </c>
      <c r="M771" s="3" t="s">
        <v>536</v>
      </c>
      <c r="N771" s="3">
        <v>8875.0</v>
      </c>
      <c r="O771" s="3" t="s">
        <v>815</v>
      </c>
      <c r="P771" s="10">
        <v>2659.0</v>
      </c>
      <c r="Q771" s="13">
        <v>421.89</v>
      </c>
      <c r="R771" s="13">
        <v>364.69</v>
      </c>
      <c r="S771" s="13">
        <f t="shared" si="3"/>
        <v>1121805.51</v>
      </c>
      <c r="T771" s="13">
        <f t="shared" si="4"/>
        <v>969710.71</v>
      </c>
      <c r="U771" s="13">
        <f t="shared" si="5"/>
        <v>152094.8</v>
      </c>
      <c r="V771" s="3" t="str">
        <f>VLOOKUP(N771,products!A:B,2,0)</f>
        <v>Meat</v>
      </c>
      <c r="W771" s="3" t="s">
        <v>28</v>
      </c>
      <c r="X771" s="3" t="s">
        <v>33</v>
      </c>
      <c r="Y771" s="14">
        <f t="shared" si="10"/>
        <v>0.1355803646</v>
      </c>
      <c r="Z771" s="3">
        <f t="shared" si="7"/>
        <v>17</v>
      </c>
      <c r="AA771" s="15">
        <f t="shared" si="8"/>
        <v>2</v>
      </c>
    </row>
    <row r="772" ht="15.75" customHeight="1">
      <c r="A772" s="3">
        <v>6.04494225E8</v>
      </c>
      <c r="B772" s="3" t="s">
        <v>1412</v>
      </c>
      <c r="C772" s="3">
        <f>IFERROR(__xludf.DUMMYFUNCTION("split(B772,""/"")"),5.0)</f>
        <v>5</v>
      </c>
      <c r="D772" s="10">
        <f>IFERROR(__xludf.DUMMYFUNCTION("""COMPUTED_VALUE"""),22.0)</f>
        <v>22</v>
      </c>
      <c r="E772" s="11">
        <f>IFERROR(__xludf.DUMMYFUNCTION("""COMPUTED_VALUE"""),2012.0)</f>
        <v>2012</v>
      </c>
      <c r="F772" s="12">
        <f t="shared" si="1"/>
        <v>41051</v>
      </c>
      <c r="G772" s="3" t="s">
        <v>1291</v>
      </c>
      <c r="H772" s="3">
        <f>IFERROR(__xludf.DUMMYFUNCTION("split(G772,""/"")"),6.0)</f>
        <v>6</v>
      </c>
      <c r="I772" s="3">
        <f>IFERROR(__xludf.DUMMYFUNCTION("""COMPUTED_VALUE"""),25.0)</f>
        <v>25</v>
      </c>
      <c r="J772" s="3">
        <f>IFERROR(__xludf.DUMMYFUNCTION("""COMPUTED_VALUE"""),2012.0)</f>
        <v>2012</v>
      </c>
      <c r="K772" s="12">
        <f t="shared" si="2"/>
        <v>41085</v>
      </c>
      <c r="L772" s="3" t="s">
        <v>825</v>
      </c>
      <c r="M772" s="3" t="s">
        <v>288</v>
      </c>
      <c r="N772" s="3">
        <v>3127.0</v>
      </c>
      <c r="O772" s="3" t="s">
        <v>818</v>
      </c>
      <c r="P772" s="10">
        <v>2129.0</v>
      </c>
      <c r="Q772" s="13">
        <v>81.73</v>
      </c>
      <c r="R772" s="13">
        <v>56.67</v>
      </c>
      <c r="S772" s="13">
        <f t="shared" si="3"/>
        <v>174003.17</v>
      </c>
      <c r="T772" s="13">
        <f t="shared" si="4"/>
        <v>120650.43</v>
      </c>
      <c r="U772" s="13">
        <f t="shared" si="5"/>
        <v>53352.74</v>
      </c>
      <c r="V772" s="3" t="str">
        <f>VLOOKUP(N772,products!A:B,2,0)</f>
        <v>Personal Care</v>
      </c>
      <c r="W772" s="3" t="s">
        <v>23</v>
      </c>
      <c r="X772" s="3" t="s">
        <v>68</v>
      </c>
      <c r="Y772" s="14">
        <f t="shared" si="10"/>
        <v>0.3066193564</v>
      </c>
      <c r="Z772" s="3">
        <f t="shared" si="7"/>
        <v>34</v>
      </c>
      <c r="AA772" s="15">
        <f t="shared" si="8"/>
        <v>3</v>
      </c>
    </row>
    <row r="773" ht="15.75" customHeight="1">
      <c r="A773" s="3">
        <v>6.0502938E8</v>
      </c>
      <c r="B773" s="9">
        <v>41975.0</v>
      </c>
      <c r="C773" s="3">
        <f>IFERROR(__xludf.DUMMYFUNCTION("split(B773,""/"")"),2.0)</f>
        <v>2</v>
      </c>
      <c r="D773" s="10">
        <f>IFERROR(__xludf.DUMMYFUNCTION("""COMPUTED_VALUE"""),12.0)</f>
        <v>12</v>
      </c>
      <c r="E773" s="11">
        <f>IFERROR(__xludf.DUMMYFUNCTION("""COMPUTED_VALUE"""),2014.0)</f>
        <v>2014</v>
      </c>
      <c r="F773" s="12">
        <f t="shared" si="1"/>
        <v>41682</v>
      </c>
      <c r="G773" s="3" t="s">
        <v>1539</v>
      </c>
      <c r="H773" s="3">
        <f>IFERROR(__xludf.DUMMYFUNCTION("split(G773,""/"")"),2.0)</f>
        <v>2</v>
      </c>
      <c r="I773" s="3">
        <f>IFERROR(__xludf.DUMMYFUNCTION("""COMPUTED_VALUE"""),18.0)</f>
        <v>18</v>
      </c>
      <c r="J773" s="3">
        <f>IFERROR(__xludf.DUMMYFUNCTION("""COMPUTED_VALUE"""),2014.0)</f>
        <v>2014</v>
      </c>
      <c r="K773" s="12">
        <f t="shared" si="2"/>
        <v>41688</v>
      </c>
      <c r="L773" s="3" t="s">
        <v>827</v>
      </c>
      <c r="M773" s="3" t="s">
        <v>270</v>
      </c>
      <c r="N773" s="3">
        <v>4594.0</v>
      </c>
      <c r="O773" s="3" t="s">
        <v>818</v>
      </c>
      <c r="P773" s="10">
        <v>493.0</v>
      </c>
      <c r="Q773" s="13">
        <v>9.33</v>
      </c>
      <c r="R773" s="13">
        <v>6.92</v>
      </c>
      <c r="S773" s="13">
        <f t="shared" si="3"/>
        <v>4599.69</v>
      </c>
      <c r="T773" s="13">
        <f t="shared" si="4"/>
        <v>3411.56</v>
      </c>
      <c r="U773" s="13">
        <f t="shared" si="5"/>
        <v>1188.13</v>
      </c>
      <c r="V773" s="3" t="str">
        <f>VLOOKUP(N773,products!A:B,2,0)</f>
        <v>Fruits</v>
      </c>
      <c r="W773" s="3" t="s">
        <v>28</v>
      </c>
      <c r="X773" s="3" t="s">
        <v>79</v>
      </c>
      <c r="Y773" s="14">
        <f t="shared" si="10"/>
        <v>0.258306538</v>
      </c>
      <c r="Z773" s="3">
        <f t="shared" si="7"/>
        <v>6</v>
      </c>
      <c r="AA773" s="15">
        <f t="shared" si="8"/>
        <v>4</v>
      </c>
    </row>
    <row r="774" ht="15.75" customHeight="1">
      <c r="A774" s="3">
        <v>6.06118571E8</v>
      </c>
      <c r="B774" s="9">
        <v>41801.0</v>
      </c>
      <c r="C774" s="3">
        <f>IFERROR(__xludf.DUMMYFUNCTION("split(B774,""/"")"),11.0)</f>
        <v>11</v>
      </c>
      <c r="D774" s="10">
        <f>IFERROR(__xludf.DUMMYFUNCTION("""COMPUTED_VALUE"""),6.0)</f>
        <v>6</v>
      </c>
      <c r="E774" s="11">
        <f>IFERROR(__xludf.DUMMYFUNCTION("""COMPUTED_VALUE"""),2014.0)</f>
        <v>2014</v>
      </c>
      <c r="F774" s="12">
        <f t="shared" si="1"/>
        <v>41949</v>
      </c>
      <c r="G774" s="3" t="s">
        <v>1530</v>
      </c>
      <c r="H774" s="3">
        <f>IFERROR(__xludf.DUMMYFUNCTION("split(G774,""/"")"),11.0)</f>
        <v>11</v>
      </c>
      <c r="I774" s="3">
        <f>IFERROR(__xludf.DUMMYFUNCTION("""COMPUTED_VALUE"""),18.0)</f>
        <v>18</v>
      </c>
      <c r="J774" s="3">
        <f>IFERROR(__xludf.DUMMYFUNCTION("""COMPUTED_VALUE"""),2014.0)</f>
        <v>2014</v>
      </c>
      <c r="K774" s="12">
        <f t="shared" si="2"/>
        <v>41961</v>
      </c>
      <c r="L774" s="3" t="s">
        <v>827</v>
      </c>
      <c r="M774" s="3" t="s">
        <v>590</v>
      </c>
      <c r="N774" s="3">
        <v>5988.0</v>
      </c>
      <c r="O774" s="3" t="s">
        <v>818</v>
      </c>
      <c r="P774" s="10">
        <v>2809.0</v>
      </c>
      <c r="Q774" s="13">
        <v>154.06</v>
      </c>
      <c r="R774" s="13">
        <v>90.93</v>
      </c>
      <c r="S774" s="13">
        <f t="shared" si="3"/>
        <v>432754.54</v>
      </c>
      <c r="T774" s="13">
        <f t="shared" si="4"/>
        <v>255422.37</v>
      </c>
      <c r="U774" s="13">
        <f t="shared" si="5"/>
        <v>177332.17</v>
      </c>
      <c r="V774" s="3" t="str">
        <f>VLOOKUP(N774,products!A:B,2,0)</f>
        <v>Vegetables</v>
      </c>
      <c r="W774" s="3" t="s">
        <v>28</v>
      </c>
      <c r="X774" s="3" t="s">
        <v>98</v>
      </c>
      <c r="Y774" s="14">
        <f t="shared" si="10"/>
        <v>0.4097754122</v>
      </c>
      <c r="Z774" s="3">
        <f t="shared" si="7"/>
        <v>12</v>
      </c>
      <c r="AA774" s="15">
        <f t="shared" si="8"/>
        <v>5</v>
      </c>
    </row>
    <row r="775" ht="15.75" customHeight="1">
      <c r="A775" s="3">
        <v>6.06224572E8</v>
      </c>
      <c r="B775" s="9">
        <v>41858.0</v>
      </c>
      <c r="C775" s="3">
        <f>IFERROR(__xludf.DUMMYFUNCTION("split(B775,""/"")"),7.0)</f>
        <v>7</v>
      </c>
      <c r="D775" s="10">
        <f>IFERROR(__xludf.DUMMYFUNCTION("""COMPUTED_VALUE"""),8.0)</f>
        <v>8</v>
      </c>
      <c r="E775" s="11">
        <f>IFERROR(__xludf.DUMMYFUNCTION("""COMPUTED_VALUE"""),2014.0)</f>
        <v>2014</v>
      </c>
      <c r="F775" s="12">
        <f t="shared" si="1"/>
        <v>41828</v>
      </c>
      <c r="G775" s="3" t="s">
        <v>1540</v>
      </c>
      <c r="H775" s="3">
        <f>IFERROR(__xludf.DUMMYFUNCTION("split(G775,""/"")"),7.0)</f>
        <v>7</v>
      </c>
      <c r="I775" s="3">
        <f>IFERROR(__xludf.DUMMYFUNCTION("""COMPUTED_VALUE"""),15.0)</f>
        <v>15</v>
      </c>
      <c r="J775" s="3">
        <f>IFERROR(__xludf.DUMMYFUNCTION("""COMPUTED_VALUE"""),2014.0)</f>
        <v>2014</v>
      </c>
      <c r="K775" s="12">
        <f t="shared" si="2"/>
        <v>41835</v>
      </c>
      <c r="L775" s="3" t="s">
        <v>814</v>
      </c>
      <c r="M775" s="3" t="s">
        <v>221</v>
      </c>
      <c r="N775" s="3">
        <v>8293.0</v>
      </c>
      <c r="O775" s="3" t="s">
        <v>818</v>
      </c>
      <c r="P775" s="10">
        <v>4177.0</v>
      </c>
      <c r="Q775" s="13">
        <v>437.2</v>
      </c>
      <c r="R775" s="13">
        <v>263.33</v>
      </c>
      <c r="S775" s="13">
        <f t="shared" si="3"/>
        <v>1826184.4</v>
      </c>
      <c r="T775" s="13">
        <f t="shared" si="4"/>
        <v>1099929.41</v>
      </c>
      <c r="U775" s="13">
        <f t="shared" si="5"/>
        <v>726254.99</v>
      </c>
      <c r="V775" s="3" t="str">
        <f>VLOOKUP(N775,products!A:B,2,0)</f>
        <v>Cosmetics</v>
      </c>
      <c r="W775" s="3" t="s">
        <v>28</v>
      </c>
      <c r="X775" s="3" t="s">
        <v>29</v>
      </c>
      <c r="Y775" s="14">
        <f t="shared" si="10"/>
        <v>0.3976898445</v>
      </c>
      <c r="Z775" s="3">
        <f t="shared" si="7"/>
        <v>7</v>
      </c>
      <c r="AA775" s="15">
        <f t="shared" si="8"/>
        <v>3</v>
      </c>
    </row>
    <row r="776" ht="15.75" customHeight="1">
      <c r="A776" s="3">
        <v>6.07620608E8</v>
      </c>
      <c r="B776" s="9">
        <v>40521.0</v>
      </c>
      <c r="C776" s="3">
        <f>IFERROR(__xludf.DUMMYFUNCTION("split(B776,""/"")"),9.0)</f>
        <v>9</v>
      </c>
      <c r="D776" s="10">
        <f>IFERROR(__xludf.DUMMYFUNCTION("""COMPUTED_VALUE"""),12.0)</f>
        <v>12</v>
      </c>
      <c r="E776" s="11">
        <f>IFERROR(__xludf.DUMMYFUNCTION("""COMPUTED_VALUE"""),2010.0)</f>
        <v>2010</v>
      </c>
      <c r="F776" s="12">
        <f t="shared" si="1"/>
        <v>40433</v>
      </c>
      <c r="G776" s="3" t="s">
        <v>1150</v>
      </c>
      <c r="H776" s="3">
        <f>IFERROR(__xludf.DUMMYFUNCTION("split(G776,""/"")"),9.0)</f>
        <v>9</v>
      </c>
      <c r="I776" s="3">
        <f>IFERROR(__xludf.DUMMYFUNCTION("""COMPUTED_VALUE"""),20.0)</f>
        <v>20</v>
      </c>
      <c r="J776" s="3">
        <f>IFERROR(__xludf.DUMMYFUNCTION("""COMPUTED_VALUE"""),2010.0)</f>
        <v>2010</v>
      </c>
      <c r="K776" s="12">
        <f t="shared" si="2"/>
        <v>40441</v>
      </c>
      <c r="L776" s="3" t="s">
        <v>827</v>
      </c>
      <c r="M776" s="3" t="s">
        <v>821</v>
      </c>
      <c r="N776" s="3">
        <v>1270.0</v>
      </c>
      <c r="O776" s="3" t="s">
        <v>815</v>
      </c>
      <c r="P776" s="10">
        <v>7296.0</v>
      </c>
      <c r="Q776" s="13">
        <v>47.45</v>
      </c>
      <c r="R776" s="13">
        <v>31.79</v>
      </c>
      <c r="S776" s="13">
        <f t="shared" si="3"/>
        <v>346195.2</v>
      </c>
      <c r="T776" s="13">
        <f t="shared" si="4"/>
        <v>231939.84</v>
      </c>
      <c r="U776" s="13">
        <f t="shared" si="5"/>
        <v>114255.36</v>
      </c>
      <c r="V776" s="3" t="str">
        <f>VLOOKUP(N776,products!A:B,2,0)</f>
        <v>Beverages</v>
      </c>
      <c r="W776" s="3" t="s">
        <v>821</v>
      </c>
      <c r="X776" s="3" t="s">
        <v>821</v>
      </c>
      <c r="Y776" s="14">
        <f t="shared" si="10"/>
        <v>0.3300316122</v>
      </c>
      <c r="Z776" s="3">
        <f t="shared" si="7"/>
        <v>8</v>
      </c>
      <c r="AA776" s="15">
        <f t="shared" si="8"/>
        <v>1</v>
      </c>
    </row>
    <row r="777" ht="15.75" customHeight="1">
      <c r="A777" s="3">
        <v>6.07756221E8</v>
      </c>
      <c r="B777" s="9">
        <v>42437.0</v>
      </c>
      <c r="C777" s="3">
        <f>IFERROR(__xludf.DUMMYFUNCTION("split(B777,""/"")"),8.0)</f>
        <v>8</v>
      </c>
      <c r="D777" s="10">
        <f>IFERROR(__xludf.DUMMYFUNCTION("""COMPUTED_VALUE"""),3.0)</f>
        <v>3</v>
      </c>
      <c r="E777" s="11">
        <f>IFERROR(__xludf.DUMMYFUNCTION("""COMPUTED_VALUE"""),2016.0)</f>
        <v>2016</v>
      </c>
      <c r="F777" s="12">
        <f t="shared" si="1"/>
        <v>42585</v>
      </c>
      <c r="G777" s="9">
        <v>42682.0</v>
      </c>
      <c r="H777" s="3">
        <f>IFERROR(__xludf.DUMMYFUNCTION("split(G777,""/"")"),8.0)</f>
        <v>8</v>
      </c>
      <c r="I777" s="3">
        <f>IFERROR(__xludf.DUMMYFUNCTION("""COMPUTED_VALUE"""),11.0)</f>
        <v>11</v>
      </c>
      <c r="J777" s="3">
        <f>IFERROR(__xludf.DUMMYFUNCTION("""COMPUTED_VALUE"""),2016.0)</f>
        <v>2016</v>
      </c>
      <c r="K777" s="12">
        <f t="shared" si="2"/>
        <v>42593</v>
      </c>
      <c r="L777" s="3" t="s">
        <v>827</v>
      </c>
      <c r="M777" s="3" t="s">
        <v>413</v>
      </c>
      <c r="N777" s="3">
        <v>7940.0</v>
      </c>
      <c r="O777" s="3" t="s">
        <v>815</v>
      </c>
      <c r="P777" s="10">
        <v>7426.0</v>
      </c>
      <c r="Q777" s="13">
        <v>668.27</v>
      </c>
      <c r="R777" s="13">
        <v>502.54</v>
      </c>
      <c r="S777" s="13">
        <f t="shared" si="3"/>
        <v>4962573.02</v>
      </c>
      <c r="T777" s="13">
        <f t="shared" si="4"/>
        <v>3731862.04</v>
      </c>
      <c r="U777" s="13">
        <f t="shared" si="5"/>
        <v>1230710.98</v>
      </c>
      <c r="V777" s="3" t="str">
        <f>VLOOKUP(N777,products!A:B,2,0)</f>
        <v>Household</v>
      </c>
      <c r="W777" s="3" t="s">
        <v>28</v>
      </c>
      <c r="X777" s="3" t="s">
        <v>29</v>
      </c>
      <c r="Y777" s="14">
        <f t="shared" si="10"/>
        <v>0.2479985635</v>
      </c>
      <c r="Z777" s="3">
        <f t="shared" si="7"/>
        <v>8</v>
      </c>
      <c r="AA777" s="15">
        <f t="shared" si="8"/>
        <v>4</v>
      </c>
    </row>
    <row r="778" ht="15.75" customHeight="1">
      <c r="A778" s="3">
        <v>6.08374631E8</v>
      </c>
      <c r="B778" s="9">
        <v>42678.0</v>
      </c>
      <c r="C778" s="3">
        <f>IFERROR(__xludf.DUMMYFUNCTION("split(B778,""/"")"),4.0)</f>
        <v>4</v>
      </c>
      <c r="D778" s="10">
        <f>IFERROR(__xludf.DUMMYFUNCTION("""COMPUTED_VALUE"""),11.0)</f>
        <v>11</v>
      </c>
      <c r="E778" s="11">
        <f>IFERROR(__xludf.DUMMYFUNCTION("""COMPUTED_VALUE"""),2016.0)</f>
        <v>2016</v>
      </c>
      <c r="F778" s="12">
        <f t="shared" si="1"/>
        <v>42471</v>
      </c>
      <c r="G778" s="9">
        <v>42708.0</v>
      </c>
      <c r="H778" s="3">
        <f>IFERROR(__xludf.DUMMYFUNCTION("split(G778,""/"")"),4.0)</f>
        <v>4</v>
      </c>
      <c r="I778" s="3">
        <f>IFERROR(__xludf.DUMMYFUNCTION("""COMPUTED_VALUE"""),12.0)</f>
        <v>12</v>
      </c>
      <c r="J778" s="3">
        <f>IFERROR(__xludf.DUMMYFUNCTION("""COMPUTED_VALUE"""),2016.0)</f>
        <v>2016</v>
      </c>
      <c r="K778" s="12">
        <f t="shared" si="2"/>
        <v>42472</v>
      </c>
      <c r="L778" s="3" t="s">
        <v>814</v>
      </c>
      <c r="M778" s="3" t="s">
        <v>373</v>
      </c>
      <c r="N778" s="3">
        <v>5988.0</v>
      </c>
      <c r="O778" s="3" t="s">
        <v>818</v>
      </c>
      <c r="P778" s="10">
        <v>428.0</v>
      </c>
      <c r="Q778" s="13">
        <v>154.06</v>
      </c>
      <c r="R778" s="13">
        <v>90.93</v>
      </c>
      <c r="S778" s="13">
        <f t="shared" si="3"/>
        <v>65937.68</v>
      </c>
      <c r="T778" s="13">
        <f t="shared" si="4"/>
        <v>38918.04</v>
      </c>
      <c r="U778" s="13">
        <f t="shared" si="5"/>
        <v>27019.64</v>
      </c>
      <c r="V778" s="3" t="str">
        <f>VLOOKUP(N778,products!A:B,2,0)</f>
        <v>Vegetables</v>
      </c>
      <c r="W778" s="3" t="s">
        <v>28</v>
      </c>
      <c r="X778" s="3" t="s">
        <v>33</v>
      </c>
      <c r="Y778" s="14">
        <f t="shared" si="10"/>
        <v>0.4097754122</v>
      </c>
      <c r="Z778" s="3">
        <f t="shared" si="7"/>
        <v>1</v>
      </c>
      <c r="AA778" s="15">
        <f t="shared" si="8"/>
        <v>2</v>
      </c>
    </row>
    <row r="779" ht="15.75" customHeight="1">
      <c r="A779" s="3">
        <v>6.08451879E8</v>
      </c>
      <c r="B779" s="3" t="s">
        <v>1541</v>
      </c>
      <c r="C779" s="3">
        <f>IFERROR(__xludf.DUMMYFUNCTION("split(B779,""/"")"),1.0)</f>
        <v>1</v>
      </c>
      <c r="D779" s="10">
        <f>IFERROR(__xludf.DUMMYFUNCTION("""COMPUTED_VALUE"""),27.0)</f>
        <v>27</v>
      </c>
      <c r="E779" s="11">
        <f>IFERROR(__xludf.DUMMYFUNCTION("""COMPUTED_VALUE"""),2014.0)</f>
        <v>2014</v>
      </c>
      <c r="F779" s="12">
        <f t="shared" si="1"/>
        <v>41666</v>
      </c>
      <c r="G779" s="9">
        <v>41642.0</v>
      </c>
      <c r="H779" s="3">
        <f>IFERROR(__xludf.DUMMYFUNCTION("split(G779,""/"")"),3.0)</f>
        <v>3</v>
      </c>
      <c r="I779" s="3">
        <f>IFERROR(__xludf.DUMMYFUNCTION("""COMPUTED_VALUE"""),1.0)</f>
        <v>1</v>
      </c>
      <c r="J779" s="3">
        <f>IFERROR(__xludf.DUMMYFUNCTION("""COMPUTED_VALUE"""),2014.0)</f>
        <v>2014</v>
      </c>
      <c r="K779" s="12">
        <f t="shared" si="2"/>
        <v>41699</v>
      </c>
      <c r="L779" s="3" t="s">
        <v>817</v>
      </c>
      <c r="M779" s="3" t="s">
        <v>821</v>
      </c>
      <c r="N779" s="3">
        <v>7331.0</v>
      </c>
      <c r="O779" s="3" t="s">
        <v>815</v>
      </c>
      <c r="P779" s="10">
        <v>3287.0</v>
      </c>
      <c r="Q779" s="13">
        <v>255.28</v>
      </c>
      <c r="R779" s="13">
        <v>159.42</v>
      </c>
      <c r="S779" s="13">
        <f t="shared" si="3"/>
        <v>839105.36</v>
      </c>
      <c r="T779" s="13">
        <f t="shared" si="4"/>
        <v>524013.54</v>
      </c>
      <c r="U779" s="13">
        <f t="shared" si="5"/>
        <v>315091.82</v>
      </c>
      <c r="V779" s="3" t="str">
        <f>VLOOKUP(N779,products!A:B,2,0)</f>
        <v>Baby Food</v>
      </c>
      <c r="W779" s="3" t="s">
        <v>821</v>
      </c>
      <c r="X779" s="3" t="s">
        <v>821</v>
      </c>
      <c r="Y779" s="14">
        <f t="shared" si="10"/>
        <v>0.3755092448</v>
      </c>
      <c r="Z779" s="3">
        <f t="shared" si="7"/>
        <v>33</v>
      </c>
      <c r="AA779" s="15">
        <f t="shared" si="8"/>
        <v>2</v>
      </c>
    </row>
    <row r="780" ht="15.75" customHeight="1">
      <c r="A780" s="3">
        <v>6.09939754E8</v>
      </c>
      <c r="B780" s="9">
        <v>41558.0</v>
      </c>
      <c r="C780" s="3">
        <f>IFERROR(__xludf.DUMMYFUNCTION("split(B780,""/"")"),11.0)</f>
        <v>11</v>
      </c>
      <c r="D780" s="10">
        <f>IFERROR(__xludf.DUMMYFUNCTION("""COMPUTED_VALUE"""),10.0)</f>
        <v>10</v>
      </c>
      <c r="E780" s="11">
        <f>IFERROR(__xludf.DUMMYFUNCTION("""COMPUTED_VALUE"""),2013.0)</f>
        <v>2013</v>
      </c>
      <c r="F780" s="12">
        <f t="shared" si="1"/>
        <v>41588</v>
      </c>
      <c r="G780" s="3" t="s">
        <v>1542</v>
      </c>
      <c r="H780" s="3">
        <f>IFERROR(__xludf.DUMMYFUNCTION("split(G780,""/"")"),11.0)</f>
        <v>11</v>
      </c>
      <c r="I780" s="3">
        <f>IFERROR(__xludf.DUMMYFUNCTION("""COMPUTED_VALUE"""),30.0)</f>
        <v>30</v>
      </c>
      <c r="J780" s="3">
        <f>IFERROR(__xludf.DUMMYFUNCTION("""COMPUTED_VALUE"""),2013.0)</f>
        <v>2013</v>
      </c>
      <c r="K780" s="12">
        <f t="shared" si="2"/>
        <v>41608</v>
      </c>
      <c r="L780" s="3" t="s">
        <v>814</v>
      </c>
      <c r="M780" s="3" t="s">
        <v>101</v>
      </c>
      <c r="N780" s="3">
        <v>4594.0</v>
      </c>
      <c r="O780" s="3" t="s">
        <v>815</v>
      </c>
      <c r="P780" s="10">
        <v>3582.0</v>
      </c>
      <c r="Q780" s="13">
        <v>9.33</v>
      </c>
      <c r="R780" s="13">
        <v>6.92</v>
      </c>
      <c r="S780" s="13">
        <f t="shared" si="3"/>
        <v>33420.06</v>
      </c>
      <c r="T780" s="13">
        <f t="shared" si="4"/>
        <v>24787.44</v>
      </c>
      <c r="U780" s="13">
        <f t="shared" si="5"/>
        <v>8632.62</v>
      </c>
      <c r="V780" s="3" t="str">
        <f>VLOOKUP(N780,products!A:B,2,0)</f>
        <v>Fruits</v>
      </c>
      <c r="W780" s="3" t="s">
        <v>28</v>
      </c>
      <c r="X780" s="3" t="s">
        <v>79</v>
      </c>
      <c r="Y780" s="14">
        <f t="shared" si="10"/>
        <v>0.258306538</v>
      </c>
      <c r="Z780" s="3">
        <f t="shared" si="7"/>
        <v>20</v>
      </c>
      <c r="AA780" s="15">
        <f t="shared" si="8"/>
        <v>1</v>
      </c>
    </row>
    <row r="781" ht="15.75" customHeight="1">
      <c r="A781" s="3">
        <v>6.09952628E8</v>
      </c>
      <c r="B781" s="3" t="s">
        <v>1493</v>
      </c>
      <c r="C781" s="3">
        <f>IFERROR(__xludf.DUMMYFUNCTION("split(B781,""/"")"),12.0)</f>
        <v>12</v>
      </c>
      <c r="D781" s="10">
        <f>IFERROR(__xludf.DUMMYFUNCTION("""COMPUTED_VALUE"""),20.0)</f>
        <v>20</v>
      </c>
      <c r="E781" s="11">
        <f>IFERROR(__xludf.DUMMYFUNCTION("""COMPUTED_VALUE"""),2010.0)</f>
        <v>2010</v>
      </c>
      <c r="F781" s="12">
        <f t="shared" si="1"/>
        <v>40532</v>
      </c>
      <c r="G781" s="3" t="s">
        <v>1512</v>
      </c>
      <c r="H781" s="3">
        <f>IFERROR(__xludf.DUMMYFUNCTION("split(G781,""/"")"),1.0)</f>
        <v>1</v>
      </c>
      <c r="I781" s="3">
        <f>IFERROR(__xludf.DUMMYFUNCTION("""COMPUTED_VALUE"""),31.0)</f>
        <v>31</v>
      </c>
      <c r="J781" s="3">
        <f>IFERROR(__xludf.DUMMYFUNCTION("""COMPUTED_VALUE"""),2011.0)</f>
        <v>2011</v>
      </c>
      <c r="K781" s="12">
        <f t="shared" si="2"/>
        <v>40574</v>
      </c>
      <c r="L781" s="3" t="s">
        <v>814</v>
      </c>
      <c r="M781" s="3" t="s">
        <v>593</v>
      </c>
      <c r="N781" s="3">
        <v>8875.0</v>
      </c>
      <c r="O781" s="3" t="s">
        <v>815</v>
      </c>
      <c r="P781" s="10">
        <v>7392.0</v>
      </c>
      <c r="Q781" s="13">
        <v>421.89</v>
      </c>
      <c r="R781" s="13">
        <v>364.69</v>
      </c>
      <c r="S781" s="13">
        <f t="shared" si="3"/>
        <v>3118610.88</v>
      </c>
      <c r="T781" s="13">
        <f t="shared" si="4"/>
        <v>2695788.48</v>
      </c>
      <c r="U781" s="13">
        <f t="shared" si="5"/>
        <v>422822.4</v>
      </c>
      <c r="V781" s="3" t="str">
        <f>VLOOKUP(N781,products!A:B,2,0)</f>
        <v>Meat</v>
      </c>
      <c r="W781" s="3" t="s">
        <v>28</v>
      </c>
      <c r="X781" s="3" t="s">
        <v>98</v>
      </c>
      <c r="Y781" s="14">
        <f t="shared" si="10"/>
        <v>0.1355803646</v>
      </c>
      <c r="Z781" s="3">
        <f t="shared" si="7"/>
        <v>42</v>
      </c>
      <c r="AA781" s="15">
        <f t="shared" si="8"/>
        <v>2</v>
      </c>
    </row>
    <row r="782" ht="15.75" customHeight="1">
      <c r="A782" s="3">
        <v>6.11766231E8</v>
      </c>
      <c r="B782" s="3" t="s">
        <v>1543</v>
      </c>
      <c r="C782" s="3">
        <f>IFERROR(__xludf.DUMMYFUNCTION("split(B782,""/"")"),1.0)</f>
        <v>1</v>
      </c>
      <c r="D782" s="10">
        <f>IFERROR(__xludf.DUMMYFUNCTION("""COMPUTED_VALUE"""),21.0)</f>
        <v>21</v>
      </c>
      <c r="E782" s="11">
        <f>IFERROR(__xludf.DUMMYFUNCTION("""COMPUTED_VALUE"""),2011.0)</f>
        <v>2011</v>
      </c>
      <c r="F782" s="12">
        <f t="shared" si="1"/>
        <v>40564</v>
      </c>
      <c r="G782" s="3" t="s">
        <v>1544</v>
      </c>
      <c r="H782" s="3">
        <f>IFERROR(__xludf.DUMMYFUNCTION("split(G782,""/"")"),2.0)</f>
        <v>2</v>
      </c>
      <c r="I782" s="3">
        <f>IFERROR(__xludf.DUMMYFUNCTION("""COMPUTED_VALUE"""),26.0)</f>
        <v>26</v>
      </c>
      <c r="J782" s="3">
        <f>IFERROR(__xludf.DUMMYFUNCTION("""COMPUTED_VALUE"""),2011.0)</f>
        <v>2011</v>
      </c>
      <c r="K782" s="12">
        <f t="shared" si="2"/>
        <v>40600</v>
      </c>
      <c r="L782" s="3" t="s">
        <v>817</v>
      </c>
      <c r="M782" s="3" t="s">
        <v>512</v>
      </c>
      <c r="N782" s="3">
        <v>7331.0</v>
      </c>
      <c r="O782" s="3" t="s">
        <v>818</v>
      </c>
      <c r="P782" s="10">
        <v>4077.0</v>
      </c>
      <c r="Q782" s="13">
        <v>255.28</v>
      </c>
      <c r="R782" s="13">
        <v>159.42</v>
      </c>
      <c r="S782" s="13">
        <f t="shared" si="3"/>
        <v>1040776.56</v>
      </c>
      <c r="T782" s="13">
        <f t="shared" si="4"/>
        <v>649955.34</v>
      </c>
      <c r="U782" s="13">
        <f t="shared" si="5"/>
        <v>390821.22</v>
      </c>
      <c r="V782" s="3" t="str">
        <f>VLOOKUP(N782,products!A:B,2,0)</f>
        <v>Baby Food</v>
      </c>
      <c r="W782" s="3" t="s">
        <v>28</v>
      </c>
      <c r="X782" s="3" t="s">
        <v>79</v>
      </c>
      <c r="Y782" s="14">
        <f t="shared" si="10"/>
        <v>0.3755092448</v>
      </c>
      <c r="Z782" s="3">
        <f t="shared" si="7"/>
        <v>36</v>
      </c>
      <c r="AA782" s="15">
        <f t="shared" si="8"/>
        <v>6</v>
      </c>
    </row>
    <row r="783" ht="15.75" customHeight="1">
      <c r="A783" s="3">
        <v>6.11791121E8</v>
      </c>
      <c r="B783" s="3" t="s">
        <v>1545</v>
      </c>
      <c r="C783" s="3">
        <f>IFERROR(__xludf.DUMMYFUNCTION("split(B783,""/"")"),1.0)</f>
        <v>1</v>
      </c>
      <c r="D783" s="10">
        <f>IFERROR(__xludf.DUMMYFUNCTION("""COMPUTED_VALUE"""),25.0)</f>
        <v>25</v>
      </c>
      <c r="E783" s="11">
        <f>IFERROR(__xludf.DUMMYFUNCTION("""COMPUTED_VALUE"""),2016.0)</f>
        <v>2016</v>
      </c>
      <c r="F783" s="12">
        <f t="shared" si="1"/>
        <v>42394</v>
      </c>
      <c r="G783" s="9">
        <v>42432.0</v>
      </c>
      <c r="H783" s="3">
        <f>IFERROR(__xludf.DUMMYFUNCTION("split(G783,""/"")"),3.0)</f>
        <v>3</v>
      </c>
      <c r="I783" s="3">
        <f>IFERROR(__xludf.DUMMYFUNCTION("""COMPUTED_VALUE"""),3.0)</f>
        <v>3</v>
      </c>
      <c r="J783" s="3">
        <f>IFERROR(__xludf.DUMMYFUNCTION("""COMPUTED_VALUE"""),2016.0)</f>
        <v>2016</v>
      </c>
      <c r="K783" s="12">
        <f t="shared" si="2"/>
        <v>42432</v>
      </c>
      <c r="L783" s="3" t="s">
        <v>817</v>
      </c>
      <c r="M783" s="3" t="s">
        <v>740</v>
      </c>
      <c r="N783" s="3">
        <v>8969.0</v>
      </c>
      <c r="O783" s="3" t="s">
        <v>818</v>
      </c>
      <c r="P783" s="10">
        <v>1443.0</v>
      </c>
      <c r="Q783" s="13">
        <v>152.58</v>
      </c>
      <c r="R783" s="13">
        <v>97.44</v>
      </c>
      <c r="S783" s="13">
        <f t="shared" si="3"/>
        <v>220172.94</v>
      </c>
      <c r="T783" s="13">
        <f t="shared" si="4"/>
        <v>140605.92</v>
      </c>
      <c r="U783" s="13">
        <f t="shared" si="5"/>
        <v>79567.02</v>
      </c>
      <c r="V783" s="3" t="str">
        <f>VLOOKUP(N783,products!A:B,2,0)</f>
        <v>Snacks</v>
      </c>
      <c r="W783" s="3" t="s">
        <v>28</v>
      </c>
      <c r="X783" s="3" t="s">
        <v>98</v>
      </c>
      <c r="Y783" s="14">
        <f t="shared" si="10"/>
        <v>0.3613841919</v>
      </c>
      <c r="Z783" s="3">
        <f t="shared" si="7"/>
        <v>38</v>
      </c>
      <c r="AA783" s="15">
        <f t="shared" si="8"/>
        <v>2</v>
      </c>
    </row>
    <row r="784" ht="15.75" customHeight="1">
      <c r="A784" s="3">
        <v>6.13166129E8</v>
      </c>
      <c r="B784" s="9">
        <v>40583.0</v>
      </c>
      <c r="C784" s="3">
        <f>IFERROR(__xludf.DUMMYFUNCTION("split(B784,""/"")"),9.0)</f>
        <v>9</v>
      </c>
      <c r="D784" s="10">
        <f>IFERROR(__xludf.DUMMYFUNCTION("""COMPUTED_VALUE"""),2.0)</f>
        <v>2</v>
      </c>
      <c r="E784" s="11">
        <f>IFERROR(__xludf.DUMMYFUNCTION("""COMPUTED_VALUE"""),2011.0)</f>
        <v>2011</v>
      </c>
      <c r="F784" s="12">
        <f t="shared" si="1"/>
        <v>40788</v>
      </c>
      <c r="G784" s="3" t="s">
        <v>1490</v>
      </c>
      <c r="H784" s="3">
        <f>IFERROR(__xludf.DUMMYFUNCTION("split(G784,""/"")"),10.0)</f>
        <v>10</v>
      </c>
      <c r="I784" s="3">
        <f>IFERROR(__xludf.DUMMYFUNCTION("""COMPUTED_VALUE"""),21.0)</f>
        <v>21</v>
      </c>
      <c r="J784" s="3">
        <f>IFERROR(__xludf.DUMMYFUNCTION("""COMPUTED_VALUE"""),2011.0)</f>
        <v>2011</v>
      </c>
      <c r="K784" s="12">
        <f t="shared" si="2"/>
        <v>40837</v>
      </c>
      <c r="L784" s="3" t="s">
        <v>814</v>
      </c>
      <c r="M784" s="3" t="s">
        <v>97</v>
      </c>
      <c r="N784" s="3">
        <v>8293.0</v>
      </c>
      <c r="O784" s="3" t="s">
        <v>818</v>
      </c>
      <c r="P784" s="10">
        <v>8338.0</v>
      </c>
      <c r="Q784" s="13">
        <v>437.2</v>
      </c>
      <c r="R784" s="13">
        <v>263.33</v>
      </c>
      <c r="S784" s="13">
        <f t="shared" si="3"/>
        <v>3645373.6</v>
      </c>
      <c r="T784" s="13">
        <f t="shared" si="4"/>
        <v>2195645.54</v>
      </c>
      <c r="U784" s="13">
        <f t="shared" si="5"/>
        <v>1449728.06</v>
      </c>
      <c r="V784" s="3" t="str">
        <f>VLOOKUP(N784,products!A:B,2,0)</f>
        <v>Cosmetics</v>
      </c>
      <c r="W784" s="3" t="s">
        <v>28</v>
      </c>
      <c r="X784" s="3" t="s">
        <v>98</v>
      </c>
      <c r="Y784" s="14">
        <f t="shared" si="10"/>
        <v>0.3976898445</v>
      </c>
      <c r="Z784" s="3">
        <f t="shared" si="7"/>
        <v>49</v>
      </c>
      <c r="AA784" s="15">
        <f t="shared" si="8"/>
        <v>6</v>
      </c>
    </row>
    <row r="785" ht="15.75" customHeight="1">
      <c r="A785" s="3">
        <v>6.14054477E8</v>
      </c>
      <c r="B785" s="9">
        <v>42712.0</v>
      </c>
      <c r="C785" s="3">
        <f>IFERROR(__xludf.DUMMYFUNCTION("split(B785,""/"")"),8.0)</f>
        <v>8</v>
      </c>
      <c r="D785" s="10">
        <f>IFERROR(__xludf.DUMMYFUNCTION("""COMPUTED_VALUE"""),12.0)</f>
        <v>12</v>
      </c>
      <c r="E785" s="11">
        <f>IFERROR(__xludf.DUMMYFUNCTION("""COMPUTED_VALUE"""),2016.0)</f>
        <v>2016</v>
      </c>
      <c r="F785" s="12">
        <f t="shared" si="1"/>
        <v>42594</v>
      </c>
      <c r="G785" s="3" t="s">
        <v>1470</v>
      </c>
      <c r="H785" s="3">
        <f>IFERROR(__xludf.DUMMYFUNCTION("split(G785,""/"")"),8.0)</f>
        <v>8</v>
      </c>
      <c r="I785" s="3">
        <f>IFERROR(__xludf.DUMMYFUNCTION("""COMPUTED_VALUE"""),16.0)</f>
        <v>16</v>
      </c>
      <c r="J785" s="3">
        <f>IFERROR(__xludf.DUMMYFUNCTION("""COMPUTED_VALUE"""),2016.0)</f>
        <v>2016</v>
      </c>
      <c r="K785" s="12">
        <f t="shared" si="2"/>
        <v>42598</v>
      </c>
      <c r="L785" s="3" t="s">
        <v>817</v>
      </c>
      <c r="M785" s="3" t="s">
        <v>97</v>
      </c>
      <c r="N785" s="3">
        <v>5988.0</v>
      </c>
      <c r="O785" s="3" t="s">
        <v>815</v>
      </c>
      <c r="P785" s="10">
        <v>1220.0</v>
      </c>
      <c r="Q785" s="13">
        <v>154.06</v>
      </c>
      <c r="R785" s="13">
        <v>90.93</v>
      </c>
      <c r="S785" s="13">
        <f t="shared" si="3"/>
        <v>187953.2</v>
      </c>
      <c r="T785" s="13">
        <f t="shared" si="4"/>
        <v>110934.6</v>
      </c>
      <c r="U785" s="13">
        <f t="shared" si="5"/>
        <v>77018.6</v>
      </c>
      <c r="V785" s="3" t="str">
        <f>VLOOKUP(N785,products!A:B,2,0)</f>
        <v>Vegetables</v>
      </c>
      <c r="W785" s="3" t="s">
        <v>28</v>
      </c>
      <c r="X785" s="3" t="s">
        <v>98</v>
      </c>
      <c r="Y785" s="14">
        <f t="shared" si="10"/>
        <v>0.4097754122</v>
      </c>
      <c r="Z785" s="3">
        <f t="shared" si="7"/>
        <v>4</v>
      </c>
      <c r="AA785" s="15">
        <f t="shared" si="8"/>
        <v>6</v>
      </c>
    </row>
    <row r="786" ht="15.75" customHeight="1">
      <c r="A786" s="3">
        <v>6.14321839E8</v>
      </c>
      <c r="B786" s="3" t="s">
        <v>1221</v>
      </c>
      <c r="C786" s="3">
        <f>IFERROR(__xludf.DUMMYFUNCTION("split(B786,""/"")"),5.0)</f>
        <v>5</v>
      </c>
      <c r="D786" s="10">
        <f>IFERROR(__xludf.DUMMYFUNCTION("""COMPUTED_VALUE"""),23.0)</f>
        <v>23</v>
      </c>
      <c r="E786" s="11">
        <f>IFERROR(__xludf.DUMMYFUNCTION("""COMPUTED_VALUE"""),2016.0)</f>
        <v>2016</v>
      </c>
      <c r="F786" s="12">
        <f t="shared" si="1"/>
        <v>42513</v>
      </c>
      <c r="G786" s="9">
        <v>42497.0</v>
      </c>
      <c r="H786" s="3">
        <f>IFERROR(__xludf.DUMMYFUNCTION("split(G786,""/"")"),7.0)</f>
        <v>7</v>
      </c>
      <c r="I786" s="3">
        <f>IFERROR(__xludf.DUMMYFUNCTION("""COMPUTED_VALUE"""),5.0)</f>
        <v>5</v>
      </c>
      <c r="J786" s="3">
        <f>IFERROR(__xludf.DUMMYFUNCTION("""COMPUTED_VALUE"""),2016.0)</f>
        <v>2016</v>
      </c>
      <c r="K786" s="12">
        <f t="shared" si="2"/>
        <v>42556</v>
      </c>
      <c r="L786" s="3" t="s">
        <v>827</v>
      </c>
      <c r="M786" s="3" t="s">
        <v>623</v>
      </c>
      <c r="N786" s="3">
        <v>8875.0</v>
      </c>
      <c r="O786" s="3" t="s">
        <v>815</v>
      </c>
      <c r="P786" s="10">
        <v>339.0</v>
      </c>
      <c r="Q786" s="13">
        <v>421.89</v>
      </c>
      <c r="R786" s="13">
        <v>364.69</v>
      </c>
      <c r="S786" s="13">
        <f t="shared" si="3"/>
        <v>143020.71</v>
      </c>
      <c r="T786" s="13">
        <f t="shared" si="4"/>
        <v>123629.91</v>
      </c>
      <c r="U786" s="13">
        <f t="shared" si="5"/>
        <v>19390.8</v>
      </c>
      <c r="V786" s="3" t="str">
        <f>VLOOKUP(N786,products!A:B,2,0)</f>
        <v>Meat</v>
      </c>
      <c r="W786" s="3" t="s">
        <v>28</v>
      </c>
      <c r="X786" s="3" t="s">
        <v>33</v>
      </c>
      <c r="Y786" s="14">
        <f t="shared" si="10"/>
        <v>0.1355803646</v>
      </c>
      <c r="Z786" s="3">
        <f t="shared" si="7"/>
        <v>43</v>
      </c>
      <c r="AA786" s="15">
        <f t="shared" si="8"/>
        <v>2</v>
      </c>
    </row>
    <row r="787" ht="15.75" customHeight="1">
      <c r="A787" s="3">
        <v>6.14597785E8</v>
      </c>
      <c r="B787" s="3" t="s">
        <v>1128</v>
      </c>
      <c r="C787" s="3">
        <f>IFERROR(__xludf.DUMMYFUNCTION("split(B787,""/"")"),3.0)</f>
        <v>3</v>
      </c>
      <c r="D787" s="10">
        <f>IFERROR(__xludf.DUMMYFUNCTION("""COMPUTED_VALUE"""),29.0)</f>
        <v>29</v>
      </c>
      <c r="E787" s="11">
        <f>IFERROR(__xludf.DUMMYFUNCTION("""COMPUTED_VALUE"""),2014.0)</f>
        <v>2014</v>
      </c>
      <c r="F787" s="12">
        <f t="shared" si="1"/>
        <v>41727</v>
      </c>
      <c r="G787" s="3" t="s">
        <v>1546</v>
      </c>
      <c r="H787" s="3">
        <f>IFERROR(__xludf.DUMMYFUNCTION("split(G787,""/"")"),5.0)</f>
        <v>5</v>
      </c>
      <c r="I787" s="3">
        <f>IFERROR(__xludf.DUMMYFUNCTION("""COMPUTED_VALUE"""),14.0)</f>
        <v>14</v>
      </c>
      <c r="J787" s="3">
        <f>IFERROR(__xludf.DUMMYFUNCTION("""COMPUTED_VALUE"""),2014.0)</f>
        <v>2014</v>
      </c>
      <c r="K787" s="12">
        <f t="shared" si="2"/>
        <v>41773</v>
      </c>
      <c r="L787" s="3" t="s">
        <v>817</v>
      </c>
      <c r="M787" s="3" t="s">
        <v>488</v>
      </c>
      <c r="N787" s="3">
        <v>8293.0</v>
      </c>
      <c r="O787" s="3" t="s">
        <v>818</v>
      </c>
      <c r="P787" s="10">
        <v>1997.0</v>
      </c>
      <c r="Q787" s="13">
        <v>437.2</v>
      </c>
      <c r="R787" s="13">
        <v>263.33</v>
      </c>
      <c r="S787" s="13">
        <f t="shared" si="3"/>
        <v>873088.4</v>
      </c>
      <c r="T787" s="13">
        <f t="shared" si="4"/>
        <v>525870.01</v>
      </c>
      <c r="U787" s="13">
        <f t="shared" si="5"/>
        <v>347218.39</v>
      </c>
      <c r="V787" s="3" t="str">
        <f>VLOOKUP(N787,products!A:B,2,0)</f>
        <v>Cosmetics</v>
      </c>
      <c r="W787" s="3" t="s">
        <v>28</v>
      </c>
      <c r="X787" s="3" t="s">
        <v>33</v>
      </c>
      <c r="Y787" s="14">
        <f t="shared" si="10"/>
        <v>0.3976898445</v>
      </c>
      <c r="Z787" s="3">
        <f t="shared" si="7"/>
        <v>46</v>
      </c>
      <c r="AA787" s="15">
        <f t="shared" si="8"/>
        <v>7</v>
      </c>
    </row>
    <row r="788" ht="15.75" customHeight="1">
      <c r="A788" s="3">
        <v>6.15080583E8</v>
      </c>
      <c r="B788" s="9">
        <v>42316.0</v>
      </c>
      <c r="C788" s="3">
        <f>IFERROR(__xludf.DUMMYFUNCTION("split(B788,""/"")"),8.0)</f>
        <v>8</v>
      </c>
      <c r="D788" s="10">
        <f>IFERROR(__xludf.DUMMYFUNCTION("""COMPUTED_VALUE"""),11.0)</f>
        <v>11</v>
      </c>
      <c r="E788" s="11">
        <f>IFERROR(__xludf.DUMMYFUNCTION("""COMPUTED_VALUE"""),2015.0)</f>
        <v>2015</v>
      </c>
      <c r="F788" s="12">
        <f t="shared" si="1"/>
        <v>42227</v>
      </c>
      <c r="G788" s="3" t="s">
        <v>1547</v>
      </c>
      <c r="H788" s="3">
        <f>IFERROR(__xludf.DUMMYFUNCTION("split(G788,""/"")"),9.0)</f>
        <v>9</v>
      </c>
      <c r="I788" s="3">
        <f>IFERROR(__xludf.DUMMYFUNCTION("""COMPUTED_VALUE"""),19.0)</f>
        <v>19</v>
      </c>
      <c r="J788" s="3">
        <f>IFERROR(__xludf.DUMMYFUNCTION("""COMPUTED_VALUE"""),2015.0)</f>
        <v>2015</v>
      </c>
      <c r="K788" s="12">
        <f t="shared" si="2"/>
        <v>42266</v>
      </c>
      <c r="L788" s="3" t="s">
        <v>817</v>
      </c>
      <c r="M788" s="3" t="s">
        <v>578</v>
      </c>
      <c r="N788" s="3">
        <v>2103.0</v>
      </c>
      <c r="O788" s="3" t="s">
        <v>815</v>
      </c>
      <c r="P788" s="10">
        <v>4868.0</v>
      </c>
      <c r="Q788" s="13">
        <v>205.7</v>
      </c>
      <c r="R788" s="13">
        <v>117.11</v>
      </c>
      <c r="S788" s="13">
        <f t="shared" si="3"/>
        <v>1001347.6</v>
      </c>
      <c r="T788" s="13">
        <f t="shared" si="4"/>
        <v>570091.48</v>
      </c>
      <c r="U788" s="13">
        <f t="shared" si="5"/>
        <v>431256.12</v>
      </c>
      <c r="V788" s="3" t="str">
        <f>VLOOKUP(N788,products!A:B,2,0)</f>
        <v>Cereal</v>
      </c>
      <c r="W788" s="3" t="s">
        <v>28</v>
      </c>
      <c r="X788" s="3" t="s">
        <v>33</v>
      </c>
      <c r="Y788" s="14">
        <f t="shared" si="10"/>
        <v>0.4306757414</v>
      </c>
      <c r="Z788" s="3">
        <f t="shared" si="7"/>
        <v>39</v>
      </c>
      <c r="AA788" s="15">
        <f t="shared" si="8"/>
        <v>3</v>
      </c>
    </row>
    <row r="789" ht="15.75" customHeight="1">
      <c r="A789" s="3">
        <v>6.15290009E8</v>
      </c>
      <c r="B789" s="3" t="s">
        <v>1548</v>
      </c>
      <c r="C789" s="3">
        <f>IFERROR(__xludf.DUMMYFUNCTION("split(B789,""/"")"),1.0)</f>
        <v>1</v>
      </c>
      <c r="D789" s="10">
        <f>IFERROR(__xludf.DUMMYFUNCTION("""COMPUTED_VALUE"""),14.0)</f>
        <v>14</v>
      </c>
      <c r="E789" s="11">
        <f>IFERROR(__xludf.DUMMYFUNCTION("""COMPUTED_VALUE"""),2017.0)</f>
        <v>2017</v>
      </c>
      <c r="F789" s="12">
        <f t="shared" si="1"/>
        <v>42749</v>
      </c>
      <c r="G789" s="3" t="s">
        <v>1549</v>
      </c>
      <c r="H789" s="3">
        <f>IFERROR(__xludf.DUMMYFUNCTION("split(G789,""/"")"),1.0)</f>
        <v>1</v>
      </c>
      <c r="I789" s="3">
        <f>IFERROR(__xludf.DUMMYFUNCTION("""COMPUTED_VALUE"""),18.0)</f>
        <v>18</v>
      </c>
      <c r="J789" s="3">
        <f>IFERROR(__xludf.DUMMYFUNCTION("""COMPUTED_VALUE"""),2017.0)</f>
        <v>2017</v>
      </c>
      <c r="K789" s="12">
        <f t="shared" si="2"/>
        <v>42753</v>
      </c>
      <c r="L789" s="3" t="s">
        <v>814</v>
      </c>
      <c r="M789" s="3" t="s">
        <v>291</v>
      </c>
      <c r="N789" s="3">
        <v>8875.0</v>
      </c>
      <c r="O789" s="3" t="s">
        <v>818</v>
      </c>
      <c r="P789" s="10">
        <v>6842.0</v>
      </c>
      <c r="Q789" s="13">
        <v>421.89</v>
      </c>
      <c r="R789" s="13">
        <v>364.69</v>
      </c>
      <c r="S789" s="13">
        <f t="shared" si="3"/>
        <v>2886571.38</v>
      </c>
      <c r="T789" s="13">
        <f t="shared" si="4"/>
        <v>2495208.98</v>
      </c>
      <c r="U789" s="13">
        <f t="shared" si="5"/>
        <v>391362.4</v>
      </c>
      <c r="V789" s="3" t="str">
        <f>VLOOKUP(N789,products!A:B,2,0)</f>
        <v>Meat</v>
      </c>
      <c r="W789" s="3" t="s">
        <v>28</v>
      </c>
      <c r="X789" s="3" t="s">
        <v>79</v>
      </c>
      <c r="Y789" s="14">
        <f t="shared" si="10"/>
        <v>0.1355803646</v>
      </c>
      <c r="Z789" s="3">
        <f t="shared" si="7"/>
        <v>4</v>
      </c>
      <c r="AA789" s="15">
        <f t="shared" si="8"/>
        <v>7</v>
      </c>
    </row>
    <row r="790" ht="15.75" customHeight="1">
      <c r="A790" s="3">
        <v>6.1677531E8</v>
      </c>
      <c r="B790" s="9">
        <v>40729.0</v>
      </c>
      <c r="C790" s="3">
        <f>IFERROR(__xludf.DUMMYFUNCTION("split(B790,""/"")"),5.0)</f>
        <v>5</v>
      </c>
      <c r="D790" s="10">
        <f>IFERROR(__xludf.DUMMYFUNCTION("""COMPUTED_VALUE"""),7.0)</f>
        <v>7</v>
      </c>
      <c r="E790" s="11">
        <f>IFERROR(__xludf.DUMMYFUNCTION("""COMPUTED_VALUE"""),2011.0)</f>
        <v>2011</v>
      </c>
      <c r="F790" s="12">
        <f t="shared" si="1"/>
        <v>40670</v>
      </c>
      <c r="G790" s="3" t="s">
        <v>1520</v>
      </c>
      <c r="H790" s="3">
        <f>IFERROR(__xludf.DUMMYFUNCTION("split(G790,""/"")"),5.0)</f>
        <v>5</v>
      </c>
      <c r="I790" s="3">
        <f>IFERROR(__xludf.DUMMYFUNCTION("""COMPUTED_VALUE"""),24.0)</f>
        <v>24</v>
      </c>
      <c r="J790" s="3">
        <f>IFERROR(__xludf.DUMMYFUNCTION("""COMPUTED_VALUE"""),2011.0)</f>
        <v>2011</v>
      </c>
      <c r="K790" s="12">
        <f t="shared" si="2"/>
        <v>40687</v>
      </c>
      <c r="L790" s="3" t="s">
        <v>817</v>
      </c>
      <c r="M790" s="3" t="s">
        <v>821</v>
      </c>
      <c r="N790" s="3">
        <v>8681.0</v>
      </c>
      <c r="O790" s="3" t="s">
        <v>818</v>
      </c>
      <c r="P790" s="10">
        <v>6375.0</v>
      </c>
      <c r="Q790" s="13">
        <v>651.21</v>
      </c>
      <c r="R790" s="13">
        <v>524.96</v>
      </c>
      <c r="S790" s="13">
        <f t="shared" si="3"/>
        <v>4151463.75</v>
      </c>
      <c r="T790" s="13">
        <f t="shared" si="4"/>
        <v>3346620</v>
      </c>
      <c r="U790" s="13">
        <f t="shared" si="5"/>
        <v>804843.75</v>
      </c>
      <c r="V790" s="3" t="str">
        <f>VLOOKUP(N790,products!A:B,2,0)</f>
        <v>Office Supplies</v>
      </c>
      <c r="W790" s="3" t="s">
        <v>821</v>
      </c>
      <c r="X790" s="3" t="s">
        <v>821</v>
      </c>
      <c r="Y790" s="14">
        <f t="shared" si="10"/>
        <v>0.193869873</v>
      </c>
      <c r="Z790" s="3">
        <f t="shared" si="7"/>
        <v>17</v>
      </c>
      <c r="AA790" s="15">
        <f t="shared" si="8"/>
        <v>7</v>
      </c>
    </row>
    <row r="791" ht="15.75" customHeight="1">
      <c r="A791" s="3">
        <v>6.21577537E8</v>
      </c>
      <c r="B791" s="9">
        <v>42256.0</v>
      </c>
      <c r="C791" s="3">
        <f>IFERROR(__xludf.DUMMYFUNCTION("split(B791,""/"")"),9.0)</f>
        <v>9</v>
      </c>
      <c r="D791" s="10">
        <f>IFERROR(__xludf.DUMMYFUNCTION("""COMPUTED_VALUE"""),9.0)</f>
        <v>9</v>
      </c>
      <c r="E791" s="11">
        <f>IFERROR(__xludf.DUMMYFUNCTION("""COMPUTED_VALUE"""),2015.0)</f>
        <v>2015</v>
      </c>
      <c r="F791" s="12">
        <f t="shared" si="1"/>
        <v>42256</v>
      </c>
      <c r="G791" s="3" t="s">
        <v>1550</v>
      </c>
      <c r="H791" s="3">
        <f>IFERROR(__xludf.DUMMYFUNCTION("split(G791,""/"")"),9.0)</f>
        <v>9</v>
      </c>
      <c r="I791" s="3">
        <f>IFERROR(__xludf.DUMMYFUNCTION("""COMPUTED_VALUE"""),16.0)</f>
        <v>16</v>
      </c>
      <c r="J791" s="3">
        <f>IFERROR(__xludf.DUMMYFUNCTION("""COMPUTED_VALUE"""),2015.0)</f>
        <v>2015</v>
      </c>
      <c r="K791" s="12">
        <f t="shared" si="2"/>
        <v>42263</v>
      </c>
      <c r="L791" s="3" t="s">
        <v>825</v>
      </c>
      <c r="M791" s="3" t="s">
        <v>67</v>
      </c>
      <c r="N791" s="3">
        <v>7940.0</v>
      </c>
      <c r="O791" s="3" t="s">
        <v>818</v>
      </c>
      <c r="P791" s="10">
        <v>7461.0</v>
      </c>
      <c r="Q791" s="13">
        <v>668.27</v>
      </c>
      <c r="R791" s="13">
        <v>502.54</v>
      </c>
      <c r="S791" s="13">
        <f t="shared" si="3"/>
        <v>4985962.47</v>
      </c>
      <c r="T791" s="13">
        <f t="shared" si="4"/>
        <v>3749450.94</v>
      </c>
      <c r="U791" s="13">
        <f t="shared" si="5"/>
        <v>1236511.53</v>
      </c>
      <c r="V791" s="3" t="str">
        <f>VLOOKUP(N791,products!A:B,2,0)</f>
        <v>Household</v>
      </c>
      <c r="W791" s="3" t="s">
        <v>23</v>
      </c>
      <c r="X791" s="3" t="s">
        <v>68</v>
      </c>
      <c r="Y791" s="14">
        <f t="shared" si="10"/>
        <v>0.2479985635</v>
      </c>
      <c r="Z791" s="3">
        <f t="shared" si="7"/>
        <v>7</v>
      </c>
      <c r="AA791" s="15">
        <f t="shared" si="8"/>
        <v>4</v>
      </c>
    </row>
    <row r="792" ht="15.75" customHeight="1">
      <c r="A792" s="3">
        <v>6.22441852E8</v>
      </c>
      <c r="B792" s="3" t="s">
        <v>845</v>
      </c>
      <c r="C792" s="3">
        <f>IFERROR(__xludf.DUMMYFUNCTION("split(B792,""/"")"),5.0)</f>
        <v>5</v>
      </c>
      <c r="D792" s="10">
        <f>IFERROR(__xludf.DUMMYFUNCTION("""COMPUTED_VALUE"""),26.0)</f>
        <v>26</v>
      </c>
      <c r="E792" s="11">
        <f>IFERROR(__xludf.DUMMYFUNCTION("""COMPUTED_VALUE"""),2012.0)</f>
        <v>2012</v>
      </c>
      <c r="F792" s="12">
        <f t="shared" si="1"/>
        <v>41055</v>
      </c>
      <c r="G792" s="3" t="s">
        <v>1116</v>
      </c>
      <c r="H792" s="3">
        <f>IFERROR(__xludf.DUMMYFUNCTION("split(G792,""/"")"),5.0)</f>
        <v>5</v>
      </c>
      <c r="I792" s="3">
        <f>IFERROR(__xludf.DUMMYFUNCTION("""COMPUTED_VALUE"""),28.0)</f>
        <v>28</v>
      </c>
      <c r="J792" s="3">
        <f>IFERROR(__xludf.DUMMYFUNCTION("""COMPUTED_VALUE"""),2012.0)</f>
        <v>2012</v>
      </c>
      <c r="K792" s="12">
        <f t="shared" si="2"/>
        <v>41057</v>
      </c>
      <c r="L792" s="3" t="s">
        <v>825</v>
      </c>
      <c r="M792" s="3" t="s">
        <v>653</v>
      </c>
      <c r="N792" s="3">
        <v>2455.0</v>
      </c>
      <c r="O792" s="3" t="s">
        <v>815</v>
      </c>
      <c r="P792" s="10">
        <v>3231.0</v>
      </c>
      <c r="Q792" s="13">
        <v>109.28</v>
      </c>
      <c r="R792" s="13">
        <v>35.84</v>
      </c>
      <c r="S792" s="13">
        <f t="shared" si="3"/>
        <v>353083.68</v>
      </c>
      <c r="T792" s="13">
        <f t="shared" si="4"/>
        <v>115799.04</v>
      </c>
      <c r="U792" s="13">
        <f t="shared" si="5"/>
        <v>237284.64</v>
      </c>
      <c r="V792" s="3" t="str">
        <f>VLOOKUP(N792,products!A:B,2,0)</f>
        <v>Clothes</v>
      </c>
      <c r="W792" s="3" t="s">
        <v>28</v>
      </c>
      <c r="X792" s="3" t="s">
        <v>33</v>
      </c>
      <c r="Y792" s="14">
        <f t="shared" si="10"/>
        <v>0.6720351391</v>
      </c>
      <c r="Z792" s="3">
        <f t="shared" si="7"/>
        <v>2</v>
      </c>
      <c r="AA792" s="15">
        <f t="shared" si="8"/>
        <v>7</v>
      </c>
    </row>
    <row r="793" ht="15.75" customHeight="1">
      <c r="A793" s="3">
        <v>6.2382158E8</v>
      </c>
      <c r="B793" s="3" t="s">
        <v>1297</v>
      </c>
      <c r="C793" s="3">
        <f>IFERROR(__xludf.DUMMYFUNCTION("split(B793,""/"")"),10.0)</f>
        <v>10</v>
      </c>
      <c r="D793" s="10">
        <f>IFERROR(__xludf.DUMMYFUNCTION("""COMPUTED_VALUE"""),15.0)</f>
        <v>15</v>
      </c>
      <c r="E793" s="11">
        <f>IFERROR(__xludf.DUMMYFUNCTION("""COMPUTED_VALUE"""),2016.0)</f>
        <v>2016</v>
      </c>
      <c r="F793" s="12">
        <f t="shared" si="1"/>
        <v>42658</v>
      </c>
      <c r="G793" s="3" t="s">
        <v>1551</v>
      </c>
      <c r="H793" s="3">
        <f>IFERROR(__xludf.DUMMYFUNCTION("split(G793,""/"")"),10.0)</f>
        <v>10</v>
      </c>
      <c r="I793" s="3">
        <f>IFERROR(__xludf.DUMMYFUNCTION("""COMPUTED_VALUE"""),31.0)</f>
        <v>31</v>
      </c>
      <c r="J793" s="3">
        <f>IFERROR(__xludf.DUMMYFUNCTION("""COMPUTED_VALUE"""),2016.0)</f>
        <v>2016</v>
      </c>
      <c r="K793" s="12">
        <f t="shared" si="2"/>
        <v>42674</v>
      </c>
      <c r="L793" s="3" t="s">
        <v>825</v>
      </c>
      <c r="M793" s="3" t="s">
        <v>123</v>
      </c>
      <c r="N793" s="3">
        <v>4594.0</v>
      </c>
      <c r="O793" s="3" t="s">
        <v>818</v>
      </c>
      <c r="P793" s="10">
        <v>1523.0</v>
      </c>
      <c r="Q793" s="13">
        <v>9.33</v>
      </c>
      <c r="R793" s="13">
        <v>6.92</v>
      </c>
      <c r="S793" s="13">
        <f t="shared" si="3"/>
        <v>14209.59</v>
      </c>
      <c r="T793" s="13">
        <f t="shared" si="4"/>
        <v>10539.16</v>
      </c>
      <c r="U793" s="13">
        <f t="shared" si="5"/>
        <v>3670.43</v>
      </c>
      <c r="V793" s="3" t="str">
        <f>VLOOKUP(N793,products!A:B,2,0)</f>
        <v>Fruits</v>
      </c>
      <c r="W793" s="3" t="s">
        <v>28</v>
      </c>
      <c r="X793" s="3" t="s">
        <v>33</v>
      </c>
      <c r="Y793" s="14">
        <f t="shared" si="10"/>
        <v>0.258306538</v>
      </c>
      <c r="Z793" s="3">
        <f t="shared" si="7"/>
        <v>16</v>
      </c>
      <c r="AA793" s="15">
        <f t="shared" si="8"/>
        <v>7</v>
      </c>
    </row>
    <row r="794" ht="15.75" customHeight="1">
      <c r="A794" s="3">
        <v>6.24348151E8</v>
      </c>
      <c r="B794" s="3" t="s">
        <v>1160</v>
      </c>
      <c r="C794" s="3">
        <f>IFERROR(__xludf.DUMMYFUNCTION("split(B794,""/"")"),11.0)</f>
        <v>11</v>
      </c>
      <c r="D794" s="10">
        <f>IFERROR(__xludf.DUMMYFUNCTION("""COMPUTED_VALUE"""),14.0)</f>
        <v>14</v>
      </c>
      <c r="E794" s="11">
        <f>IFERROR(__xludf.DUMMYFUNCTION("""COMPUTED_VALUE"""),2012.0)</f>
        <v>2012</v>
      </c>
      <c r="F794" s="12">
        <f t="shared" si="1"/>
        <v>41227</v>
      </c>
      <c r="G794" s="9">
        <v>41133.0</v>
      </c>
      <c r="H794" s="3">
        <f>IFERROR(__xludf.DUMMYFUNCTION("split(G794,""/"")"),12.0)</f>
        <v>12</v>
      </c>
      <c r="I794" s="3">
        <f>IFERROR(__xludf.DUMMYFUNCTION("""COMPUTED_VALUE"""),8.0)</f>
        <v>8</v>
      </c>
      <c r="J794" s="3">
        <f>IFERROR(__xludf.DUMMYFUNCTION("""COMPUTED_VALUE"""),2012.0)</f>
        <v>2012</v>
      </c>
      <c r="K794" s="12">
        <f t="shared" si="2"/>
        <v>41251</v>
      </c>
      <c r="L794" s="3" t="s">
        <v>817</v>
      </c>
      <c r="M794" s="3" t="s">
        <v>740</v>
      </c>
      <c r="N794" s="3">
        <v>8681.0</v>
      </c>
      <c r="O794" s="3" t="s">
        <v>815</v>
      </c>
      <c r="P794" s="10">
        <v>7347.0</v>
      </c>
      <c r="Q794" s="13">
        <v>651.21</v>
      </c>
      <c r="R794" s="13">
        <v>524.96</v>
      </c>
      <c r="S794" s="13">
        <f t="shared" si="3"/>
        <v>4784439.87</v>
      </c>
      <c r="T794" s="13">
        <f t="shared" si="4"/>
        <v>3856881.12</v>
      </c>
      <c r="U794" s="13">
        <f t="shared" si="5"/>
        <v>927558.75</v>
      </c>
      <c r="V794" s="3" t="str">
        <f>VLOOKUP(N794,products!A:B,2,0)</f>
        <v>Office Supplies</v>
      </c>
      <c r="W794" s="3" t="s">
        <v>28</v>
      </c>
      <c r="X794" s="3" t="s">
        <v>98</v>
      </c>
      <c r="Y794" s="14">
        <f t="shared" si="10"/>
        <v>0.193869873</v>
      </c>
      <c r="Z794" s="3">
        <f t="shared" si="7"/>
        <v>24</v>
      </c>
      <c r="AA794" s="15">
        <f t="shared" si="8"/>
        <v>4</v>
      </c>
    </row>
    <row r="795" ht="15.75" customHeight="1">
      <c r="A795" s="3">
        <v>6.24398362E8</v>
      </c>
      <c r="B795" s="3" t="s">
        <v>1552</v>
      </c>
      <c r="C795" s="3">
        <f>IFERROR(__xludf.DUMMYFUNCTION("split(B795,""/"")"),6.0)</f>
        <v>6</v>
      </c>
      <c r="D795" s="10">
        <f>IFERROR(__xludf.DUMMYFUNCTION("""COMPUTED_VALUE"""),30.0)</f>
        <v>30</v>
      </c>
      <c r="E795" s="11">
        <f>IFERROR(__xludf.DUMMYFUNCTION("""COMPUTED_VALUE"""),2017.0)</f>
        <v>2017</v>
      </c>
      <c r="F795" s="12">
        <f t="shared" si="1"/>
        <v>42916</v>
      </c>
      <c r="G795" s="3" t="s">
        <v>871</v>
      </c>
      <c r="H795" s="3">
        <f>IFERROR(__xludf.DUMMYFUNCTION("split(G795,""/"")"),7.0)</f>
        <v>7</v>
      </c>
      <c r="I795" s="3">
        <f>IFERROR(__xludf.DUMMYFUNCTION("""COMPUTED_VALUE"""),24.0)</f>
        <v>24</v>
      </c>
      <c r="J795" s="3">
        <f>IFERROR(__xludf.DUMMYFUNCTION("""COMPUTED_VALUE"""),2017.0)</f>
        <v>2017</v>
      </c>
      <c r="K795" s="12">
        <f t="shared" si="2"/>
        <v>42940</v>
      </c>
      <c r="L795" s="3" t="s">
        <v>817</v>
      </c>
      <c r="M795" s="3" t="s">
        <v>97</v>
      </c>
      <c r="N795" s="3">
        <v>8681.0</v>
      </c>
      <c r="O795" s="3" t="s">
        <v>818</v>
      </c>
      <c r="P795" s="10">
        <v>2206.0</v>
      </c>
      <c r="Q795" s="13">
        <v>651.21</v>
      </c>
      <c r="R795" s="13">
        <v>524.96</v>
      </c>
      <c r="S795" s="13">
        <f t="shared" si="3"/>
        <v>1436569.26</v>
      </c>
      <c r="T795" s="13">
        <f t="shared" si="4"/>
        <v>1158061.76</v>
      </c>
      <c r="U795" s="13">
        <f t="shared" si="5"/>
        <v>278507.5</v>
      </c>
      <c r="V795" s="3" t="str">
        <f>VLOOKUP(N795,products!A:B,2,0)</f>
        <v>Office Supplies</v>
      </c>
      <c r="W795" s="3" t="s">
        <v>28</v>
      </c>
      <c r="X795" s="3" t="s">
        <v>98</v>
      </c>
      <c r="Y795" s="14">
        <f t="shared" si="10"/>
        <v>0.193869873</v>
      </c>
      <c r="Z795" s="3">
        <f t="shared" si="7"/>
        <v>24</v>
      </c>
      <c r="AA795" s="15">
        <f t="shared" si="8"/>
        <v>6</v>
      </c>
    </row>
    <row r="796" ht="15.75" customHeight="1">
      <c r="A796" s="3">
        <v>6.24940383E8</v>
      </c>
      <c r="B796" s="9">
        <v>42403.0</v>
      </c>
      <c r="C796" s="3">
        <f>IFERROR(__xludf.DUMMYFUNCTION("split(B796,""/"")"),3.0)</f>
        <v>3</v>
      </c>
      <c r="D796" s="10">
        <f>IFERROR(__xludf.DUMMYFUNCTION("""COMPUTED_VALUE"""),2.0)</f>
        <v>2</v>
      </c>
      <c r="E796" s="11">
        <f>IFERROR(__xludf.DUMMYFUNCTION("""COMPUTED_VALUE"""),2016.0)</f>
        <v>2016</v>
      </c>
      <c r="F796" s="12">
        <f t="shared" si="1"/>
        <v>42431</v>
      </c>
      <c r="G796" s="3" t="s">
        <v>1553</v>
      </c>
      <c r="H796" s="3">
        <f>IFERROR(__xludf.DUMMYFUNCTION("split(G796,""/"")"),3.0)</f>
        <v>3</v>
      </c>
      <c r="I796" s="3">
        <f>IFERROR(__xludf.DUMMYFUNCTION("""COMPUTED_VALUE"""),30.0)</f>
        <v>30</v>
      </c>
      <c r="J796" s="3">
        <f>IFERROR(__xludf.DUMMYFUNCTION("""COMPUTED_VALUE"""),2016.0)</f>
        <v>2016</v>
      </c>
      <c r="K796" s="12">
        <f t="shared" si="2"/>
        <v>42459</v>
      </c>
      <c r="L796" s="3" t="s">
        <v>827</v>
      </c>
      <c r="M796" s="3" t="s">
        <v>746</v>
      </c>
      <c r="N796" s="3">
        <v>8293.0</v>
      </c>
      <c r="O796" s="3" t="s">
        <v>818</v>
      </c>
      <c r="P796" s="10">
        <v>2602.0</v>
      </c>
      <c r="Q796" s="13">
        <v>437.2</v>
      </c>
      <c r="R796" s="13">
        <v>263.33</v>
      </c>
      <c r="S796" s="13">
        <f t="shared" si="3"/>
        <v>1137594.4</v>
      </c>
      <c r="T796" s="13">
        <f t="shared" si="4"/>
        <v>685184.66</v>
      </c>
      <c r="U796" s="13">
        <f t="shared" si="5"/>
        <v>452409.74</v>
      </c>
      <c r="V796" s="3" t="str">
        <f>VLOOKUP(N796,products!A:B,2,0)</f>
        <v>Cosmetics</v>
      </c>
      <c r="W796" s="3" t="s">
        <v>28</v>
      </c>
      <c r="X796" s="3" t="s">
        <v>29</v>
      </c>
      <c r="Y796" s="14">
        <f t="shared" si="10"/>
        <v>0.3976898445</v>
      </c>
      <c r="Z796" s="3">
        <f t="shared" si="7"/>
        <v>28</v>
      </c>
      <c r="AA796" s="15">
        <f t="shared" si="8"/>
        <v>4</v>
      </c>
    </row>
    <row r="797" ht="15.75" customHeight="1">
      <c r="A797" s="3">
        <v>6.25751483E8</v>
      </c>
      <c r="B797" s="3" t="s">
        <v>915</v>
      </c>
      <c r="C797" s="3">
        <f>IFERROR(__xludf.DUMMYFUNCTION("split(B797,""/"")"),9.0)</f>
        <v>9</v>
      </c>
      <c r="D797" s="10">
        <f>IFERROR(__xludf.DUMMYFUNCTION("""COMPUTED_VALUE"""),29.0)</f>
        <v>29</v>
      </c>
      <c r="E797" s="11">
        <f>IFERROR(__xludf.DUMMYFUNCTION("""COMPUTED_VALUE"""),2015.0)</f>
        <v>2015</v>
      </c>
      <c r="F797" s="12">
        <f t="shared" si="1"/>
        <v>42276</v>
      </c>
      <c r="G797" s="9">
        <v>42014.0</v>
      </c>
      <c r="H797" s="3">
        <f>IFERROR(__xludf.DUMMYFUNCTION("split(G797,""/"")"),10.0)</f>
        <v>10</v>
      </c>
      <c r="I797" s="3">
        <f>IFERROR(__xludf.DUMMYFUNCTION("""COMPUTED_VALUE"""),1.0)</f>
        <v>1</v>
      </c>
      <c r="J797" s="3">
        <f>IFERROR(__xludf.DUMMYFUNCTION("""COMPUTED_VALUE"""),2015.0)</f>
        <v>2015</v>
      </c>
      <c r="K797" s="12">
        <f t="shared" si="2"/>
        <v>42278</v>
      </c>
      <c r="L797" s="3" t="s">
        <v>827</v>
      </c>
      <c r="M797" s="3" t="s">
        <v>623</v>
      </c>
      <c r="N797" s="3">
        <v>3127.0</v>
      </c>
      <c r="O797" s="3" t="s">
        <v>818</v>
      </c>
      <c r="P797" s="10">
        <v>2624.0</v>
      </c>
      <c r="Q797" s="13">
        <v>81.73</v>
      </c>
      <c r="R797" s="13">
        <v>56.67</v>
      </c>
      <c r="S797" s="13">
        <f t="shared" si="3"/>
        <v>214459.52</v>
      </c>
      <c r="T797" s="13">
        <f t="shared" si="4"/>
        <v>148702.08</v>
      </c>
      <c r="U797" s="13">
        <f t="shared" si="5"/>
        <v>65757.44</v>
      </c>
      <c r="V797" s="3" t="str">
        <f>VLOOKUP(N797,products!A:B,2,0)</f>
        <v>Personal Care</v>
      </c>
      <c r="W797" s="3" t="s">
        <v>28</v>
      </c>
      <c r="X797" s="3" t="s">
        <v>33</v>
      </c>
      <c r="Y797" s="14">
        <f t="shared" si="10"/>
        <v>0.3066193564</v>
      </c>
      <c r="Z797" s="3">
        <f t="shared" si="7"/>
        <v>2</v>
      </c>
      <c r="AA797" s="15">
        <f t="shared" si="8"/>
        <v>3</v>
      </c>
    </row>
    <row r="798" ht="15.75" customHeight="1">
      <c r="A798" s="3">
        <v>6.26011979E8</v>
      </c>
      <c r="B798" s="9">
        <v>40575.0</v>
      </c>
      <c r="C798" s="3">
        <f>IFERROR(__xludf.DUMMYFUNCTION("split(B798,""/"")"),1.0)</f>
        <v>1</v>
      </c>
      <c r="D798" s="10">
        <f>IFERROR(__xludf.DUMMYFUNCTION("""COMPUTED_VALUE"""),2.0)</f>
        <v>2</v>
      </c>
      <c r="E798" s="11">
        <f>IFERROR(__xludf.DUMMYFUNCTION("""COMPUTED_VALUE"""),2011.0)</f>
        <v>2011</v>
      </c>
      <c r="F798" s="12">
        <f t="shared" si="1"/>
        <v>40545</v>
      </c>
      <c r="G798" s="9">
        <v>40848.0</v>
      </c>
      <c r="H798" s="3">
        <f>IFERROR(__xludf.DUMMYFUNCTION("split(G798,""/"")"),1.0)</f>
        <v>1</v>
      </c>
      <c r="I798" s="3">
        <f>IFERROR(__xludf.DUMMYFUNCTION("""COMPUTED_VALUE"""),11.0)</f>
        <v>11</v>
      </c>
      <c r="J798" s="3">
        <f>IFERROR(__xludf.DUMMYFUNCTION("""COMPUTED_VALUE"""),2011.0)</f>
        <v>2011</v>
      </c>
      <c r="K798" s="12">
        <f t="shared" si="2"/>
        <v>40554</v>
      </c>
      <c r="L798" s="3" t="s">
        <v>825</v>
      </c>
      <c r="M798" s="3" t="s">
        <v>482</v>
      </c>
      <c r="N798" s="3">
        <v>2455.0</v>
      </c>
      <c r="O798" s="3" t="s">
        <v>818</v>
      </c>
      <c r="P798" s="10">
        <v>9711.0</v>
      </c>
      <c r="Q798" s="13">
        <v>109.28</v>
      </c>
      <c r="R798" s="13">
        <v>35.84</v>
      </c>
      <c r="S798" s="13">
        <f t="shared" si="3"/>
        <v>1061218.08</v>
      </c>
      <c r="T798" s="13">
        <f t="shared" si="4"/>
        <v>348042.24</v>
      </c>
      <c r="U798" s="13">
        <f t="shared" si="5"/>
        <v>713175.84</v>
      </c>
      <c r="V798" s="3" t="str">
        <f>VLOOKUP(N798,products!A:B,2,0)</f>
        <v>Clothes</v>
      </c>
      <c r="W798" s="3" t="s">
        <v>28</v>
      </c>
      <c r="X798" s="3" t="s">
        <v>79</v>
      </c>
      <c r="Y798" s="14">
        <f t="shared" si="10"/>
        <v>0.6720351391</v>
      </c>
      <c r="Z798" s="3">
        <f t="shared" si="7"/>
        <v>9</v>
      </c>
      <c r="AA798" s="15">
        <f t="shared" si="8"/>
        <v>1</v>
      </c>
    </row>
    <row r="799" ht="15.75" customHeight="1">
      <c r="A799" s="3">
        <v>6.26109397E8</v>
      </c>
      <c r="B799" s="9">
        <v>41098.0</v>
      </c>
      <c r="C799" s="3">
        <f>IFERROR(__xludf.DUMMYFUNCTION("split(B799,""/"")"),8.0)</f>
        <v>8</v>
      </c>
      <c r="D799" s="10">
        <f>IFERROR(__xludf.DUMMYFUNCTION("""COMPUTED_VALUE"""),7.0)</f>
        <v>7</v>
      </c>
      <c r="E799" s="11">
        <f>IFERROR(__xludf.DUMMYFUNCTION("""COMPUTED_VALUE"""),2012.0)</f>
        <v>2012</v>
      </c>
      <c r="F799" s="12">
        <f t="shared" si="1"/>
        <v>41128</v>
      </c>
      <c r="G799" s="3" t="s">
        <v>1554</v>
      </c>
      <c r="H799" s="3">
        <f>IFERROR(__xludf.DUMMYFUNCTION("split(G799,""/"")"),9.0)</f>
        <v>9</v>
      </c>
      <c r="I799" s="3">
        <f>IFERROR(__xludf.DUMMYFUNCTION("""COMPUTED_VALUE"""),15.0)</f>
        <v>15</v>
      </c>
      <c r="J799" s="3">
        <f>IFERROR(__xludf.DUMMYFUNCTION("""COMPUTED_VALUE"""),2012.0)</f>
        <v>2012</v>
      </c>
      <c r="K799" s="12">
        <f t="shared" si="2"/>
        <v>41167</v>
      </c>
      <c r="L799" s="3" t="s">
        <v>817</v>
      </c>
      <c r="M799" s="3" t="s">
        <v>740</v>
      </c>
      <c r="N799" s="3">
        <v>2103.0</v>
      </c>
      <c r="O799" s="3" t="s">
        <v>815</v>
      </c>
      <c r="P799" s="10">
        <v>8539.0</v>
      </c>
      <c r="Q799" s="13">
        <v>205.7</v>
      </c>
      <c r="R799" s="13">
        <v>117.11</v>
      </c>
      <c r="S799" s="13">
        <f t="shared" si="3"/>
        <v>1756472.3</v>
      </c>
      <c r="T799" s="13">
        <f t="shared" si="4"/>
        <v>1000002.29</v>
      </c>
      <c r="U799" s="13">
        <f t="shared" si="5"/>
        <v>756470.01</v>
      </c>
      <c r="V799" s="3" t="str">
        <f>VLOOKUP(N799,products!A:B,2,0)</f>
        <v>Cereal</v>
      </c>
      <c r="W799" s="3" t="s">
        <v>28</v>
      </c>
      <c r="X799" s="3" t="s">
        <v>98</v>
      </c>
      <c r="Y799" s="14">
        <f t="shared" si="10"/>
        <v>0.4306757414</v>
      </c>
      <c r="Z799" s="3">
        <f t="shared" si="7"/>
        <v>39</v>
      </c>
      <c r="AA799" s="15">
        <f t="shared" si="8"/>
        <v>3</v>
      </c>
    </row>
    <row r="800" ht="15.75" customHeight="1">
      <c r="A800" s="3">
        <v>6.26322257E8</v>
      </c>
      <c r="B800" s="3" t="s">
        <v>1555</v>
      </c>
      <c r="C800" s="3">
        <f>IFERROR(__xludf.DUMMYFUNCTION("split(B800,""/"")"),4.0)</f>
        <v>4</v>
      </c>
      <c r="D800" s="10">
        <f>IFERROR(__xludf.DUMMYFUNCTION("""COMPUTED_VALUE"""),15.0)</f>
        <v>15</v>
      </c>
      <c r="E800" s="11">
        <f>IFERROR(__xludf.DUMMYFUNCTION("""COMPUTED_VALUE"""),2016.0)</f>
        <v>2016</v>
      </c>
      <c r="F800" s="12">
        <f t="shared" si="1"/>
        <v>42475</v>
      </c>
      <c r="G800" s="9">
        <v>42495.0</v>
      </c>
      <c r="H800" s="3">
        <f>IFERROR(__xludf.DUMMYFUNCTION("split(G800,""/"")"),5.0)</f>
        <v>5</v>
      </c>
      <c r="I800" s="3">
        <f>IFERROR(__xludf.DUMMYFUNCTION("""COMPUTED_VALUE"""),5.0)</f>
        <v>5</v>
      </c>
      <c r="J800" s="3">
        <f>IFERROR(__xludf.DUMMYFUNCTION("""COMPUTED_VALUE"""),2016.0)</f>
        <v>2016</v>
      </c>
      <c r="K800" s="12">
        <f t="shared" si="2"/>
        <v>42495</v>
      </c>
      <c r="L800" s="3" t="s">
        <v>814</v>
      </c>
      <c r="M800" s="3" t="s">
        <v>821</v>
      </c>
      <c r="N800" s="3">
        <v>3127.0</v>
      </c>
      <c r="O800" s="3" t="s">
        <v>818</v>
      </c>
      <c r="P800" s="10">
        <v>1529.0</v>
      </c>
      <c r="Q800" s="13">
        <v>81.73</v>
      </c>
      <c r="R800" s="13">
        <v>56.67</v>
      </c>
      <c r="S800" s="13">
        <f t="shared" si="3"/>
        <v>124965.17</v>
      </c>
      <c r="T800" s="13">
        <f t="shared" si="4"/>
        <v>86648.43</v>
      </c>
      <c r="U800" s="13">
        <f t="shared" si="5"/>
        <v>38316.74</v>
      </c>
      <c r="V800" s="3" t="str">
        <f>VLOOKUP(N800,products!A:B,2,0)</f>
        <v>Personal Care</v>
      </c>
      <c r="W800" s="3" t="s">
        <v>821</v>
      </c>
      <c r="X800" s="3" t="s">
        <v>821</v>
      </c>
      <c r="Y800" s="14">
        <f t="shared" si="10"/>
        <v>0.3066193564</v>
      </c>
      <c r="Z800" s="3">
        <f t="shared" si="7"/>
        <v>20</v>
      </c>
      <c r="AA800" s="15">
        <f t="shared" si="8"/>
        <v>6</v>
      </c>
    </row>
    <row r="801" ht="15.75" customHeight="1">
      <c r="A801" s="3">
        <v>6.26453149E8</v>
      </c>
      <c r="B801" s="3" t="s">
        <v>1556</v>
      </c>
      <c r="C801" s="3">
        <f>IFERROR(__xludf.DUMMYFUNCTION("split(B801,""/"")"),5.0)</f>
        <v>5</v>
      </c>
      <c r="D801" s="10">
        <f>IFERROR(__xludf.DUMMYFUNCTION("""COMPUTED_VALUE"""),24.0)</f>
        <v>24</v>
      </c>
      <c r="E801" s="11">
        <f>IFERROR(__xludf.DUMMYFUNCTION("""COMPUTED_VALUE"""),2013.0)</f>
        <v>2013</v>
      </c>
      <c r="F801" s="12">
        <f t="shared" si="1"/>
        <v>41418</v>
      </c>
      <c r="G801" s="9">
        <v>41553.0</v>
      </c>
      <c r="H801" s="3">
        <f>IFERROR(__xludf.DUMMYFUNCTION("split(G801,""/"")"),6.0)</f>
        <v>6</v>
      </c>
      <c r="I801" s="3">
        <f>IFERROR(__xludf.DUMMYFUNCTION("""COMPUTED_VALUE"""),10.0)</f>
        <v>10</v>
      </c>
      <c r="J801" s="3">
        <f>IFERROR(__xludf.DUMMYFUNCTION("""COMPUTED_VALUE"""),2013.0)</f>
        <v>2013</v>
      </c>
      <c r="K801" s="12">
        <f t="shared" si="2"/>
        <v>41435</v>
      </c>
      <c r="L801" s="3" t="s">
        <v>817</v>
      </c>
      <c r="M801" s="3" t="s">
        <v>578</v>
      </c>
      <c r="N801" s="3">
        <v>8293.0</v>
      </c>
      <c r="O801" s="3" t="s">
        <v>818</v>
      </c>
      <c r="P801" s="10">
        <v>263.0</v>
      </c>
      <c r="Q801" s="13">
        <v>437.2</v>
      </c>
      <c r="R801" s="13">
        <v>263.33</v>
      </c>
      <c r="S801" s="13">
        <f t="shared" si="3"/>
        <v>114983.6</v>
      </c>
      <c r="T801" s="13">
        <f t="shared" si="4"/>
        <v>69255.79</v>
      </c>
      <c r="U801" s="13">
        <f t="shared" si="5"/>
        <v>45727.81</v>
      </c>
      <c r="V801" s="3" t="str">
        <f>VLOOKUP(N801,products!A:B,2,0)</f>
        <v>Cosmetics</v>
      </c>
      <c r="W801" s="3" t="s">
        <v>28</v>
      </c>
      <c r="X801" s="3" t="s">
        <v>33</v>
      </c>
      <c r="Y801" s="14">
        <f t="shared" si="10"/>
        <v>0.3976898445</v>
      </c>
      <c r="Z801" s="3">
        <f t="shared" si="7"/>
        <v>17</v>
      </c>
      <c r="AA801" s="15">
        <f t="shared" si="8"/>
        <v>6</v>
      </c>
    </row>
    <row r="802" ht="15.75" customHeight="1">
      <c r="A802" s="3">
        <v>6.27003753E8</v>
      </c>
      <c r="B802" s="3" t="s">
        <v>1292</v>
      </c>
      <c r="C802" s="3">
        <f>IFERROR(__xludf.DUMMYFUNCTION("split(B802,""/"")"),2.0)</f>
        <v>2</v>
      </c>
      <c r="D802" s="10">
        <f>IFERROR(__xludf.DUMMYFUNCTION("""COMPUTED_VALUE"""),19.0)</f>
        <v>19</v>
      </c>
      <c r="E802" s="11">
        <f>IFERROR(__xludf.DUMMYFUNCTION("""COMPUTED_VALUE"""),2010.0)</f>
        <v>2010</v>
      </c>
      <c r="F802" s="12">
        <f t="shared" si="1"/>
        <v>40228</v>
      </c>
      <c r="G802" s="3" t="s">
        <v>1557</v>
      </c>
      <c r="H802" s="3">
        <f>IFERROR(__xludf.DUMMYFUNCTION("split(G802,""/"")"),3.0)</f>
        <v>3</v>
      </c>
      <c r="I802" s="3">
        <f>IFERROR(__xludf.DUMMYFUNCTION("""COMPUTED_VALUE"""),26.0)</f>
        <v>26</v>
      </c>
      <c r="J802" s="3">
        <f>IFERROR(__xludf.DUMMYFUNCTION("""COMPUTED_VALUE"""),2010.0)</f>
        <v>2010</v>
      </c>
      <c r="K802" s="12">
        <f t="shared" si="2"/>
        <v>40263</v>
      </c>
      <c r="L802" s="3" t="s">
        <v>814</v>
      </c>
      <c r="M802" s="3" t="s">
        <v>590</v>
      </c>
      <c r="N802" s="3">
        <v>8875.0</v>
      </c>
      <c r="O802" s="3" t="s">
        <v>818</v>
      </c>
      <c r="P802" s="10">
        <v>3199.0</v>
      </c>
      <c r="Q802" s="13">
        <v>421.89</v>
      </c>
      <c r="R802" s="13">
        <v>364.69</v>
      </c>
      <c r="S802" s="13">
        <f t="shared" si="3"/>
        <v>1349626.11</v>
      </c>
      <c r="T802" s="13">
        <f t="shared" si="4"/>
        <v>1166643.31</v>
      </c>
      <c r="U802" s="13">
        <f t="shared" si="5"/>
        <v>182982.8</v>
      </c>
      <c r="V802" s="3" t="str">
        <f>VLOOKUP(N802,products!A:B,2,0)</f>
        <v>Meat</v>
      </c>
      <c r="W802" s="3" t="s">
        <v>28</v>
      </c>
      <c r="X802" s="3" t="s">
        <v>98</v>
      </c>
      <c r="Y802" s="14">
        <f t="shared" si="10"/>
        <v>0.1355803646</v>
      </c>
      <c r="Z802" s="3">
        <f t="shared" si="7"/>
        <v>35</v>
      </c>
      <c r="AA802" s="15">
        <f t="shared" si="8"/>
        <v>6</v>
      </c>
    </row>
    <row r="803" ht="15.75" customHeight="1">
      <c r="A803" s="3">
        <v>6.27432048E8</v>
      </c>
      <c r="B803" s="9">
        <v>42041.0</v>
      </c>
      <c r="C803" s="3">
        <f>IFERROR(__xludf.DUMMYFUNCTION("split(B803,""/"")"),6.0)</f>
        <v>6</v>
      </c>
      <c r="D803" s="10">
        <f>IFERROR(__xludf.DUMMYFUNCTION("""COMPUTED_VALUE"""),2.0)</f>
        <v>2</v>
      </c>
      <c r="E803" s="11">
        <f>IFERROR(__xludf.DUMMYFUNCTION("""COMPUTED_VALUE"""),2015.0)</f>
        <v>2015</v>
      </c>
      <c r="F803" s="12">
        <f t="shared" si="1"/>
        <v>42157</v>
      </c>
      <c r="G803" s="3" t="s">
        <v>1558</v>
      </c>
      <c r="H803" s="3">
        <f>IFERROR(__xludf.DUMMYFUNCTION("split(G803,""/"")"),6.0)</f>
        <v>6</v>
      </c>
      <c r="I803" s="3">
        <f>IFERROR(__xludf.DUMMYFUNCTION("""COMPUTED_VALUE"""),23.0)</f>
        <v>23</v>
      </c>
      <c r="J803" s="3">
        <f>IFERROR(__xludf.DUMMYFUNCTION("""COMPUTED_VALUE"""),2015.0)</f>
        <v>2015</v>
      </c>
      <c r="K803" s="12">
        <f t="shared" si="2"/>
        <v>42178</v>
      </c>
      <c r="L803" s="3" t="s">
        <v>817</v>
      </c>
      <c r="M803" s="3" t="s">
        <v>215</v>
      </c>
      <c r="N803" s="3">
        <v>3127.0</v>
      </c>
      <c r="O803" s="3" t="s">
        <v>815</v>
      </c>
      <c r="P803" s="10">
        <v>9941.0</v>
      </c>
      <c r="Q803" s="13">
        <v>81.73</v>
      </c>
      <c r="R803" s="13">
        <v>56.67</v>
      </c>
      <c r="S803" s="13">
        <f t="shared" si="3"/>
        <v>812477.93</v>
      </c>
      <c r="T803" s="13">
        <f t="shared" si="4"/>
        <v>563356.47</v>
      </c>
      <c r="U803" s="13">
        <f t="shared" si="5"/>
        <v>249121.46</v>
      </c>
      <c r="V803" s="3" t="str">
        <f>VLOOKUP(N803,products!A:B,2,0)</f>
        <v>Personal Care</v>
      </c>
      <c r="W803" s="3" t="s">
        <v>23</v>
      </c>
      <c r="X803" s="3" t="s">
        <v>68</v>
      </c>
      <c r="Y803" s="14">
        <f t="shared" si="10"/>
        <v>0.3066193564</v>
      </c>
      <c r="Z803" s="3">
        <f t="shared" si="7"/>
        <v>21</v>
      </c>
      <c r="AA803" s="15">
        <f t="shared" si="8"/>
        <v>3</v>
      </c>
    </row>
    <row r="804" ht="15.75" customHeight="1">
      <c r="A804" s="3">
        <v>6.28055179E8</v>
      </c>
      <c r="B804" s="3" t="s">
        <v>1559</v>
      </c>
      <c r="C804" s="3">
        <f>IFERROR(__xludf.DUMMYFUNCTION("split(B804,""/"")"),4.0)</f>
        <v>4</v>
      </c>
      <c r="D804" s="10">
        <f>IFERROR(__xludf.DUMMYFUNCTION("""COMPUTED_VALUE"""),26.0)</f>
        <v>26</v>
      </c>
      <c r="E804" s="11">
        <f>IFERROR(__xludf.DUMMYFUNCTION("""COMPUTED_VALUE"""),2016.0)</f>
        <v>2016</v>
      </c>
      <c r="F804" s="12">
        <f t="shared" si="1"/>
        <v>42486</v>
      </c>
      <c r="G804" s="3" t="s">
        <v>1560</v>
      </c>
      <c r="H804" s="3">
        <f>IFERROR(__xludf.DUMMYFUNCTION("split(G804,""/"")"),5.0)</f>
        <v>5</v>
      </c>
      <c r="I804" s="3">
        <f>IFERROR(__xludf.DUMMYFUNCTION("""COMPUTED_VALUE"""),13.0)</f>
        <v>13</v>
      </c>
      <c r="J804" s="3">
        <f>IFERROR(__xludf.DUMMYFUNCTION("""COMPUTED_VALUE"""),2016.0)</f>
        <v>2016</v>
      </c>
      <c r="K804" s="12">
        <f t="shared" si="2"/>
        <v>42503</v>
      </c>
      <c r="L804" s="3" t="s">
        <v>814</v>
      </c>
      <c r="M804" s="3" t="s">
        <v>248</v>
      </c>
      <c r="N804" s="3">
        <v>8681.0</v>
      </c>
      <c r="O804" s="3" t="s">
        <v>818</v>
      </c>
      <c r="P804" s="10">
        <v>4339.0</v>
      </c>
      <c r="Q804" s="13">
        <v>651.21</v>
      </c>
      <c r="R804" s="13">
        <v>524.96</v>
      </c>
      <c r="S804" s="13">
        <f t="shared" si="3"/>
        <v>2825600.19</v>
      </c>
      <c r="T804" s="13">
        <f t="shared" si="4"/>
        <v>2277801.44</v>
      </c>
      <c r="U804" s="13">
        <f t="shared" si="5"/>
        <v>547798.75</v>
      </c>
      <c r="V804" s="3" t="str">
        <f>VLOOKUP(N804,products!A:B,2,0)</f>
        <v>Office Supplies</v>
      </c>
      <c r="W804" s="3" t="s">
        <v>28</v>
      </c>
      <c r="X804" s="3" t="s">
        <v>29</v>
      </c>
      <c r="Y804" s="14">
        <f t="shared" si="10"/>
        <v>0.193869873</v>
      </c>
      <c r="Z804" s="3">
        <f t="shared" si="7"/>
        <v>17</v>
      </c>
      <c r="AA804" s="15">
        <f t="shared" si="8"/>
        <v>3</v>
      </c>
    </row>
    <row r="805" ht="15.75" customHeight="1">
      <c r="A805" s="3">
        <v>6.28515231E8</v>
      </c>
      <c r="B805" s="3" t="s">
        <v>1561</v>
      </c>
      <c r="C805" s="3">
        <f>IFERROR(__xludf.DUMMYFUNCTION("split(B805,""/"")"),12.0)</f>
        <v>12</v>
      </c>
      <c r="D805" s="10">
        <f>IFERROR(__xludf.DUMMYFUNCTION("""COMPUTED_VALUE"""),25.0)</f>
        <v>25</v>
      </c>
      <c r="E805" s="11">
        <f>IFERROR(__xludf.DUMMYFUNCTION("""COMPUTED_VALUE"""),2015.0)</f>
        <v>2015</v>
      </c>
      <c r="F805" s="12">
        <f t="shared" si="1"/>
        <v>42363</v>
      </c>
      <c r="G805" s="9">
        <v>42371.0</v>
      </c>
      <c r="H805" s="3">
        <f>IFERROR(__xludf.DUMMYFUNCTION("split(G805,""/"")"),2.0)</f>
        <v>2</v>
      </c>
      <c r="I805" s="3">
        <f>IFERROR(__xludf.DUMMYFUNCTION("""COMPUTED_VALUE"""),1.0)</f>
        <v>1</v>
      </c>
      <c r="J805" s="3">
        <f>IFERROR(__xludf.DUMMYFUNCTION("""COMPUTED_VALUE"""),2016.0)</f>
        <v>2016</v>
      </c>
      <c r="K805" s="12">
        <f t="shared" si="2"/>
        <v>42401</v>
      </c>
      <c r="L805" s="3" t="s">
        <v>825</v>
      </c>
      <c r="M805" s="3" t="s">
        <v>650</v>
      </c>
      <c r="N805" s="3">
        <v>5988.0</v>
      </c>
      <c r="O805" s="3" t="s">
        <v>815</v>
      </c>
      <c r="P805" s="10">
        <v>479.0</v>
      </c>
      <c r="Q805" s="13">
        <v>154.06</v>
      </c>
      <c r="R805" s="13">
        <v>90.93</v>
      </c>
      <c r="S805" s="13">
        <f t="shared" si="3"/>
        <v>73794.74</v>
      </c>
      <c r="T805" s="13">
        <f t="shared" si="4"/>
        <v>43555.47</v>
      </c>
      <c r="U805" s="13">
        <f t="shared" si="5"/>
        <v>30239.27</v>
      </c>
      <c r="V805" s="3" t="str">
        <f>VLOOKUP(N805,products!A:B,2,0)</f>
        <v>Vegetables</v>
      </c>
      <c r="W805" s="3" t="s">
        <v>28</v>
      </c>
      <c r="X805" s="3" t="s">
        <v>98</v>
      </c>
      <c r="Y805" s="14">
        <f t="shared" si="10"/>
        <v>0.4097754122</v>
      </c>
      <c r="Z805" s="3">
        <f t="shared" si="7"/>
        <v>38</v>
      </c>
      <c r="AA805" s="15">
        <f t="shared" si="8"/>
        <v>6</v>
      </c>
    </row>
    <row r="806" ht="15.75" customHeight="1">
      <c r="A806" s="3">
        <v>6.28595054E8</v>
      </c>
      <c r="B806" s="9">
        <v>40764.0</v>
      </c>
      <c r="C806" s="3">
        <f>IFERROR(__xludf.DUMMYFUNCTION("split(B806,""/"")"),9.0)</f>
        <v>9</v>
      </c>
      <c r="D806" s="10">
        <f>IFERROR(__xludf.DUMMYFUNCTION("""COMPUTED_VALUE"""),8.0)</f>
        <v>8</v>
      </c>
      <c r="E806" s="11">
        <f>IFERROR(__xludf.DUMMYFUNCTION("""COMPUTED_VALUE"""),2011.0)</f>
        <v>2011</v>
      </c>
      <c r="F806" s="12">
        <f t="shared" si="1"/>
        <v>40794</v>
      </c>
      <c r="G806" s="3" t="s">
        <v>1490</v>
      </c>
      <c r="H806" s="3">
        <f>IFERROR(__xludf.DUMMYFUNCTION("split(G806,""/"")"),10.0)</f>
        <v>10</v>
      </c>
      <c r="I806" s="3">
        <f>IFERROR(__xludf.DUMMYFUNCTION("""COMPUTED_VALUE"""),21.0)</f>
        <v>21</v>
      </c>
      <c r="J806" s="3">
        <f>IFERROR(__xludf.DUMMYFUNCTION("""COMPUTED_VALUE"""),2011.0)</f>
        <v>2011</v>
      </c>
      <c r="K806" s="12">
        <f t="shared" si="2"/>
        <v>40837</v>
      </c>
      <c r="L806" s="3" t="s">
        <v>814</v>
      </c>
      <c r="M806" s="3" t="s">
        <v>346</v>
      </c>
      <c r="N806" s="3">
        <v>4594.0</v>
      </c>
      <c r="O806" s="3" t="s">
        <v>818</v>
      </c>
      <c r="P806" s="10">
        <v>4100.0</v>
      </c>
      <c r="Q806" s="13">
        <v>9.33</v>
      </c>
      <c r="R806" s="13">
        <v>6.92</v>
      </c>
      <c r="S806" s="13">
        <f t="shared" si="3"/>
        <v>38253</v>
      </c>
      <c r="T806" s="13">
        <f t="shared" si="4"/>
        <v>28372</v>
      </c>
      <c r="U806" s="13">
        <f t="shared" si="5"/>
        <v>9881</v>
      </c>
      <c r="V806" s="3" t="str">
        <f>VLOOKUP(N806,products!A:B,2,0)</f>
        <v>Fruits</v>
      </c>
      <c r="W806" s="3" t="s">
        <v>28</v>
      </c>
      <c r="X806" s="3" t="s">
        <v>98</v>
      </c>
      <c r="Y806" s="14">
        <f t="shared" si="10"/>
        <v>0.258306538</v>
      </c>
      <c r="Z806" s="3">
        <f t="shared" si="7"/>
        <v>43</v>
      </c>
      <c r="AA806" s="15">
        <f t="shared" si="8"/>
        <v>5</v>
      </c>
    </row>
    <row r="807" ht="15.75" customHeight="1">
      <c r="A807" s="3">
        <v>6.2930144E8</v>
      </c>
      <c r="B807" s="3" t="s">
        <v>1562</v>
      </c>
      <c r="C807" s="3">
        <f>IFERROR(__xludf.DUMMYFUNCTION("split(B807,""/"")"),7.0)</f>
        <v>7</v>
      </c>
      <c r="D807" s="10">
        <f>IFERROR(__xludf.DUMMYFUNCTION("""COMPUTED_VALUE"""),19.0)</f>
        <v>19</v>
      </c>
      <c r="E807" s="11">
        <f>IFERROR(__xludf.DUMMYFUNCTION("""COMPUTED_VALUE"""),2010.0)</f>
        <v>2010</v>
      </c>
      <c r="F807" s="12">
        <f t="shared" si="1"/>
        <v>40378</v>
      </c>
      <c r="G807" s="3" t="s">
        <v>1563</v>
      </c>
      <c r="H807" s="3">
        <f>IFERROR(__xludf.DUMMYFUNCTION("split(G807,""/"")"),7.0)</f>
        <v>7</v>
      </c>
      <c r="I807" s="3">
        <f>IFERROR(__xludf.DUMMYFUNCTION("""COMPUTED_VALUE"""),29.0)</f>
        <v>29</v>
      </c>
      <c r="J807" s="3">
        <f>IFERROR(__xludf.DUMMYFUNCTION("""COMPUTED_VALUE"""),2010.0)</f>
        <v>2010</v>
      </c>
      <c r="K807" s="12">
        <f t="shared" si="2"/>
        <v>40388</v>
      </c>
      <c r="L807" s="3" t="s">
        <v>825</v>
      </c>
      <c r="M807" s="3" t="s">
        <v>364</v>
      </c>
      <c r="N807" s="3">
        <v>7331.0</v>
      </c>
      <c r="O807" s="3" t="s">
        <v>818</v>
      </c>
      <c r="P807" s="10">
        <v>3135.0</v>
      </c>
      <c r="Q807" s="13">
        <v>255.28</v>
      </c>
      <c r="R807" s="13">
        <v>159.42</v>
      </c>
      <c r="S807" s="13">
        <f t="shared" si="3"/>
        <v>800302.8</v>
      </c>
      <c r="T807" s="13">
        <f t="shared" si="4"/>
        <v>499781.7</v>
      </c>
      <c r="U807" s="13">
        <f t="shared" si="5"/>
        <v>300521.1</v>
      </c>
      <c r="V807" s="3" t="str">
        <f>VLOOKUP(N807,products!A:B,2,0)</f>
        <v>Baby Food</v>
      </c>
      <c r="W807" s="3" t="s">
        <v>28</v>
      </c>
      <c r="X807" s="3" t="s">
        <v>29</v>
      </c>
      <c r="Y807" s="14">
        <f t="shared" si="10"/>
        <v>0.3755092448</v>
      </c>
      <c r="Z807" s="3">
        <f t="shared" si="7"/>
        <v>10</v>
      </c>
      <c r="AA807" s="15">
        <f t="shared" si="8"/>
        <v>2</v>
      </c>
    </row>
    <row r="808" ht="15.75" customHeight="1">
      <c r="A808" s="3">
        <v>6.30219399E8</v>
      </c>
      <c r="B808" s="3" t="s">
        <v>1564</v>
      </c>
      <c r="C808" s="3">
        <f>IFERROR(__xludf.DUMMYFUNCTION("split(B808,""/"")"),2.0)</f>
        <v>2</v>
      </c>
      <c r="D808" s="10">
        <f>IFERROR(__xludf.DUMMYFUNCTION("""COMPUTED_VALUE"""),21.0)</f>
        <v>21</v>
      </c>
      <c r="E808" s="11">
        <f>IFERROR(__xludf.DUMMYFUNCTION("""COMPUTED_VALUE"""),2014.0)</f>
        <v>2014</v>
      </c>
      <c r="F808" s="12">
        <f t="shared" si="1"/>
        <v>41691</v>
      </c>
      <c r="G808" s="3" t="s">
        <v>1565</v>
      </c>
      <c r="H808" s="3">
        <f>IFERROR(__xludf.DUMMYFUNCTION("split(G808,""/"")"),3.0)</f>
        <v>3</v>
      </c>
      <c r="I808" s="3">
        <f>IFERROR(__xludf.DUMMYFUNCTION("""COMPUTED_VALUE"""),14.0)</f>
        <v>14</v>
      </c>
      <c r="J808" s="3">
        <f>IFERROR(__xludf.DUMMYFUNCTION("""COMPUTED_VALUE"""),2014.0)</f>
        <v>2014</v>
      </c>
      <c r="K808" s="12">
        <f t="shared" si="2"/>
        <v>41712</v>
      </c>
      <c r="L808" s="3" t="s">
        <v>825</v>
      </c>
      <c r="M808" s="3" t="s">
        <v>635</v>
      </c>
      <c r="N808" s="3">
        <v>7331.0</v>
      </c>
      <c r="O808" s="3" t="s">
        <v>818</v>
      </c>
      <c r="P808" s="10">
        <v>4780.0</v>
      </c>
      <c r="Q808" s="13">
        <v>255.28</v>
      </c>
      <c r="R808" s="13">
        <v>159.42</v>
      </c>
      <c r="S808" s="13">
        <f t="shared" si="3"/>
        <v>1220238.4</v>
      </c>
      <c r="T808" s="13">
        <f t="shared" si="4"/>
        <v>762027.6</v>
      </c>
      <c r="U808" s="13">
        <f t="shared" si="5"/>
        <v>458210.8</v>
      </c>
      <c r="V808" s="3" t="str">
        <f>VLOOKUP(N808,products!A:B,2,0)</f>
        <v>Baby Food</v>
      </c>
      <c r="W808" s="3" t="s">
        <v>28</v>
      </c>
      <c r="X808" s="3" t="s">
        <v>33</v>
      </c>
      <c r="Y808" s="14">
        <f t="shared" si="10"/>
        <v>0.3755092448</v>
      </c>
      <c r="Z808" s="3">
        <f t="shared" si="7"/>
        <v>21</v>
      </c>
      <c r="AA808" s="15">
        <f t="shared" si="8"/>
        <v>6</v>
      </c>
    </row>
    <row r="809" ht="15.75" customHeight="1">
      <c r="A809" s="3">
        <v>6.30931794E8</v>
      </c>
      <c r="B809" s="9">
        <v>41336.0</v>
      </c>
      <c r="C809" s="3">
        <f>IFERROR(__xludf.DUMMYFUNCTION("split(B809,""/"")"),3.0)</f>
        <v>3</v>
      </c>
      <c r="D809" s="10">
        <f>IFERROR(__xludf.DUMMYFUNCTION("""COMPUTED_VALUE"""),3.0)</f>
        <v>3</v>
      </c>
      <c r="E809" s="11">
        <f>IFERROR(__xludf.DUMMYFUNCTION("""COMPUTED_VALUE"""),2013.0)</f>
        <v>2013</v>
      </c>
      <c r="F809" s="12">
        <f t="shared" si="1"/>
        <v>41336</v>
      </c>
      <c r="G809" s="9">
        <v>41278.0</v>
      </c>
      <c r="H809" s="3">
        <f>IFERROR(__xludf.DUMMYFUNCTION("split(G809,""/"")"),4.0)</f>
        <v>4</v>
      </c>
      <c r="I809" s="3">
        <f>IFERROR(__xludf.DUMMYFUNCTION("""COMPUTED_VALUE"""),1.0)</f>
        <v>1</v>
      </c>
      <c r="J809" s="3">
        <f>IFERROR(__xludf.DUMMYFUNCTION("""COMPUTED_VALUE"""),2013.0)</f>
        <v>2013</v>
      </c>
      <c r="K809" s="12">
        <f t="shared" si="2"/>
        <v>41365</v>
      </c>
      <c r="L809" s="3" t="s">
        <v>827</v>
      </c>
      <c r="M809" s="3" t="s">
        <v>488</v>
      </c>
      <c r="N809" s="3">
        <v>7331.0</v>
      </c>
      <c r="O809" s="3" t="s">
        <v>818</v>
      </c>
      <c r="P809" s="10">
        <v>5593.0</v>
      </c>
      <c r="Q809" s="13">
        <v>255.28</v>
      </c>
      <c r="R809" s="13">
        <v>159.42</v>
      </c>
      <c r="S809" s="13">
        <f t="shared" si="3"/>
        <v>1427781.04</v>
      </c>
      <c r="T809" s="13">
        <f t="shared" si="4"/>
        <v>891636.06</v>
      </c>
      <c r="U809" s="13">
        <f t="shared" si="5"/>
        <v>536144.98</v>
      </c>
      <c r="V809" s="3" t="str">
        <f>VLOOKUP(N809,products!A:B,2,0)</f>
        <v>Baby Food</v>
      </c>
      <c r="W809" s="3" t="s">
        <v>28</v>
      </c>
      <c r="X809" s="3" t="s">
        <v>33</v>
      </c>
      <c r="Y809" s="14">
        <f t="shared" si="10"/>
        <v>0.3755092448</v>
      </c>
      <c r="Z809" s="3">
        <f t="shared" si="7"/>
        <v>29</v>
      </c>
      <c r="AA809" s="15">
        <f t="shared" si="8"/>
        <v>1</v>
      </c>
    </row>
    <row r="810" ht="15.75" customHeight="1">
      <c r="A810" s="3">
        <v>6.3117212E8</v>
      </c>
      <c r="B810" s="3" t="s">
        <v>1566</v>
      </c>
      <c r="C810" s="3">
        <f>IFERROR(__xludf.DUMMYFUNCTION("split(B810,""/"")"),3.0)</f>
        <v>3</v>
      </c>
      <c r="D810" s="10">
        <f>IFERROR(__xludf.DUMMYFUNCTION("""COMPUTED_VALUE"""),15.0)</f>
        <v>15</v>
      </c>
      <c r="E810" s="11">
        <f>IFERROR(__xludf.DUMMYFUNCTION("""COMPUTED_VALUE"""),2012.0)</f>
        <v>2012</v>
      </c>
      <c r="F810" s="12">
        <f t="shared" si="1"/>
        <v>40983</v>
      </c>
      <c r="G810" s="3" t="s">
        <v>1567</v>
      </c>
      <c r="H810" s="3">
        <f>IFERROR(__xludf.DUMMYFUNCTION("split(G810,""/"")"),4.0)</f>
        <v>4</v>
      </c>
      <c r="I810" s="3">
        <f>IFERROR(__xludf.DUMMYFUNCTION("""COMPUTED_VALUE"""),20.0)</f>
        <v>20</v>
      </c>
      <c r="J810" s="3">
        <f>IFERROR(__xludf.DUMMYFUNCTION("""COMPUTED_VALUE"""),2012.0)</f>
        <v>2012</v>
      </c>
      <c r="K810" s="12">
        <f t="shared" si="2"/>
        <v>41019</v>
      </c>
      <c r="L810" s="3" t="s">
        <v>817</v>
      </c>
      <c r="M810" s="3" t="s">
        <v>288</v>
      </c>
      <c r="N810" s="3">
        <v>8875.0</v>
      </c>
      <c r="O810" s="3" t="s">
        <v>818</v>
      </c>
      <c r="P810" s="10">
        <v>6711.0</v>
      </c>
      <c r="Q810" s="13">
        <v>421.89</v>
      </c>
      <c r="R810" s="13">
        <v>364.69</v>
      </c>
      <c r="S810" s="13">
        <f t="shared" si="3"/>
        <v>2831303.79</v>
      </c>
      <c r="T810" s="13">
        <f t="shared" si="4"/>
        <v>2447434.59</v>
      </c>
      <c r="U810" s="13">
        <f t="shared" si="5"/>
        <v>383869.2</v>
      </c>
      <c r="V810" s="3" t="str">
        <f>VLOOKUP(N810,products!A:B,2,0)</f>
        <v>Meat</v>
      </c>
      <c r="W810" s="3" t="s">
        <v>23</v>
      </c>
      <c r="X810" s="3" t="s">
        <v>68</v>
      </c>
      <c r="Y810" s="14">
        <f t="shared" si="10"/>
        <v>0.1355803646</v>
      </c>
      <c r="Z810" s="3">
        <f t="shared" si="7"/>
        <v>36</v>
      </c>
      <c r="AA810" s="15">
        <f t="shared" si="8"/>
        <v>5</v>
      </c>
    </row>
    <row r="811" ht="15.75" customHeight="1">
      <c r="A811" s="3">
        <v>6.3146094E8</v>
      </c>
      <c r="B811" s="3" t="s">
        <v>1568</v>
      </c>
      <c r="C811" s="3">
        <f>IFERROR(__xludf.DUMMYFUNCTION("split(B811,""/"")"),9.0)</f>
        <v>9</v>
      </c>
      <c r="D811" s="10">
        <f>IFERROR(__xludf.DUMMYFUNCTION("""COMPUTED_VALUE"""),25.0)</f>
        <v>25</v>
      </c>
      <c r="E811" s="11">
        <f>IFERROR(__xludf.DUMMYFUNCTION("""COMPUTED_VALUE"""),2014.0)</f>
        <v>2014</v>
      </c>
      <c r="F811" s="12">
        <f t="shared" si="1"/>
        <v>41907</v>
      </c>
      <c r="G811" s="9">
        <v>41769.0</v>
      </c>
      <c r="H811" s="3">
        <f>IFERROR(__xludf.DUMMYFUNCTION("split(G811,""/"")"),10.0)</f>
        <v>10</v>
      </c>
      <c r="I811" s="3">
        <f>IFERROR(__xludf.DUMMYFUNCTION("""COMPUTED_VALUE"""),5.0)</f>
        <v>5</v>
      </c>
      <c r="J811" s="3">
        <f>IFERROR(__xludf.DUMMYFUNCTION("""COMPUTED_VALUE"""),2014.0)</f>
        <v>2014</v>
      </c>
      <c r="K811" s="12">
        <f t="shared" si="2"/>
        <v>41917</v>
      </c>
      <c r="L811" s="3" t="s">
        <v>814</v>
      </c>
      <c r="M811" s="3" t="s">
        <v>653</v>
      </c>
      <c r="N811" s="3">
        <v>8875.0</v>
      </c>
      <c r="O811" s="3" t="s">
        <v>818</v>
      </c>
      <c r="P811" s="10">
        <v>2180.0</v>
      </c>
      <c r="Q811" s="13">
        <v>421.89</v>
      </c>
      <c r="R811" s="13">
        <v>364.69</v>
      </c>
      <c r="S811" s="13">
        <f t="shared" si="3"/>
        <v>919720.2</v>
      </c>
      <c r="T811" s="13">
        <f t="shared" si="4"/>
        <v>795024.2</v>
      </c>
      <c r="U811" s="13">
        <f t="shared" si="5"/>
        <v>124696</v>
      </c>
      <c r="V811" s="3" t="str">
        <f>VLOOKUP(N811,products!A:B,2,0)</f>
        <v>Meat</v>
      </c>
      <c r="W811" s="3" t="s">
        <v>28</v>
      </c>
      <c r="X811" s="3" t="s">
        <v>33</v>
      </c>
      <c r="Y811" s="14">
        <f t="shared" si="10"/>
        <v>0.1355803646</v>
      </c>
      <c r="Z811" s="3">
        <f t="shared" si="7"/>
        <v>10</v>
      </c>
      <c r="AA811" s="15">
        <f t="shared" si="8"/>
        <v>5</v>
      </c>
    </row>
    <row r="812" ht="15.75" customHeight="1">
      <c r="A812" s="3">
        <v>6.31463515E8</v>
      </c>
      <c r="B812" s="3" t="s">
        <v>1569</v>
      </c>
      <c r="C812" s="3">
        <f>IFERROR(__xludf.DUMMYFUNCTION("split(B812,""/"")"),8.0)</f>
        <v>8</v>
      </c>
      <c r="D812" s="10">
        <f>IFERROR(__xludf.DUMMYFUNCTION("""COMPUTED_VALUE"""),21.0)</f>
        <v>21</v>
      </c>
      <c r="E812" s="11">
        <f>IFERROR(__xludf.DUMMYFUNCTION("""COMPUTED_VALUE"""),2012.0)</f>
        <v>2012</v>
      </c>
      <c r="F812" s="12">
        <f t="shared" si="1"/>
        <v>41142</v>
      </c>
      <c r="G812" s="3" t="s">
        <v>1570</v>
      </c>
      <c r="H812" s="3">
        <f>IFERROR(__xludf.DUMMYFUNCTION("split(G812,""/"")"),9.0)</f>
        <v>9</v>
      </c>
      <c r="I812" s="3">
        <f>IFERROR(__xludf.DUMMYFUNCTION("""COMPUTED_VALUE"""),25.0)</f>
        <v>25</v>
      </c>
      <c r="J812" s="3">
        <f>IFERROR(__xludf.DUMMYFUNCTION("""COMPUTED_VALUE"""),2012.0)</f>
        <v>2012</v>
      </c>
      <c r="K812" s="12">
        <f t="shared" si="2"/>
        <v>41177</v>
      </c>
      <c r="L812" s="3" t="s">
        <v>825</v>
      </c>
      <c r="M812" s="3" t="s">
        <v>218</v>
      </c>
      <c r="N812" s="3">
        <v>2455.0</v>
      </c>
      <c r="O812" s="3" t="s">
        <v>818</v>
      </c>
      <c r="P812" s="10">
        <v>2942.0</v>
      </c>
      <c r="Q812" s="13">
        <v>109.28</v>
      </c>
      <c r="R812" s="13">
        <v>35.84</v>
      </c>
      <c r="S812" s="13">
        <f t="shared" si="3"/>
        <v>321501.76</v>
      </c>
      <c r="T812" s="13">
        <f t="shared" si="4"/>
        <v>105441.28</v>
      </c>
      <c r="U812" s="13">
        <f t="shared" si="5"/>
        <v>216060.48</v>
      </c>
      <c r="V812" s="3" t="str">
        <f>VLOOKUP(N812,products!A:B,2,0)</f>
        <v>Clothes</v>
      </c>
      <c r="W812" s="3" t="s">
        <v>28</v>
      </c>
      <c r="X812" s="3" t="s">
        <v>98</v>
      </c>
      <c r="Y812" s="14">
        <f t="shared" si="10"/>
        <v>0.6720351391</v>
      </c>
      <c r="Z812" s="3">
        <f t="shared" si="7"/>
        <v>35</v>
      </c>
      <c r="AA812" s="15">
        <f t="shared" si="8"/>
        <v>3</v>
      </c>
    </row>
    <row r="813" ht="15.75" customHeight="1">
      <c r="A813" s="3">
        <v>6.33312737E8</v>
      </c>
      <c r="B813" s="3" t="s">
        <v>1571</v>
      </c>
      <c r="C813" s="3">
        <f>IFERROR(__xludf.DUMMYFUNCTION("split(B813,""/"")"),7.0)</f>
        <v>7</v>
      </c>
      <c r="D813" s="10">
        <f>IFERROR(__xludf.DUMMYFUNCTION("""COMPUTED_VALUE"""),17.0)</f>
        <v>17</v>
      </c>
      <c r="E813" s="11">
        <f>IFERROR(__xludf.DUMMYFUNCTION("""COMPUTED_VALUE"""),2011.0)</f>
        <v>2011</v>
      </c>
      <c r="F813" s="12">
        <f t="shared" si="1"/>
        <v>40741</v>
      </c>
      <c r="G813" s="9">
        <v>40855.0</v>
      </c>
      <c r="H813" s="3">
        <f>IFERROR(__xludf.DUMMYFUNCTION("split(G813,""/"")"),8.0)</f>
        <v>8</v>
      </c>
      <c r="I813" s="3">
        <f>IFERROR(__xludf.DUMMYFUNCTION("""COMPUTED_VALUE"""),11.0)</f>
        <v>11</v>
      </c>
      <c r="J813" s="3">
        <f>IFERROR(__xludf.DUMMYFUNCTION("""COMPUTED_VALUE"""),2011.0)</f>
        <v>2011</v>
      </c>
      <c r="K813" s="12">
        <f t="shared" si="2"/>
        <v>40766</v>
      </c>
      <c r="L813" s="3" t="s">
        <v>825</v>
      </c>
      <c r="M813" s="3" t="s">
        <v>270</v>
      </c>
      <c r="N813" s="3">
        <v>8875.0</v>
      </c>
      <c r="O813" s="3" t="s">
        <v>818</v>
      </c>
      <c r="P813" s="10">
        <v>167.0</v>
      </c>
      <c r="Q813" s="13">
        <v>421.89</v>
      </c>
      <c r="R813" s="13">
        <v>364.69</v>
      </c>
      <c r="S813" s="13">
        <f t="shared" si="3"/>
        <v>70455.63</v>
      </c>
      <c r="T813" s="13">
        <f t="shared" si="4"/>
        <v>60903.23</v>
      </c>
      <c r="U813" s="13">
        <f t="shared" si="5"/>
        <v>9552.4</v>
      </c>
      <c r="V813" s="3" t="str">
        <f>VLOOKUP(N813,products!A:B,2,0)</f>
        <v>Meat</v>
      </c>
      <c r="W813" s="3" t="s">
        <v>28</v>
      </c>
      <c r="X813" s="3" t="s">
        <v>79</v>
      </c>
      <c r="Y813" s="14">
        <f t="shared" si="10"/>
        <v>0.1355803646</v>
      </c>
      <c r="Z813" s="3">
        <f t="shared" si="7"/>
        <v>25</v>
      </c>
      <c r="AA813" s="15">
        <f t="shared" si="8"/>
        <v>1</v>
      </c>
    </row>
    <row r="814" ht="15.75" customHeight="1">
      <c r="A814" s="3">
        <v>6.33806264E8</v>
      </c>
      <c r="B814" s="3" t="s">
        <v>1572</v>
      </c>
      <c r="C814" s="3">
        <f>IFERROR(__xludf.DUMMYFUNCTION("split(B814,""/"")"),4.0)</f>
        <v>4</v>
      </c>
      <c r="D814" s="10">
        <f>IFERROR(__xludf.DUMMYFUNCTION("""COMPUTED_VALUE"""),15.0)</f>
        <v>15</v>
      </c>
      <c r="E814" s="11">
        <f>IFERROR(__xludf.DUMMYFUNCTION("""COMPUTED_VALUE"""),2014.0)</f>
        <v>2014</v>
      </c>
      <c r="F814" s="12">
        <f t="shared" si="1"/>
        <v>41744</v>
      </c>
      <c r="G814" s="3" t="s">
        <v>1573</v>
      </c>
      <c r="H814" s="3">
        <f>IFERROR(__xludf.DUMMYFUNCTION("split(G814,""/"")"),4.0)</f>
        <v>4</v>
      </c>
      <c r="I814" s="3">
        <f>IFERROR(__xludf.DUMMYFUNCTION("""COMPUTED_VALUE"""),26.0)</f>
        <v>26</v>
      </c>
      <c r="J814" s="3">
        <f>IFERROR(__xludf.DUMMYFUNCTION("""COMPUTED_VALUE"""),2014.0)</f>
        <v>2014</v>
      </c>
      <c r="K814" s="12">
        <f t="shared" si="2"/>
        <v>41755</v>
      </c>
      <c r="L814" s="3" t="s">
        <v>814</v>
      </c>
      <c r="M814" s="3" t="s">
        <v>270</v>
      </c>
      <c r="N814" s="3">
        <v>2455.0</v>
      </c>
      <c r="O814" s="3" t="s">
        <v>815</v>
      </c>
      <c r="P814" s="10">
        <v>6213.0</v>
      </c>
      <c r="Q814" s="13">
        <v>109.28</v>
      </c>
      <c r="R814" s="13">
        <v>35.84</v>
      </c>
      <c r="S814" s="13">
        <f t="shared" si="3"/>
        <v>678956.64</v>
      </c>
      <c r="T814" s="13">
        <f t="shared" si="4"/>
        <v>222673.92</v>
      </c>
      <c r="U814" s="13">
        <f t="shared" si="5"/>
        <v>456282.72</v>
      </c>
      <c r="V814" s="3" t="str">
        <f>VLOOKUP(N814,products!A:B,2,0)</f>
        <v>Clothes</v>
      </c>
      <c r="W814" s="3" t="s">
        <v>28</v>
      </c>
      <c r="X814" s="3" t="s">
        <v>79</v>
      </c>
      <c r="Y814" s="14">
        <f t="shared" si="10"/>
        <v>0.6720351391</v>
      </c>
      <c r="Z814" s="3">
        <f t="shared" si="7"/>
        <v>11</v>
      </c>
      <c r="AA814" s="15">
        <f t="shared" si="8"/>
        <v>3</v>
      </c>
    </row>
    <row r="815" ht="15.75" customHeight="1">
      <c r="A815" s="3">
        <v>6.33992946E8</v>
      </c>
      <c r="B815" s="9">
        <v>41730.0</v>
      </c>
      <c r="C815" s="3">
        <f>IFERROR(__xludf.DUMMYFUNCTION("split(B815,""/"")"),1.0)</f>
        <v>1</v>
      </c>
      <c r="D815" s="10">
        <f>IFERROR(__xludf.DUMMYFUNCTION("""COMPUTED_VALUE"""),4.0)</f>
        <v>4</v>
      </c>
      <c r="E815" s="11">
        <f>IFERROR(__xludf.DUMMYFUNCTION("""COMPUTED_VALUE"""),2014.0)</f>
        <v>2014</v>
      </c>
      <c r="F815" s="12">
        <f t="shared" si="1"/>
        <v>41643</v>
      </c>
      <c r="G815" s="9">
        <v>41791.0</v>
      </c>
      <c r="H815" s="3">
        <f>IFERROR(__xludf.DUMMYFUNCTION("split(G815,""/"")"),1.0)</f>
        <v>1</v>
      </c>
      <c r="I815" s="3">
        <f>IFERROR(__xludf.DUMMYFUNCTION("""COMPUTED_VALUE"""),6.0)</f>
        <v>6</v>
      </c>
      <c r="J815" s="3">
        <f>IFERROR(__xludf.DUMMYFUNCTION("""COMPUTED_VALUE"""),2014.0)</f>
        <v>2014</v>
      </c>
      <c r="K815" s="12">
        <f t="shared" si="2"/>
        <v>41645</v>
      </c>
      <c r="L815" s="3" t="s">
        <v>827</v>
      </c>
      <c r="M815" s="3" t="s">
        <v>346</v>
      </c>
      <c r="N815" s="3">
        <v>4594.0</v>
      </c>
      <c r="O815" s="3" t="s">
        <v>818</v>
      </c>
      <c r="P815" s="10">
        <v>1456.0</v>
      </c>
      <c r="Q815" s="13">
        <v>9.33</v>
      </c>
      <c r="R815" s="13">
        <v>6.92</v>
      </c>
      <c r="S815" s="13">
        <f t="shared" si="3"/>
        <v>13584.48</v>
      </c>
      <c r="T815" s="13">
        <f t="shared" si="4"/>
        <v>10075.52</v>
      </c>
      <c r="U815" s="13">
        <f t="shared" si="5"/>
        <v>3508.96</v>
      </c>
      <c r="V815" s="3" t="str">
        <f>VLOOKUP(N815,products!A:B,2,0)</f>
        <v>Fruits</v>
      </c>
      <c r="W815" s="3" t="s">
        <v>28</v>
      </c>
      <c r="X815" s="3" t="s">
        <v>98</v>
      </c>
      <c r="Y815" s="14">
        <f t="shared" si="10"/>
        <v>0.258306538</v>
      </c>
      <c r="Z815" s="3">
        <f t="shared" si="7"/>
        <v>2</v>
      </c>
      <c r="AA815" s="15">
        <f t="shared" si="8"/>
        <v>7</v>
      </c>
    </row>
    <row r="816" ht="15.75" customHeight="1">
      <c r="A816" s="3">
        <v>6.34033286E8</v>
      </c>
      <c r="B816" s="3" t="s">
        <v>1574</v>
      </c>
      <c r="C816" s="3">
        <f>IFERROR(__xludf.DUMMYFUNCTION("split(B816,""/"")"),1.0)</f>
        <v>1</v>
      </c>
      <c r="D816" s="10">
        <f>IFERROR(__xludf.DUMMYFUNCTION("""COMPUTED_VALUE"""),14.0)</f>
        <v>14</v>
      </c>
      <c r="E816" s="11">
        <f>IFERROR(__xludf.DUMMYFUNCTION("""COMPUTED_VALUE"""),2014.0)</f>
        <v>2014</v>
      </c>
      <c r="F816" s="12">
        <f t="shared" si="1"/>
        <v>41653</v>
      </c>
      <c r="G816" s="3" t="s">
        <v>1575</v>
      </c>
      <c r="H816" s="3">
        <f>IFERROR(__xludf.DUMMYFUNCTION("split(G816,""/"")"),1.0)</f>
        <v>1</v>
      </c>
      <c r="I816" s="3">
        <f>IFERROR(__xludf.DUMMYFUNCTION("""COMPUTED_VALUE"""),15.0)</f>
        <v>15</v>
      </c>
      <c r="J816" s="3">
        <f>IFERROR(__xludf.DUMMYFUNCTION("""COMPUTED_VALUE"""),2014.0)</f>
        <v>2014</v>
      </c>
      <c r="K816" s="12">
        <f t="shared" si="2"/>
        <v>41654</v>
      </c>
      <c r="L816" s="3" t="s">
        <v>814</v>
      </c>
      <c r="M816" s="3" t="s">
        <v>542</v>
      </c>
      <c r="N816" s="3">
        <v>3127.0</v>
      </c>
      <c r="O816" s="3" t="s">
        <v>818</v>
      </c>
      <c r="P816" s="10">
        <v>3394.0</v>
      </c>
      <c r="Q816" s="13">
        <v>81.73</v>
      </c>
      <c r="R816" s="13">
        <v>56.67</v>
      </c>
      <c r="S816" s="13">
        <f t="shared" si="3"/>
        <v>277391.62</v>
      </c>
      <c r="T816" s="13">
        <f t="shared" si="4"/>
        <v>192337.98</v>
      </c>
      <c r="U816" s="13">
        <f t="shared" si="5"/>
        <v>85053.64</v>
      </c>
      <c r="V816" s="3" t="str">
        <f>VLOOKUP(N816,products!A:B,2,0)</f>
        <v>Personal Care</v>
      </c>
      <c r="W816" s="3" t="s">
        <v>28</v>
      </c>
      <c r="X816" s="3" t="s">
        <v>29</v>
      </c>
      <c r="Y816" s="14">
        <f t="shared" si="10"/>
        <v>0.3066193564</v>
      </c>
      <c r="Z816" s="3">
        <f t="shared" si="7"/>
        <v>1</v>
      </c>
      <c r="AA816" s="15">
        <f t="shared" si="8"/>
        <v>3</v>
      </c>
    </row>
    <row r="817" ht="15.75" customHeight="1">
      <c r="A817" s="3">
        <v>6.36278617E8</v>
      </c>
      <c r="B817" s="9">
        <v>41672.0</v>
      </c>
      <c r="C817" s="3">
        <f>IFERROR(__xludf.DUMMYFUNCTION("split(B817,""/"")"),2.0)</f>
        <v>2</v>
      </c>
      <c r="D817" s="10">
        <f>IFERROR(__xludf.DUMMYFUNCTION("""COMPUTED_VALUE"""),2.0)</f>
        <v>2</v>
      </c>
      <c r="E817" s="11">
        <f>IFERROR(__xludf.DUMMYFUNCTION("""COMPUTED_VALUE"""),2014.0)</f>
        <v>2014</v>
      </c>
      <c r="F817" s="12">
        <f t="shared" si="1"/>
        <v>41672</v>
      </c>
      <c r="G817" s="3" t="s">
        <v>931</v>
      </c>
      <c r="H817" s="3">
        <f>IFERROR(__xludf.DUMMYFUNCTION("split(G817,""/"")"),3.0)</f>
        <v>3</v>
      </c>
      <c r="I817" s="3">
        <f>IFERROR(__xludf.DUMMYFUNCTION("""COMPUTED_VALUE"""),22.0)</f>
        <v>22</v>
      </c>
      <c r="J817" s="3">
        <f>IFERROR(__xludf.DUMMYFUNCTION("""COMPUTED_VALUE"""),2014.0)</f>
        <v>2014</v>
      </c>
      <c r="K817" s="12">
        <f t="shared" si="2"/>
        <v>41720</v>
      </c>
      <c r="L817" s="3" t="s">
        <v>827</v>
      </c>
      <c r="M817" s="3" t="s">
        <v>373</v>
      </c>
      <c r="N817" s="3">
        <v>4594.0</v>
      </c>
      <c r="O817" s="3" t="s">
        <v>815</v>
      </c>
      <c r="P817" s="10">
        <v>7837.0</v>
      </c>
      <c r="Q817" s="13">
        <v>9.33</v>
      </c>
      <c r="R817" s="13">
        <v>6.92</v>
      </c>
      <c r="S817" s="13">
        <f t="shared" si="3"/>
        <v>73119.21</v>
      </c>
      <c r="T817" s="13">
        <f t="shared" si="4"/>
        <v>54232.04</v>
      </c>
      <c r="U817" s="13">
        <f t="shared" si="5"/>
        <v>18887.17</v>
      </c>
      <c r="V817" s="3" t="str">
        <f>VLOOKUP(N817,products!A:B,2,0)</f>
        <v>Fruits</v>
      </c>
      <c r="W817" s="3" t="s">
        <v>28</v>
      </c>
      <c r="X817" s="3" t="s">
        <v>33</v>
      </c>
      <c r="Y817" s="14">
        <f t="shared" si="10"/>
        <v>0.258306538</v>
      </c>
      <c r="Z817" s="3">
        <f t="shared" si="7"/>
        <v>48</v>
      </c>
      <c r="AA817" s="15">
        <f t="shared" si="8"/>
        <v>1</v>
      </c>
    </row>
    <row r="818" ht="15.75" customHeight="1">
      <c r="A818" s="3">
        <v>6.36360585E8</v>
      </c>
      <c r="B818" s="9">
        <v>41396.0</v>
      </c>
      <c r="C818" s="3">
        <f>IFERROR(__xludf.DUMMYFUNCTION("split(B818,""/"")"),2.0)</f>
        <v>2</v>
      </c>
      <c r="D818" s="10">
        <f>IFERROR(__xludf.DUMMYFUNCTION("""COMPUTED_VALUE"""),5.0)</f>
        <v>5</v>
      </c>
      <c r="E818" s="11">
        <f>IFERROR(__xludf.DUMMYFUNCTION("""COMPUTED_VALUE"""),2013.0)</f>
        <v>2013</v>
      </c>
      <c r="F818" s="12">
        <f t="shared" si="1"/>
        <v>41310</v>
      </c>
      <c r="G818" s="9">
        <v>41489.0</v>
      </c>
      <c r="H818" s="3">
        <f>IFERROR(__xludf.DUMMYFUNCTION("split(G818,""/"")"),3.0)</f>
        <v>3</v>
      </c>
      <c r="I818" s="3">
        <f>IFERROR(__xludf.DUMMYFUNCTION("""COMPUTED_VALUE"""),8.0)</f>
        <v>8</v>
      </c>
      <c r="J818" s="3">
        <f>IFERROR(__xludf.DUMMYFUNCTION("""COMPUTED_VALUE"""),2013.0)</f>
        <v>2013</v>
      </c>
      <c r="K818" s="12">
        <f t="shared" si="2"/>
        <v>41341</v>
      </c>
      <c r="L818" s="3" t="s">
        <v>827</v>
      </c>
      <c r="M818" s="3" t="s">
        <v>578</v>
      </c>
      <c r="N818" s="3">
        <v>2103.0</v>
      </c>
      <c r="O818" s="3" t="s">
        <v>818</v>
      </c>
      <c r="P818" s="10">
        <v>2093.0</v>
      </c>
      <c r="Q818" s="13">
        <v>205.7</v>
      </c>
      <c r="R818" s="13">
        <v>117.11</v>
      </c>
      <c r="S818" s="13">
        <f t="shared" si="3"/>
        <v>430530.1</v>
      </c>
      <c r="T818" s="13">
        <f t="shared" si="4"/>
        <v>245111.23</v>
      </c>
      <c r="U818" s="13">
        <f t="shared" si="5"/>
        <v>185418.87</v>
      </c>
      <c r="V818" s="3" t="str">
        <f>VLOOKUP(N818,products!A:B,2,0)</f>
        <v>Cereal</v>
      </c>
      <c r="W818" s="3" t="s">
        <v>28</v>
      </c>
      <c r="X818" s="3" t="s">
        <v>33</v>
      </c>
      <c r="Y818" s="14">
        <f t="shared" si="10"/>
        <v>0.4306757414</v>
      </c>
      <c r="Z818" s="3">
        <f t="shared" si="7"/>
        <v>31</v>
      </c>
      <c r="AA818" s="15">
        <f t="shared" si="8"/>
        <v>3</v>
      </c>
    </row>
    <row r="819" ht="15.75" customHeight="1">
      <c r="A819" s="3">
        <v>6.36907756E8</v>
      </c>
      <c r="B819" s="3" t="s">
        <v>1030</v>
      </c>
      <c r="C819" s="3">
        <f>IFERROR(__xludf.DUMMYFUNCTION("split(B819,""/"")"),2.0)</f>
        <v>2</v>
      </c>
      <c r="D819" s="10">
        <f>IFERROR(__xludf.DUMMYFUNCTION("""COMPUTED_VALUE"""),26.0)</f>
        <v>26</v>
      </c>
      <c r="E819" s="11">
        <f>IFERROR(__xludf.DUMMYFUNCTION("""COMPUTED_VALUE"""),2015.0)</f>
        <v>2015</v>
      </c>
      <c r="F819" s="12">
        <f t="shared" si="1"/>
        <v>42061</v>
      </c>
      <c r="G819" s="9">
        <v>42008.0</v>
      </c>
      <c r="H819" s="3">
        <f>IFERROR(__xludf.DUMMYFUNCTION("split(G819,""/"")"),4.0)</f>
        <v>4</v>
      </c>
      <c r="I819" s="3">
        <f>IFERROR(__xludf.DUMMYFUNCTION("""COMPUTED_VALUE"""),1.0)</f>
        <v>1</v>
      </c>
      <c r="J819" s="3">
        <f>IFERROR(__xludf.DUMMYFUNCTION("""COMPUTED_VALUE"""),2015.0)</f>
        <v>2015</v>
      </c>
      <c r="K819" s="12">
        <f t="shared" si="2"/>
        <v>42095</v>
      </c>
      <c r="L819" s="3" t="s">
        <v>817</v>
      </c>
      <c r="M819" s="3" t="s">
        <v>288</v>
      </c>
      <c r="N819" s="3">
        <v>5988.0</v>
      </c>
      <c r="O819" s="3" t="s">
        <v>815</v>
      </c>
      <c r="P819" s="10">
        <v>4013.0</v>
      </c>
      <c r="Q819" s="13">
        <v>154.06</v>
      </c>
      <c r="R819" s="13">
        <v>90.93</v>
      </c>
      <c r="S819" s="13">
        <f t="shared" si="3"/>
        <v>618242.78</v>
      </c>
      <c r="T819" s="13">
        <f t="shared" si="4"/>
        <v>364902.09</v>
      </c>
      <c r="U819" s="13">
        <f t="shared" si="5"/>
        <v>253340.69</v>
      </c>
      <c r="V819" s="3" t="str">
        <f>VLOOKUP(N819,products!A:B,2,0)</f>
        <v>Vegetables</v>
      </c>
      <c r="W819" s="3" t="s">
        <v>23</v>
      </c>
      <c r="X819" s="3" t="s">
        <v>68</v>
      </c>
      <c r="Y819" s="14">
        <f t="shared" si="10"/>
        <v>0.4097754122</v>
      </c>
      <c r="Z819" s="3">
        <f t="shared" si="7"/>
        <v>34</v>
      </c>
      <c r="AA819" s="15">
        <f t="shared" si="8"/>
        <v>5</v>
      </c>
    </row>
    <row r="820" ht="15.75" customHeight="1">
      <c r="A820" s="3">
        <v>6.37040793E8</v>
      </c>
      <c r="B820" s="3" t="s">
        <v>1576</v>
      </c>
      <c r="C820" s="3">
        <f>IFERROR(__xludf.DUMMYFUNCTION("split(B820,""/"")"),7.0)</f>
        <v>7</v>
      </c>
      <c r="D820" s="10">
        <f>IFERROR(__xludf.DUMMYFUNCTION("""COMPUTED_VALUE"""),26.0)</f>
        <v>26</v>
      </c>
      <c r="E820" s="11">
        <f>IFERROR(__xludf.DUMMYFUNCTION("""COMPUTED_VALUE"""),2015.0)</f>
        <v>2015</v>
      </c>
      <c r="F820" s="12">
        <f t="shared" si="1"/>
        <v>42211</v>
      </c>
      <c r="G820" s="9">
        <v>42102.0</v>
      </c>
      <c r="H820" s="3">
        <f>IFERROR(__xludf.DUMMYFUNCTION("split(G820,""/"")"),8.0)</f>
        <v>8</v>
      </c>
      <c r="I820" s="3">
        <f>IFERROR(__xludf.DUMMYFUNCTION("""COMPUTED_VALUE"""),4.0)</f>
        <v>4</v>
      </c>
      <c r="J820" s="3">
        <f>IFERROR(__xludf.DUMMYFUNCTION("""COMPUTED_VALUE"""),2015.0)</f>
        <v>2015</v>
      </c>
      <c r="K820" s="12">
        <f t="shared" si="2"/>
        <v>42220</v>
      </c>
      <c r="L820" s="3" t="s">
        <v>825</v>
      </c>
      <c r="M820" s="3" t="s">
        <v>650</v>
      </c>
      <c r="N820" s="3">
        <v>8969.0</v>
      </c>
      <c r="O820" s="3" t="s">
        <v>815</v>
      </c>
      <c r="P820" s="10">
        <v>3382.0</v>
      </c>
      <c r="Q820" s="13">
        <v>152.58</v>
      </c>
      <c r="R820" s="13">
        <v>97.44</v>
      </c>
      <c r="S820" s="13">
        <f t="shared" si="3"/>
        <v>516025.56</v>
      </c>
      <c r="T820" s="13">
        <f t="shared" si="4"/>
        <v>329542.08</v>
      </c>
      <c r="U820" s="13">
        <f t="shared" si="5"/>
        <v>186483.48</v>
      </c>
      <c r="V820" s="3" t="str">
        <f>VLOOKUP(N820,products!A:B,2,0)</f>
        <v>Snacks</v>
      </c>
      <c r="W820" s="3" t="s">
        <v>28</v>
      </c>
      <c r="X820" s="3" t="s">
        <v>98</v>
      </c>
      <c r="Y820" s="14">
        <f t="shared" si="10"/>
        <v>0.3613841919</v>
      </c>
      <c r="Z820" s="3">
        <f t="shared" si="7"/>
        <v>9</v>
      </c>
      <c r="AA820" s="15">
        <f t="shared" si="8"/>
        <v>1</v>
      </c>
    </row>
    <row r="821" ht="15.75" customHeight="1">
      <c r="A821" s="3">
        <v>6.37188422E8</v>
      </c>
      <c r="B821" s="3" t="s">
        <v>1353</v>
      </c>
      <c r="C821" s="3">
        <f>IFERROR(__xludf.DUMMYFUNCTION("split(B821,""/"")"),3.0)</f>
        <v>3</v>
      </c>
      <c r="D821" s="10">
        <f>IFERROR(__xludf.DUMMYFUNCTION("""COMPUTED_VALUE"""),20.0)</f>
        <v>20</v>
      </c>
      <c r="E821" s="11">
        <f>IFERROR(__xludf.DUMMYFUNCTION("""COMPUTED_VALUE"""),2014.0)</f>
        <v>2014</v>
      </c>
      <c r="F821" s="12">
        <f t="shared" si="1"/>
        <v>41718</v>
      </c>
      <c r="G821" s="3" t="s">
        <v>1577</v>
      </c>
      <c r="H821" s="3">
        <f>IFERROR(__xludf.DUMMYFUNCTION("split(G821,""/"")"),4.0)</f>
        <v>4</v>
      </c>
      <c r="I821" s="3">
        <f>IFERROR(__xludf.DUMMYFUNCTION("""COMPUTED_VALUE"""),29.0)</f>
        <v>29</v>
      </c>
      <c r="J821" s="3">
        <f>IFERROR(__xludf.DUMMYFUNCTION("""COMPUTED_VALUE"""),2014.0)</f>
        <v>2014</v>
      </c>
      <c r="K821" s="12">
        <f t="shared" si="2"/>
        <v>41758</v>
      </c>
      <c r="L821" s="3" t="s">
        <v>817</v>
      </c>
      <c r="M821" s="3" t="s">
        <v>270</v>
      </c>
      <c r="N821" s="3">
        <v>8293.0</v>
      </c>
      <c r="O821" s="3" t="s">
        <v>815</v>
      </c>
      <c r="P821" s="10">
        <v>7069.0</v>
      </c>
      <c r="Q821" s="13">
        <v>437.2</v>
      </c>
      <c r="R821" s="13">
        <v>263.33</v>
      </c>
      <c r="S821" s="13">
        <f t="shared" si="3"/>
        <v>3090566.8</v>
      </c>
      <c r="T821" s="13">
        <f t="shared" si="4"/>
        <v>1861479.77</v>
      </c>
      <c r="U821" s="13">
        <f t="shared" si="5"/>
        <v>1229087.03</v>
      </c>
      <c r="V821" s="3" t="str">
        <f>VLOOKUP(N821,products!A:B,2,0)</f>
        <v>Cosmetics</v>
      </c>
      <c r="W821" s="3" t="s">
        <v>28</v>
      </c>
      <c r="X821" s="3" t="s">
        <v>79</v>
      </c>
      <c r="Y821" s="14">
        <f t="shared" si="10"/>
        <v>0.3976898445</v>
      </c>
      <c r="Z821" s="3">
        <f t="shared" si="7"/>
        <v>40</v>
      </c>
      <c r="AA821" s="15">
        <f t="shared" si="8"/>
        <v>5</v>
      </c>
    </row>
    <row r="822" ht="15.75" customHeight="1">
      <c r="A822" s="3">
        <v>6.3804115E8</v>
      </c>
      <c r="B822" s="9">
        <v>41162.0</v>
      </c>
      <c r="C822" s="3">
        <f>IFERROR(__xludf.DUMMYFUNCTION("split(B822,""/"")"),10.0)</f>
        <v>10</v>
      </c>
      <c r="D822" s="10">
        <f>IFERROR(__xludf.DUMMYFUNCTION("""COMPUTED_VALUE"""),9.0)</f>
        <v>9</v>
      </c>
      <c r="E822" s="11">
        <f>IFERROR(__xludf.DUMMYFUNCTION("""COMPUTED_VALUE"""),2012.0)</f>
        <v>2012</v>
      </c>
      <c r="F822" s="12">
        <f t="shared" si="1"/>
        <v>41191</v>
      </c>
      <c r="G822" s="3" t="s">
        <v>1254</v>
      </c>
      <c r="H822" s="3">
        <f>IFERROR(__xludf.DUMMYFUNCTION("split(G822,""/"")"),11.0)</f>
        <v>11</v>
      </c>
      <c r="I822" s="3">
        <f>IFERROR(__xludf.DUMMYFUNCTION("""COMPUTED_VALUE"""),28.0)</f>
        <v>28</v>
      </c>
      <c r="J822" s="3">
        <f>IFERROR(__xludf.DUMMYFUNCTION("""COMPUTED_VALUE"""),2012.0)</f>
        <v>2012</v>
      </c>
      <c r="K822" s="12">
        <f t="shared" si="2"/>
        <v>41241</v>
      </c>
      <c r="L822" s="3" t="s">
        <v>825</v>
      </c>
      <c r="M822" s="3" t="s">
        <v>123</v>
      </c>
      <c r="N822" s="3">
        <v>7331.0</v>
      </c>
      <c r="O822" s="3" t="s">
        <v>815</v>
      </c>
      <c r="P822" s="10">
        <v>9410.0</v>
      </c>
      <c r="Q822" s="13">
        <v>255.28</v>
      </c>
      <c r="R822" s="13">
        <v>159.42</v>
      </c>
      <c r="S822" s="13">
        <f t="shared" si="3"/>
        <v>2402184.8</v>
      </c>
      <c r="T822" s="13">
        <f t="shared" si="4"/>
        <v>1500142.2</v>
      </c>
      <c r="U822" s="13">
        <f t="shared" si="5"/>
        <v>902042.6</v>
      </c>
      <c r="V822" s="3" t="str">
        <f>VLOOKUP(N822,products!A:B,2,0)</f>
        <v>Baby Food</v>
      </c>
      <c r="W822" s="3" t="s">
        <v>28</v>
      </c>
      <c r="X822" s="3" t="s">
        <v>33</v>
      </c>
      <c r="Y822" s="14">
        <f t="shared" si="10"/>
        <v>0.3755092448</v>
      </c>
      <c r="Z822" s="3">
        <f t="shared" si="7"/>
        <v>50</v>
      </c>
      <c r="AA822" s="15">
        <f t="shared" si="8"/>
        <v>3</v>
      </c>
    </row>
    <row r="823" ht="15.75" customHeight="1">
      <c r="A823" s="3">
        <v>6.38314521E8</v>
      </c>
      <c r="B823" s="3" t="s">
        <v>1578</v>
      </c>
      <c r="C823" s="3">
        <f>IFERROR(__xludf.DUMMYFUNCTION("split(B823,""/"")"),9.0)</f>
        <v>9</v>
      </c>
      <c r="D823" s="10">
        <f>IFERROR(__xludf.DUMMYFUNCTION("""COMPUTED_VALUE"""),17.0)</f>
        <v>17</v>
      </c>
      <c r="E823" s="11">
        <f>IFERROR(__xludf.DUMMYFUNCTION("""COMPUTED_VALUE"""),2012.0)</f>
        <v>2012</v>
      </c>
      <c r="F823" s="12">
        <f t="shared" si="1"/>
        <v>41169</v>
      </c>
      <c r="G823" s="3" t="s">
        <v>1579</v>
      </c>
      <c r="H823" s="3">
        <f>IFERROR(__xludf.DUMMYFUNCTION("split(G823,""/"")"),10.0)</f>
        <v>10</v>
      </c>
      <c r="I823" s="3">
        <f>IFERROR(__xludf.DUMMYFUNCTION("""COMPUTED_VALUE"""),15.0)</f>
        <v>15</v>
      </c>
      <c r="J823" s="3">
        <f>IFERROR(__xludf.DUMMYFUNCTION("""COMPUTED_VALUE"""),2012.0)</f>
        <v>2012</v>
      </c>
      <c r="K823" s="12">
        <f t="shared" si="2"/>
        <v>41197</v>
      </c>
      <c r="L823" s="3" t="s">
        <v>827</v>
      </c>
      <c r="M823" s="3" t="s">
        <v>821</v>
      </c>
      <c r="N823" s="3">
        <v>8875.0</v>
      </c>
      <c r="O823" s="3" t="s">
        <v>815</v>
      </c>
      <c r="P823" s="10">
        <v>306.0</v>
      </c>
      <c r="Q823" s="13">
        <v>421.89</v>
      </c>
      <c r="R823" s="13">
        <v>364.69</v>
      </c>
      <c r="S823" s="13">
        <f t="shared" si="3"/>
        <v>129098.34</v>
      </c>
      <c r="T823" s="13">
        <f t="shared" si="4"/>
        <v>111595.14</v>
      </c>
      <c r="U823" s="13">
        <f t="shared" si="5"/>
        <v>17503.2</v>
      </c>
      <c r="V823" s="3" t="str">
        <f>VLOOKUP(N823,products!A:B,2,0)</f>
        <v>Meat</v>
      </c>
      <c r="W823" s="3" t="s">
        <v>821</v>
      </c>
      <c r="X823" s="3" t="s">
        <v>821</v>
      </c>
      <c r="Y823" s="14">
        <f t="shared" si="10"/>
        <v>0.1355803646</v>
      </c>
      <c r="Z823" s="3">
        <f t="shared" si="7"/>
        <v>28</v>
      </c>
      <c r="AA823" s="15">
        <f t="shared" si="8"/>
        <v>2</v>
      </c>
    </row>
    <row r="824" ht="15.75" customHeight="1">
      <c r="A824" s="3">
        <v>6.385939E8</v>
      </c>
      <c r="B824" s="3" t="s">
        <v>1580</v>
      </c>
      <c r="C824" s="3">
        <f>IFERROR(__xludf.DUMMYFUNCTION("split(B824,""/"")"),10.0)</f>
        <v>10</v>
      </c>
      <c r="D824" s="10">
        <f>IFERROR(__xludf.DUMMYFUNCTION("""COMPUTED_VALUE"""),26.0)</f>
        <v>26</v>
      </c>
      <c r="E824" s="11">
        <f>IFERROR(__xludf.DUMMYFUNCTION("""COMPUTED_VALUE"""),2012.0)</f>
        <v>2012</v>
      </c>
      <c r="F824" s="12">
        <f t="shared" si="1"/>
        <v>41208</v>
      </c>
      <c r="G824" s="9">
        <v>41255.0</v>
      </c>
      <c r="H824" s="3">
        <f>IFERROR(__xludf.DUMMYFUNCTION("split(G824,""/"")"),12.0)</f>
        <v>12</v>
      </c>
      <c r="I824" s="3">
        <f>IFERROR(__xludf.DUMMYFUNCTION("""COMPUTED_VALUE"""),12.0)</f>
        <v>12</v>
      </c>
      <c r="J824" s="3">
        <f>IFERROR(__xludf.DUMMYFUNCTION("""COMPUTED_VALUE"""),2012.0)</f>
        <v>2012</v>
      </c>
      <c r="K824" s="12">
        <f t="shared" si="2"/>
        <v>41255</v>
      </c>
      <c r="L824" s="3" t="s">
        <v>825</v>
      </c>
      <c r="M824" s="3" t="s">
        <v>686</v>
      </c>
      <c r="N824" s="3">
        <v>8293.0</v>
      </c>
      <c r="O824" s="3" t="s">
        <v>815</v>
      </c>
      <c r="P824" s="10">
        <v>2981.0</v>
      </c>
      <c r="Q824" s="13">
        <v>437.2</v>
      </c>
      <c r="R824" s="13">
        <v>263.33</v>
      </c>
      <c r="S824" s="13">
        <f t="shared" si="3"/>
        <v>1303293.2</v>
      </c>
      <c r="T824" s="13">
        <f t="shared" si="4"/>
        <v>784986.73</v>
      </c>
      <c r="U824" s="13">
        <f t="shared" si="5"/>
        <v>518306.47</v>
      </c>
      <c r="V824" s="3" t="str">
        <f>VLOOKUP(N824,products!A:B,2,0)</f>
        <v>Cosmetics</v>
      </c>
      <c r="W824" s="3" t="s">
        <v>28</v>
      </c>
      <c r="X824" s="3" t="s">
        <v>29</v>
      </c>
      <c r="Y824" s="14">
        <f t="shared" si="10"/>
        <v>0.3976898445</v>
      </c>
      <c r="Z824" s="3">
        <f t="shared" si="7"/>
        <v>47</v>
      </c>
      <c r="AA824" s="15">
        <f t="shared" si="8"/>
        <v>6</v>
      </c>
    </row>
    <row r="825" ht="15.75" customHeight="1">
      <c r="A825" s="3">
        <v>6.38856971E8</v>
      </c>
      <c r="B825" s="3" t="s">
        <v>1581</v>
      </c>
      <c r="C825" s="3">
        <f>IFERROR(__xludf.DUMMYFUNCTION("split(B825,""/"")"),7.0)</f>
        <v>7</v>
      </c>
      <c r="D825" s="10">
        <f>IFERROR(__xludf.DUMMYFUNCTION("""COMPUTED_VALUE"""),24.0)</f>
        <v>24</v>
      </c>
      <c r="E825" s="11">
        <f>IFERROR(__xludf.DUMMYFUNCTION("""COMPUTED_VALUE"""),2013.0)</f>
        <v>2013</v>
      </c>
      <c r="F825" s="12">
        <f t="shared" si="1"/>
        <v>41479</v>
      </c>
      <c r="G825" s="3" t="s">
        <v>1582</v>
      </c>
      <c r="H825" s="3">
        <f>IFERROR(__xludf.DUMMYFUNCTION("split(G825,""/"")"),8.0)</f>
        <v>8</v>
      </c>
      <c r="I825" s="3">
        <f>IFERROR(__xludf.DUMMYFUNCTION("""COMPUTED_VALUE"""),21.0)</f>
        <v>21</v>
      </c>
      <c r="J825" s="3">
        <f>IFERROR(__xludf.DUMMYFUNCTION("""COMPUTED_VALUE"""),2013.0)</f>
        <v>2013</v>
      </c>
      <c r="K825" s="12">
        <f t="shared" si="2"/>
        <v>41507</v>
      </c>
      <c r="L825" s="3" t="s">
        <v>814</v>
      </c>
      <c r="M825" s="3" t="s">
        <v>97</v>
      </c>
      <c r="N825" s="3">
        <v>3127.0</v>
      </c>
      <c r="O825" s="3" t="s">
        <v>815</v>
      </c>
      <c r="P825" s="10">
        <v>829.0</v>
      </c>
      <c r="Q825" s="13">
        <v>81.73</v>
      </c>
      <c r="R825" s="13">
        <v>56.67</v>
      </c>
      <c r="S825" s="13">
        <f t="shared" si="3"/>
        <v>67754.17</v>
      </c>
      <c r="T825" s="13">
        <f t="shared" si="4"/>
        <v>46979.43</v>
      </c>
      <c r="U825" s="13">
        <f t="shared" si="5"/>
        <v>20774.74</v>
      </c>
      <c r="V825" s="3" t="str">
        <f>VLOOKUP(N825,products!A:B,2,0)</f>
        <v>Personal Care</v>
      </c>
      <c r="W825" s="3" t="s">
        <v>28</v>
      </c>
      <c r="X825" s="3" t="s">
        <v>98</v>
      </c>
      <c r="Y825" s="14">
        <f t="shared" si="10"/>
        <v>0.3066193564</v>
      </c>
      <c r="Z825" s="3">
        <f t="shared" si="7"/>
        <v>28</v>
      </c>
      <c r="AA825" s="15">
        <f t="shared" si="8"/>
        <v>4</v>
      </c>
    </row>
    <row r="826" ht="15.75" customHeight="1">
      <c r="A826" s="3">
        <v>6.38937652E8</v>
      </c>
      <c r="B826" s="9">
        <v>41616.0</v>
      </c>
      <c r="C826" s="3">
        <f>IFERROR(__xludf.DUMMYFUNCTION("split(B826,""/"")"),8.0)</f>
        <v>8</v>
      </c>
      <c r="D826" s="10">
        <f>IFERROR(__xludf.DUMMYFUNCTION("""COMPUTED_VALUE"""),12.0)</f>
        <v>12</v>
      </c>
      <c r="E826" s="11">
        <f>IFERROR(__xludf.DUMMYFUNCTION("""COMPUTED_VALUE"""),2013.0)</f>
        <v>2013</v>
      </c>
      <c r="F826" s="12">
        <f t="shared" si="1"/>
        <v>41498</v>
      </c>
      <c r="G826" s="9">
        <v>41434.0</v>
      </c>
      <c r="H826" s="3">
        <f>IFERROR(__xludf.DUMMYFUNCTION("split(G826,""/"")"),9.0)</f>
        <v>9</v>
      </c>
      <c r="I826" s="3">
        <f>IFERROR(__xludf.DUMMYFUNCTION("""COMPUTED_VALUE"""),6.0)</f>
        <v>6</v>
      </c>
      <c r="J826" s="3">
        <f>IFERROR(__xludf.DUMMYFUNCTION("""COMPUTED_VALUE"""),2013.0)</f>
        <v>2013</v>
      </c>
      <c r="K826" s="12">
        <f t="shared" si="2"/>
        <v>41523</v>
      </c>
      <c r="L826" s="3" t="s">
        <v>825</v>
      </c>
      <c r="M826" s="3" t="s">
        <v>542</v>
      </c>
      <c r="N826" s="3">
        <v>4594.0</v>
      </c>
      <c r="O826" s="3" t="s">
        <v>818</v>
      </c>
      <c r="P826" s="10">
        <v>4705.0</v>
      </c>
      <c r="Q826" s="13">
        <v>9.33</v>
      </c>
      <c r="R826" s="13">
        <v>6.92</v>
      </c>
      <c r="S826" s="13">
        <f t="shared" si="3"/>
        <v>43897.65</v>
      </c>
      <c r="T826" s="13">
        <f t="shared" si="4"/>
        <v>32558.6</v>
      </c>
      <c r="U826" s="13">
        <f t="shared" si="5"/>
        <v>11339.05</v>
      </c>
      <c r="V826" s="3" t="str">
        <f>VLOOKUP(N826,products!A:B,2,0)</f>
        <v>Fruits</v>
      </c>
      <c r="W826" s="3" t="s">
        <v>28</v>
      </c>
      <c r="X826" s="3" t="s">
        <v>29</v>
      </c>
      <c r="Y826" s="14">
        <f t="shared" si="10"/>
        <v>0.258306538</v>
      </c>
      <c r="Z826" s="3">
        <f t="shared" si="7"/>
        <v>25</v>
      </c>
      <c r="AA826" s="15">
        <f t="shared" si="8"/>
        <v>2</v>
      </c>
    </row>
    <row r="827" ht="15.75" customHeight="1">
      <c r="A827" s="3">
        <v>6.38957822E8</v>
      </c>
      <c r="B827" s="3" t="s">
        <v>1456</v>
      </c>
      <c r="C827" s="3">
        <f>IFERROR(__xludf.DUMMYFUNCTION("split(B827,""/"")"),5.0)</f>
        <v>5</v>
      </c>
      <c r="D827" s="10">
        <f>IFERROR(__xludf.DUMMYFUNCTION("""COMPUTED_VALUE"""),31.0)</f>
        <v>31</v>
      </c>
      <c r="E827" s="11">
        <f>IFERROR(__xludf.DUMMYFUNCTION("""COMPUTED_VALUE"""),2017.0)</f>
        <v>2017</v>
      </c>
      <c r="F827" s="12">
        <f t="shared" si="1"/>
        <v>42886</v>
      </c>
      <c r="G827" s="3" t="s">
        <v>958</v>
      </c>
      <c r="H827" s="3">
        <f>IFERROR(__xludf.DUMMYFUNCTION("split(G827,""/"")"),6.0)</f>
        <v>6</v>
      </c>
      <c r="I827" s="3">
        <f>IFERROR(__xludf.DUMMYFUNCTION("""COMPUTED_VALUE"""),24.0)</f>
        <v>24</v>
      </c>
      <c r="J827" s="3">
        <f>IFERROR(__xludf.DUMMYFUNCTION("""COMPUTED_VALUE"""),2017.0)</f>
        <v>2017</v>
      </c>
      <c r="K827" s="12">
        <f t="shared" si="2"/>
        <v>42910</v>
      </c>
      <c r="L827" s="3" t="s">
        <v>814</v>
      </c>
      <c r="M827" s="3" t="s">
        <v>650</v>
      </c>
      <c r="N827" s="3">
        <v>1270.0</v>
      </c>
      <c r="O827" s="3" t="s">
        <v>815</v>
      </c>
      <c r="P827" s="10">
        <v>673.0</v>
      </c>
      <c r="Q827" s="13">
        <v>47.45</v>
      </c>
      <c r="R827" s="13">
        <v>31.79</v>
      </c>
      <c r="S827" s="13">
        <f t="shared" si="3"/>
        <v>31933.85</v>
      </c>
      <c r="T827" s="13">
        <f t="shared" si="4"/>
        <v>21394.67</v>
      </c>
      <c r="U827" s="13">
        <f t="shared" si="5"/>
        <v>10539.18</v>
      </c>
      <c r="V827" s="3" t="str">
        <f>VLOOKUP(N827,products!A:B,2,0)</f>
        <v>Beverages</v>
      </c>
      <c r="W827" s="3" t="s">
        <v>28</v>
      </c>
      <c r="X827" s="3" t="s">
        <v>98</v>
      </c>
      <c r="Y827" s="14">
        <f t="shared" si="10"/>
        <v>0.3300316122</v>
      </c>
      <c r="Z827" s="3">
        <f t="shared" si="7"/>
        <v>24</v>
      </c>
      <c r="AA827" s="15">
        <f t="shared" si="8"/>
        <v>4</v>
      </c>
    </row>
    <row r="828" ht="15.75" customHeight="1">
      <c r="A828" s="3">
        <v>6.39126908E8</v>
      </c>
      <c r="B828" s="3" t="s">
        <v>1583</v>
      </c>
      <c r="C828" s="3">
        <f>IFERROR(__xludf.DUMMYFUNCTION("split(B828,""/"")"),3.0)</f>
        <v>3</v>
      </c>
      <c r="D828" s="10">
        <f>IFERROR(__xludf.DUMMYFUNCTION("""COMPUTED_VALUE"""),30.0)</f>
        <v>30</v>
      </c>
      <c r="E828" s="11">
        <f>IFERROR(__xludf.DUMMYFUNCTION("""COMPUTED_VALUE"""),2011.0)</f>
        <v>2011</v>
      </c>
      <c r="F828" s="12">
        <f t="shared" si="1"/>
        <v>40632</v>
      </c>
      <c r="G828" s="9">
        <v>40821.0</v>
      </c>
      <c r="H828" s="3">
        <f>IFERROR(__xludf.DUMMYFUNCTION("split(G828,""/"")"),5.0)</f>
        <v>5</v>
      </c>
      <c r="I828" s="3">
        <f>IFERROR(__xludf.DUMMYFUNCTION("""COMPUTED_VALUE"""),10.0)</f>
        <v>10</v>
      </c>
      <c r="J828" s="3">
        <f>IFERROR(__xludf.DUMMYFUNCTION("""COMPUTED_VALUE"""),2011.0)</f>
        <v>2011</v>
      </c>
      <c r="K828" s="12">
        <f t="shared" si="2"/>
        <v>40673</v>
      </c>
      <c r="L828" s="3" t="s">
        <v>817</v>
      </c>
      <c r="M828" s="3" t="s">
        <v>123</v>
      </c>
      <c r="N828" s="3">
        <v>2103.0</v>
      </c>
      <c r="O828" s="3" t="s">
        <v>815</v>
      </c>
      <c r="P828" s="10">
        <v>710.0</v>
      </c>
      <c r="Q828" s="13">
        <v>205.7</v>
      </c>
      <c r="R828" s="13">
        <v>117.11</v>
      </c>
      <c r="S828" s="13">
        <f t="shared" si="3"/>
        <v>146047</v>
      </c>
      <c r="T828" s="13">
        <f t="shared" si="4"/>
        <v>83148.1</v>
      </c>
      <c r="U828" s="13">
        <f t="shared" si="5"/>
        <v>62898.9</v>
      </c>
      <c r="V828" s="3" t="str">
        <f>VLOOKUP(N828,products!A:B,2,0)</f>
        <v>Cereal</v>
      </c>
      <c r="W828" s="3" t="s">
        <v>28</v>
      </c>
      <c r="X828" s="3" t="s">
        <v>33</v>
      </c>
      <c r="Y828" s="14">
        <f t="shared" si="10"/>
        <v>0.4306757414</v>
      </c>
      <c r="Z828" s="3">
        <f t="shared" si="7"/>
        <v>41</v>
      </c>
      <c r="AA828" s="15">
        <f t="shared" si="8"/>
        <v>4</v>
      </c>
    </row>
    <row r="829" ht="15.75" customHeight="1">
      <c r="A829" s="3">
        <v>6.40295922E8</v>
      </c>
      <c r="B829" s="9">
        <v>42008.0</v>
      </c>
      <c r="C829" s="3">
        <f>IFERROR(__xludf.DUMMYFUNCTION("split(B829,""/"")"),4.0)</f>
        <v>4</v>
      </c>
      <c r="D829" s="10">
        <f>IFERROR(__xludf.DUMMYFUNCTION("""COMPUTED_VALUE"""),1.0)</f>
        <v>1</v>
      </c>
      <c r="E829" s="11">
        <f>IFERROR(__xludf.DUMMYFUNCTION("""COMPUTED_VALUE"""),2015.0)</f>
        <v>2015</v>
      </c>
      <c r="F829" s="12">
        <f t="shared" si="1"/>
        <v>42095</v>
      </c>
      <c r="G829" s="9">
        <v>42067.0</v>
      </c>
      <c r="H829" s="3">
        <f>IFERROR(__xludf.DUMMYFUNCTION("split(G829,""/"")"),4.0)</f>
        <v>4</v>
      </c>
      <c r="I829" s="3">
        <f>IFERROR(__xludf.DUMMYFUNCTION("""COMPUTED_VALUE"""),3.0)</f>
        <v>3</v>
      </c>
      <c r="J829" s="3">
        <f>IFERROR(__xludf.DUMMYFUNCTION("""COMPUTED_VALUE"""),2015.0)</f>
        <v>2015</v>
      </c>
      <c r="K829" s="12">
        <f t="shared" si="2"/>
        <v>42097</v>
      </c>
      <c r="L829" s="3" t="s">
        <v>814</v>
      </c>
      <c r="M829" s="3" t="s">
        <v>123</v>
      </c>
      <c r="N829" s="3">
        <v>7331.0</v>
      </c>
      <c r="O829" s="3" t="s">
        <v>815</v>
      </c>
      <c r="P829" s="10">
        <v>6647.0</v>
      </c>
      <c r="Q829" s="13">
        <v>255.28</v>
      </c>
      <c r="R829" s="13">
        <v>159.42</v>
      </c>
      <c r="S829" s="13">
        <f t="shared" si="3"/>
        <v>1696846.16</v>
      </c>
      <c r="T829" s="13">
        <f t="shared" si="4"/>
        <v>1059664.74</v>
      </c>
      <c r="U829" s="13">
        <f t="shared" si="5"/>
        <v>637181.42</v>
      </c>
      <c r="V829" s="3" t="str">
        <f>VLOOKUP(N829,products!A:B,2,0)</f>
        <v>Baby Food</v>
      </c>
      <c r="W829" s="3" t="s">
        <v>28</v>
      </c>
      <c r="X829" s="3" t="s">
        <v>33</v>
      </c>
      <c r="Y829" s="14">
        <f t="shared" si="10"/>
        <v>0.3755092448</v>
      </c>
      <c r="Z829" s="3">
        <f t="shared" si="7"/>
        <v>2</v>
      </c>
      <c r="AA829" s="15">
        <f t="shared" si="8"/>
        <v>4</v>
      </c>
    </row>
    <row r="830" ht="15.75" customHeight="1">
      <c r="A830" s="3">
        <v>6.40394628E8</v>
      </c>
      <c r="B830" s="3" t="s">
        <v>1325</v>
      </c>
      <c r="C830" s="3">
        <f>IFERROR(__xludf.DUMMYFUNCTION("split(B830,""/"")"),10.0)</f>
        <v>10</v>
      </c>
      <c r="D830" s="10">
        <f>IFERROR(__xludf.DUMMYFUNCTION("""COMPUTED_VALUE"""),19.0)</f>
        <v>19</v>
      </c>
      <c r="E830" s="11">
        <f>IFERROR(__xludf.DUMMYFUNCTION("""COMPUTED_VALUE"""),2015.0)</f>
        <v>2015</v>
      </c>
      <c r="F830" s="12">
        <f t="shared" si="1"/>
        <v>42296</v>
      </c>
      <c r="G830" s="9">
        <v>42196.0</v>
      </c>
      <c r="H830" s="3">
        <f>IFERROR(__xludf.DUMMYFUNCTION("split(G830,""/"")"),11.0)</f>
        <v>11</v>
      </c>
      <c r="I830" s="3">
        <f>IFERROR(__xludf.DUMMYFUNCTION("""COMPUTED_VALUE"""),7.0)</f>
        <v>7</v>
      </c>
      <c r="J830" s="3">
        <f>IFERROR(__xludf.DUMMYFUNCTION("""COMPUTED_VALUE"""),2015.0)</f>
        <v>2015</v>
      </c>
      <c r="K830" s="12">
        <f t="shared" si="2"/>
        <v>42315</v>
      </c>
      <c r="L830" s="3" t="s">
        <v>827</v>
      </c>
      <c r="M830" s="3" t="s">
        <v>123</v>
      </c>
      <c r="N830" s="3">
        <v>8681.0</v>
      </c>
      <c r="O830" s="3" t="s">
        <v>818</v>
      </c>
      <c r="P830" s="10">
        <v>5856.0</v>
      </c>
      <c r="Q830" s="13">
        <v>651.21</v>
      </c>
      <c r="R830" s="13">
        <v>524.96</v>
      </c>
      <c r="S830" s="13">
        <f t="shared" si="3"/>
        <v>3813485.76</v>
      </c>
      <c r="T830" s="13">
        <f t="shared" si="4"/>
        <v>3074165.76</v>
      </c>
      <c r="U830" s="13">
        <f t="shared" si="5"/>
        <v>739320</v>
      </c>
      <c r="V830" s="3" t="str">
        <f>VLOOKUP(N830,products!A:B,2,0)</f>
        <v>Office Supplies</v>
      </c>
      <c r="W830" s="3" t="s">
        <v>28</v>
      </c>
      <c r="X830" s="3" t="s">
        <v>33</v>
      </c>
      <c r="Y830" s="14">
        <f t="shared" si="10"/>
        <v>0.193869873</v>
      </c>
      <c r="Z830" s="3">
        <f t="shared" si="7"/>
        <v>19</v>
      </c>
      <c r="AA830" s="15">
        <f t="shared" si="8"/>
        <v>2</v>
      </c>
    </row>
    <row r="831" ht="15.75" customHeight="1">
      <c r="A831" s="3">
        <v>6.40476596E8</v>
      </c>
      <c r="B831" s="3" t="s">
        <v>1584</v>
      </c>
      <c r="C831" s="3">
        <f>IFERROR(__xludf.DUMMYFUNCTION("split(B831,""/"")"),10.0)</f>
        <v>10</v>
      </c>
      <c r="D831" s="10">
        <f>IFERROR(__xludf.DUMMYFUNCTION("""COMPUTED_VALUE"""),21.0)</f>
        <v>21</v>
      </c>
      <c r="E831" s="11">
        <f>IFERROR(__xludf.DUMMYFUNCTION("""COMPUTED_VALUE"""),2014.0)</f>
        <v>2014</v>
      </c>
      <c r="F831" s="12">
        <f t="shared" si="1"/>
        <v>41933</v>
      </c>
      <c r="G831" s="3" t="s">
        <v>1585</v>
      </c>
      <c r="H831" s="3">
        <f>IFERROR(__xludf.DUMMYFUNCTION("split(G831,""/"")"),10.0)</f>
        <v>10</v>
      </c>
      <c r="I831" s="3">
        <f>IFERROR(__xludf.DUMMYFUNCTION("""COMPUTED_VALUE"""),24.0)</f>
        <v>24</v>
      </c>
      <c r="J831" s="3">
        <f>IFERROR(__xludf.DUMMYFUNCTION("""COMPUTED_VALUE"""),2014.0)</f>
        <v>2014</v>
      </c>
      <c r="K831" s="12">
        <f t="shared" si="2"/>
        <v>41936</v>
      </c>
      <c r="L831" s="3" t="s">
        <v>827</v>
      </c>
      <c r="M831" s="3" t="s">
        <v>349</v>
      </c>
      <c r="N831" s="3">
        <v>4594.0</v>
      </c>
      <c r="O831" s="3" t="s">
        <v>815</v>
      </c>
      <c r="P831" s="10">
        <v>112.0</v>
      </c>
      <c r="Q831" s="13">
        <v>9.33</v>
      </c>
      <c r="R831" s="13">
        <v>6.92</v>
      </c>
      <c r="S831" s="13">
        <f t="shared" si="3"/>
        <v>1044.96</v>
      </c>
      <c r="T831" s="13">
        <f t="shared" si="4"/>
        <v>775.04</v>
      </c>
      <c r="U831" s="13">
        <f t="shared" si="5"/>
        <v>269.92</v>
      </c>
      <c r="V831" s="3" t="str">
        <f>VLOOKUP(N831,products!A:B,2,0)</f>
        <v>Fruits</v>
      </c>
      <c r="W831" s="3" t="s">
        <v>28</v>
      </c>
      <c r="X831" s="3" t="s">
        <v>29</v>
      </c>
      <c r="Y831" s="14">
        <f t="shared" si="10"/>
        <v>0.258306538</v>
      </c>
      <c r="Z831" s="3">
        <f t="shared" si="7"/>
        <v>3</v>
      </c>
      <c r="AA831" s="15">
        <f t="shared" si="8"/>
        <v>3</v>
      </c>
    </row>
    <row r="832" ht="15.75" customHeight="1">
      <c r="A832" s="3">
        <v>6.41537463E8</v>
      </c>
      <c r="B832" s="9">
        <v>42046.0</v>
      </c>
      <c r="C832" s="3">
        <f>IFERROR(__xludf.DUMMYFUNCTION("split(B832,""/"")"),11.0)</f>
        <v>11</v>
      </c>
      <c r="D832" s="10">
        <f>IFERROR(__xludf.DUMMYFUNCTION("""COMPUTED_VALUE"""),2.0)</f>
        <v>2</v>
      </c>
      <c r="E832" s="11">
        <f>IFERROR(__xludf.DUMMYFUNCTION("""COMPUTED_VALUE"""),2015.0)</f>
        <v>2015</v>
      </c>
      <c r="F832" s="12">
        <f t="shared" si="1"/>
        <v>42310</v>
      </c>
      <c r="G832" s="3" t="s">
        <v>1402</v>
      </c>
      <c r="H832" s="3">
        <f>IFERROR(__xludf.DUMMYFUNCTION("split(G832,""/"")"),12.0)</f>
        <v>12</v>
      </c>
      <c r="I832" s="3">
        <f>IFERROR(__xludf.DUMMYFUNCTION("""COMPUTED_VALUE"""),14.0)</f>
        <v>14</v>
      </c>
      <c r="J832" s="3">
        <f>IFERROR(__xludf.DUMMYFUNCTION("""COMPUTED_VALUE"""),2015.0)</f>
        <v>2015</v>
      </c>
      <c r="K832" s="12">
        <f t="shared" si="2"/>
        <v>42352</v>
      </c>
      <c r="L832" s="3" t="s">
        <v>827</v>
      </c>
      <c r="M832" s="3" t="s">
        <v>142</v>
      </c>
      <c r="N832" s="3">
        <v>8681.0</v>
      </c>
      <c r="O832" s="3" t="s">
        <v>815</v>
      </c>
      <c r="P832" s="10">
        <v>4047.0</v>
      </c>
      <c r="Q832" s="13">
        <v>651.21</v>
      </c>
      <c r="R832" s="13">
        <v>524.96</v>
      </c>
      <c r="S832" s="13">
        <f t="shared" si="3"/>
        <v>2635446.87</v>
      </c>
      <c r="T832" s="13">
        <f t="shared" si="4"/>
        <v>2124513.12</v>
      </c>
      <c r="U832" s="13">
        <f t="shared" si="5"/>
        <v>510933.75</v>
      </c>
      <c r="V832" s="3" t="str">
        <f>VLOOKUP(N832,products!A:B,2,0)</f>
        <v>Office Supplies</v>
      </c>
      <c r="W832" s="3" t="s">
        <v>28</v>
      </c>
      <c r="X832" s="3" t="s">
        <v>98</v>
      </c>
      <c r="Y832" s="14">
        <f t="shared" si="10"/>
        <v>0.193869873</v>
      </c>
      <c r="Z832" s="3">
        <f t="shared" si="7"/>
        <v>42</v>
      </c>
      <c r="AA832" s="15">
        <f t="shared" si="8"/>
        <v>2</v>
      </c>
    </row>
    <row r="833" ht="15.75" customHeight="1">
      <c r="A833" s="3">
        <v>6.42123687E8</v>
      </c>
      <c r="B833" s="3" t="s">
        <v>1586</v>
      </c>
      <c r="C833" s="3">
        <f>IFERROR(__xludf.DUMMYFUNCTION("split(B833,""/"")"),5.0)</f>
        <v>5</v>
      </c>
      <c r="D833" s="10">
        <f>IFERROR(__xludf.DUMMYFUNCTION("""COMPUTED_VALUE"""),25.0)</f>
        <v>25</v>
      </c>
      <c r="E833" s="11">
        <f>IFERROR(__xludf.DUMMYFUNCTION("""COMPUTED_VALUE"""),2011.0)</f>
        <v>2011</v>
      </c>
      <c r="F833" s="12">
        <f t="shared" si="1"/>
        <v>40688</v>
      </c>
      <c r="G833" s="3" t="s">
        <v>1587</v>
      </c>
      <c r="H833" s="3">
        <f>IFERROR(__xludf.DUMMYFUNCTION("split(G833,""/"")"),5.0)</f>
        <v>5</v>
      </c>
      <c r="I833" s="3">
        <f>IFERROR(__xludf.DUMMYFUNCTION("""COMPUTED_VALUE"""),30.0)</f>
        <v>30</v>
      </c>
      <c r="J833" s="3">
        <f>IFERROR(__xludf.DUMMYFUNCTION("""COMPUTED_VALUE"""),2011.0)</f>
        <v>2011</v>
      </c>
      <c r="K833" s="12">
        <f t="shared" si="2"/>
        <v>40693</v>
      </c>
      <c r="L833" s="3" t="s">
        <v>814</v>
      </c>
      <c r="M833" s="3" t="s">
        <v>300</v>
      </c>
      <c r="N833" s="3">
        <v>1270.0</v>
      </c>
      <c r="O833" s="3" t="s">
        <v>815</v>
      </c>
      <c r="P833" s="10">
        <v>7523.0</v>
      </c>
      <c r="Q833" s="13">
        <v>47.45</v>
      </c>
      <c r="R833" s="13">
        <v>31.79</v>
      </c>
      <c r="S833" s="13">
        <f t="shared" si="3"/>
        <v>356966.35</v>
      </c>
      <c r="T833" s="13">
        <f t="shared" si="4"/>
        <v>239156.17</v>
      </c>
      <c r="U833" s="13">
        <f t="shared" si="5"/>
        <v>117810.18</v>
      </c>
      <c r="V833" s="3" t="str">
        <f>VLOOKUP(N833,products!A:B,2,0)</f>
        <v>Beverages</v>
      </c>
      <c r="W833" s="3" t="s">
        <v>28</v>
      </c>
      <c r="X833" s="3" t="s">
        <v>33</v>
      </c>
      <c r="Y833" s="14">
        <f t="shared" si="10"/>
        <v>0.3300316122</v>
      </c>
      <c r="Z833" s="3">
        <f t="shared" si="7"/>
        <v>5</v>
      </c>
      <c r="AA833" s="15">
        <f t="shared" si="8"/>
        <v>4</v>
      </c>
    </row>
    <row r="834" ht="15.75" customHeight="1">
      <c r="A834" s="3">
        <v>6.4295367E8</v>
      </c>
      <c r="B834" s="3" t="s">
        <v>1588</v>
      </c>
      <c r="C834" s="3">
        <f>IFERROR(__xludf.DUMMYFUNCTION("split(B834,""/"")"),10.0)</f>
        <v>10</v>
      </c>
      <c r="D834" s="10">
        <f>IFERROR(__xludf.DUMMYFUNCTION("""COMPUTED_VALUE"""),27.0)</f>
        <v>27</v>
      </c>
      <c r="E834" s="11">
        <f>IFERROR(__xludf.DUMMYFUNCTION("""COMPUTED_VALUE"""),2015.0)</f>
        <v>2015</v>
      </c>
      <c r="F834" s="12">
        <f t="shared" si="1"/>
        <v>42304</v>
      </c>
      <c r="G834" s="9">
        <v>42259.0</v>
      </c>
      <c r="H834" s="3">
        <f>IFERROR(__xludf.DUMMYFUNCTION("split(G834,""/"")"),12.0)</f>
        <v>12</v>
      </c>
      <c r="I834" s="3">
        <f>IFERROR(__xludf.DUMMYFUNCTION("""COMPUTED_VALUE"""),9.0)</f>
        <v>9</v>
      </c>
      <c r="J834" s="3">
        <f>IFERROR(__xludf.DUMMYFUNCTION("""COMPUTED_VALUE"""),2015.0)</f>
        <v>2015</v>
      </c>
      <c r="K834" s="12">
        <f t="shared" si="2"/>
        <v>42347</v>
      </c>
      <c r="L834" s="3" t="s">
        <v>814</v>
      </c>
      <c r="M834" s="3" t="s">
        <v>512</v>
      </c>
      <c r="N834" s="3">
        <v>1270.0</v>
      </c>
      <c r="O834" s="3" t="s">
        <v>818</v>
      </c>
      <c r="P834" s="10">
        <v>3134.0</v>
      </c>
      <c r="Q834" s="13">
        <v>47.45</v>
      </c>
      <c r="R834" s="13">
        <v>31.79</v>
      </c>
      <c r="S834" s="13">
        <f t="shared" si="3"/>
        <v>148708.3</v>
      </c>
      <c r="T834" s="13">
        <f t="shared" si="4"/>
        <v>99629.86</v>
      </c>
      <c r="U834" s="13">
        <f t="shared" si="5"/>
        <v>49078.44</v>
      </c>
      <c r="V834" s="3" t="str">
        <f>VLOOKUP(N834,products!A:B,2,0)</f>
        <v>Beverages</v>
      </c>
      <c r="W834" s="3" t="s">
        <v>28</v>
      </c>
      <c r="X834" s="3" t="s">
        <v>79</v>
      </c>
      <c r="Y834" s="14">
        <f t="shared" si="10"/>
        <v>0.3300316122</v>
      </c>
      <c r="Z834" s="3">
        <f t="shared" si="7"/>
        <v>43</v>
      </c>
      <c r="AA834" s="15">
        <f t="shared" si="8"/>
        <v>3</v>
      </c>
    </row>
    <row r="835" ht="15.75" customHeight="1">
      <c r="A835" s="3">
        <v>6.43027484E8</v>
      </c>
      <c r="B835" s="9">
        <v>40852.0</v>
      </c>
      <c r="C835" s="3">
        <f>IFERROR(__xludf.DUMMYFUNCTION("split(B835,""/"")"),5.0)</f>
        <v>5</v>
      </c>
      <c r="D835" s="10">
        <f>IFERROR(__xludf.DUMMYFUNCTION("""COMPUTED_VALUE"""),11.0)</f>
        <v>11</v>
      </c>
      <c r="E835" s="11">
        <f>IFERROR(__xludf.DUMMYFUNCTION("""COMPUTED_VALUE"""),2011.0)</f>
        <v>2011</v>
      </c>
      <c r="F835" s="12">
        <f t="shared" si="1"/>
        <v>40674</v>
      </c>
      <c r="G835" s="3" t="s">
        <v>1589</v>
      </c>
      <c r="H835" s="3">
        <f>IFERROR(__xludf.DUMMYFUNCTION("split(G835,""/"")"),5.0)</f>
        <v>5</v>
      </c>
      <c r="I835" s="3">
        <f>IFERROR(__xludf.DUMMYFUNCTION("""COMPUTED_VALUE"""),18.0)</f>
        <v>18</v>
      </c>
      <c r="J835" s="3">
        <f>IFERROR(__xludf.DUMMYFUNCTION("""COMPUTED_VALUE"""),2011.0)</f>
        <v>2011</v>
      </c>
      <c r="K835" s="12">
        <f t="shared" si="2"/>
        <v>40681</v>
      </c>
      <c r="L835" s="3" t="s">
        <v>827</v>
      </c>
      <c r="M835" s="3" t="s">
        <v>349</v>
      </c>
      <c r="N835" s="3">
        <v>8875.0</v>
      </c>
      <c r="O835" s="3" t="s">
        <v>815</v>
      </c>
      <c r="P835" s="10">
        <v>4977.0</v>
      </c>
      <c r="Q835" s="13">
        <v>421.89</v>
      </c>
      <c r="R835" s="13">
        <v>364.69</v>
      </c>
      <c r="S835" s="13">
        <f t="shared" si="3"/>
        <v>2099746.53</v>
      </c>
      <c r="T835" s="13">
        <f t="shared" si="4"/>
        <v>1815062.13</v>
      </c>
      <c r="U835" s="13">
        <f t="shared" si="5"/>
        <v>284684.4</v>
      </c>
      <c r="V835" s="3" t="str">
        <f>VLOOKUP(N835,products!A:B,2,0)</f>
        <v>Meat</v>
      </c>
      <c r="W835" s="3" t="s">
        <v>28</v>
      </c>
      <c r="X835" s="3" t="s">
        <v>29</v>
      </c>
      <c r="Y835" s="14">
        <f t="shared" si="10"/>
        <v>0.1355803646</v>
      </c>
      <c r="Z835" s="3">
        <f t="shared" si="7"/>
        <v>7</v>
      </c>
      <c r="AA835" s="15">
        <f t="shared" si="8"/>
        <v>4</v>
      </c>
    </row>
    <row r="836" ht="15.75" customHeight="1">
      <c r="A836" s="3">
        <v>6.43259227E8</v>
      </c>
      <c r="B836" s="3" t="s">
        <v>897</v>
      </c>
      <c r="C836" s="3">
        <f>IFERROR(__xludf.DUMMYFUNCTION("split(B836,""/"")"),4.0)</f>
        <v>4</v>
      </c>
      <c r="D836" s="10">
        <f>IFERROR(__xludf.DUMMYFUNCTION("""COMPUTED_VALUE"""),26.0)</f>
        <v>26</v>
      </c>
      <c r="E836" s="11">
        <f>IFERROR(__xludf.DUMMYFUNCTION("""COMPUTED_VALUE"""),2012.0)</f>
        <v>2012</v>
      </c>
      <c r="F836" s="12">
        <f t="shared" si="1"/>
        <v>41025</v>
      </c>
      <c r="G836" s="3" t="s">
        <v>897</v>
      </c>
      <c r="H836" s="3">
        <f>IFERROR(__xludf.DUMMYFUNCTION("split(G836,""/"")"),4.0)</f>
        <v>4</v>
      </c>
      <c r="I836" s="3">
        <f>IFERROR(__xludf.DUMMYFUNCTION("""COMPUTED_VALUE"""),26.0)</f>
        <v>26</v>
      </c>
      <c r="J836" s="3">
        <f>IFERROR(__xludf.DUMMYFUNCTION("""COMPUTED_VALUE"""),2012.0)</f>
        <v>2012</v>
      </c>
      <c r="K836" s="12">
        <f t="shared" si="2"/>
        <v>41025</v>
      </c>
      <c r="L836" s="3" t="s">
        <v>825</v>
      </c>
      <c r="M836" s="3" t="s">
        <v>689</v>
      </c>
      <c r="N836" s="3">
        <v>8875.0</v>
      </c>
      <c r="O836" s="3" t="s">
        <v>818</v>
      </c>
      <c r="P836" s="10">
        <v>3555.0</v>
      </c>
      <c r="Q836" s="13">
        <v>421.89</v>
      </c>
      <c r="R836" s="13">
        <v>364.69</v>
      </c>
      <c r="S836" s="13">
        <f t="shared" si="3"/>
        <v>1499818.95</v>
      </c>
      <c r="T836" s="13">
        <f t="shared" si="4"/>
        <v>1296472.95</v>
      </c>
      <c r="U836" s="13">
        <f t="shared" si="5"/>
        <v>203346</v>
      </c>
      <c r="V836" s="3" t="str">
        <f>VLOOKUP(N836,products!A:B,2,0)</f>
        <v>Meat</v>
      </c>
      <c r="W836" s="3" t="s">
        <v>28</v>
      </c>
      <c r="X836" s="3" t="s">
        <v>79</v>
      </c>
      <c r="Y836" s="14">
        <f t="shared" si="10"/>
        <v>0.1355803646</v>
      </c>
      <c r="Z836" s="3">
        <f t="shared" si="7"/>
        <v>0</v>
      </c>
      <c r="AA836" s="15">
        <f t="shared" si="8"/>
        <v>5</v>
      </c>
    </row>
    <row r="837" ht="15.75" customHeight="1">
      <c r="A837" s="3">
        <v>6.43448483E8</v>
      </c>
      <c r="B837" s="9">
        <v>42985.0</v>
      </c>
      <c r="C837" s="3">
        <f>IFERROR(__xludf.DUMMYFUNCTION("split(B837,""/"")"),7.0)</f>
        <v>7</v>
      </c>
      <c r="D837" s="10">
        <f>IFERROR(__xludf.DUMMYFUNCTION("""COMPUTED_VALUE"""),9.0)</f>
        <v>9</v>
      </c>
      <c r="E837" s="11">
        <f>IFERROR(__xludf.DUMMYFUNCTION("""COMPUTED_VALUE"""),2017.0)</f>
        <v>2017</v>
      </c>
      <c r="F837" s="12">
        <f t="shared" si="1"/>
        <v>42925</v>
      </c>
      <c r="G837" s="3" t="s">
        <v>1590</v>
      </c>
      <c r="H837" s="3">
        <f>IFERROR(__xludf.DUMMYFUNCTION("split(G837,""/"")"),7.0)</f>
        <v>7</v>
      </c>
      <c r="I837" s="3">
        <f>IFERROR(__xludf.DUMMYFUNCTION("""COMPUTED_VALUE"""),25.0)</f>
        <v>25</v>
      </c>
      <c r="J837" s="3">
        <f>IFERROR(__xludf.DUMMYFUNCTION("""COMPUTED_VALUE"""),2017.0)</f>
        <v>2017</v>
      </c>
      <c r="K837" s="12">
        <f t="shared" si="2"/>
        <v>42941</v>
      </c>
      <c r="L837" s="3" t="s">
        <v>825</v>
      </c>
      <c r="M837" s="3" t="s">
        <v>300</v>
      </c>
      <c r="N837" s="3">
        <v>4594.0</v>
      </c>
      <c r="O837" s="3" t="s">
        <v>815</v>
      </c>
      <c r="P837" s="10">
        <v>9560.0</v>
      </c>
      <c r="Q837" s="13">
        <v>9.33</v>
      </c>
      <c r="R837" s="13">
        <v>6.92</v>
      </c>
      <c r="S837" s="13">
        <f t="shared" si="3"/>
        <v>89194.8</v>
      </c>
      <c r="T837" s="13">
        <f t="shared" si="4"/>
        <v>66155.2</v>
      </c>
      <c r="U837" s="13">
        <f t="shared" si="5"/>
        <v>23039.6</v>
      </c>
      <c r="V837" s="3" t="str">
        <f>VLOOKUP(N837,products!A:B,2,0)</f>
        <v>Fruits</v>
      </c>
      <c r="W837" s="3" t="s">
        <v>28</v>
      </c>
      <c r="X837" s="3" t="s">
        <v>33</v>
      </c>
      <c r="Y837" s="14">
        <f t="shared" si="10"/>
        <v>0.258306538</v>
      </c>
      <c r="Z837" s="3">
        <f t="shared" si="7"/>
        <v>16</v>
      </c>
      <c r="AA837" s="15">
        <f t="shared" si="8"/>
        <v>1</v>
      </c>
    </row>
    <row r="838" ht="15.75" customHeight="1">
      <c r="A838" s="3">
        <v>6.43770778E8</v>
      </c>
      <c r="B838" s="3" t="s">
        <v>1166</v>
      </c>
      <c r="C838" s="3">
        <f>IFERROR(__xludf.DUMMYFUNCTION("split(B838,""/"")"),7.0)</f>
        <v>7</v>
      </c>
      <c r="D838" s="10">
        <f>IFERROR(__xludf.DUMMYFUNCTION("""COMPUTED_VALUE"""),24.0)</f>
        <v>24</v>
      </c>
      <c r="E838" s="11">
        <f>IFERROR(__xludf.DUMMYFUNCTION("""COMPUTED_VALUE"""),2015.0)</f>
        <v>2015</v>
      </c>
      <c r="F838" s="12">
        <f t="shared" si="1"/>
        <v>42209</v>
      </c>
      <c r="G838" s="3" t="s">
        <v>1591</v>
      </c>
      <c r="H838" s="3">
        <f>IFERROR(__xludf.DUMMYFUNCTION("split(G838,""/"")"),7.0)</f>
        <v>7</v>
      </c>
      <c r="I838" s="3">
        <f>IFERROR(__xludf.DUMMYFUNCTION("""COMPUTED_VALUE"""),31.0)</f>
        <v>31</v>
      </c>
      <c r="J838" s="3">
        <f>IFERROR(__xludf.DUMMYFUNCTION("""COMPUTED_VALUE"""),2015.0)</f>
        <v>2015</v>
      </c>
      <c r="K838" s="12">
        <f t="shared" si="2"/>
        <v>42216</v>
      </c>
      <c r="L838" s="3" t="s">
        <v>825</v>
      </c>
      <c r="M838" s="3" t="s">
        <v>288</v>
      </c>
      <c r="N838" s="3">
        <v>3127.0</v>
      </c>
      <c r="O838" s="3" t="s">
        <v>818</v>
      </c>
      <c r="P838" s="10">
        <v>4934.0</v>
      </c>
      <c r="Q838" s="13">
        <v>81.73</v>
      </c>
      <c r="R838" s="13">
        <v>56.67</v>
      </c>
      <c r="S838" s="13">
        <f t="shared" si="3"/>
        <v>403255.82</v>
      </c>
      <c r="T838" s="13">
        <f t="shared" si="4"/>
        <v>279609.78</v>
      </c>
      <c r="U838" s="13">
        <f t="shared" si="5"/>
        <v>123646.04</v>
      </c>
      <c r="V838" s="3" t="str">
        <f>VLOOKUP(N838,products!A:B,2,0)</f>
        <v>Personal Care</v>
      </c>
      <c r="W838" s="3" t="s">
        <v>23</v>
      </c>
      <c r="X838" s="3" t="s">
        <v>68</v>
      </c>
      <c r="Y838" s="14">
        <f t="shared" si="10"/>
        <v>0.3066193564</v>
      </c>
      <c r="Z838" s="3">
        <f t="shared" si="7"/>
        <v>7</v>
      </c>
      <c r="AA838" s="15">
        <f t="shared" si="8"/>
        <v>6</v>
      </c>
    </row>
    <row r="839" ht="15.75" customHeight="1">
      <c r="A839" s="3">
        <v>6.44592607E8</v>
      </c>
      <c r="B839" s="9">
        <v>42528.0</v>
      </c>
      <c r="C839" s="3">
        <f>IFERROR(__xludf.DUMMYFUNCTION("split(B839,""/"")"),7.0)</f>
        <v>7</v>
      </c>
      <c r="D839" s="10">
        <f>IFERROR(__xludf.DUMMYFUNCTION("""COMPUTED_VALUE"""),6.0)</f>
        <v>6</v>
      </c>
      <c r="E839" s="11">
        <f>IFERROR(__xludf.DUMMYFUNCTION("""COMPUTED_VALUE"""),2016.0)</f>
        <v>2016</v>
      </c>
      <c r="F839" s="12">
        <f t="shared" si="1"/>
        <v>42557</v>
      </c>
      <c r="G839" s="3" t="s">
        <v>1592</v>
      </c>
      <c r="H839" s="3">
        <f>IFERROR(__xludf.DUMMYFUNCTION("split(G839,""/"")"),7.0)</f>
        <v>7</v>
      </c>
      <c r="I839" s="3">
        <f>IFERROR(__xludf.DUMMYFUNCTION("""COMPUTED_VALUE"""),31.0)</f>
        <v>31</v>
      </c>
      <c r="J839" s="3">
        <f>IFERROR(__xludf.DUMMYFUNCTION("""COMPUTED_VALUE"""),2016.0)</f>
        <v>2016</v>
      </c>
      <c r="K839" s="12">
        <f t="shared" si="2"/>
        <v>42582</v>
      </c>
      <c r="L839" s="3" t="s">
        <v>827</v>
      </c>
      <c r="M839" s="3" t="s">
        <v>97</v>
      </c>
      <c r="N839" s="3">
        <v>8681.0</v>
      </c>
      <c r="O839" s="3" t="s">
        <v>818</v>
      </c>
      <c r="P839" s="10">
        <v>8131.0</v>
      </c>
      <c r="Q839" s="13">
        <v>651.21</v>
      </c>
      <c r="R839" s="13">
        <v>524.96</v>
      </c>
      <c r="S839" s="13">
        <f t="shared" si="3"/>
        <v>5294988.51</v>
      </c>
      <c r="T839" s="13">
        <f t="shared" si="4"/>
        <v>4268449.76</v>
      </c>
      <c r="U839" s="13">
        <f t="shared" si="5"/>
        <v>1026538.75</v>
      </c>
      <c r="V839" s="3" t="str">
        <f>VLOOKUP(N839,products!A:B,2,0)</f>
        <v>Office Supplies</v>
      </c>
      <c r="W839" s="3" t="s">
        <v>28</v>
      </c>
      <c r="X839" s="3" t="s">
        <v>98</v>
      </c>
      <c r="Y839" s="14">
        <f t="shared" si="10"/>
        <v>0.193869873</v>
      </c>
      <c r="Z839" s="3">
        <f t="shared" si="7"/>
        <v>25</v>
      </c>
      <c r="AA839" s="15">
        <f t="shared" si="8"/>
        <v>4</v>
      </c>
    </row>
    <row r="840" ht="15.75" customHeight="1">
      <c r="A840" s="3">
        <v>6.45111024E8</v>
      </c>
      <c r="B840" s="9">
        <v>42713.0</v>
      </c>
      <c r="C840" s="3">
        <f>IFERROR(__xludf.DUMMYFUNCTION("split(B840,""/"")"),9.0)</f>
        <v>9</v>
      </c>
      <c r="D840" s="10">
        <f>IFERROR(__xludf.DUMMYFUNCTION("""COMPUTED_VALUE"""),12.0)</f>
        <v>12</v>
      </c>
      <c r="E840" s="11">
        <f>IFERROR(__xludf.DUMMYFUNCTION("""COMPUTED_VALUE"""),2016.0)</f>
        <v>2016</v>
      </c>
      <c r="F840" s="12">
        <f t="shared" si="1"/>
        <v>42625</v>
      </c>
      <c r="G840" s="3" t="s">
        <v>1593</v>
      </c>
      <c r="H840" s="3">
        <f>IFERROR(__xludf.DUMMYFUNCTION("split(G840,""/"")"),9.0)</f>
        <v>9</v>
      </c>
      <c r="I840" s="3">
        <f>IFERROR(__xludf.DUMMYFUNCTION("""COMPUTED_VALUE"""),26.0)</f>
        <v>26</v>
      </c>
      <c r="J840" s="3">
        <f>IFERROR(__xludf.DUMMYFUNCTION("""COMPUTED_VALUE"""),2016.0)</f>
        <v>2016</v>
      </c>
      <c r="K840" s="12">
        <f t="shared" si="2"/>
        <v>42639</v>
      </c>
      <c r="L840" s="3" t="s">
        <v>817</v>
      </c>
      <c r="M840" s="3" t="s">
        <v>300</v>
      </c>
      <c r="N840" s="3">
        <v>8875.0</v>
      </c>
      <c r="O840" s="3" t="s">
        <v>818</v>
      </c>
      <c r="P840" s="10">
        <v>1543.0</v>
      </c>
      <c r="Q840" s="13">
        <v>421.89</v>
      </c>
      <c r="R840" s="13">
        <v>364.69</v>
      </c>
      <c r="S840" s="13">
        <f t="shared" si="3"/>
        <v>650976.27</v>
      </c>
      <c r="T840" s="13">
        <f t="shared" si="4"/>
        <v>562716.67</v>
      </c>
      <c r="U840" s="13">
        <f t="shared" si="5"/>
        <v>88259.6</v>
      </c>
      <c r="V840" s="3" t="str">
        <f>VLOOKUP(N840,products!A:B,2,0)</f>
        <v>Meat</v>
      </c>
      <c r="W840" s="3" t="s">
        <v>28</v>
      </c>
      <c r="X840" s="3" t="s">
        <v>33</v>
      </c>
      <c r="Y840" s="14">
        <f t="shared" si="10"/>
        <v>0.1355803646</v>
      </c>
      <c r="Z840" s="3">
        <f t="shared" si="7"/>
        <v>14</v>
      </c>
      <c r="AA840" s="15">
        <f t="shared" si="8"/>
        <v>2</v>
      </c>
    </row>
    <row r="841" ht="15.75" customHeight="1">
      <c r="A841" s="3">
        <v>6.45309722E8</v>
      </c>
      <c r="B841" s="9">
        <v>42379.0</v>
      </c>
      <c r="C841" s="3">
        <f>IFERROR(__xludf.DUMMYFUNCTION("split(B841,""/"")"),10.0)</f>
        <v>10</v>
      </c>
      <c r="D841" s="10">
        <f>IFERROR(__xludf.DUMMYFUNCTION("""COMPUTED_VALUE"""),1.0)</f>
        <v>1</v>
      </c>
      <c r="E841" s="11">
        <f>IFERROR(__xludf.DUMMYFUNCTION("""COMPUTED_VALUE"""),2016.0)</f>
        <v>2016</v>
      </c>
      <c r="F841" s="12">
        <f t="shared" si="1"/>
        <v>42644</v>
      </c>
      <c r="G841" s="9">
        <v>42532.0</v>
      </c>
      <c r="H841" s="3">
        <f>IFERROR(__xludf.DUMMYFUNCTION("split(G841,""/"")"),11.0)</f>
        <v>11</v>
      </c>
      <c r="I841" s="3">
        <f>IFERROR(__xludf.DUMMYFUNCTION("""COMPUTED_VALUE"""),6.0)</f>
        <v>6</v>
      </c>
      <c r="J841" s="3">
        <f>IFERROR(__xludf.DUMMYFUNCTION("""COMPUTED_VALUE"""),2016.0)</f>
        <v>2016</v>
      </c>
      <c r="K841" s="12">
        <f t="shared" si="2"/>
        <v>42680</v>
      </c>
      <c r="L841" s="3" t="s">
        <v>817</v>
      </c>
      <c r="M841" s="3" t="s">
        <v>67</v>
      </c>
      <c r="N841" s="3">
        <v>8875.0</v>
      </c>
      <c r="O841" s="3" t="s">
        <v>818</v>
      </c>
      <c r="P841" s="10">
        <v>342.0</v>
      </c>
      <c r="Q841" s="13">
        <v>421.89</v>
      </c>
      <c r="R841" s="13">
        <v>364.69</v>
      </c>
      <c r="S841" s="13">
        <f t="shared" si="3"/>
        <v>144286.38</v>
      </c>
      <c r="T841" s="13">
        <f t="shared" si="4"/>
        <v>124723.98</v>
      </c>
      <c r="U841" s="13">
        <f t="shared" si="5"/>
        <v>19562.4</v>
      </c>
      <c r="V841" s="3" t="str">
        <f>VLOOKUP(N841,products!A:B,2,0)</f>
        <v>Meat</v>
      </c>
      <c r="W841" s="3" t="s">
        <v>23</v>
      </c>
      <c r="X841" s="3" t="s">
        <v>68</v>
      </c>
      <c r="Y841" s="14">
        <f t="shared" si="10"/>
        <v>0.1355803646</v>
      </c>
      <c r="Z841" s="3">
        <f t="shared" si="7"/>
        <v>36</v>
      </c>
      <c r="AA841" s="15">
        <f t="shared" si="8"/>
        <v>7</v>
      </c>
    </row>
    <row r="842" ht="15.75" customHeight="1">
      <c r="A842" s="3">
        <v>6.45701968E8</v>
      </c>
      <c r="B842" s="3" t="s">
        <v>882</v>
      </c>
      <c r="C842" s="3">
        <f>IFERROR(__xludf.DUMMYFUNCTION("split(B842,""/"")"),6.0)</f>
        <v>6</v>
      </c>
      <c r="D842" s="10">
        <f>IFERROR(__xludf.DUMMYFUNCTION("""COMPUTED_VALUE"""),20.0)</f>
        <v>20</v>
      </c>
      <c r="E842" s="11">
        <f>IFERROR(__xludf.DUMMYFUNCTION("""COMPUTED_VALUE"""),2013.0)</f>
        <v>2013</v>
      </c>
      <c r="F842" s="12">
        <f t="shared" si="1"/>
        <v>41445</v>
      </c>
      <c r="G842" s="3" t="s">
        <v>1594</v>
      </c>
      <c r="H842" s="3">
        <f>IFERROR(__xludf.DUMMYFUNCTION("split(G842,""/"")"),7.0)</f>
        <v>7</v>
      </c>
      <c r="I842" s="3">
        <f>IFERROR(__xludf.DUMMYFUNCTION("""COMPUTED_VALUE"""),21.0)</f>
        <v>21</v>
      </c>
      <c r="J842" s="3">
        <f>IFERROR(__xludf.DUMMYFUNCTION("""COMPUTED_VALUE"""),2013.0)</f>
        <v>2013</v>
      </c>
      <c r="K842" s="12">
        <f t="shared" si="2"/>
        <v>41476</v>
      </c>
      <c r="L842" s="3" t="s">
        <v>825</v>
      </c>
      <c r="M842" s="3" t="s">
        <v>542</v>
      </c>
      <c r="N842" s="3">
        <v>2103.0</v>
      </c>
      <c r="O842" s="3" t="s">
        <v>818</v>
      </c>
      <c r="P842" s="10">
        <v>6416.0</v>
      </c>
      <c r="Q842" s="13">
        <v>205.7</v>
      </c>
      <c r="R842" s="13">
        <v>117.11</v>
      </c>
      <c r="S842" s="13">
        <f t="shared" si="3"/>
        <v>1319771.2</v>
      </c>
      <c r="T842" s="13">
        <f t="shared" si="4"/>
        <v>751377.76</v>
      </c>
      <c r="U842" s="13">
        <f t="shared" si="5"/>
        <v>568393.44</v>
      </c>
      <c r="V842" s="3" t="str">
        <f>VLOOKUP(N842,products!A:B,2,0)</f>
        <v>Cereal</v>
      </c>
      <c r="W842" s="3" t="s">
        <v>28</v>
      </c>
      <c r="X842" s="3" t="s">
        <v>29</v>
      </c>
      <c r="Y842" s="14">
        <f t="shared" si="10"/>
        <v>0.4306757414</v>
      </c>
      <c r="Z842" s="3">
        <f t="shared" si="7"/>
        <v>31</v>
      </c>
      <c r="AA842" s="15">
        <f t="shared" si="8"/>
        <v>5</v>
      </c>
    </row>
    <row r="843" ht="15.75" customHeight="1">
      <c r="A843" s="3">
        <v>6.45956456E8</v>
      </c>
      <c r="B843" s="3" t="s">
        <v>898</v>
      </c>
      <c r="C843" s="3">
        <f>IFERROR(__xludf.DUMMYFUNCTION("split(B843,""/"")"),2.0)</f>
        <v>2</v>
      </c>
      <c r="D843" s="10">
        <f>IFERROR(__xludf.DUMMYFUNCTION("""COMPUTED_VALUE"""),20.0)</f>
        <v>20</v>
      </c>
      <c r="E843" s="11">
        <f>IFERROR(__xludf.DUMMYFUNCTION("""COMPUTED_VALUE"""),2016.0)</f>
        <v>2016</v>
      </c>
      <c r="F843" s="12">
        <f t="shared" si="1"/>
        <v>42420</v>
      </c>
      <c r="G843" s="9">
        <v>42586.0</v>
      </c>
      <c r="H843" s="3">
        <f>IFERROR(__xludf.DUMMYFUNCTION("split(G843,""/"")"),4.0)</f>
        <v>4</v>
      </c>
      <c r="I843" s="3">
        <f>IFERROR(__xludf.DUMMYFUNCTION("""COMPUTED_VALUE"""),8.0)</f>
        <v>8</v>
      </c>
      <c r="J843" s="3">
        <f>IFERROR(__xludf.DUMMYFUNCTION("""COMPUTED_VALUE"""),2016.0)</f>
        <v>2016</v>
      </c>
      <c r="K843" s="12">
        <f t="shared" si="2"/>
        <v>42468</v>
      </c>
      <c r="L843" s="3" t="s">
        <v>827</v>
      </c>
      <c r="M843" s="3" t="s">
        <v>575</v>
      </c>
      <c r="N843" s="3">
        <v>7331.0</v>
      </c>
      <c r="O843" s="3" t="s">
        <v>818</v>
      </c>
      <c r="P843" s="10">
        <v>1725.0</v>
      </c>
      <c r="Q843" s="13">
        <v>255.28</v>
      </c>
      <c r="R843" s="13">
        <v>159.42</v>
      </c>
      <c r="S843" s="13">
        <f t="shared" si="3"/>
        <v>440358</v>
      </c>
      <c r="T843" s="13">
        <f t="shared" si="4"/>
        <v>274999.5</v>
      </c>
      <c r="U843" s="13">
        <f t="shared" si="5"/>
        <v>165358.5</v>
      </c>
      <c r="V843" s="3" t="str">
        <f>VLOOKUP(N843,products!A:B,2,0)</f>
        <v>Baby Food</v>
      </c>
      <c r="W843" s="3" t="s">
        <v>28</v>
      </c>
      <c r="X843" s="3" t="s">
        <v>98</v>
      </c>
      <c r="Y843" s="14">
        <f t="shared" si="10"/>
        <v>0.3755092448</v>
      </c>
      <c r="Z843" s="3">
        <f t="shared" si="7"/>
        <v>48</v>
      </c>
      <c r="AA843" s="15">
        <f t="shared" si="8"/>
        <v>7</v>
      </c>
    </row>
    <row r="844" ht="15.75" customHeight="1">
      <c r="A844" s="3">
        <v>6.46691596E8</v>
      </c>
      <c r="B844" s="3" t="s">
        <v>1524</v>
      </c>
      <c r="C844" s="3">
        <f>IFERROR(__xludf.DUMMYFUNCTION("split(B844,""/"")"),11.0)</f>
        <v>11</v>
      </c>
      <c r="D844" s="10">
        <f>IFERROR(__xludf.DUMMYFUNCTION("""COMPUTED_VALUE"""),14.0)</f>
        <v>14</v>
      </c>
      <c r="E844" s="11">
        <f>IFERROR(__xludf.DUMMYFUNCTION("""COMPUTED_VALUE"""),2016.0)</f>
        <v>2016</v>
      </c>
      <c r="F844" s="12">
        <f t="shared" si="1"/>
        <v>42688</v>
      </c>
      <c r="G844" s="3" t="s">
        <v>1595</v>
      </c>
      <c r="H844" s="3">
        <f>IFERROR(__xludf.DUMMYFUNCTION("split(G844,""/"")"),12.0)</f>
        <v>12</v>
      </c>
      <c r="I844" s="3">
        <f>IFERROR(__xludf.DUMMYFUNCTION("""COMPUTED_VALUE"""),13.0)</f>
        <v>13</v>
      </c>
      <c r="J844" s="3">
        <f>IFERROR(__xludf.DUMMYFUNCTION("""COMPUTED_VALUE"""),2016.0)</f>
        <v>2016</v>
      </c>
      <c r="K844" s="12">
        <f t="shared" si="2"/>
        <v>42717</v>
      </c>
      <c r="L844" s="3" t="s">
        <v>827</v>
      </c>
      <c r="M844" s="3" t="s">
        <v>78</v>
      </c>
      <c r="N844" s="3">
        <v>1270.0</v>
      </c>
      <c r="O844" s="3" t="s">
        <v>815</v>
      </c>
      <c r="P844" s="10">
        <v>9269.0</v>
      </c>
      <c r="Q844" s="13">
        <v>47.45</v>
      </c>
      <c r="R844" s="13">
        <v>31.79</v>
      </c>
      <c r="S844" s="13">
        <f t="shared" si="3"/>
        <v>439814.05</v>
      </c>
      <c r="T844" s="13">
        <f t="shared" si="4"/>
        <v>294661.51</v>
      </c>
      <c r="U844" s="13">
        <f t="shared" si="5"/>
        <v>145152.54</v>
      </c>
      <c r="V844" s="3" t="str">
        <f>VLOOKUP(N844,products!A:B,2,0)</f>
        <v>Beverages</v>
      </c>
      <c r="W844" s="3" t="s">
        <v>28</v>
      </c>
      <c r="X844" s="3" t="s">
        <v>79</v>
      </c>
      <c r="Y844" s="14">
        <f t="shared" si="10"/>
        <v>0.3300316122</v>
      </c>
      <c r="Z844" s="3">
        <f t="shared" si="7"/>
        <v>29</v>
      </c>
      <c r="AA844" s="15">
        <f t="shared" si="8"/>
        <v>2</v>
      </c>
    </row>
    <row r="845" ht="15.75" customHeight="1">
      <c r="A845" s="3">
        <v>6.46981704E8</v>
      </c>
      <c r="B845" s="3" t="s">
        <v>1596</v>
      </c>
      <c r="C845" s="3">
        <f>IFERROR(__xludf.DUMMYFUNCTION("split(B845,""/"")"),10.0)</f>
        <v>10</v>
      </c>
      <c r="D845" s="10">
        <f>IFERROR(__xludf.DUMMYFUNCTION("""COMPUTED_VALUE"""),13.0)</f>
        <v>13</v>
      </c>
      <c r="E845" s="11">
        <f>IFERROR(__xludf.DUMMYFUNCTION("""COMPUTED_VALUE"""),2010.0)</f>
        <v>2010</v>
      </c>
      <c r="F845" s="12">
        <f t="shared" si="1"/>
        <v>40464</v>
      </c>
      <c r="G845" s="3" t="s">
        <v>1597</v>
      </c>
      <c r="H845" s="3">
        <f>IFERROR(__xludf.DUMMYFUNCTION("split(G845,""/"")"),11.0)</f>
        <v>11</v>
      </c>
      <c r="I845" s="3">
        <f>IFERROR(__xludf.DUMMYFUNCTION("""COMPUTED_VALUE"""),23.0)</f>
        <v>23</v>
      </c>
      <c r="J845" s="3">
        <f>IFERROR(__xludf.DUMMYFUNCTION("""COMPUTED_VALUE"""),2010.0)</f>
        <v>2010</v>
      </c>
      <c r="K845" s="12">
        <f t="shared" si="2"/>
        <v>40505</v>
      </c>
      <c r="L845" s="3" t="s">
        <v>814</v>
      </c>
      <c r="M845" s="3" t="s">
        <v>267</v>
      </c>
      <c r="N845" s="3">
        <v>7331.0</v>
      </c>
      <c r="O845" s="3" t="s">
        <v>815</v>
      </c>
      <c r="P845" s="10">
        <v>5118.0</v>
      </c>
      <c r="Q845" s="13">
        <v>255.28</v>
      </c>
      <c r="R845" s="13">
        <v>159.42</v>
      </c>
      <c r="S845" s="13">
        <f t="shared" si="3"/>
        <v>1306523.04</v>
      </c>
      <c r="T845" s="13">
        <f t="shared" si="4"/>
        <v>815911.56</v>
      </c>
      <c r="U845" s="13">
        <f t="shared" si="5"/>
        <v>490611.48</v>
      </c>
      <c r="V845" s="3" t="str">
        <f>VLOOKUP(N845,products!A:B,2,0)</f>
        <v>Baby Food</v>
      </c>
      <c r="W845" s="3" t="s">
        <v>28</v>
      </c>
      <c r="X845" s="3" t="s">
        <v>29</v>
      </c>
      <c r="Y845" s="14">
        <f t="shared" si="10"/>
        <v>0.3755092448</v>
      </c>
      <c r="Z845" s="3">
        <f t="shared" si="7"/>
        <v>41</v>
      </c>
      <c r="AA845" s="15">
        <f t="shared" si="8"/>
        <v>4</v>
      </c>
    </row>
    <row r="846" ht="15.75" customHeight="1">
      <c r="A846" s="3">
        <v>6.47943866E8</v>
      </c>
      <c r="B846" s="9">
        <v>40728.0</v>
      </c>
      <c r="C846" s="3">
        <f>IFERROR(__xludf.DUMMYFUNCTION("split(B846,""/"")"),4.0)</f>
        <v>4</v>
      </c>
      <c r="D846" s="10">
        <f>IFERROR(__xludf.DUMMYFUNCTION("""COMPUTED_VALUE"""),7.0)</f>
        <v>7</v>
      </c>
      <c r="E846" s="11">
        <f>IFERROR(__xludf.DUMMYFUNCTION("""COMPUTED_VALUE"""),2011.0)</f>
        <v>2011</v>
      </c>
      <c r="F846" s="12">
        <f t="shared" si="1"/>
        <v>40640</v>
      </c>
      <c r="G846" s="3" t="s">
        <v>1509</v>
      </c>
      <c r="H846" s="3">
        <f>IFERROR(__xludf.DUMMYFUNCTION("split(G846,""/"")"),4.0)</f>
        <v>4</v>
      </c>
      <c r="I846" s="3">
        <f>IFERROR(__xludf.DUMMYFUNCTION("""COMPUTED_VALUE"""),18.0)</f>
        <v>18</v>
      </c>
      <c r="J846" s="3">
        <f>IFERROR(__xludf.DUMMYFUNCTION("""COMPUTED_VALUE"""),2011.0)</f>
        <v>2011</v>
      </c>
      <c r="K846" s="12">
        <f t="shared" si="2"/>
        <v>40651</v>
      </c>
      <c r="L846" s="3" t="s">
        <v>814</v>
      </c>
      <c r="M846" s="3" t="s">
        <v>32</v>
      </c>
      <c r="N846" s="3">
        <v>2455.0</v>
      </c>
      <c r="O846" s="3" t="s">
        <v>815</v>
      </c>
      <c r="P846" s="10">
        <v>9843.0</v>
      </c>
      <c r="Q846" s="13">
        <v>109.28</v>
      </c>
      <c r="R846" s="13">
        <v>35.84</v>
      </c>
      <c r="S846" s="13">
        <f t="shared" si="3"/>
        <v>1075643.04</v>
      </c>
      <c r="T846" s="13">
        <f t="shared" si="4"/>
        <v>352773.12</v>
      </c>
      <c r="U846" s="13">
        <f t="shared" si="5"/>
        <v>722869.92</v>
      </c>
      <c r="V846" s="3" t="str">
        <f>VLOOKUP(N846,products!A:B,2,0)</f>
        <v>Clothes</v>
      </c>
      <c r="W846" s="3" t="s">
        <v>28</v>
      </c>
      <c r="X846" s="3" t="s">
        <v>33</v>
      </c>
      <c r="Y846" s="14">
        <f t="shared" si="10"/>
        <v>0.6720351391</v>
      </c>
      <c r="Z846" s="3">
        <f t="shared" si="7"/>
        <v>11</v>
      </c>
      <c r="AA846" s="15">
        <f t="shared" si="8"/>
        <v>5</v>
      </c>
    </row>
    <row r="847" ht="15.75" customHeight="1">
      <c r="A847" s="3">
        <v>6.50078475E8</v>
      </c>
      <c r="B847" s="9">
        <v>40427.0</v>
      </c>
      <c r="C847" s="3">
        <f>IFERROR(__xludf.DUMMYFUNCTION("split(B847,""/"")"),6.0)</f>
        <v>6</v>
      </c>
      <c r="D847" s="10">
        <f>IFERROR(__xludf.DUMMYFUNCTION("""COMPUTED_VALUE"""),9.0)</f>
        <v>9</v>
      </c>
      <c r="E847" s="11">
        <f>IFERROR(__xludf.DUMMYFUNCTION("""COMPUTED_VALUE"""),2010.0)</f>
        <v>2010</v>
      </c>
      <c r="F847" s="12">
        <f t="shared" si="1"/>
        <v>40338</v>
      </c>
      <c r="G847" s="3" t="s">
        <v>1598</v>
      </c>
      <c r="H847" s="3">
        <f>IFERROR(__xludf.DUMMYFUNCTION("split(G847,""/"")"),6.0)</f>
        <v>6</v>
      </c>
      <c r="I847" s="3">
        <f>IFERROR(__xludf.DUMMYFUNCTION("""COMPUTED_VALUE"""),18.0)</f>
        <v>18</v>
      </c>
      <c r="J847" s="3">
        <f>IFERROR(__xludf.DUMMYFUNCTION("""COMPUTED_VALUE"""),2010.0)</f>
        <v>2010</v>
      </c>
      <c r="K847" s="12">
        <f t="shared" si="2"/>
        <v>40347</v>
      </c>
      <c r="L847" s="3" t="s">
        <v>827</v>
      </c>
      <c r="M847" s="3" t="s">
        <v>206</v>
      </c>
      <c r="N847" s="3">
        <v>8681.0</v>
      </c>
      <c r="O847" s="3" t="s">
        <v>815</v>
      </c>
      <c r="P847" s="10">
        <v>1522.0</v>
      </c>
      <c r="Q847" s="13">
        <v>651.21</v>
      </c>
      <c r="R847" s="13">
        <v>524.96</v>
      </c>
      <c r="S847" s="13">
        <f t="shared" si="3"/>
        <v>991141.62</v>
      </c>
      <c r="T847" s="13">
        <f t="shared" si="4"/>
        <v>798989.12</v>
      </c>
      <c r="U847" s="13">
        <f t="shared" si="5"/>
        <v>192152.5</v>
      </c>
      <c r="V847" s="3" t="str">
        <f>VLOOKUP(N847,products!A:B,2,0)</f>
        <v>Office Supplies</v>
      </c>
      <c r="W847" s="3" t="s">
        <v>28</v>
      </c>
      <c r="X847" s="3" t="s">
        <v>33</v>
      </c>
      <c r="Y847" s="14">
        <f t="shared" si="10"/>
        <v>0.193869873</v>
      </c>
      <c r="Z847" s="3">
        <f t="shared" si="7"/>
        <v>9</v>
      </c>
      <c r="AA847" s="15">
        <f t="shared" si="8"/>
        <v>4</v>
      </c>
    </row>
    <row r="848" ht="15.75" customHeight="1">
      <c r="A848" s="3">
        <v>6.50208079E8</v>
      </c>
      <c r="B848" s="3" t="s">
        <v>1599</v>
      </c>
      <c r="C848" s="3">
        <f>IFERROR(__xludf.DUMMYFUNCTION("split(B848,""/"")"),2.0)</f>
        <v>2</v>
      </c>
      <c r="D848" s="10">
        <f>IFERROR(__xludf.DUMMYFUNCTION("""COMPUTED_VALUE"""),29.0)</f>
        <v>29</v>
      </c>
      <c r="E848" s="11">
        <f>IFERROR(__xludf.DUMMYFUNCTION("""COMPUTED_VALUE"""),2016.0)</f>
        <v>2016</v>
      </c>
      <c r="F848" s="12">
        <f t="shared" si="1"/>
        <v>42429</v>
      </c>
      <c r="G848" s="3" t="s">
        <v>1600</v>
      </c>
      <c r="H848" s="3">
        <f>IFERROR(__xludf.DUMMYFUNCTION("split(G848,""/"")"),3.0)</f>
        <v>3</v>
      </c>
      <c r="I848" s="3">
        <f>IFERROR(__xludf.DUMMYFUNCTION("""COMPUTED_VALUE"""),19.0)</f>
        <v>19</v>
      </c>
      <c r="J848" s="3">
        <f>IFERROR(__xludf.DUMMYFUNCTION("""COMPUTED_VALUE"""),2016.0)</f>
        <v>2016</v>
      </c>
      <c r="K848" s="12">
        <f t="shared" si="2"/>
        <v>42448</v>
      </c>
      <c r="L848" s="3" t="s">
        <v>827</v>
      </c>
      <c r="M848" s="3" t="s">
        <v>248</v>
      </c>
      <c r="N848" s="3">
        <v>1270.0</v>
      </c>
      <c r="O848" s="3" t="s">
        <v>815</v>
      </c>
      <c r="P848" s="10">
        <v>9875.0</v>
      </c>
      <c r="Q848" s="13">
        <v>47.45</v>
      </c>
      <c r="R848" s="13">
        <v>31.79</v>
      </c>
      <c r="S848" s="13">
        <f t="shared" si="3"/>
        <v>468568.75</v>
      </c>
      <c r="T848" s="13">
        <f t="shared" si="4"/>
        <v>313926.25</v>
      </c>
      <c r="U848" s="13">
        <f t="shared" si="5"/>
        <v>154642.5</v>
      </c>
      <c r="V848" s="3" t="str">
        <f>VLOOKUP(N848,products!A:B,2,0)</f>
        <v>Beverages</v>
      </c>
      <c r="W848" s="3" t="s">
        <v>28</v>
      </c>
      <c r="X848" s="3" t="s">
        <v>29</v>
      </c>
      <c r="Y848" s="14">
        <f t="shared" si="10"/>
        <v>0.3300316122</v>
      </c>
      <c r="Z848" s="3">
        <f t="shared" si="7"/>
        <v>19</v>
      </c>
      <c r="AA848" s="15">
        <f t="shared" si="8"/>
        <v>2</v>
      </c>
    </row>
    <row r="849" ht="15.75" customHeight="1">
      <c r="A849" s="3">
        <v>6.51247489E8</v>
      </c>
      <c r="B849" s="9">
        <v>41949.0</v>
      </c>
      <c r="C849" s="3">
        <f>IFERROR(__xludf.DUMMYFUNCTION("split(B849,""/"")"),6.0)</f>
        <v>6</v>
      </c>
      <c r="D849" s="10">
        <f>IFERROR(__xludf.DUMMYFUNCTION("""COMPUTED_VALUE"""),11.0)</f>
        <v>11</v>
      </c>
      <c r="E849" s="11">
        <f>IFERROR(__xludf.DUMMYFUNCTION("""COMPUTED_VALUE"""),2014.0)</f>
        <v>2014</v>
      </c>
      <c r="F849" s="12">
        <f t="shared" si="1"/>
        <v>41801</v>
      </c>
      <c r="G849" s="9">
        <v>41677.0</v>
      </c>
      <c r="H849" s="3">
        <f>IFERROR(__xludf.DUMMYFUNCTION("split(G849,""/"")"),7.0)</f>
        <v>7</v>
      </c>
      <c r="I849" s="3">
        <f>IFERROR(__xludf.DUMMYFUNCTION("""COMPUTED_VALUE"""),2.0)</f>
        <v>2</v>
      </c>
      <c r="J849" s="3">
        <f>IFERROR(__xludf.DUMMYFUNCTION("""COMPUTED_VALUE"""),2014.0)</f>
        <v>2014</v>
      </c>
      <c r="K849" s="12">
        <f t="shared" si="2"/>
        <v>41822</v>
      </c>
      <c r="L849" s="3" t="s">
        <v>817</v>
      </c>
      <c r="M849" s="3" t="s">
        <v>142</v>
      </c>
      <c r="N849" s="3">
        <v>5988.0</v>
      </c>
      <c r="O849" s="3" t="s">
        <v>818</v>
      </c>
      <c r="P849" s="10">
        <v>7459.0</v>
      </c>
      <c r="Q849" s="13">
        <v>154.06</v>
      </c>
      <c r="R849" s="13">
        <v>90.93</v>
      </c>
      <c r="S849" s="13">
        <f t="shared" si="3"/>
        <v>1149133.54</v>
      </c>
      <c r="T849" s="13">
        <f t="shared" si="4"/>
        <v>678246.87</v>
      </c>
      <c r="U849" s="13">
        <f t="shared" si="5"/>
        <v>470886.67</v>
      </c>
      <c r="V849" s="3" t="str">
        <f>VLOOKUP(N849,products!A:B,2,0)</f>
        <v>Vegetables</v>
      </c>
      <c r="W849" s="3" t="s">
        <v>28</v>
      </c>
      <c r="X849" s="3" t="s">
        <v>98</v>
      </c>
      <c r="Y849" s="14">
        <f t="shared" si="10"/>
        <v>0.4097754122</v>
      </c>
      <c r="Z849" s="3">
        <f t="shared" si="7"/>
        <v>21</v>
      </c>
      <c r="AA849" s="15">
        <f t="shared" si="8"/>
        <v>4</v>
      </c>
    </row>
    <row r="850" ht="15.75" customHeight="1">
      <c r="A850" s="3">
        <v>6.51895511E8</v>
      </c>
      <c r="B850" s="9">
        <v>41253.0</v>
      </c>
      <c r="C850" s="3">
        <f>IFERROR(__xludf.DUMMYFUNCTION("split(B850,""/"")"),10.0)</f>
        <v>10</v>
      </c>
      <c r="D850" s="10">
        <f>IFERROR(__xludf.DUMMYFUNCTION("""COMPUTED_VALUE"""),12.0)</f>
        <v>12</v>
      </c>
      <c r="E850" s="11">
        <f>IFERROR(__xludf.DUMMYFUNCTION("""COMPUTED_VALUE"""),2012.0)</f>
        <v>2012</v>
      </c>
      <c r="F850" s="12">
        <f t="shared" si="1"/>
        <v>41194</v>
      </c>
      <c r="G850" s="9">
        <v>40919.0</v>
      </c>
      <c r="H850" s="3">
        <f>IFERROR(__xludf.DUMMYFUNCTION("split(G850,""/"")"),11.0)</f>
        <v>11</v>
      </c>
      <c r="I850" s="3">
        <f>IFERROR(__xludf.DUMMYFUNCTION("""COMPUTED_VALUE"""),1.0)</f>
        <v>1</v>
      </c>
      <c r="J850" s="3">
        <f>IFERROR(__xludf.DUMMYFUNCTION("""COMPUTED_VALUE"""),2012.0)</f>
        <v>2012</v>
      </c>
      <c r="K850" s="12">
        <f t="shared" si="2"/>
        <v>41214</v>
      </c>
      <c r="L850" s="3" t="s">
        <v>825</v>
      </c>
      <c r="M850" s="3" t="s">
        <v>428</v>
      </c>
      <c r="N850" s="3">
        <v>7331.0</v>
      </c>
      <c r="O850" s="3" t="s">
        <v>818</v>
      </c>
      <c r="P850" s="10">
        <v>9223.0</v>
      </c>
      <c r="Q850" s="13">
        <v>255.28</v>
      </c>
      <c r="R850" s="13">
        <v>159.42</v>
      </c>
      <c r="S850" s="13">
        <f t="shared" si="3"/>
        <v>2354447.44</v>
      </c>
      <c r="T850" s="13">
        <f t="shared" si="4"/>
        <v>1470330.66</v>
      </c>
      <c r="U850" s="13">
        <f t="shared" si="5"/>
        <v>884116.78</v>
      </c>
      <c r="V850" s="3" t="str">
        <f>VLOOKUP(N850,products!A:B,2,0)</f>
        <v>Baby Food</v>
      </c>
      <c r="W850" s="3" t="s">
        <v>28</v>
      </c>
      <c r="X850" s="3" t="s">
        <v>79</v>
      </c>
      <c r="Y850" s="14">
        <f t="shared" si="10"/>
        <v>0.3755092448</v>
      </c>
      <c r="Z850" s="3">
        <f t="shared" si="7"/>
        <v>20</v>
      </c>
      <c r="AA850" s="15">
        <f t="shared" si="8"/>
        <v>6</v>
      </c>
    </row>
    <row r="851" ht="15.75" customHeight="1">
      <c r="A851" s="3">
        <v>6.52252137E8</v>
      </c>
      <c r="B851" s="9">
        <v>40368.0</v>
      </c>
      <c r="C851" s="3">
        <f>IFERROR(__xludf.DUMMYFUNCTION("split(B851,""/"")"),9.0)</f>
        <v>9</v>
      </c>
      <c r="D851" s="10">
        <f>IFERROR(__xludf.DUMMYFUNCTION("""COMPUTED_VALUE"""),7.0)</f>
        <v>7</v>
      </c>
      <c r="E851" s="11">
        <f>IFERROR(__xludf.DUMMYFUNCTION("""COMPUTED_VALUE"""),2010.0)</f>
        <v>2010</v>
      </c>
      <c r="F851" s="12">
        <f t="shared" si="1"/>
        <v>40428</v>
      </c>
      <c r="G851" s="3" t="s">
        <v>1410</v>
      </c>
      <c r="H851" s="3">
        <f>IFERROR(__xludf.DUMMYFUNCTION("split(G851,""/"")"),9.0)</f>
        <v>9</v>
      </c>
      <c r="I851" s="3">
        <f>IFERROR(__xludf.DUMMYFUNCTION("""COMPUTED_VALUE"""),26.0)</f>
        <v>26</v>
      </c>
      <c r="J851" s="3">
        <f>IFERROR(__xludf.DUMMYFUNCTION("""COMPUTED_VALUE"""),2010.0)</f>
        <v>2010</v>
      </c>
      <c r="K851" s="12">
        <f t="shared" si="2"/>
        <v>40447</v>
      </c>
      <c r="L851" s="3" t="s">
        <v>825</v>
      </c>
      <c r="M851" s="3" t="s">
        <v>746</v>
      </c>
      <c r="N851" s="3">
        <v>5988.0</v>
      </c>
      <c r="O851" s="3" t="s">
        <v>815</v>
      </c>
      <c r="P851" s="10">
        <v>4757.0</v>
      </c>
      <c r="Q851" s="13">
        <v>154.06</v>
      </c>
      <c r="R851" s="13">
        <v>90.93</v>
      </c>
      <c r="S851" s="13">
        <f t="shared" si="3"/>
        <v>732863.42</v>
      </c>
      <c r="T851" s="13">
        <f t="shared" si="4"/>
        <v>432554.01</v>
      </c>
      <c r="U851" s="13">
        <f t="shared" si="5"/>
        <v>300309.41</v>
      </c>
      <c r="V851" s="3" t="str">
        <f>VLOOKUP(N851,products!A:B,2,0)</f>
        <v>Vegetables</v>
      </c>
      <c r="W851" s="3" t="s">
        <v>28</v>
      </c>
      <c r="X851" s="3" t="s">
        <v>29</v>
      </c>
      <c r="Y851" s="14">
        <f t="shared" si="10"/>
        <v>0.4097754122</v>
      </c>
      <c r="Z851" s="3">
        <f t="shared" si="7"/>
        <v>19</v>
      </c>
      <c r="AA851" s="15">
        <f t="shared" si="8"/>
        <v>3</v>
      </c>
    </row>
    <row r="852" ht="15.75" customHeight="1">
      <c r="A852" s="3">
        <v>6.52501904E8</v>
      </c>
      <c r="B852" s="3" t="s">
        <v>1415</v>
      </c>
      <c r="C852" s="3">
        <f>IFERROR(__xludf.DUMMYFUNCTION("split(B852,""/"")"),2.0)</f>
        <v>2</v>
      </c>
      <c r="D852" s="10">
        <f>IFERROR(__xludf.DUMMYFUNCTION("""COMPUTED_VALUE"""),21.0)</f>
        <v>21</v>
      </c>
      <c r="E852" s="11">
        <f>IFERROR(__xludf.DUMMYFUNCTION("""COMPUTED_VALUE"""),2012.0)</f>
        <v>2012</v>
      </c>
      <c r="F852" s="12">
        <f t="shared" si="1"/>
        <v>40960</v>
      </c>
      <c r="G852" s="3" t="s">
        <v>1211</v>
      </c>
      <c r="H852" s="3">
        <f>IFERROR(__xludf.DUMMYFUNCTION("split(G852,""/"")"),3.0)</f>
        <v>3</v>
      </c>
      <c r="I852" s="3">
        <f>IFERROR(__xludf.DUMMYFUNCTION("""COMPUTED_VALUE"""),25.0)</f>
        <v>25</v>
      </c>
      <c r="J852" s="3">
        <f>IFERROR(__xludf.DUMMYFUNCTION("""COMPUTED_VALUE"""),2012.0)</f>
        <v>2012</v>
      </c>
      <c r="K852" s="12">
        <f t="shared" si="2"/>
        <v>40993</v>
      </c>
      <c r="L852" s="3" t="s">
        <v>814</v>
      </c>
      <c r="M852" s="3" t="s">
        <v>653</v>
      </c>
      <c r="N852" s="3">
        <v>2103.0</v>
      </c>
      <c r="O852" s="3" t="s">
        <v>815</v>
      </c>
      <c r="P852" s="10">
        <v>8668.0</v>
      </c>
      <c r="Q852" s="13">
        <v>205.7</v>
      </c>
      <c r="R852" s="13">
        <v>117.11</v>
      </c>
      <c r="S852" s="13">
        <f t="shared" si="3"/>
        <v>1783007.6</v>
      </c>
      <c r="T852" s="13">
        <f t="shared" si="4"/>
        <v>1015109.48</v>
      </c>
      <c r="U852" s="13">
        <f t="shared" si="5"/>
        <v>767898.12</v>
      </c>
      <c r="V852" s="3" t="str">
        <f>VLOOKUP(N852,products!A:B,2,0)</f>
        <v>Cereal</v>
      </c>
      <c r="W852" s="3" t="s">
        <v>28</v>
      </c>
      <c r="X852" s="3" t="s">
        <v>33</v>
      </c>
      <c r="Y852" s="14">
        <f t="shared" si="10"/>
        <v>0.4306757414</v>
      </c>
      <c r="Z852" s="3">
        <f t="shared" si="7"/>
        <v>33</v>
      </c>
      <c r="AA852" s="15">
        <f t="shared" si="8"/>
        <v>3</v>
      </c>
    </row>
    <row r="853" ht="15.75" customHeight="1">
      <c r="A853" s="3">
        <v>6.5308727E8</v>
      </c>
      <c r="B853" s="9">
        <v>40221.0</v>
      </c>
      <c r="C853" s="3">
        <f>IFERROR(__xludf.DUMMYFUNCTION("split(B853,""/"")"),12.0)</f>
        <v>12</v>
      </c>
      <c r="D853" s="10">
        <f>IFERROR(__xludf.DUMMYFUNCTION("""COMPUTED_VALUE"""),2.0)</f>
        <v>2</v>
      </c>
      <c r="E853" s="11">
        <f>IFERROR(__xludf.DUMMYFUNCTION("""COMPUTED_VALUE"""),2010.0)</f>
        <v>2010</v>
      </c>
      <c r="F853" s="12">
        <f t="shared" si="1"/>
        <v>40514</v>
      </c>
      <c r="G853" s="9">
        <v>40371.0</v>
      </c>
      <c r="H853" s="3">
        <f>IFERROR(__xludf.DUMMYFUNCTION("split(G853,""/"")"),12.0)</f>
        <v>12</v>
      </c>
      <c r="I853" s="3">
        <f>IFERROR(__xludf.DUMMYFUNCTION("""COMPUTED_VALUE"""),7.0)</f>
        <v>7</v>
      </c>
      <c r="J853" s="3">
        <f>IFERROR(__xludf.DUMMYFUNCTION("""COMPUTED_VALUE"""),2010.0)</f>
        <v>2010</v>
      </c>
      <c r="K853" s="12">
        <f t="shared" si="2"/>
        <v>40519</v>
      </c>
      <c r="L853" s="3" t="s">
        <v>827</v>
      </c>
      <c r="M853" s="3" t="s">
        <v>32</v>
      </c>
      <c r="N853" s="3">
        <v>8969.0</v>
      </c>
      <c r="O853" s="3" t="s">
        <v>815</v>
      </c>
      <c r="P853" s="10">
        <v>1891.0</v>
      </c>
      <c r="Q853" s="13">
        <v>152.58</v>
      </c>
      <c r="R853" s="13">
        <v>97.44</v>
      </c>
      <c r="S853" s="13">
        <f t="shared" si="3"/>
        <v>288528.78</v>
      </c>
      <c r="T853" s="13">
        <f t="shared" si="4"/>
        <v>184259.04</v>
      </c>
      <c r="U853" s="13">
        <f t="shared" si="5"/>
        <v>104269.74</v>
      </c>
      <c r="V853" s="3" t="str">
        <f>VLOOKUP(N853,products!A:B,2,0)</f>
        <v>Snacks</v>
      </c>
      <c r="W853" s="3" t="s">
        <v>28</v>
      </c>
      <c r="X853" s="3" t="s">
        <v>33</v>
      </c>
      <c r="Y853" s="14">
        <f t="shared" si="10"/>
        <v>0.3613841919</v>
      </c>
      <c r="Z853" s="3">
        <f t="shared" si="7"/>
        <v>5</v>
      </c>
      <c r="AA853" s="15">
        <f t="shared" si="8"/>
        <v>5</v>
      </c>
    </row>
    <row r="854" ht="15.75" customHeight="1">
      <c r="A854" s="3">
        <v>6.53152501E8</v>
      </c>
      <c r="B854" s="3" t="s">
        <v>1075</v>
      </c>
      <c r="C854" s="3">
        <f>IFERROR(__xludf.DUMMYFUNCTION("split(B854,""/"")"),12.0)</f>
        <v>12</v>
      </c>
      <c r="D854" s="10">
        <f>IFERROR(__xludf.DUMMYFUNCTION("""COMPUTED_VALUE"""),17.0)</f>
        <v>17</v>
      </c>
      <c r="E854" s="11">
        <f>IFERROR(__xludf.DUMMYFUNCTION("""COMPUTED_VALUE"""),2015.0)</f>
        <v>2015</v>
      </c>
      <c r="F854" s="12">
        <f t="shared" si="1"/>
        <v>42355</v>
      </c>
      <c r="G854" s="3" t="s">
        <v>1601</v>
      </c>
      <c r="H854" s="3">
        <f>IFERROR(__xludf.DUMMYFUNCTION("split(G854,""/"")"),12.0)</f>
        <v>12</v>
      </c>
      <c r="I854" s="3">
        <f>IFERROR(__xludf.DUMMYFUNCTION("""COMPUTED_VALUE"""),22.0)</f>
        <v>22</v>
      </c>
      <c r="J854" s="3">
        <f>IFERROR(__xludf.DUMMYFUNCTION("""COMPUTED_VALUE"""),2015.0)</f>
        <v>2015</v>
      </c>
      <c r="K854" s="12">
        <f t="shared" si="2"/>
        <v>42360</v>
      </c>
      <c r="L854" s="3" t="s">
        <v>814</v>
      </c>
      <c r="M854" s="3" t="s">
        <v>536</v>
      </c>
      <c r="N854" s="3">
        <v>1270.0</v>
      </c>
      <c r="O854" s="3" t="s">
        <v>818</v>
      </c>
      <c r="P854" s="10">
        <v>1194.0</v>
      </c>
      <c r="Q854" s="13">
        <v>47.45</v>
      </c>
      <c r="R854" s="13">
        <v>31.79</v>
      </c>
      <c r="S854" s="13">
        <f t="shared" si="3"/>
        <v>56655.3</v>
      </c>
      <c r="T854" s="13">
        <f t="shared" si="4"/>
        <v>37957.26</v>
      </c>
      <c r="U854" s="13">
        <f t="shared" si="5"/>
        <v>18698.04</v>
      </c>
      <c r="V854" s="3" t="str">
        <f>VLOOKUP(N854,products!A:B,2,0)</f>
        <v>Beverages</v>
      </c>
      <c r="W854" s="3" t="s">
        <v>28</v>
      </c>
      <c r="X854" s="3" t="s">
        <v>33</v>
      </c>
      <c r="Y854" s="14">
        <f t="shared" si="10"/>
        <v>0.3300316122</v>
      </c>
      <c r="Z854" s="3">
        <f t="shared" si="7"/>
        <v>5</v>
      </c>
      <c r="AA854" s="15">
        <f t="shared" si="8"/>
        <v>5</v>
      </c>
    </row>
    <row r="855" ht="15.75" customHeight="1">
      <c r="A855" s="3">
        <v>6.5354861E8</v>
      </c>
      <c r="B855" s="9">
        <v>42980.0</v>
      </c>
      <c r="C855" s="3">
        <f>IFERROR(__xludf.DUMMYFUNCTION("split(B855,""/"")"),2.0)</f>
        <v>2</v>
      </c>
      <c r="D855" s="10">
        <f>IFERROR(__xludf.DUMMYFUNCTION("""COMPUTED_VALUE"""),9.0)</f>
        <v>9</v>
      </c>
      <c r="E855" s="11">
        <f>IFERROR(__xludf.DUMMYFUNCTION("""COMPUTED_VALUE"""),2017.0)</f>
        <v>2017</v>
      </c>
      <c r="F855" s="12">
        <f t="shared" si="1"/>
        <v>42775</v>
      </c>
      <c r="G855" s="3" t="s">
        <v>1602</v>
      </c>
      <c r="H855" s="3">
        <f>IFERROR(__xludf.DUMMYFUNCTION("split(G855,""/"")"),2.0)</f>
        <v>2</v>
      </c>
      <c r="I855" s="3">
        <f>IFERROR(__xludf.DUMMYFUNCTION("""COMPUTED_VALUE"""),21.0)</f>
        <v>21</v>
      </c>
      <c r="J855" s="3">
        <f>IFERROR(__xludf.DUMMYFUNCTION("""COMPUTED_VALUE"""),2017.0)</f>
        <v>2017</v>
      </c>
      <c r="K855" s="12">
        <f t="shared" si="2"/>
        <v>42787</v>
      </c>
      <c r="L855" s="3" t="s">
        <v>817</v>
      </c>
      <c r="M855" s="3" t="s">
        <v>248</v>
      </c>
      <c r="N855" s="3">
        <v>1270.0</v>
      </c>
      <c r="O855" s="3" t="s">
        <v>818</v>
      </c>
      <c r="P855" s="10">
        <v>8412.0</v>
      </c>
      <c r="Q855" s="13">
        <v>47.45</v>
      </c>
      <c r="R855" s="13">
        <v>31.79</v>
      </c>
      <c r="S855" s="13">
        <f t="shared" si="3"/>
        <v>399149.4</v>
      </c>
      <c r="T855" s="13">
        <f t="shared" si="4"/>
        <v>267417.48</v>
      </c>
      <c r="U855" s="13">
        <f t="shared" si="5"/>
        <v>131731.92</v>
      </c>
      <c r="V855" s="3" t="str">
        <f>VLOOKUP(N855,products!A:B,2,0)</f>
        <v>Beverages</v>
      </c>
      <c r="W855" s="3" t="s">
        <v>28</v>
      </c>
      <c r="X855" s="3" t="s">
        <v>29</v>
      </c>
      <c r="Y855" s="14">
        <f t="shared" si="10"/>
        <v>0.3300316122</v>
      </c>
      <c r="Z855" s="3">
        <f t="shared" si="7"/>
        <v>12</v>
      </c>
      <c r="AA855" s="15">
        <f t="shared" si="8"/>
        <v>5</v>
      </c>
    </row>
    <row r="856" ht="15.75" customHeight="1">
      <c r="A856" s="3">
        <v>6.53800523E8</v>
      </c>
      <c r="B856" s="3" t="s">
        <v>1603</v>
      </c>
      <c r="C856" s="3">
        <f>IFERROR(__xludf.DUMMYFUNCTION("split(B856,""/"")"),4.0)</f>
        <v>4</v>
      </c>
      <c r="D856" s="10">
        <f>IFERROR(__xludf.DUMMYFUNCTION("""COMPUTED_VALUE"""),19.0)</f>
        <v>19</v>
      </c>
      <c r="E856" s="11">
        <f>IFERROR(__xludf.DUMMYFUNCTION("""COMPUTED_VALUE"""),2014.0)</f>
        <v>2014</v>
      </c>
      <c r="F856" s="12">
        <f t="shared" si="1"/>
        <v>41748</v>
      </c>
      <c r="G856" s="3" t="s">
        <v>1604</v>
      </c>
      <c r="H856" s="3">
        <f>IFERROR(__xludf.DUMMYFUNCTION("split(G856,""/"")"),4.0)</f>
        <v>4</v>
      </c>
      <c r="I856" s="3">
        <f>IFERROR(__xludf.DUMMYFUNCTION("""COMPUTED_VALUE"""),23.0)</f>
        <v>23</v>
      </c>
      <c r="J856" s="3">
        <f>IFERROR(__xludf.DUMMYFUNCTION("""COMPUTED_VALUE"""),2014.0)</f>
        <v>2014</v>
      </c>
      <c r="K856" s="12">
        <f t="shared" si="2"/>
        <v>41752</v>
      </c>
      <c r="L856" s="3" t="s">
        <v>827</v>
      </c>
      <c r="M856" s="3" t="s">
        <v>689</v>
      </c>
      <c r="N856" s="3">
        <v>3127.0</v>
      </c>
      <c r="O856" s="3" t="s">
        <v>818</v>
      </c>
      <c r="P856" s="10">
        <v>2958.0</v>
      </c>
      <c r="Q856" s="13">
        <v>81.73</v>
      </c>
      <c r="R856" s="13">
        <v>56.67</v>
      </c>
      <c r="S856" s="13">
        <f t="shared" si="3"/>
        <v>241757.34</v>
      </c>
      <c r="T856" s="13">
        <f t="shared" si="4"/>
        <v>167629.86</v>
      </c>
      <c r="U856" s="13">
        <f t="shared" si="5"/>
        <v>74127.48</v>
      </c>
      <c r="V856" s="3" t="str">
        <f>VLOOKUP(N856,products!A:B,2,0)</f>
        <v>Personal Care</v>
      </c>
      <c r="W856" s="3" t="s">
        <v>28</v>
      </c>
      <c r="X856" s="3" t="s">
        <v>79</v>
      </c>
      <c r="Y856" s="14">
        <f t="shared" si="10"/>
        <v>0.3066193564</v>
      </c>
      <c r="Z856" s="3">
        <f t="shared" si="7"/>
        <v>4</v>
      </c>
      <c r="AA856" s="15">
        <f t="shared" si="8"/>
        <v>7</v>
      </c>
    </row>
    <row r="857" ht="15.75" customHeight="1">
      <c r="A857" s="3">
        <v>6.53909957E8</v>
      </c>
      <c r="B857" s="3" t="s">
        <v>1605</v>
      </c>
      <c r="C857" s="3">
        <f>IFERROR(__xludf.DUMMYFUNCTION("split(B857,""/"")"),3.0)</f>
        <v>3</v>
      </c>
      <c r="D857" s="10">
        <f>IFERROR(__xludf.DUMMYFUNCTION("""COMPUTED_VALUE"""),23.0)</f>
        <v>23</v>
      </c>
      <c r="E857" s="11">
        <f>IFERROR(__xludf.DUMMYFUNCTION("""COMPUTED_VALUE"""),2016.0)</f>
        <v>2016</v>
      </c>
      <c r="F857" s="12">
        <f t="shared" si="1"/>
        <v>42452</v>
      </c>
      <c r="G857" s="9">
        <v>42525.0</v>
      </c>
      <c r="H857" s="3">
        <f>IFERROR(__xludf.DUMMYFUNCTION("split(G857,""/"")"),4.0)</f>
        <v>4</v>
      </c>
      <c r="I857" s="3">
        <f>IFERROR(__xludf.DUMMYFUNCTION("""COMPUTED_VALUE"""),6.0)</f>
        <v>6</v>
      </c>
      <c r="J857" s="3">
        <f>IFERROR(__xludf.DUMMYFUNCTION("""COMPUTED_VALUE"""),2016.0)</f>
        <v>2016</v>
      </c>
      <c r="K857" s="12">
        <f t="shared" si="2"/>
        <v>42466</v>
      </c>
      <c r="L857" s="3" t="s">
        <v>814</v>
      </c>
      <c r="M857" s="3" t="s">
        <v>650</v>
      </c>
      <c r="N857" s="3">
        <v>8681.0</v>
      </c>
      <c r="O857" s="3" t="s">
        <v>815</v>
      </c>
      <c r="P857" s="10">
        <v>5342.0</v>
      </c>
      <c r="Q857" s="13">
        <v>651.21</v>
      </c>
      <c r="R857" s="13">
        <v>524.96</v>
      </c>
      <c r="S857" s="13">
        <f t="shared" si="3"/>
        <v>3478763.82</v>
      </c>
      <c r="T857" s="13">
        <f t="shared" si="4"/>
        <v>2804336.32</v>
      </c>
      <c r="U857" s="13">
        <f t="shared" si="5"/>
        <v>674427.5</v>
      </c>
      <c r="V857" s="3" t="str">
        <f>VLOOKUP(N857,products!A:B,2,0)</f>
        <v>Office Supplies</v>
      </c>
      <c r="W857" s="3" t="s">
        <v>28</v>
      </c>
      <c r="X857" s="3" t="s">
        <v>98</v>
      </c>
      <c r="Y857" s="14">
        <f t="shared" si="10"/>
        <v>0.193869873</v>
      </c>
      <c r="Z857" s="3">
        <f t="shared" si="7"/>
        <v>14</v>
      </c>
      <c r="AA857" s="15">
        <f t="shared" si="8"/>
        <v>4</v>
      </c>
    </row>
    <row r="858" ht="15.75" customHeight="1">
      <c r="A858" s="3">
        <v>6.53920686E8</v>
      </c>
      <c r="B858" s="9">
        <v>40483.0</v>
      </c>
      <c r="C858" s="3">
        <f>IFERROR(__xludf.DUMMYFUNCTION("split(B858,""/"")"),1.0)</f>
        <v>1</v>
      </c>
      <c r="D858" s="10">
        <f>IFERROR(__xludf.DUMMYFUNCTION("""COMPUTED_VALUE"""),11.0)</f>
        <v>11</v>
      </c>
      <c r="E858" s="11">
        <f>IFERROR(__xludf.DUMMYFUNCTION("""COMPUTED_VALUE"""),2010.0)</f>
        <v>2010</v>
      </c>
      <c r="F858" s="12">
        <f t="shared" si="1"/>
        <v>40189</v>
      </c>
      <c r="G858" s="3" t="s">
        <v>1228</v>
      </c>
      <c r="H858" s="3">
        <f>IFERROR(__xludf.DUMMYFUNCTION("split(G858,""/"")"),1.0)</f>
        <v>1</v>
      </c>
      <c r="I858" s="3">
        <f>IFERROR(__xludf.DUMMYFUNCTION("""COMPUTED_VALUE"""),18.0)</f>
        <v>18</v>
      </c>
      <c r="J858" s="3">
        <f>IFERROR(__xludf.DUMMYFUNCTION("""COMPUTED_VALUE"""),2010.0)</f>
        <v>2010</v>
      </c>
      <c r="K858" s="12">
        <f t="shared" si="2"/>
        <v>40196</v>
      </c>
      <c r="L858" s="3" t="s">
        <v>817</v>
      </c>
      <c r="M858" s="3" t="s">
        <v>590</v>
      </c>
      <c r="N858" s="3">
        <v>8969.0</v>
      </c>
      <c r="O858" s="3" t="s">
        <v>815</v>
      </c>
      <c r="P858" s="10">
        <v>8517.0</v>
      </c>
      <c r="Q858" s="13">
        <v>152.58</v>
      </c>
      <c r="R858" s="13">
        <v>97.44</v>
      </c>
      <c r="S858" s="13">
        <f t="shared" si="3"/>
        <v>1299523.86</v>
      </c>
      <c r="T858" s="13">
        <f t="shared" si="4"/>
        <v>829896.48</v>
      </c>
      <c r="U858" s="13">
        <f t="shared" si="5"/>
        <v>469627.38</v>
      </c>
      <c r="V858" s="3" t="str">
        <f>VLOOKUP(N858,products!A:B,2,0)</f>
        <v>Snacks</v>
      </c>
      <c r="W858" s="3" t="s">
        <v>28</v>
      </c>
      <c r="X858" s="3" t="s">
        <v>98</v>
      </c>
      <c r="Y858" s="14">
        <f t="shared" si="10"/>
        <v>0.3613841919</v>
      </c>
      <c r="Z858" s="3">
        <f t="shared" si="7"/>
        <v>7</v>
      </c>
      <c r="AA858" s="15">
        <f t="shared" si="8"/>
        <v>2</v>
      </c>
    </row>
    <row r="859" ht="15.75" customHeight="1">
      <c r="A859" s="3">
        <v>6.5528711E8</v>
      </c>
      <c r="B859" s="3" t="s">
        <v>1272</v>
      </c>
      <c r="C859" s="3">
        <f>IFERROR(__xludf.DUMMYFUNCTION("split(B859,""/"")"),2.0)</f>
        <v>2</v>
      </c>
      <c r="D859" s="10">
        <f>IFERROR(__xludf.DUMMYFUNCTION("""COMPUTED_VALUE"""),18.0)</f>
        <v>18</v>
      </c>
      <c r="E859" s="11">
        <f>IFERROR(__xludf.DUMMYFUNCTION("""COMPUTED_VALUE"""),2015.0)</f>
        <v>2015</v>
      </c>
      <c r="F859" s="12">
        <f t="shared" si="1"/>
        <v>42053</v>
      </c>
      <c r="G859" s="3" t="s">
        <v>1281</v>
      </c>
      <c r="H859" s="3">
        <f>IFERROR(__xludf.DUMMYFUNCTION("split(G859,""/"")"),2.0)</f>
        <v>2</v>
      </c>
      <c r="I859" s="3">
        <f>IFERROR(__xludf.DUMMYFUNCTION("""COMPUTED_VALUE"""),22.0)</f>
        <v>22</v>
      </c>
      <c r="J859" s="3">
        <f>IFERROR(__xludf.DUMMYFUNCTION("""COMPUTED_VALUE"""),2015.0)</f>
        <v>2015</v>
      </c>
      <c r="K859" s="12">
        <f t="shared" si="2"/>
        <v>42057</v>
      </c>
      <c r="L859" s="3" t="s">
        <v>827</v>
      </c>
      <c r="M859" s="3" t="s">
        <v>578</v>
      </c>
      <c r="N859" s="3">
        <v>7940.0</v>
      </c>
      <c r="O859" s="3" t="s">
        <v>818</v>
      </c>
      <c r="P859" s="10">
        <v>2873.0</v>
      </c>
      <c r="Q859" s="13">
        <v>668.27</v>
      </c>
      <c r="R859" s="13">
        <v>502.54</v>
      </c>
      <c r="S859" s="13">
        <f t="shared" si="3"/>
        <v>1919939.71</v>
      </c>
      <c r="T859" s="13">
        <f t="shared" si="4"/>
        <v>1443797.42</v>
      </c>
      <c r="U859" s="13">
        <f t="shared" si="5"/>
        <v>476142.29</v>
      </c>
      <c r="V859" s="3" t="str">
        <f>VLOOKUP(N859,products!A:B,2,0)</f>
        <v>Household</v>
      </c>
      <c r="W859" s="3" t="s">
        <v>28</v>
      </c>
      <c r="X859" s="3" t="s">
        <v>33</v>
      </c>
      <c r="Y859" s="14">
        <f t="shared" si="10"/>
        <v>0.2479985635</v>
      </c>
      <c r="Z859" s="3">
        <f t="shared" si="7"/>
        <v>4</v>
      </c>
      <c r="AA859" s="15">
        <f t="shared" si="8"/>
        <v>4</v>
      </c>
    </row>
    <row r="860" ht="15.75" customHeight="1">
      <c r="A860" s="3">
        <v>6.55328738E8</v>
      </c>
      <c r="B860" s="9">
        <v>41914.0</v>
      </c>
      <c r="C860" s="3">
        <f>IFERROR(__xludf.DUMMYFUNCTION("split(B860,""/"")"),2.0)</f>
        <v>2</v>
      </c>
      <c r="D860" s="10">
        <f>IFERROR(__xludf.DUMMYFUNCTION("""COMPUTED_VALUE"""),10.0)</f>
        <v>10</v>
      </c>
      <c r="E860" s="11">
        <f>IFERROR(__xludf.DUMMYFUNCTION("""COMPUTED_VALUE"""),2014.0)</f>
        <v>2014</v>
      </c>
      <c r="F860" s="12">
        <f t="shared" si="1"/>
        <v>41680</v>
      </c>
      <c r="G860" s="3" t="s">
        <v>931</v>
      </c>
      <c r="H860" s="3">
        <f>IFERROR(__xludf.DUMMYFUNCTION("split(G860,""/"")"),3.0)</f>
        <v>3</v>
      </c>
      <c r="I860" s="3">
        <f>IFERROR(__xludf.DUMMYFUNCTION("""COMPUTED_VALUE"""),22.0)</f>
        <v>22</v>
      </c>
      <c r="J860" s="3">
        <f>IFERROR(__xludf.DUMMYFUNCTION("""COMPUTED_VALUE"""),2014.0)</f>
        <v>2014</v>
      </c>
      <c r="K860" s="12">
        <f t="shared" si="2"/>
        <v>41720</v>
      </c>
      <c r="L860" s="3" t="s">
        <v>817</v>
      </c>
      <c r="M860" s="3" t="s">
        <v>575</v>
      </c>
      <c r="N860" s="3">
        <v>2103.0</v>
      </c>
      <c r="O860" s="3" t="s">
        <v>818</v>
      </c>
      <c r="P860" s="10">
        <v>5191.0</v>
      </c>
      <c r="Q860" s="13">
        <v>205.7</v>
      </c>
      <c r="R860" s="13">
        <v>117.11</v>
      </c>
      <c r="S860" s="13">
        <f t="shared" si="3"/>
        <v>1067788.7</v>
      </c>
      <c r="T860" s="13">
        <f t="shared" si="4"/>
        <v>607918.01</v>
      </c>
      <c r="U860" s="13">
        <f t="shared" si="5"/>
        <v>459870.69</v>
      </c>
      <c r="V860" s="3" t="str">
        <f>VLOOKUP(N860,products!A:B,2,0)</f>
        <v>Cereal</v>
      </c>
      <c r="W860" s="3" t="s">
        <v>28</v>
      </c>
      <c r="X860" s="3" t="s">
        <v>98</v>
      </c>
      <c r="Y860" s="14">
        <f t="shared" si="10"/>
        <v>0.4306757414</v>
      </c>
      <c r="Z860" s="3">
        <f t="shared" si="7"/>
        <v>40</v>
      </c>
      <c r="AA860" s="15">
        <f t="shared" si="8"/>
        <v>2</v>
      </c>
    </row>
    <row r="861" ht="15.75" customHeight="1">
      <c r="A861" s="3">
        <v>6.56244552E8</v>
      </c>
      <c r="B861" s="3" t="s">
        <v>1606</v>
      </c>
      <c r="C861" s="3">
        <f>IFERROR(__xludf.DUMMYFUNCTION("split(B861,""/"")"),5.0)</f>
        <v>5</v>
      </c>
      <c r="D861" s="10">
        <f>IFERROR(__xludf.DUMMYFUNCTION("""COMPUTED_VALUE"""),28.0)</f>
        <v>28</v>
      </c>
      <c r="E861" s="11">
        <f>IFERROR(__xludf.DUMMYFUNCTION("""COMPUTED_VALUE"""),2014.0)</f>
        <v>2014</v>
      </c>
      <c r="F861" s="12">
        <f t="shared" si="1"/>
        <v>41787</v>
      </c>
      <c r="G861" s="3" t="s">
        <v>1108</v>
      </c>
      <c r="H861" s="3">
        <f>IFERROR(__xludf.DUMMYFUNCTION("split(G861,""/"")"),6.0)</f>
        <v>6</v>
      </c>
      <c r="I861" s="3">
        <f>IFERROR(__xludf.DUMMYFUNCTION("""COMPUTED_VALUE"""),19.0)</f>
        <v>19</v>
      </c>
      <c r="J861" s="3">
        <f>IFERROR(__xludf.DUMMYFUNCTION("""COMPUTED_VALUE"""),2014.0)</f>
        <v>2014</v>
      </c>
      <c r="K861" s="12">
        <f t="shared" si="2"/>
        <v>41809</v>
      </c>
      <c r="L861" s="3" t="s">
        <v>817</v>
      </c>
      <c r="M861" s="3" t="s">
        <v>300</v>
      </c>
      <c r="N861" s="3">
        <v>4594.0</v>
      </c>
      <c r="O861" s="3" t="s">
        <v>818</v>
      </c>
      <c r="P861" s="10">
        <v>6201.0</v>
      </c>
      <c r="Q861" s="13">
        <v>9.33</v>
      </c>
      <c r="R861" s="13">
        <v>6.92</v>
      </c>
      <c r="S861" s="13">
        <f t="shared" si="3"/>
        <v>57855.33</v>
      </c>
      <c r="T861" s="13">
        <f t="shared" si="4"/>
        <v>42910.92</v>
      </c>
      <c r="U861" s="13">
        <f t="shared" si="5"/>
        <v>14944.41</v>
      </c>
      <c r="V861" s="3" t="str">
        <f>VLOOKUP(N861,products!A:B,2,0)</f>
        <v>Fruits</v>
      </c>
      <c r="W861" s="3" t="s">
        <v>28</v>
      </c>
      <c r="X861" s="3" t="s">
        <v>33</v>
      </c>
      <c r="Y861" s="14">
        <f t="shared" si="10"/>
        <v>0.258306538</v>
      </c>
      <c r="Z861" s="3">
        <f t="shared" si="7"/>
        <v>22</v>
      </c>
      <c r="AA861" s="15">
        <f t="shared" si="8"/>
        <v>4</v>
      </c>
    </row>
    <row r="862" ht="15.75" customHeight="1">
      <c r="A862" s="3">
        <v>6.56689155E8</v>
      </c>
      <c r="B862" s="3" t="s">
        <v>1607</v>
      </c>
      <c r="C862" s="3">
        <f>IFERROR(__xludf.DUMMYFUNCTION("split(B862,""/"")"),6.0)</f>
        <v>6</v>
      </c>
      <c r="D862" s="10">
        <f>IFERROR(__xludf.DUMMYFUNCTION("""COMPUTED_VALUE"""),24.0)</f>
        <v>24</v>
      </c>
      <c r="E862" s="11">
        <f>IFERROR(__xludf.DUMMYFUNCTION("""COMPUTED_VALUE"""),2011.0)</f>
        <v>2011</v>
      </c>
      <c r="F862" s="12">
        <f t="shared" si="1"/>
        <v>40718</v>
      </c>
      <c r="G862" s="9">
        <v>40794.0</v>
      </c>
      <c r="H862" s="3">
        <f>IFERROR(__xludf.DUMMYFUNCTION("split(G862,""/"")"),8.0)</f>
        <v>8</v>
      </c>
      <c r="I862" s="3">
        <f>IFERROR(__xludf.DUMMYFUNCTION("""COMPUTED_VALUE"""),9.0)</f>
        <v>9</v>
      </c>
      <c r="J862" s="3">
        <f>IFERROR(__xludf.DUMMYFUNCTION("""COMPUTED_VALUE"""),2011.0)</f>
        <v>2011</v>
      </c>
      <c r="K862" s="12">
        <f t="shared" si="2"/>
        <v>40764</v>
      </c>
      <c r="L862" s="3" t="s">
        <v>817</v>
      </c>
      <c r="M862" s="3" t="s">
        <v>686</v>
      </c>
      <c r="N862" s="3">
        <v>7940.0</v>
      </c>
      <c r="O862" s="3" t="s">
        <v>818</v>
      </c>
      <c r="P862" s="10">
        <v>7769.0</v>
      </c>
      <c r="Q862" s="13">
        <v>668.27</v>
      </c>
      <c r="R862" s="13">
        <v>502.54</v>
      </c>
      <c r="S862" s="13">
        <f t="shared" si="3"/>
        <v>5191789.63</v>
      </c>
      <c r="T862" s="13">
        <f t="shared" si="4"/>
        <v>3904233.26</v>
      </c>
      <c r="U862" s="13">
        <f t="shared" si="5"/>
        <v>1287556.37</v>
      </c>
      <c r="V862" s="3" t="str">
        <f>VLOOKUP(N862,products!A:B,2,0)</f>
        <v>Household</v>
      </c>
      <c r="W862" s="3" t="s">
        <v>28</v>
      </c>
      <c r="X862" s="3" t="s">
        <v>29</v>
      </c>
      <c r="Y862" s="14">
        <f t="shared" si="10"/>
        <v>0.2479985635</v>
      </c>
      <c r="Z862" s="3">
        <f t="shared" si="7"/>
        <v>46</v>
      </c>
      <c r="AA862" s="15">
        <f t="shared" si="8"/>
        <v>6</v>
      </c>
    </row>
    <row r="863" ht="15.75" customHeight="1">
      <c r="A863" s="3">
        <v>6.59193694E8</v>
      </c>
      <c r="B863" s="3" t="s">
        <v>1311</v>
      </c>
      <c r="C863" s="3">
        <f>IFERROR(__xludf.DUMMYFUNCTION("split(B863,""/"")"),5.0)</f>
        <v>5</v>
      </c>
      <c r="D863" s="10">
        <f>IFERROR(__xludf.DUMMYFUNCTION("""COMPUTED_VALUE"""),31.0)</f>
        <v>31</v>
      </c>
      <c r="E863" s="11">
        <f>IFERROR(__xludf.DUMMYFUNCTION("""COMPUTED_VALUE"""),2015.0)</f>
        <v>2015</v>
      </c>
      <c r="F863" s="12">
        <f t="shared" si="1"/>
        <v>42155</v>
      </c>
      <c r="G863" s="9">
        <v>42314.0</v>
      </c>
      <c r="H863" s="3">
        <f>IFERROR(__xludf.DUMMYFUNCTION("split(G863,""/"")"),6.0)</f>
        <v>6</v>
      </c>
      <c r="I863" s="3">
        <f>IFERROR(__xludf.DUMMYFUNCTION("""COMPUTED_VALUE"""),11.0)</f>
        <v>11</v>
      </c>
      <c r="J863" s="3">
        <f>IFERROR(__xludf.DUMMYFUNCTION("""COMPUTED_VALUE"""),2015.0)</f>
        <v>2015</v>
      </c>
      <c r="K863" s="12">
        <f t="shared" si="2"/>
        <v>42166</v>
      </c>
      <c r="L863" s="3" t="s">
        <v>814</v>
      </c>
      <c r="M863" s="3" t="s">
        <v>635</v>
      </c>
      <c r="N863" s="3">
        <v>8681.0</v>
      </c>
      <c r="O863" s="3" t="s">
        <v>815</v>
      </c>
      <c r="P863" s="10">
        <v>8918.0</v>
      </c>
      <c r="Q863" s="13">
        <v>651.21</v>
      </c>
      <c r="R863" s="13">
        <v>524.96</v>
      </c>
      <c r="S863" s="13">
        <f t="shared" si="3"/>
        <v>5807490.78</v>
      </c>
      <c r="T863" s="13">
        <f t="shared" si="4"/>
        <v>4681593.28</v>
      </c>
      <c r="U863" s="13">
        <f t="shared" si="5"/>
        <v>1125897.5</v>
      </c>
      <c r="V863" s="3" t="str">
        <f>VLOOKUP(N863,products!A:B,2,0)</f>
        <v>Office Supplies</v>
      </c>
      <c r="W863" s="3" t="s">
        <v>28</v>
      </c>
      <c r="X863" s="3" t="s">
        <v>33</v>
      </c>
      <c r="Y863" s="14">
        <f t="shared" si="10"/>
        <v>0.193869873</v>
      </c>
      <c r="Z863" s="3">
        <f t="shared" si="7"/>
        <v>11</v>
      </c>
      <c r="AA863" s="15">
        <f t="shared" si="8"/>
        <v>1</v>
      </c>
    </row>
    <row r="864" ht="15.75" customHeight="1">
      <c r="A864" s="3">
        <v>6.59196269E8</v>
      </c>
      <c r="B864" s="3" t="s">
        <v>1608</v>
      </c>
      <c r="C864" s="3">
        <f>IFERROR(__xludf.DUMMYFUNCTION("split(B864,""/"")"),4.0)</f>
        <v>4</v>
      </c>
      <c r="D864" s="10">
        <f>IFERROR(__xludf.DUMMYFUNCTION("""COMPUTED_VALUE"""),26.0)</f>
        <v>26</v>
      </c>
      <c r="E864" s="11">
        <f>IFERROR(__xludf.DUMMYFUNCTION("""COMPUTED_VALUE"""),2013.0)</f>
        <v>2013</v>
      </c>
      <c r="F864" s="12">
        <f t="shared" si="1"/>
        <v>41390</v>
      </c>
      <c r="G864" s="9">
        <v>41280.0</v>
      </c>
      <c r="H864" s="3">
        <f>IFERROR(__xludf.DUMMYFUNCTION("split(G864,""/"")"),6.0)</f>
        <v>6</v>
      </c>
      <c r="I864" s="3">
        <f>IFERROR(__xludf.DUMMYFUNCTION("""COMPUTED_VALUE"""),1.0)</f>
        <v>1</v>
      </c>
      <c r="J864" s="3">
        <f>IFERROR(__xludf.DUMMYFUNCTION("""COMPUTED_VALUE"""),2013.0)</f>
        <v>2013</v>
      </c>
      <c r="K864" s="12">
        <f t="shared" si="2"/>
        <v>41426</v>
      </c>
      <c r="L864" s="3" t="s">
        <v>825</v>
      </c>
      <c r="M864" s="3" t="s">
        <v>206</v>
      </c>
      <c r="N864" s="3">
        <v>7940.0</v>
      </c>
      <c r="O864" s="3" t="s">
        <v>815</v>
      </c>
      <c r="P864" s="10">
        <v>9680.0</v>
      </c>
      <c r="Q864" s="13">
        <v>668.27</v>
      </c>
      <c r="R864" s="13">
        <v>502.54</v>
      </c>
      <c r="S864" s="13">
        <f t="shared" si="3"/>
        <v>6468853.6</v>
      </c>
      <c r="T864" s="13">
        <f t="shared" si="4"/>
        <v>4864587.2</v>
      </c>
      <c r="U864" s="13">
        <f t="shared" si="5"/>
        <v>1604266.4</v>
      </c>
      <c r="V864" s="3" t="str">
        <f>VLOOKUP(N864,products!A:B,2,0)</f>
        <v>Household</v>
      </c>
      <c r="W864" s="3" t="s">
        <v>28</v>
      </c>
      <c r="X864" s="3" t="s">
        <v>33</v>
      </c>
      <c r="Y864" s="14">
        <f t="shared" si="10"/>
        <v>0.2479985635</v>
      </c>
      <c r="Z864" s="3">
        <f t="shared" si="7"/>
        <v>36</v>
      </c>
      <c r="AA864" s="15">
        <f t="shared" si="8"/>
        <v>6</v>
      </c>
    </row>
    <row r="865" ht="15.75" customHeight="1">
      <c r="A865" s="3">
        <v>6.59671771E8</v>
      </c>
      <c r="B865" s="3" t="s">
        <v>1013</v>
      </c>
      <c r="C865" s="3">
        <f>IFERROR(__xludf.DUMMYFUNCTION("split(B865,""/"")"),7.0)</f>
        <v>7</v>
      </c>
      <c r="D865" s="10">
        <f>IFERROR(__xludf.DUMMYFUNCTION("""COMPUTED_VALUE"""),28.0)</f>
        <v>28</v>
      </c>
      <c r="E865" s="11">
        <f>IFERROR(__xludf.DUMMYFUNCTION("""COMPUTED_VALUE"""),2015.0)</f>
        <v>2015</v>
      </c>
      <c r="F865" s="12">
        <f t="shared" si="1"/>
        <v>42213</v>
      </c>
      <c r="G865" s="3" t="s">
        <v>1079</v>
      </c>
      <c r="H865" s="3">
        <f>IFERROR(__xludf.DUMMYFUNCTION("split(G865,""/"")"),7.0)</f>
        <v>7</v>
      </c>
      <c r="I865" s="3">
        <f>IFERROR(__xludf.DUMMYFUNCTION("""COMPUTED_VALUE"""),29.0)</f>
        <v>29</v>
      </c>
      <c r="J865" s="3">
        <f>IFERROR(__xludf.DUMMYFUNCTION("""COMPUTED_VALUE"""),2015.0)</f>
        <v>2015</v>
      </c>
      <c r="K865" s="12">
        <f t="shared" si="2"/>
        <v>42214</v>
      </c>
      <c r="L865" s="3" t="s">
        <v>817</v>
      </c>
      <c r="M865" s="3" t="s">
        <v>593</v>
      </c>
      <c r="N865" s="3">
        <v>8293.0</v>
      </c>
      <c r="O865" s="3" t="s">
        <v>818</v>
      </c>
      <c r="P865" s="10">
        <v>391.0</v>
      </c>
      <c r="Q865" s="13">
        <v>437.2</v>
      </c>
      <c r="R865" s="13">
        <v>263.33</v>
      </c>
      <c r="S865" s="13">
        <f t="shared" si="3"/>
        <v>170945.2</v>
      </c>
      <c r="T865" s="13">
        <f t="shared" si="4"/>
        <v>102962.03</v>
      </c>
      <c r="U865" s="13">
        <f t="shared" si="5"/>
        <v>67983.17</v>
      </c>
      <c r="V865" s="3" t="str">
        <f>VLOOKUP(N865,products!A:B,2,0)</f>
        <v>Cosmetics</v>
      </c>
      <c r="W865" s="3" t="s">
        <v>28</v>
      </c>
      <c r="X865" s="3" t="s">
        <v>98</v>
      </c>
      <c r="Y865" s="14">
        <f t="shared" si="10"/>
        <v>0.3976898445</v>
      </c>
      <c r="Z865" s="3">
        <f t="shared" si="7"/>
        <v>1</v>
      </c>
      <c r="AA865" s="15">
        <f t="shared" si="8"/>
        <v>3</v>
      </c>
    </row>
    <row r="866" ht="15.75" customHeight="1">
      <c r="A866" s="3">
        <v>6.60312926E8</v>
      </c>
      <c r="B866" s="3" t="s">
        <v>861</v>
      </c>
      <c r="C866" s="3">
        <f>IFERROR(__xludf.DUMMYFUNCTION("split(B866,""/"")"),12.0)</f>
        <v>12</v>
      </c>
      <c r="D866" s="10">
        <f>IFERROR(__xludf.DUMMYFUNCTION("""COMPUTED_VALUE"""),18.0)</f>
        <v>18</v>
      </c>
      <c r="E866" s="11">
        <f>IFERROR(__xludf.DUMMYFUNCTION("""COMPUTED_VALUE"""),2016.0)</f>
        <v>2016</v>
      </c>
      <c r="F866" s="12">
        <f t="shared" si="1"/>
        <v>42722</v>
      </c>
      <c r="G866" s="9">
        <v>42856.0</v>
      </c>
      <c r="H866" s="3">
        <f>IFERROR(__xludf.DUMMYFUNCTION("split(G866,""/"")"),1.0)</f>
        <v>1</v>
      </c>
      <c r="I866" s="3">
        <f>IFERROR(__xludf.DUMMYFUNCTION("""COMPUTED_VALUE"""),5.0)</f>
        <v>5</v>
      </c>
      <c r="J866" s="3">
        <f>IFERROR(__xludf.DUMMYFUNCTION("""COMPUTED_VALUE"""),2017.0)</f>
        <v>2017</v>
      </c>
      <c r="K866" s="12">
        <f t="shared" si="2"/>
        <v>42740</v>
      </c>
      <c r="L866" s="3" t="s">
        <v>817</v>
      </c>
      <c r="M866" s="3" t="s">
        <v>248</v>
      </c>
      <c r="N866" s="3">
        <v>2455.0</v>
      </c>
      <c r="O866" s="3" t="s">
        <v>818</v>
      </c>
      <c r="P866" s="10">
        <v>123.0</v>
      </c>
      <c r="Q866" s="13">
        <v>109.28</v>
      </c>
      <c r="R866" s="13">
        <v>35.84</v>
      </c>
      <c r="S866" s="13">
        <f t="shared" si="3"/>
        <v>13441.44</v>
      </c>
      <c r="T866" s="13">
        <f t="shared" si="4"/>
        <v>4408.32</v>
      </c>
      <c r="U866" s="13">
        <f t="shared" si="5"/>
        <v>9033.12</v>
      </c>
      <c r="V866" s="3" t="str">
        <f>VLOOKUP(N866,products!A:B,2,0)</f>
        <v>Clothes</v>
      </c>
      <c r="W866" s="3" t="s">
        <v>28</v>
      </c>
      <c r="X866" s="3" t="s">
        <v>29</v>
      </c>
      <c r="Y866" s="14">
        <f t="shared" si="10"/>
        <v>0.6720351391</v>
      </c>
      <c r="Z866" s="3">
        <f t="shared" si="7"/>
        <v>18</v>
      </c>
      <c r="AA866" s="15">
        <f t="shared" si="8"/>
        <v>1</v>
      </c>
    </row>
    <row r="867" ht="15.75" customHeight="1">
      <c r="A867" s="3">
        <v>6.60481584E8</v>
      </c>
      <c r="B867" s="9">
        <v>42677.0</v>
      </c>
      <c r="C867" s="3">
        <f>IFERROR(__xludf.DUMMYFUNCTION("split(B867,""/"")"),3.0)</f>
        <v>3</v>
      </c>
      <c r="D867" s="10">
        <f>IFERROR(__xludf.DUMMYFUNCTION("""COMPUTED_VALUE"""),11.0)</f>
        <v>11</v>
      </c>
      <c r="E867" s="11">
        <f>IFERROR(__xludf.DUMMYFUNCTION("""COMPUTED_VALUE"""),2016.0)</f>
        <v>2016</v>
      </c>
      <c r="F867" s="12">
        <f t="shared" si="1"/>
        <v>42440</v>
      </c>
      <c r="G867" s="3" t="s">
        <v>1609</v>
      </c>
      <c r="H867" s="3">
        <f>IFERROR(__xludf.DUMMYFUNCTION("split(G867,""/"")"),4.0)</f>
        <v>4</v>
      </c>
      <c r="I867" s="3">
        <f>IFERROR(__xludf.DUMMYFUNCTION("""COMPUTED_VALUE"""),20.0)</f>
        <v>20</v>
      </c>
      <c r="J867" s="3">
        <f>IFERROR(__xludf.DUMMYFUNCTION("""COMPUTED_VALUE"""),2016.0)</f>
        <v>2016</v>
      </c>
      <c r="K867" s="12">
        <f t="shared" si="2"/>
        <v>42480</v>
      </c>
      <c r="L867" s="3" t="s">
        <v>814</v>
      </c>
      <c r="M867" s="3" t="s">
        <v>740</v>
      </c>
      <c r="N867" s="3">
        <v>8681.0</v>
      </c>
      <c r="O867" s="3" t="s">
        <v>818</v>
      </c>
      <c r="P867" s="10">
        <v>33.0</v>
      </c>
      <c r="Q867" s="13">
        <v>651.21</v>
      </c>
      <c r="R867" s="13">
        <v>524.96</v>
      </c>
      <c r="S867" s="13">
        <f t="shared" si="3"/>
        <v>21489.93</v>
      </c>
      <c r="T867" s="13">
        <f t="shared" si="4"/>
        <v>17323.68</v>
      </c>
      <c r="U867" s="13">
        <f t="shared" si="5"/>
        <v>4166.25</v>
      </c>
      <c r="V867" s="3" t="str">
        <f>VLOOKUP(N867,products!A:B,2,0)</f>
        <v>Office Supplies</v>
      </c>
      <c r="W867" s="3" t="s">
        <v>28</v>
      </c>
      <c r="X867" s="3" t="s">
        <v>98</v>
      </c>
      <c r="Y867" s="14">
        <f t="shared" si="10"/>
        <v>0.193869873</v>
      </c>
      <c r="Z867" s="3">
        <f t="shared" si="7"/>
        <v>40</v>
      </c>
      <c r="AA867" s="15">
        <f t="shared" si="8"/>
        <v>6</v>
      </c>
    </row>
    <row r="868" ht="15.75" customHeight="1">
      <c r="A868" s="3">
        <v>6.62623488E8</v>
      </c>
      <c r="B868" s="3" t="s">
        <v>1610</v>
      </c>
      <c r="C868" s="3">
        <f>IFERROR(__xludf.DUMMYFUNCTION("split(B868,""/"")"),6.0)</f>
        <v>6</v>
      </c>
      <c r="D868" s="10">
        <f>IFERROR(__xludf.DUMMYFUNCTION("""COMPUTED_VALUE"""),26.0)</f>
        <v>26</v>
      </c>
      <c r="E868" s="11">
        <f>IFERROR(__xludf.DUMMYFUNCTION("""COMPUTED_VALUE"""),2014.0)</f>
        <v>2014</v>
      </c>
      <c r="F868" s="12">
        <f t="shared" si="1"/>
        <v>41816</v>
      </c>
      <c r="G868" s="9">
        <v>41950.0</v>
      </c>
      <c r="H868" s="3">
        <f>IFERROR(__xludf.DUMMYFUNCTION("split(G868,""/"")"),7.0)</f>
        <v>7</v>
      </c>
      <c r="I868" s="3">
        <f>IFERROR(__xludf.DUMMYFUNCTION("""COMPUTED_VALUE"""),11.0)</f>
        <v>11</v>
      </c>
      <c r="J868" s="3">
        <f>IFERROR(__xludf.DUMMYFUNCTION("""COMPUTED_VALUE"""),2014.0)</f>
        <v>2014</v>
      </c>
      <c r="K868" s="12">
        <f t="shared" si="2"/>
        <v>41831</v>
      </c>
      <c r="L868" s="3" t="s">
        <v>817</v>
      </c>
      <c r="M868" s="3" t="s">
        <v>455</v>
      </c>
      <c r="N868" s="3">
        <v>8875.0</v>
      </c>
      <c r="O868" s="3" t="s">
        <v>818</v>
      </c>
      <c r="P868" s="10">
        <v>3870.0</v>
      </c>
      <c r="Q868" s="13">
        <v>421.89</v>
      </c>
      <c r="R868" s="13">
        <v>364.69</v>
      </c>
      <c r="S868" s="13">
        <f t="shared" si="3"/>
        <v>1632714.3</v>
      </c>
      <c r="T868" s="13">
        <f t="shared" si="4"/>
        <v>1411350.3</v>
      </c>
      <c r="U868" s="13">
        <f t="shared" si="5"/>
        <v>221364</v>
      </c>
      <c r="V868" s="3" t="str">
        <f>VLOOKUP(N868,products!A:B,2,0)</f>
        <v>Meat</v>
      </c>
      <c r="W868" s="3" t="s">
        <v>28</v>
      </c>
      <c r="X868" s="3" t="s">
        <v>33</v>
      </c>
      <c r="Y868" s="14">
        <f t="shared" si="10"/>
        <v>0.1355803646</v>
      </c>
      <c r="Z868" s="3">
        <f t="shared" si="7"/>
        <v>15</v>
      </c>
      <c r="AA868" s="15">
        <f t="shared" si="8"/>
        <v>5</v>
      </c>
    </row>
    <row r="869" ht="15.75" customHeight="1">
      <c r="A869" s="3">
        <v>6.63080108E8</v>
      </c>
      <c r="B869" s="3" t="s">
        <v>948</v>
      </c>
      <c r="C869" s="3">
        <f>IFERROR(__xludf.DUMMYFUNCTION("split(B869,""/"")"),11.0)</f>
        <v>11</v>
      </c>
      <c r="D869" s="10">
        <f>IFERROR(__xludf.DUMMYFUNCTION("""COMPUTED_VALUE"""),21.0)</f>
        <v>21</v>
      </c>
      <c r="E869" s="11">
        <f>IFERROR(__xludf.DUMMYFUNCTION("""COMPUTED_VALUE"""),2011.0)</f>
        <v>2011</v>
      </c>
      <c r="F869" s="12">
        <f t="shared" si="1"/>
        <v>40868</v>
      </c>
      <c r="G869" s="9">
        <v>40828.0</v>
      </c>
      <c r="H869" s="3">
        <f>IFERROR(__xludf.DUMMYFUNCTION("split(G869,""/"")"),12.0)</f>
        <v>12</v>
      </c>
      <c r="I869" s="3">
        <f>IFERROR(__xludf.DUMMYFUNCTION("""COMPUTED_VALUE"""),10.0)</f>
        <v>10</v>
      </c>
      <c r="J869" s="3">
        <f>IFERROR(__xludf.DUMMYFUNCTION("""COMPUTED_VALUE"""),2011.0)</f>
        <v>2011</v>
      </c>
      <c r="K869" s="12">
        <f t="shared" si="2"/>
        <v>40887</v>
      </c>
      <c r="L869" s="3" t="s">
        <v>827</v>
      </c>
      <c r="M869" s="3" t="s">
        <v>578</v>
      </c>
      <c r="N869" s="3">
        <v>8875.0</v>
      </c>
      <c r="O869" s="3" t="s">
        <v>815</v>
      </c>
      <c r="P869" s="10">
        <v>8994.0</v>
      </c>
      <c r="Q869" s="13">
        <v>421.89</v>
      </c>
      <c r="R869" s="13">
        <v>364.69</v>
      </c>
      <c r="S869" s="13">
        <f t="shared" si="3"/>
        <v>3794478.66</v>
      </c>
      <c r="T869" s="13">
        <f t="shared" si="4"/>
        <v>3280021.86</v>
      </c>
      <c r="U869" s="13">
        <f t="shared" si="5"/>
        <v>514456.8</v>
      </c>
      <c r="V869" s="3" t="str">
        <f>VLOOKUP(N869,products!A:B,2,0)</f>
        <v>Meat</v>
      </c>
      <c r="W869" s="3" t="s">
        <v>28</v>
      </c>
      <c r="X869" s="3" t="s">
        <v>33</v>
      </c>
      <c r="Y869" s="14">
        <f t="shared" si="10"/>
        <v>0.1355803646</v>
      </c>
      <c r="Z869" s="3">
        <f t="shared" si="7"/>
        <v>19</v>
      </c>
      <c r="AA869" s="15">
        <f t="shared" si="8"/>
        <v>2</v>
      </c>
    </row>
    <row r="870" ht="15.75" customHeight="1">
      <c r="A870" s="3">
        <v>6.65786778E8</v>
      </c>
      <c r="B870" s="3" t="s">
        <v>1454</v>
      </c>
      <c r="C870" s="3">
        <f>IFERROR(__xludf.DUMMYFUNCTION("split(B870,""/"")"),7.0)</f>
        <v>7</v>
      </c>
      <c r="D870" s="10">
        <f>IFERROR(__xludf.DUMMYFUNCTION("""COMPUTED_VALUE"""),24.0)</f>
        <v>24</v>
      </c>
      <c r="E870" s="11">
        <f>IFERROR(__xludf.DUMMYFUNCTION("""COMPUTED_VALUE"""),2010.0)</f>
        <v>2010</v>
      </c>
      <c r="F870" s="12">
        <f t="shared" si="1"/>
        <v>40383</v>
      </c>
      <c r="G870" s="3" t="s">
        <v>1172</v>
      </c>
      <c r="H870" s="3">
        <f>IFERROR(__xludf.DUMMYFUNCTION("split(G870,""/"")"),8.0)</f>
        <v>8</v>
      </c>
      <c r="I870" s="3">
        <f>IFERROR(__xludf.DUMMYFUNCTION("""COMPUTED_VALUE"""),15.0)</f>
        <v>15</v>
      </c>
      <c r="J870" s="3">
        <f>IFERROR(__xludf.DUMMYFUNCTION("""COMPUTED_VALUE"""),2010.0)</f>
        <v>2010</v>
      </c>
      <c r="K870" s="12">
        <f t="shared" si="2"/>
        <v>40405</v>
      </c>
      <c r="L870" s="3" t="s">
        <v>825</v>
      </c>
      <c r="M870" s="3" t="s">
        <v>590</v>
      </c>
      <c r="N870" s="3">
        <v>4594.0</v>
      </c>
      <c r="O870" s="3" t="s">
        <v>818</v>
      </c>
      <c r="P870" s="10">
        <v>9958.0</v>
      </c>
      <c r="Q870" s="13">
        <v>9.33</v>
      </c>
      <c r="R870" s="13">
        <v>6.92</v>
      </c>
      <c r="S870" s="13">
        <f t="shared" si="3"/>
        <v>92908.14</v>
      </c>
      <c r="T870" s="13">
        <f t="shared" si="4"/>
        <v>68909.36</v>
      </c>
      <c r="U870" s="13">
        <f t="shared" si="5"/>
        <v>23998.78</v>
      </c>
      <c r="V870" s="3" t="str">
        <f>VLOOKUP(N870,products!A:B,2,0)</f>
        <v>Fruits</v>
      </c>
      <c r="W870" s="3" t="s">
        <v>28</v>
      </c>
      <c r="X870" s="3" t="s">
        <v>98</v>
      </c>
      <c r="Y870" s="14">
        <f t="shared" si="10"/>
        <v>0.258306538</v>
      </c>
      <c r="Z870" s="3">
        <f t="shared" si="7"/>
        <v>22</v>
      </c>
      <c r="AA870" s="15">
        <f t="shared" si="8"/>
        <v>7</v>
      </c>
    </row>
    <row r="871" ht="15.75" customHeight="1">
      <c r="A871" s="3">
        <v>6.65817677E8</v>
      </c>
      <c r="B871" s="3" t="s">
        <v>1611</v>
      </c>
      <c r="C871" s="3">
        <f>IFERROR(__xludf.DUMMYFUNCTION("split(B871,""/"")"),9.0)</f>
        <v>9</v>
      </c>
      <c r="D871" s="10">
        <f>IFERROR(__xludf.DUMMYFUNCTION("""COMPUTED_VALUE"""),26.0)</f>
        <v>26</v>
      </c>
      <c r="E871" s="11">
        <f>IFERROR(__xludf.DUMMYFUNCTION("""COMPUTED_VALUE"""),2015.0)</f>
        <v>2015</v>
      </c>
      <c r="F871" s="12">
        <f t="shared" si="1"/>
        <v>42273</v>
      </c>
      <c r="G871" s="9">
        <v>42287.0</v>
      </c>
      <c r="H871" s="3">
        <f>IFERROR(__xludf.DUMMYFUNCTION("split(G871,""/"")"),10.0)</f>
        <v>10</v>
      </c>
      <c r="I871" s="3">
        <f>IFERROR(__xludf.DUMMYFUNCTION("""COMPUTED_VALUE"""),10.0)</f>
        <v>10</v>
      </c>
      <c r="J871" s="3">
        <f>IFERROR(__xludf.DUMMYFUNCTION("""COMPUTED_VALUE"""),2015.0)</f>
        <v>2015</v>
      </c>
      <c r="K871" s="12">
        <f t="shared" si="2"/>
        <v>42287</v>
      </c>
      <c r="L871" s="3" t="s">
        <v>817</v>
      </c>
      <c r="M871" s="3" t="s">
        <v>635</v>
      </c>
      <c r="N871" s="3">
        <v>4594.0</v>
      </c>
      <c r="O871" s="3" t="s">
        <v>815</v>
      </c>
      <c r="P871" s="10">
        <v>9102.0</v>
      </c>
      <c r="Q871" s="13">
        <v>9.33</v>
      </c>
      <c r="R871" s="13">
        <v>6.92</v>
      </c>
      <c r="S871" s="13">
        <f t="shared" si="3"/>
        <v>84921.66</v>
      </c>
      <c r="T871" s="13">
        <f t="shared" si="4"/>
        <v>62985.84</v>
      </c>
      <c r="U871" s="13">
        <f t="shared" si="5"/>
        <v>21935.82</v>
      </c>
      <c r="V871" s="3" t="str">
        <f>VLOOKUP(N871,products!A:B,2,0)</f>
        <v>Fruits</v>
      </c>
      <c r="W871" s="3" t="s">
        <v>28</v>
      </c>
      <c r="X871" s="3" t="s">
        <v>33</v>
      </c>
      <c r="Y871" s="14">
        <f t="shared" si="10"/>
        <v>0.258306538</v>
      </c>
      <c r="Z871" s="3">
        <f t="shared" si="7"/>
        <v>14</v>
      </c>
      <c r="AA871" s="15">
        <f t="shared" si="8"/>
        <v>7</v>
      </c>
    </row>
    <row r="872" ht="15.75" customHeight="1">
      <c r="A872" s="3">
        <v>6.66483724E8</v>
      </c>
      <c r="B872" s="3" t="s">
        <v>1231</v>
      </c>
      <c r="C872" s="3">
        <f>IFERROR(__xludf.DUMMYFUNCTION("split(B872,""/"")"),7.0)</f>
        <v>7</v>
      </c>
      <c r="D872" s="10">
        <f>IFERROR(__xludf.DUMMYFUNCTION("""COMPUTED_VALUE"""),28.0)</f>
        <v>28</v>
      </c>
      <c r="E872" s="11">
        <f>IFERROR(__xludf.DUMMYFUNCTION("""COMPUTED_VALUE"""),2014.0)</f>
        <v>2014</v>
      </c>
      <c r="F872" s="12">
        <f t="shared" si="1"/>
        <v>41848</v>
      </c>
      <c r="G872" s="3" t="s">
        <v>1134</v>
      </c>
      <c r="H872" s="3">
        <f>IFERROR(__xludf.DUMMYFUNCTION("split(G872,""/"")"),8.0)</f>
        <v>8</v>
      </c>
      <c r="I872" s="3">
        <f>IFERROR(__xludf.DUMMYFUNCTION("""COMPUTED_VALUE"""),31.0)</f>
        <v>31</v>
      </c>
      <c r="J872" s="3">
        <f>IFERROR(__xludf.DUMMYFUNCTION("""COMPUTED_VALUE"""),2014.0)</f>
        <v>2014</v>
      </c>
      <c r="K872" s="12">
        <f t="shared" si="2"/>
        <v>41882</v>
      </c>
      <c r="L872" s="3" t="s">
        <v>817</v>
      </c>
      <c r="M872" s="3" t="s">
        <v>536</v>
      </c>
      <c r="N872" s="3">
        <v>7940.0</v>
      </c>
      <c r="O872" s="3" t="s">
        <v>815</v>
      </c>
      <c r="P872" s="10">
        <v>6199.0</v>
      </c>
      <c r="Q872" s="13">
        <v>668.27</v>
      </c>
      <c r="R872" s="13">
        <v>502.54</v>
      </c>
      <c r="S872" s="13">
        <f t="shared" si="3"/>
        <v>4142605.73</v>
      </c>
      <c r="T872" s="13">
        <f t="shared" si="4"/>
        <v>3115245.46</v>
      </c>
      <c r="U872" s="13">
        <f t="shared" si="5"/>
        <v>1027360.27</v>
      </c>
      <c r="V872" s="3" t="str">
        <f>VLOOKUP(N872,products!A:B,2,0)</f>
        <v>Household</v>
      </c>
      <c r="W872" s="3" t="s">
        <v>28</v>
      </c>
      <c r="X872" s="3" t="s">
        <v>33</v>
      </c>
      <c r="Y872" s="14">
        <f t="shared" si="10"/>
        <v>0.2479985635</v>
      </c>
      <c r="Z872" s="3">
        <f t="shared" si="7"/>
        <v>34</v>
      </c>
      <c r="AA872" s="15">
        <f t="shared" si="8"/>
        <v>2</v>
      </c>
    </row>
    <row r="873" ht="15.75" customHeight="1">
      <c r="A873" s="3">
        <v>6.6692146E8</v>
      </c>
      <c r="B873" s="3" t="s">
        <v>1250</v>
      </c>
      <c r="C873" s="3">
        <f>IFERROR(__xludf.DUMMYFUNCTION("split(B873,""/"")"),9.0)</f>
        <v>9</v>
      </c>
      <c r="D873" s="10">
        <f>IFERROR(__xludf.DUMMYFUNCTION("""COMPUTED_VALUE"""),14.0)</f>
        <v>14</v>
      </c>
      <c r="E873" s="11">
        <f>IFERROR(__xludf.DUMMYFUNCTION("""COMPUTED_VALUE"""),2014.0)</f>
        <v>2014</v>
      </c>
      <c r="F873" s="12">
        <f t="shared" si="1"/>
        <v>41896</v>
      </c>
      <c r="G873" s="9">
        <v>41922.0</v>
      </c>
      <c r="H873" s="3">
        <f>IFERROR(__xludf.DUMMYFUNCTION("split(G873,""/"")"),10.0)</f>
        <v>10</v>
      </c>
      <c r="I873" s="3">
        <f>IFERROR(__xludf.DUMMYFUNCTION("""COMPUTED_VALUE"""),10.0)</f>
        <v>10</v>
      </c>
      <c r="J873" s="3">
        <f>IFERROR(__xludf.DUMMYFUNCTION("""COMPUTED_VALUE"""),2014.0)</f>
        <v>2014</v>
      </c>
      <c r="K873" s="12">
        <f t="shared" si="2"/>
        <v>41922</v>
      </c>
      <c r="L873" s="3" t="s">
        <v>827</v>
      </c>
      <c r="M873" s="3" t="s">
        <v>221</v>
      </c>
      <c r="N873" s="3">
        <v>2103.0</v>
      </c>
      <c r="O873" s="3" t="s">
        <v>815</v>
      </c>
      <c r="P873" s="10">
        <v>5735.0</v>
      </c>
      <c r="Q873" s="13">
        <v>205.7</v>
      </c>
      <c r="R873" s="13">
        <v>117.11</v>
      </c>
      <c r="S873" s="13">
        <f t="shared" si="3"/>
        <v>1179689.5</v>
      </c>
      <c r="T873" s="13">
        <f t="shared" si="4"/>
        <v>671625.85</v>
      </c>
      <c r="U873" s="13">
        <f t="shared" si="5"/>
        <v>508063.65</v>
      </c>
      <c r="V873" s="3" t="str">
        <f>VLOOKUP(N873,products!A:B,2,0)</f>
        <v>Cereal</v>
      </c>
      <c r="W873" s="3" t="s">
        <v>28</v>
      </c>
      <c r="X873" s="3" t="s">
        <v>29</v>
      </c>
      <c r="Y873" s="14">
        <f t="shared" si="10"/>
        <v>0.4306757414</v>
      </c>
      <c r="Z873" s="3">
        <f t="shared" si="7"/>
        <v>26</v>
      </c>
      <c r="AA873" s="15">
        <f t="shared" si="8"/>
        <v>1</v>
      </c>
    </row>
    <row r="874" ht="15.75" customHeight="1">
      <c r="A874" s="3">
        <v>6.67054498E8</v>
      </c>
      <c r="B874" s="9">
        <v>42310.0</v>
      </c>
      <c r="C874" s="3">
        <f>IFERROR(__xludf.DUMMYFUNCTION("split(B874,""/"")"),2.0)</f>
        <v>2</v>
      </c>
      <c r="D874" s="10">
        <f>IFERROR(__xludf.DUMMYFUNCTION("""COMPUTED_VALUE"""),11.0)</f>
        <v>11</v>
      </c>
      <c r="E874" s="11">
        <f>IFERROR(__xludf.DUMMYFUNCTION("""COMPUTED_VALUE"""),2015.0)</f>
        <v>2015</v>
      </c>
      <c r="F874" s="12">
        <f t="shared" si="1"/>
        <v>42046</v>
      </c>
      <c r="G874" s="9">
        <v>42340.0</v>
      </c>
      <c r="H874" s="3">
        <f>IFERROR(__xludf.DUMMYFUNCTION("split(G874,""/"")"),2.0)</f>
        <v>2</v>
      </c>
      <c r="I874" s="3">
        <f>IFERROR(__xludf.DUMMYFUNCTION("""COMPUTED_VALUE"""),12.0)</f>
        <v>12</v>
      </c>
      <c r="J874" s="3">
        <f>IFERROR(__xludf.DUMMYFUNCTION("""COMPUTED_VALUE"""),2015.0)</f>
        <v>2015</v>
      </c>
      <c r="K874" s="12">
        <f t="shared" si="2"/>
        <v>42047</v>
      </c>
      <c r="L874" s="3" t="s">
        <v>827</v>
      </c>
      <c r="M874" s="3" t="s">
        <v>578</v>
      </c>
      <c r="N874" s="3">
        <v>3127.0</v>
      </c>
      <c r="O874" s="3" t="s">
        <v>815</v>
      </c>
      <c r="P874" s="10">
        <v>5104.0</v>
      </c>
      <c r="Q874" s="13">
        <v>81.73</v>
      </c>
      <c r="R874" s="13">
        <v>56.67</v>
      </c>
      <c r="S874" s="13">
        <f t="shared" si="3"/>
        <v>417149.92</v>
      </c>
      <c r="T874" s="13">
        <f t="shared" si="4"/>
        <v>289243.68</v>
      </c>
      <c r="U874" s="13">
        <f t="shared" si="5"/>
        <v>127906.24</v>
      </c>
      <c r="V874" s="3" t="str">
        <f>VLOOKUP(N874,products!A:B,2,0)</f>
        <v>Personal Care</v>
      </c>
      <c r="W874" s="3" t="s">
        <v>28</v>
      </c>
      <c r="X874" s="3" t="s">
        <v>33</v>
      </c>
      <c r="Y874" s="14">
        <f t="shared" si="10"/>
        <v>0.3066193564</v>
      </c>
      <c r="Z874" s="3">
        <f t="shared" si="7"/>
        <v>1</v>
      </c>
      <c r="AA874" s="15">
        <f t="shared" si="8"/>
        <v>4</v>
      </c>
    </row>
    <row r="875" ht="15.75" customHeight="1">
      <c r="A875" s="3">
        <v>6.67324435E8</v>
      </c>
      <c r="B875" s="3" t="s">
        <v>1612</v>
      </c>
      <c r="C875" s="3">
        <f>IFERROR(__xludf.DUMMYFUNCTION("split(B875,""/"")"),10.0)</f>
        <v>10</v>
      </c>
      <c r="D875" s="10">
        <f>IFERROR(__xludf.DUMMYFUNCTION("""COMPUTED_VALUE"""),18.0)</f>
        <v>18</v>
      </c>
      <c r="E875" s="11">
        <f>IFERROR(__xludf.DUMMYFUNCTION("""COMPUTED_VALUE"""),2012.0)</f>
        <v>2012</v>
      </c>
      <c r="F875" s="12">
        <f t="shared" si="1"/>
        <v>41200</v>
      </c>
      <c r="G875" s="3" t="s">
        <v>1613</v>
      </c>
      <c r="H875" s="3">
        <f>IFERROR(__xludf.DUMMYFUNCTION("split(G875,""/"")"),10.0)</f>
        <v>10</v>
      </c>
      <c r="I875" s="3">
        <f>IFERROR(__xludf.DUMMYFUNCTION("""COMPUTED_VALUE"""),31.0)</f>
        <v>31</v>
      </c>
      <c r="J875" s="3">
        <f>IFERROR(__xludf.DUMMYFUNCTION("""COMPUTED_VALUE"""),2012.0)</f>
        <v>2012</v>
      </c>
      <c r="K875" s="12">
        <f t="shared" si="2"/>
        <v>41213</v>
      </c>
      <c r="L875" s="3" t="s">
        <v>825</v>
      </c>
      <c r="M875" s="3" t="s">
        <v>623</v>
      </c>
      <c r="N875" s="3">
        <v>7331.0</v>
      </c>
      <c r="O875" s="3" t="s">
        <v>815</v>
      </c>
      <c r="P875" s="10">
        <v>4985.0</v>
      </c>
      <c r="Q875" s="13">
        <v>255.28</v>
      </c>
      <c r="R875" s="13">
        <v>159.42</v>
      </c>
      <c r="S875" s="13">
        <f t="shared" si="3"/>
        <v>1272570.8</v>
      </c>
      <c r="T875" s="13">
        <f t="shared" si="4"/>
        <v>794708.7</v>
      </c>
      <c r="U875" s="13">
        <f t="shared" si="5"/>
        <v>477862.1</v>
      </c>
      <c r="V875" s="3" t="str">
        <f>VLOOKUP(N875,products!A:B,2,0)</f>
        <v>Baby Food</v>
      </c>
      <c r="W875" s="3" t="s">
        <v>28</v>
      </c>
      <c r="X875" s="3" t="s">
        <v>33</v>
      </c>
      <c r="Y875" s="14">
        <f t="shared" si="10"/>
        <v>0.3755092448</v>
      </c>
      <c r="Z875" s="3">
        <f t="shared" si="7"/>
        <v>13</v>
      </c>
      <c r="AA875" s="15">
        <f t="shared" si="8"/>
        <v>5</v>
      </c>
    </row>
    <row r="876" ht="15.75" customHeight="1">
      <c r="A876" s="3">
        <v>6.67420995E8</v>
      </c>
      <c r="B876" s="3" t="s">
        <v>1194</v>
      </c>
      <c r="C876" s="3">
        <f>IFERROR(__xludf.DUMMYFUNCTION("split(B876,""/"")"),1.0)</f>
        <v>1</v>
      </c>
      <c r="D876" s="10">
        <f>IFERROR(__xludf.DUMMYFUNCTION("""COMPUTED_VALUE"""),16.0)</f>
        <v>16</v>
      </c>
      <c r="E876" s="11">
        <f>IFERROR(__xludf.DUMMYFUNCTION("""COMPUTED_VALUE"""),2010.0)</f>
        <v>2010</v>
      </c>
      <c r="F876" s="12">
        <f t="shared" si="1"/>
        <v>40194</v>
      </c>
      <c r="G876" s="3" t="s">
        <v>1228</v>
      </c>
      <c r="H876" s="3">
        <f>IFERROR(__xludf.DUMMYFUNCTION("split(G876,""/"")"),1.0)</f>
        <v>1</v>
      </c>
      <c r="I876" s="3">
        <f>IFERROR(__xludf.DUMMYFUNCTION("""COMPUTED_VALUE"""),18.0)</f>
        <v>18</v>
      </c>
      <c r="J876" s="3">
        <f>IFERROR(__xludf.DUMMYFUNCTION("""COMPUTED_VALUE"""),2010.0)</f>
        <v>2010</v>
      </c>
      <c r="K876" s="12">
        <f t="shared" si="2"/>
        <v>40196</v>
      </c>
      <c r="L876" s="3" t="s">
        <v>817</v>
      </c>
      <c r="M876" s="3" t="s">
        <v>67</v>
      </c>
      <c r="N876" s="3">
        <v>3127.0</v>
      </c>
      <c r="O876" s="3" t="s">
        <v>815</v>
      </c>
      <c r="P876" s="10">
        <v>3559.0</v>
      </c>
      <c r="Q876" s="13">
        <v>81.73</v>
      </c>
      <c r="R876" s="13">
        <v>56.67</v>
      </c>
      <c r="S876" s="13">
        <f t="shared" si="3"/>
        <v>290877.07</v>
      </c>
      <c r="T876" s="13">
        <f t="shared" si="4"/>
        <v>201688.53</v>
      </c>
      <c r="U876" s="13">
        <f t="shared" si="5"/>
        <v>89188.54</v>
      </c>
      <c r="V876" s="3" t="str">
        <f>VLOOKUP(N876,products!A:B,2,0)</f>
        <v>Personal Care</v>
      </c>
      <c r="W876" s="3" t="s">
        <v>23</v>
      </c>
      <c r="X876" s="3" t="s">
        <v>68</v>
      </c>
      <c r="Y876" s="14">
        <f t="shared" si="10"/>
        <v>0.3066193564</v>
      </c>
      <c r="Z876" s="3">
        <f t="shared" si="7"/>
        <v>2</v>
      </c>
      <c r="AA876" s="15">
        <f t="shared" si="8"/>
        <v>7</v>
      </c>
    </row>
    <row r="877" ht="15.75" customHeight="1">
      <c r="A877" s="3">
        <v>6.68280589E8</v>
      </c>
      <c r="B877" s="9">
        <v>41580.0</v>
      </c>
      <c r="C877" s="3">
        <f>IFERROR(__xludf.DUMMYFUNCTION("split(B877,""/"")"),2.0)</f>
        <v>2</v>
      </c>
      <c r="D877" s="10">
        <f>IFERROR(__xludf.DUMMYFUNCTION("""COMPUTED_VALUE"""),11.0)</f>
        <v>11</v>
      </c>
      <c r="E877" s="11">
        <f>IFERROR(__xludf.DUMMYFUNCTION("""COMPUTED_VALUE"""),2013.0)</f>
        <v>2013</v>
      </c>
      <c r="F877" s="12">
        <f t="shared" si="1"/>
        <v>41316</v>
      </c>
      <c r="G877" s="3" t="s">
        <v>1614</v>
      </c>
      <c r="H877" s="3">
        <f>IFERROR(__xludf.DUMMYFUNCTION("split(G877,""/"")"),3.0)</f>
        <v>3</v>
      </c>
      <c r="I877" s="3">
        <f>IFERROR(__xludf.DUMMYFUNCTION("""COMPUTED_VALUE"""),28.0)</f>
        <v>28</v>
      </c>
      <c r="J877" s="3">
        <f>IFERROR(__xludf.DUMMYFUNCTION("""COMPUTED_VALUE"""),2013.0)</f>
        <v>2013</v>
      </c>
      <c r="K877" s="12">
        <f t="shared" si="2"/>
        <v>41361</v>
      </c>
      <c r="L877" s="3" t="s">
        <v>825</v>
      </c>
      <c r="M877" s="3" t="s">
        <v>578</v>
      </c>
      <c r="N877" s="3">
        <v>8875.0</v>
      </c>
      <c r="O877" s="3" t="s">
        <v>815</v>
      </c>
      <c r="P877" s="10">
        <v>7932.0</v>
      </c>
      <c r="Q877" s="13">
        <v>421.89</v>
      </c>
      <c r="R877" s="13">
        <v>364.69</v>
      </c>
      <c r="S877" s="13">
        <f t="shared" si="3"/>
        <v>3346431.48</v>
      </c>
      <c r="T877" s="13">
        <f t="shared" si="4"/>
        <v>2892721.08</v>
      </c>
      <c r="U877" s="13">
        <f t="shared" si="5"/>
        <v>453710.4</v>
      </c>
      <c r="V877" s="3" t="str">
        <f>VLOOKUP(N877,products!A:B,2,0)</f>
        <v>Meat</v>
      </c>
      <c r="W877" s="3" t="s">
        <v>28</v>
      </c>
      <c r="X877" s="3" t="s">
        <v>33</v>
      </c>
      <c r="Y877" s="14">
        <f t="shared" si="10"/>
        <v>0.1355803646</v>
      </c>
      <c r="Z877" s="3">
        <f t="shared" si="7"/>
        <v>45</v>
      </c>
      <c r="AA877" s="15">
        <f t="shared" si="8"/>
        <v>2</v>
      </c>
    </row>
    <row r="878" ht="15.75" customHeight="1">
      <c r="A878" s="3">
        <v>6.69353473E8</v>
      </c>
      <c r="B878" s="3" t="s">
        <v>1615</v>
      </c>
      <c r="C878" s="3">
        <f>IFERROR(__xludf.DUMMYFUNCTION("split(B878,""/"")"),6.0)</f>
        <v>6</v>
      </c>
      <c r="D878" s="10">
        <f>IFERROR(__xludf.DUMMYFUNCTION("""COMPUTED_VALUE"""),24.0)</f>
        <v>24</v>
      </c>
      <c r="E878" s="11">
        <f>IFERROR(__xludf.DUMMYFUNCTION("""COMPUTED_VALUE"""),2014.0)</f>
        <v>2014</v>
      </c>
      <c r="F878" s="12">
        <f t="shared" si="1"/>
        <v>41814</v>
      </c>
      <c r="G878" s="9">
        <v>41827.0</v>
      </c>
      <c r="H878" s="3">
        <f>IFERROR(__xludf.DUMMYFUNCTION("split(G878,""/"")"),7.0)</f>
        <v>7</v>
      </c>
      <c r="I878" s="3">
        <f>IFERROR(__xludf.DUMMYFUNCTION("""COMPUTED_VALUE"""),7.0)</f>
        <v>7</v>
      </c>
      <c r="J878" s="3">
        <f>IFERROR(__xludf.DUMMYFUNCTION("""COMPUTED_VALUE"""),2014.0)</f>
        <v>2014</v>
      </c>
      <c r="K878" s="12">
        <f t="shared" si="2"/>
        <v>41827</v>
      </c>
      <c r="L878" s="3" t="s">
        <v>817</v>
      </c>
      <c r="M878" s="3" t="s">
        <v>97</v>
      </c>
      <c r="N878" s="3">
        <v>4594.0</v>
      </c>
      <c r="O878" s="3" t="s">
        <v>815</v>
      </c>
      <c r="P878" s="10">
        <v>5422.0</v>
      </c>
      <c r="Q878" s="13">
        <v>9.33</v>
      </c>
      <c r="R878" s="13">
        <v>6.92</v>
      </c>
      <c r="S878" s="13">
        <f t="shared" si="3"/>
        <v>50587.26</v>
      </c>
      <c r="T878" s="13">
        <f t="shared" si="4"/>
        <v>37520.24</v>
      </c>
      <c r="U878" s="13">
        <f t="shared" si="5"/>
        <v>13067.02</v>
      </c>
      <c r="V878" s="3" t="str">
        <f>VLOOKUP(N878,products!A:B,2,0)</f>
        <v>Fruits</v>
      </c>
      <c r="W878" s="3" t="s">
        <v>28</v>
      </c>
      <c r="X878" s="3" t="s">
        <v>98</v>
      </c>
      <c r="Y878" s="14">
        <f t="shared" si="10"/>
        <v>0.258306538</v>
      </c>
      <c r="Z878" s="3">
        <f t="shared" si="7"/>
        <v>13</v>
      </c>
      <c r="AA878" s="15">
        <f t="shared" si="8"/>
        <v>3</v>
      </c>
    </row>
    <row r="879" ht="15.75" customHeight="1">
      <c r="A879" s="3">
        <v>6.69550883E8</v>
      </c>
      <c r="B879" s="3" t="s">
        <v>1616</v>
      </c>
      <c r="C879" s="3">
        <f>IFERROR(__xludf.DUMMYFUNCTION("split(B879,""/"")"),7.0)</f>
        <v>7</v>
      </c>
      <c r="D879" s="10">
        <f>IFERROR(__xludf.DUMMYFUNCTION("""COMPUTED_VALUE"""),30.0)</f>
        <v>30</v>
      </c>
      <c r="E879" s="11">
        <f>IFERROR(__xludf.DUMMYFUNCTION("""COMPUTED_VALUE"""),2015.0)</f>
        <v>2015</v>
      </c>
      <c r="F879" s="12">
        <f t="shared" si="1"/>
        <v>42215</v>
      </c>
      <c r="G879" s="3" t="s">
        <v>1550</v>
      </c>
      <c r="H879" s="3">
        <f>IFERROR(__xludf.DUMMYFUNCTION("split(G879,""/"")"),9.0)</f>
        <v>9</v>
      </c>
      <c r="I879" s="3">
        <f>IFERROR(__xludf.DUMMYFUNCTION("""COMPUTED_VALUE"""),16.0)</f>
        <v>16</v>
      </c>
      <c r="J879" s="3">
        <f>IFERROR(__xludf.DUMMYFUNCTION("""COMPUTED_VALUE"""),2015.0)</f>
        <v>2015</v>
      </c>
      <c r="K879" s="12">
        <f t="shared" si="2"/>
        <v>42263</v>
      </c>
      <c r="L879" s="3" t="s">
        <v>827</v>
      </c>
      <c r="M879" s="3" t="s">
        <v>97</v>
      </c>
      <c r="N879" s="3">
        <v>8293.0</v>
      </c>
      <c r="O879" s="3" t="s">
        <v>818</v>
      </c>
      <c r="P879" s="10">
        <v>3840.0</v>
      </c>
      <c r="Q879" s="13">
        <v>437.2</v>
      </c>
      <c r="R879" s="13">
        <v>263.33</v>
      </c>
      <c r="S879" s="13">
        <f t="shared" si="3"/>
        <v>1678848</v>
      </c>
      <c r="T879" s="13">
        <f t="shared" si="4"/>
        <v>1011187.2</v>
      </c>
      <c r="U879" s="13">
        <f t="shared" si="5"/>
        <v>667660.8</v>
      </c>
      <c r="V879" s="3" t="str">
        <f>VLOOKUP(N879,products!A:B,2,0)</f>
        <v>Cosmetics</v>
      </c>
      <c r="W879" s="3" t="s">
        <v>28</v>
      </c>
      <c r="X879" s="3" t="s">
        <v>98</v>
      </c>
      <c r="Y879" s="14">
        <f t="shared" si="10"/>
        <v>0.3976898445</v>
      </c>
      <c r="Z879" s="3">
        <f t="shared" si="7"/>
        <v>48</v>
      </c>
      <c r="AA879" s="15">
        <f t="shared" si="8"/>
        <v>5</v>
      </c>
    </row>
    <row r="880" ht="15.75" customHeight="1">
      <c r="A880" s="3">
        <v>6.70274865E8</v>
      </c>
      <c r="B880" s="9">
        <v>41009.0</v>
      </c>
      <c r="C880" s="3">
        <f>IFERROR(__xludf.DUMMYFUNCTION("split(B880,""/"")"),10.0)</f>
        <v>10</v>
      </c>
      <c r="D880" s="10">
        <f>IFERROR(__xludf.DUMMYFUNCTION("""COMPUTED_VALUE"""),4.0)</f>
        <v>4</v>
      </c>
      <c r="E880" s="11">
        <f>IFERROR(__xludf.DUMMYFUNCTION("""COMPUTED_VALUE"""),2012.0)</f>
        <v>2012</v>
      </c>
      <c r="F880" s="12">
        <f t="shared" si="1"/>
        <v>41186</v>
      </c>
      <c r="G880" s="3" t="s">
        <v>1617</v>
      </c>
      <c r="H880" s="3">
        <f>IFERROR(__xludf.DUMMYFUNCTION("split(G880,""/"")"),11.0)</f>
        <v>11</v>
      </c>
      <c r="I880" s="3">
        <f>IFERROR(__xludf.DUMMYFUNCTION("""COMPUTED_VALUE"""),13.0)</f>
        <v>13</v>
      </c>
      <c r="J880" s="3">
        <f>IFERROR(__xludf.DUMMYFUNCTION("""COMPUTED_VALUE"""),2012.0)</f>
        <v>2012</v>
      </c>
      <c r="K880" s="12">
        <f t="shared" si="2"/>
        <v>41226</v>
      </c>
      <c r="L880" s="3" t="s">
        <v>817</v>
      </c>
      <c r="M880" s="3" t="s">
        <v>689</v>
      </c>
      <c r="N880" s="3">
        <v>5988.0</v>
      </c>
      <c r="O880" s="3" t="s">
        <v>815</v>
      </c>
      <c r="P880" s="10">
        <v>8082.0</v>
      </c>
      <c r="Q880" s="13">
        <v>154.06</v>
      </c>
      <c r="R880" s="13">
        <v>90.93</v>
      </c>
      <c r="S880" s="13">
        <f t="shared" si="3"/>
        <v>1245112.92</v>
      </c>
      <c r="T880" s="13">
        <f t="shared" si="4"/>
        <v>734896.26</v>
      </c>
      <c r="U880" s="13">
        <f t="shared" si="5"/>
        <v>510216.66</v>
      </c>
      <c r="V880" s="3" t="str">
        <f>VLOOKUP(N880,products!A:B,2,0)</f>
        <v>Vegetables</v>
      </c>
      <c r="W880" s="3" t="s">
        <v>28</v>
      </c>
      <c r="X880" s="3" t="s">
        <v>79</v>
      </c>
      <c r="Y880" s="14">
        <f t="shared" si="10"/>
        <v>0.4097754122</v>
      </c>
      <c r="Z880" s="3">
        <f t="shared" si="7"/>
        <v>40</v>
      </c>
      <c r="AA880" s="15">
        <f t="shared" si="8"/>
        <v>5</v>
      </c>
    </row>
    <row r="881" ht="15.75" customHeight="1">
      <c r="A881" s="3">
        <v>6.71616399E8</v>
      </c>
      <c r="B881" s="9">
        <v>41071.0</v>
      </c>
      <c r="C881" s="3">
        <f>IFERROR(__xludf.DUMMYFUNCTION("split(B881,""/"")"),11.0)</f>
        <v>11</v>
      </c>
      <c r="D881" s="10">
        <f>IFERROR(__xludf.DUMMYFUNCTION("""COMPUTED_VALUE"""),6.0)</f>
        <v>6</v>
      </c>
      <c r="E881" s="11">
        <f>IFERROR(__xludf.DUMMYFUNCTION("""COMPUTED_VALUE"""),2012.0)</f>
        <v>2012</v>
      </c>
      <c r="F881" s="12">
        <f t="shared" si="1"/>
        <v>41219</v>
      </c>
      <c r="G881" s="9">
        <v>41194.0</v>
      </c>
      <c r="H881" s="3">
        <f>IFERROR(__xludf.DUMMYFUNCTION("split(G881,""/"")"),12.0)</f>
        <v>12</v>
      </c>
      <c r="I881" s="3">
        <f>IFERROR(__xludf.DUMMYFUNCTION("""COMPUTED_VALUE"""),10.0)</f>
        <v>10</v>
      </c>
      <c r="J881" s="3">
        <f>IFERROR(__xludf.DUMMYFUNCTION("""COMPUTED_VALUE"""),2012.0)</f>
        <v>2012</v>
      </c>
      <c r="K881" s="12">
        <f t="shared" si="2"/>
        <v>41253</v>
      </c>
      <c r="L881" s="3" t="s">
        <v>817</v>
      </c>
      <c r="M881" s="3" t="s">
        <v>482</v>
      </c>
      <c r="N881" s="3">
        <v>5988.0</v>
      </c>
      <c r="O881" s="3" t="s">
        <v>818</v>
      </c>
      <c r="P881" s="10">
        <v>5072.0</v>
      </c>
      <c r="Q881" s="13">
        <v>154.06</v>
      </c>
      <c r="R881" s="13">
        <v>90.93</v>
      </c>
      <c r="S881" s="13">
        <f t="shared" si="3"/>
        <v>781392.32</v>
      </c>
      <c r="T881" s="13">
        <f t="shared" si="4"/>
        <v>461196.96</v>
      </c>
      <c r="U881" s="13">
        <f t="shared" si="5"/>
        <v>320195.36</v>
      </c>
      <c r="V881" s="3" t="str">
        <f>VLOOKUP(N881,products!A:B,2,0)</f>
        <v>Vegetables</v>
      </c>
      <c r="W881" s="3" t="s">
        <v>28</v>
      </c>
      <c r="X881" s="3" t="s">
        <v>79</v>
      </c>
      <c r="Y881" s="14">
        <f t="shared" si="10"/>
        <v>0.4097754122</v>
      </c>
      <c r="Z881" s="3">
        <f t="shared" si="7"/>
        <v>34</v>
      </c>
      <c r="AA881" s="15">
        <f t="shared" si="8"/>
        <v>3</v>
      </c>
    </row>
    <row r="882" ht="15.75" customHeight="1">
      <c r="A882" s="3">
        <v>6.72330081E8</v>
      </c>
      <c r="B882" s="3" t="s">
        <v>1618</v>
      </c>
      <c r="C882" s="3">
        <f>IFERROR(__xludf.DUMMYFUNCTION("split(B882,""/"")"),10.0)</f>
        <v>10</v>
      </c>
      <c r="D882" s="10">
        <f>IFERROR(__xludf.DUMMYFUNCTION("""COMPUTED_VALUE"""),31.0)</f>
        <v>31</v>
      </c>
      <c r="E882" s="11">
        <f>IFERROR(__xludf.DUMMYFUNCTION("""COMPUTED_VALUE"""),2010.0)</f>
        <v>2010</v>
      </c>
      <c r="F882" s="12">
        <f t="shared" si="1"/>
        <v>40482</v>
      </c>
      <c r="G882" s="3" t="s">
        <v>1619</v>
      </c>
      <c r="H882" s="3">
        <f>IFERROR(__xludf.DUMMYFUNCTION("split(G882,""/"")"),11.0)</f>
        <v>11</v>
      </c>
      <c r="I882" s="3">
        <f>IFERROR(__xludf.DUMMYFUNCTION("""COMPUTED_VALUE"""),29.0)</f>
        <v>29</v>
      </c>
      <c r="J882" s="3">
        <f>IFERROR(__xludf.DUMMYFUNCTION("""COMPUTED_VALUE"""),2010.0)</f>
        <v>2010</v>
      </c>
      <c r="K882" s="12">
        <f t="shared" si="2"/>
        <v>40511</v>
      </c>
      <c r="L882" s="3" t="s">
        <v>825</v>
      </c>
      <c r="M882" s="3" t="s">
        <v>142</v>
      </c>
      <c r="N882" s="3">
        <v>8681.0</v>
      </c>
      <c r="O882" s="3" t="s">
        <v>815</v>
      </c>
      <c r="P882" s="10">
        <v>6266.0</v>
      </c>
      <c r="Q882" s="13">
        <v>651.21</v>
      </c>
      <c r="R882" s="13">
        <v>524.96</v>
      </c>
      <c r="S882" s="13">
        <f t="shared" si="3"/>
        <v>4080481.86</v>
      </c>
      <c r="T882" s="13">
        <f t="shared" si="4"/>
        <v>3289399.36</v>
      </c>
      <c r="U882" s="13">
        <f t="shared" si="5"/>
        <v>791082.5</v>
      </c>
      <c r="V882" s="3" t="str">
        <f>VLOOKUP(N882,products!A:B,2,0)</f>
        <v>Office Supplies</v>
      </c>
      <c r="W882" s="3" t="s">
        <v>28</v>
      </c>
      <c r="X882" s="3" t="s">
        <v>98</v>
      </c>
      <c r="Y882" s="14">
        <f t="shared" si="10"/>
        <v>0.193869873</v>
      </c>
      <c r="Z882" s="3">
        <f t="shared" si="7"/>
        <v>29</v>
      </c>
      <c r="AA882" s="15">
        <f t="shared" si="8"/>
        <v>1</v>
      </c>
    </row>
    <row r="883" ht="15.75" customHeight="1">
      <c r="A883" s="3">
        <v>6.72856652E8</v>
      </c>
      <c r="B883" s="3" t="s">
        <v>1620</v>
      </c>
      <c r="C883" s="3">
        <f>IFERROR(__xludf.DUMMYFUNCTION("split(B883,""/"")"),6.0)</f>
        <v>6</v>
      </c>
      <c r="D883" s="10">
        <f>IFERROR(__xludf.DUMMYFUNCTION("""COMPUTED_VALUE"""),27.0)</f>
        <v>27</v>
      </c>
      <c r="E883" s="11">
        <f>IFERROR(__xludf.DUMMYFUNCTION("""COMPUTED_VALUE"""),2014.0)</f>
        <v>2014</v>
      </c>
      <c r="F883" s="12">
        <f t="shared" si="1"/>
        <v>41817</v>
      </c>
      <c r="G883" s="9">
        <v>41706.0</v>
      </c>
      <c r="H883" s="3">
        <f>IFERROR(__xludf.DUMMYFUNCTION("split(G883,""/"")"),8.0)</f>
        <v>8</v>
      </c>
      <c r="I883" s="3">
        <f>IFERROR(__xludf.DUMMYFUNCTION("""COMPUTED_VALUE"""),3.0)</f>
        <v>3</v>
      </c>
      <c r="J883" s="3">
        <f>IFERROR(__xludf.DUMMYFUNCTION("""COMPUTED_VALUE"""),2014.0)</f>
        <v>2014</v>
      </c>
      <c r="K883" s="12">
        <f t="shared" si="2"/>
        <v>41854</v>
      </c>
      <c r="L883" s="3" t="s">
        <v>817</v>
      </c>
      <c r="M883" s="3" t="s">
        <v>821</v>
      </c>
      <c r="N883" s="3">
        <v>7940.0</v>
      </c>
      <c r="O883" s="3" t="s">
        <v>815</v>
      </c>
      <c r="P883" s="10">
        <v>2091.0</v>
      </c>
      <c r="Q883" s="13">
        <v>668.27</v>
      </c>
      <c r="R883" s="13">
        <v>502.54</v>
      </c>
      <c r="S883" s="13">
        <f t="shared" si="3"/>
        <v>1397352.57</v>
      </c>
      <c r="T883" s="13">
        <f t="shared" si="4"/>
        <v>1050811.14</v>
      </c>
      <c r="U883" s="13">
        <f t="shared" si="5"/>
        <v>346541.43</v>
      </c>
      <c r="V883" s="3" t="str">
        <f>VLOOKUP(N883,products!A:B,2,0)</f>
        <v>Household</v>
      </c>
      <c r="W883" s="3" t="s">
        <v>821</v>
      </c>
      <c r="X883" s="3" t="s">
        <v>821</v>
      </c>
      <c r="Y883" s="14">
        <f t="shared" si="10"/>
        <v>0.2479985635</v>
      </c>
      <c r="Z883" s="3">
        <f t="shared" si="7"/>
        <v>37</v>
      </c>
      <c r="AA883" s="15">
        <f t="shared" si="8"/>
        <v>6</v>
      </c>
    </row>
    <row r="884" ht="15.75" customHeight="1">
      <c r="A884" s="3">
        <v>6.74060428E8</v>
      </c>
      <c r="B884" s="3" t="s">
        <v>1621</v>
      </c>
      <c r="C884" s="3">
        <f>IFERROR(__xludf.DUMMYFUNCTION("split(B884,""/"")"),12.0)</f>
        <v>12</v>
      </c>
      <c r="D884" s="10">
        <f>IFERROR(__xludf.DUMMYFUNCTION("""COMPUTED_VALUE"""),15.0)</f>
        <v>15</v>
      </c>
      <c r="E884" s="11">
        <f>IFERROR(__xludf.DUMMYFUNCTION("""COMPUTED_VALUE"""),2012.0)</f>
        <v>2012</v>
      </c>
      <c r="F884" s="12">
        <f t="shared" si="1"/>
        <v>41258</v>
      </c>
      <c r="G884" s="3" t="s">
        <v>933</v>
      </c>
      <c r="H884" s="3">
        <f>IFERROR(__xludf.DUMMYFUNCTION("split(G884,""/"")"),12.0)</f>
        <v>12</v>
      </c>
      <c r="I884" s="3">
        <f>IFERROR(__xludf.DUMMYFUNCTION("""COMPUTED_VALUE"""),17.0)</f>
        <v>17</v>
      </c>
      <c r="J884" s="3">
        <f>IFERROR(__xludf.DUMMYFUNCTION("""COMPUTED_VALUE"""),2012.0)</f>
        <v>2012</v>
      </c>
      <c r="K884" s="12">
        <f t="shared" si="2"/>
        <v>41260</v>
      </c>
      <c r="L884" s="3" t="s">
        <v>825</v>
      </c>
      <c r="M884" s="3" t="s">
        <v>97</v>
      </c>
      <c r="N884" s="3">
        <v>2103.0</v>
      </c>
      <c r="O884" s="3" t="s">
        <v>815</v>
      </c>
      <c r="P884" s="10">
        <v>8315.0</v>
      </c>
      <c r="Q884" s="13">
        <v>205.7</v>
      </c>
      <c r="R884" s="13">
        <v>117.11</v>
      </c>
      <c r="S884" s="13">
        <f t="shared" si="3"/>
        <v>1710395.5</v>
      </c>
      <c r="T884" s="13">
        <f t="shared" si="4"/>
        <v>973769.65</v>
      </c>
      <c r="U884" s="13">
        <f t="shared" si="5"/>
        <v>736625.85</v>
      </c>
      <c r="V884" s="3" t="str">
        <f>VLOOKUP(N884,products!A:B,2,0)</f>
        <v>Cereal</v>
      </c>
      <c r="W884" s="3" t="s">
        <v>28</v>
      </c>
      <c r="X884" s="3" t="s">
        <v>98</v>
      </c>
      <c r="Y884" s="14">
        <f t="shared" si="10"/>
        <v>0.4306757414</v>
      </c>
      <c r="Z884" s="3">
        <f t="shared" si="7"/>
        <v>2</v>
      </c>
      <c r="AA884" s="15">
        <f t="shared" si="8"/>
        <v>7</v>
      </c>
    </row>
    <row r="885" ht="15.75" customHeight="1">
      <c r="A885" s="3">
        <v>6.77851569E8</v>
      </c>
      <c r="B885" s="3" t="s">
        <v>835</v>
      </c>
      <c r="C885" s="3">
        <f>IFERROR(__xludf.DUMMYFUNCTION("split(B885,""/"")"),2.0)</f>
        <v>2</v>
      </c>
      <c r="D885" s="10">
        <f>IFERROR(__xludf.DUMMYFUNCTION("""COMPUTED_VALUE"""),22.0)</f>
        <v>22</v>
      </c>
      <c r="E885" s="11">
        <f>IFERROR(__xludf.DUMMYFUNCTION("""COMPUTED_VALUE"""),2011.0)</f>
        <v>2011</v>
      </c>
      <c r="F885" s="12">
        <f t="shared" si="1"/>
        <v>40596</v>
      </c>
      <c r="G885" s="9">
        <v>40577.0</v>
      </c>
      <c r="H885" s="3">
        <f>IFERROR(__xludf.DUMMYFUNCTION("split(G885,""/"")"),3.0)</f>
        <v>3</v>
      </c>
      <c r="I885" s="3">
        <f>IFERROR(__xludf.DUMMYFUNCTION("""COMPUTED_VALUE"""),2.0)</f>
        <v>2</v>
      </c>
      <c r="J885" s="3">
        <f>IFERROR(__xludf.DUMMYFUNCTION("""COMPUTED_VALUE"""),2011.0)</f>
        <v>2011</v>
      </c>
      <c r="K885" s="12">
        <f t="shared" si="2"/>
        <v>40604</v>
      </c>
      <c r="L885" s="3" t="s">
        <v>814</v>
      </c>
      <c r="M885" s="3" t="s">
        <v>373</v>
      </c>
      <c r="N885" s="3">
        <v>7940.0</v>
      </c>
      <c r="O885" s="3" t="s">
        <v>818</v>
      </c>
      <c r="P885" s="10">
        <v>198.0</v>
      </c>
      <c r="Q885" s="13">
        <v>668.27</v>
      </c>
      <c r="R885" s="13">
        <v>502.54</v>
      </c>
      <c r="S885" s="13">
        <f t="shared" si="3"/>
        <v>132317.46</v>
      </c>
      <c r="T885" s="13">
        <f t="shared" si="4"/>
        <v>99502.92</v>
      </c>
      <c r="U885" s="13">
        <f t="shared" si="5"/>
        <v>32814.54</v>
      </c>
      <c r="V885" s="3" t="str">
        <f>VLOOKUP(N885,products!A:B,2,0)</f>
        <v>Household</v>
      </c>
      <c r="W885" s="3" t="s">
        <v>28</v>
      </c>
      <c r="X885" s="3" t="s">
        <v>33</v>
      </c>
      <c r="Y885" s="14">
        <f t="shared" si="10"/>
        <v>0.2479985635</v>
      </c>
      <c r="Z885" s="3">
        <f t="shared" si="7"/>
        <v>8</v>
      </c>
      <c r="AA885" s="15">
        <f t="shared" si="8"/>
        <v>3</v>
      </c>
    </row>
    <row r="886" ht="15.75" customHeight="1">
      <c r="A886" s="3">
        <v>6.79039466E8</v>
      </c>
      <c r="B886" s="9">
        <v>40974.0</v>
      </c>
      <c r="C886" s="3">
        <f>IFERROR(__xludf.DUMMYFUNCTION("split(B886,""/"")"),6.0)</f>
        <v>6</v>
      </c>
      <c r="D886" s="10">
        <f>IFERROR(__xludf.DUMMYFUNCTION("""COMPUTED_VALUE"""),3.0)</f>
        <v>3</v>
      </c>
      <c r="E886" s="11">
        <f>IFERROR(__xludf.DUMMYFUNCTION("""COMPUTED_VALUE"""),2012.0)</f>
        <v>2012</v>
      </c>
      <c r="F886" s="12">
        <f t="shared" si="1"/>
        <v>41063</v>
      </c>
      <c r="G886" s="9">
        <v>41036.0</v>
      </c>
      <c r="H886" s="3">
        <f>IFERROR(__xludf.DUMMYFUNCTION("split(G886,""/"")"),7.0)</f>
        <v>7</v>
      </c>
      <c r="I886" s="3">
        <f>IFERROR(__xludf.DUMMYFUNCTION("""COMPUTED_VALUE"""),5.0)</f>
        <v>5</v>
      </c>
      <c r="J886" s="3">
        <f>IFERROR(__xludf.DUMMYFUNCTION("""COMPUTED_VALUE"""),2012.0)</f>
        <v>2012</v>
      </c>
      <c r="K886" s="12">
        <f t="shared" si="2"/>
        <v>41095</v>
      </c>
      <c r="L886" s="3" t="s">
        <v>827</v>
      </c>
      <c r="M886" s="3" t="s">
        <v>686</v>
      </c>
      <c r="N886" s="3">
        <v>8293.0</v>
      </c>
      <c r="O886" s="3" t="s">
        <v>818</v>
      </c>
      <c r="P886" s="10">
        <v>1723.0</v>
      </c>
      <c r="Q886" s="13">
        <v>437.2</v>
      </c>
      <c r="R886" s="13">
        <v>263.33</v>
      </c>
      <c r="S886" s="13">
        <f t="shared" si="3"/>
        <v>753295.6</v>
      </c>
      <c r="T886" s="13">
        <f t="shared" si="4"/>
        <v>453717.59</v>
      </c>
      <c r="U886" s="13">
        <f t="shared" si="5"/>
        <v>299578.01</v>
      </c>
      <c r="V886" s="3" t="str">
        <f>VLOOKUP(N886,products!A:B,2,0)</f>
        <v>Cosmetics</v>
      </c>
      <c r="W886" s="3" t="s">
        <v>28</v>
      </c>
      <c r="X886" s="3" t="s">
        <v>29</v>
      </c>
      <c r="Y886" s="14">
        <f t="shared" si="10"/>
        <v>0.3976898445</v>
      </c>
      <c r="Z886" s="3">
        <f t="shared" si="7"/>
        <v>32</v>
      </c>
      <c r="AA886" s="15">
        <f t="shared" si="8"/>
        <v>1</v>
      </c>
    </row>
    <row r="887" ht="15.75" customHeight="1">
      <c r="A887" s="3">
        <v>6.7910856E8</v>
      </c>
      <c r="B887" s="3" t="s">
        <v>1622</v>
      </c>
      <c r="C887" s="3">
        <f>IFERROR(__xludf.DUMMYFUNCTION("split(B887,""/"")"),4.0)</f>
        <v>4</v>
      </c>
      <c r="D887" s="10">
        <f>IFERROR(__xludf.DUMMYFUNCTION("""COMPUTED_VALUE"""),27.0)</f>
        <v>27</v>
      </c>
      <c r="E887" s="11">
        <f>IFERROR(__xludf.DUMMYFUNCTION("""COMPUTED_VALUE"""),2014.0)</f>
        <v>2014</v>
      </c>
      <c r="F887" s="12">
        <f t="shared" si="1"/>
        <v>41756</v>
      </c>
      <c r="G887" s="9">
        <v>41949.0</v>
      </c>
      <c r="H887" s="3">
        <f>IFERROR(__xludf.DUMMYFUNCTION("split(G887,""/"")"),6.0)</f>
        <v>6</v>
      </c>
      <c r="I887" s="3">
        <f>IFERROR(__xludf.DUMMYFUNCTION("""COMPUTED_VALUE"""),11.0)</f>
        <v>11</v>
      </c>
      <c r="J887" s="3">
        <f>IFERROR(__xludf.DUMMYFUNCTION("""COMPUTED_VALUE"""),2014.0)</f>
        <v>2014</v>
      </c>
      <c r="K887" s="12">
        <f t="shared" si="2"/>
        <v>41801</v>
      </c>
      <c r="L887" s="3" t="s">
        <v>814</v>
      </c>
      <c r="M887" s="3" t="s">
        <v>428</v>
      </c>
      <c r="N887" s="3">
        <v>7940.0</v>
      </c>
      <c r="O887" s="3" t="s">
        <v>815</v>
      </c>
      <c r="P887" s="10">
        <v>2169.0</v>
      </c>
      <c r="Q887" s="13">
        <v>668.27</v>
      </c>
      <c r="R887" s="13">
        <v>502.54</v>
      </c>
      <c r="S887" s="13">
        <f t="shared" si="3"/>
        <v>1449477.63</v>
      </c>
      <c r="T887" s="13">
        <f t="shared" si="4"/>
        <v>1090009.26</v>
      </c>
      <c r="U887" s="13">
        <f t="shared" si="5"/>
        <v>359468.37</v>
      </c>
      <c r="V887" s="3" t="str">
        <f>VLOOKUP(N887,products!A:B,2,0)</f>
        <v>Household</v>
      </c>
      <c r="W887" s="3" t="s">
        <v>28</v>
      </c>
      <c r="X887" s="3" t="s">
        <v>79</v>
      </c>
      <c r="Y887" s="14">
        <f t="shared" si="10"/>
        <v>0.2479985635</v>
      </c>
      <c r="Z887" s="3">
        <f t="shared" si="7"/>
        <v>45</v>
      </c>
      <c r="AA887" s="15">
        <f t="shared" si="8"/>
        <v>1</v>
      </c>
    </row>
    <row r="888" ht="15.75" customHeight="1">
      <c r="A888" s="3">
        <v>6.8032521E8</v>
      </c>
      <c r="B888" s="3" t="s">
        <v>1035</v>
      </c>
      <c r="C888" s="3">
        <f>IFERROR(__xludf.DUMMYFUNCTION("split(B888,""/"")"),6.0)</f>
        <v>6</v>
      </c>
      <c r="D888" s="10">
        <f>IFERROR(__xludf.DUMMYFUNCTION("""COMPUTED_VALUE"""),21.0)</f>
        <v>21</v>
      </c>
      <c r="E888" s="11">
        <f>IFERROR(__xludf.DUMMYFUNCTION("""COMPUTED_VALUE"""),2017.0)</f>
        <v>2017</v>
      </c>
      <c r="F888" s="12">
        <f t="shared" si="1"/>
        <v>42907</v>
      </c>
      <c r="G888" s="3" t="s">
        <v>1623</v>
      </c>
      <c r="H888" s="3">
        <f>IFERROR(__xludf.DUMMYFUNCTION("split(G888,""/"")"),7.0)</f>
        <v>7</v>
      </c>
      <c r="I888" s="3">
        <f>IFERROR(__xludf.DUMMYFUNCTION("""COMPUTED_VALUE"""),23.0)</f>
        <v>23</v>
      </c>
      <c r="J888" s="3">
        <f>IFERROR(__xludf.DUMMYFUNCTION("""COMPUTED_VALUE"""),2017.0)</f>
        <v>2017</v>
      </c>
      <c r="K888" s="12">
        <f t="shared" si="2"/>
        <v>42939</v>
      </c>
      <c r="L888" s="3" t="s">
        <v>817</v>
      </c>
      <c r="M888" s="3" t="s">
        <v>267</v>
      </c>
      <c r="N888" s="3">
        <v>5988.0</v>
      </c>
      <c r="O888" s="3" t="s">
        <v>815</v>
      </c>
      <c r="P888" s="10">
        <v>2203.0</v>
      </c>
      <c r="Q888" s="13">
        <v>154.06</v>
      </c>
      <c r="R888" s="13">
        <v>90.93</v>
      </c>
      <c r="S888" s="13">
        <f t="shared" si="3"/>
        <v>339394.18</v>
      </c>
      <c r="T888" s="13">
        <f t="shared" si="4"/>
        <v>200318.79</v>
      </c>
      <c r="U888" s="13">
        <f t="shared" si="5"/>
        <v>139075.39</v>
      </c>
      <c r="V888" s="3" t="str">
        <f>VLOOKUP(N888,products!A:B,2,0)</f>
        <v>Vegetables</v>
      </c>
      <c r="W888" s="3" t="s">
        <v>28</v>
      </c>
      <c r="X888" s="3" t="s">
        <v>29</v>
      </c>
      <c r="Y888" s="14">
        <f t="shared" si="10"/>
        <v>0.4097754122</v>
      </c>
      <c r="Z888" s="3">
        <f t="shared" si="7"/>
        <v>32</v>
      </c>
      <c r="AA888" s="15">
        <f t="shared" si="8"/>
        <v>4</v>
      </c>
    </row>
    <row r="889" ht="15.75" customHeight="1">
      <c r="A889" s="3">
        <v>6.81713092E8</v>
      </c>
      <c r="B889" s="9">
        <v>40393.0</v>
      </c>
      <c r="C889" s="3">
        <f>IFERROR(__xludf.DUMMYFUNCTION("split(B889,""/"")"),3.0)</f>
        <v>3</v>
      </c>
      <c r="D889" s="10">
        <f>IFERROR(__xludf.DUMMYFUNCTION("""COMPUTED_VALUE"""),8.0)</f>
        <v>8</v>
      </c>
      <c r="E889" s="11">
        <f>IFERROR(__xludf.DUMMYFUNCTION("""COMPUTED_VALUE"""),2010.0)</f>
        <v>2010</v>
      </c>
      <c r="F889" s="12">
        <f t="shared" si="1"/>
        <v>40245</v>
      </c>
      <c r="G889" s="3" t="s">
        <v>1624</v>
      </c>
      <c r="H889" s="3">
        <f>IFERROR(__xludf.DUMMYFUNCTION("split(G889,""/"")"),3.0)</f>
        <v>3</v>
      </c>
      <c r="I889" s="3">
        <f>IFERROR(__xludf.DUMMYFUNCTION("""COMPUTED_VALUE"""),22.0)</f>
        <v>22</v>
      </c>
      <c r="J889" s="3">
        <f>IFERROR(__xludf.DUMMYFUNCTION("""COMPUTED_VALUE"""),2010.0)</f>
        <v>2010</v>
      </c>
      <c r="K889" s="12">
        <f t="shared" si="2"/>
        <v>40259</v>
      </c>
      <c r="L889" s="3" t="s">
        <v>827</v>
      </c>
      <c r="M889" s="3" t="s">
        <v>97</v>
      </c>
      <c r="N889" s="3">
        <v>1270.0</v>
      </c>
      <c r="O889" s="3" t="s">
        <v>815</v>
      </c>
      <c r="P889" s="10">
        <v>2908.0</v>
      </c>
      <c r="Q889" s="13">
        <v>47.45</v>
      </c>
      <c r="R889" s="13">
        <v>31.79</v>
      </c>
      <c r="S889" s="13">
        <f t="shared" si="3"/>
        <v>137984.6</v>
      </c>
      <c r="T889" s="13">
        <f t="shared" si="4"/>
        <v>92445.32</v>
      </c>
      <c r="U889" s="13">
        <f t="shared" si="5"/>
        <v>45539.28</v>
      </c>
      <c r="V889" s="3" t="str">
        <f>VLOOKUP(N889,products!A:B,2,0)</f>
        <v>Beverages</v>
      </c>
      <c r="W889" s="3" t="s">
        <v>28</v>
      </c>
      <c r="X889" s="3" t="s">
        <v>98</v>
      </c>
      <c r="Y889" s="14">
        <f t="shared" si="10"/>
        <v>0.3300316122</v>
      </c>
      <c r="Z889" s="3">
        <f t="shared" si="7"/>
        <v>14</v>
      </c>
      <c r="AA889" s="15">
        <f t="shared" si="8"/>
        <v>2</v>
      </c>
    </row>
    <row r="890" ht="15.75" customHeight="1">
      <c r="A890" s="3">
        <v>6.82066285E8</v>
      </c>
      <c r="B890" s="3" t="s">
        <v>1625</v>
      </c>
      <c r="C890" s="3">
        <f>IFERROR(__xludf.DUMMYFUNCTION("split(B890,""/"")"),5.0)</f>
        <v>5</v>
      </c>
      <c r="D890" s="10">
        <f>IFERROR(__xludf.DUMMYFUNCTION("""COMPUTED_VALUE"""),26.0)</f>
        <v>26</v>
      </c>
      <c r="E890" s="11">
        <f>IFERROR(__xludf.DUMMYFUNCTION("""COMPUTED_VALUE"""),2013.0)</f>
        <v>2013</v>
      </c>
      <c r="F890" s="12">
        <f t="shared" si="1"/>
        <v>41420</v>
      </c>
      <c r="G890" s="3" t="s">
        <v>899</v>
      </c>
      <c r="H890" s="3">
        <f>IFERROR(__xludf.DUMMYFUNCTION("split(G890,""/"")"),7.0)</f>
        <v>7</v>
      </c>
      <c r="I890" s="3">
        <f>IFERROR(__xludf.DUMMYFUNCTION("""COMPUTED_VALUE"""),13.0)</f>
        <v>13</v>
      </c>
      <c r="J890" s="3">
        <f>IFERROR(__xludf.DUMMYFUNCTION("""COMPUTED_VALUE"""),2013.0)</f>
        <v>2013</v>
      </c>
      <c r="K890" s="12">
        <f t="shared" si="2"/>
        <v>41468</v>
      </c>
      <c r="L890" s="3" t="s">
        <v>827</v>
      </c>
      <c r="M890" s="3" t="s">
        <v>101</v>
      </c>
      <c r="N890" s="3">
        <v>5988.0</v>
      </c>
      <c r="O890" s="3" t="s">
        <v>815</v>
      </c>
      <c r="P890" s="10">
        <v>7426.0</v>
      </c>
      <c r="Q890" s="13">
        <v>154.06</v>
      </c>
      <c r="R890" s="13">
        <v>90.93</v>
      </c>
      <c r="S890" s="13">
        <f t="shared" si="3"/>
        <v>1144049.56</v>
      </c>
      <c r="T890" s="13">
        <f t="shared" si="4"/>
        <v>675246.18</v>
      </c>
      <c r="U890" s="13">
        <f t="shared" si="5"/>
        <v>468803.38</v>
      </c>
      <c r="V890" s="3" t="str">
        <f>VLOOKUP(N890,products!A:B,2,0)</f>
        <v>Vegetables</v>
      </c>
      <c r="W890" s="3" t="s">
        <v>28</v>
      </c>
      <c r="X890" s="3" t="s">
        <v>79</v>
      </c>
      <c r="Y890" s="14">
        <f t="shared" si="10"/>
        <v>0.4097754122</v>
      </c>
      <c r="Z890" s="3">
        <f t="shared" si="7"/>
        <v>48</v>
      </c>
      <c r="AA890" s="15">
        <f t="shared" si="8"/>
        <v>1</v>
      </c>
    </row>
    <row r="891" ht="15.75" customHeight="1">
      <c r="A891" s="3">
        <v>6.82162415E8</v>
      </c>
      <c r="B891" s="3" t="s">
        <v>1232</v>
      </c>
      <c r="C891" s="3">
        <f>IFERROR(__xludf.DUMMYFUNCTION("split(B891,""/"")"),1.0)</f>
        <v>1</v>
      </c>
      <c r="D891" s="10">
        <f>IFERROR(__xludf.DUMMYFUNCTION("""COMPUTED_VALUE"""),16.0)</f>
        <v>16</v>
      </c>
      <c r="E891" s="11">
        <f>IFERROR(__xludf.DUMMYFUNCTION("""COMPUTED_VALUE"""),2016.0)</f>
        <v>2016</v>
      </c>
      <c r="F891" s="12">
        <f t="shared" si="1"/>
        <v>42385</v>
      </c>
      <c r="G891" s="3" t="s">
        <v>1068</v>
      </c>
      <c r="H891" s="3">
        <f>IFERROR(__xludf.DUMMYFUNCTION("split(G891,""/"")"),2.0)</f>
        <v>2</v>
      </c>
      <c r="I891" s="3">
        <f>IFERROR(__xludf.DUMMYFUNCTION("""COMPUTED_VALUE"""),26.0)</f>
        <v>26</v>
      </c>
      <c r="J891" s="3">
        <f>IFERROR(__xludf.DUMMYFUNCTION("""COMPUTED_VALUE"""),2016.0)</f>
        <v>2016</v>
      </c>
      <c r="K891" s="12">
        <f t="shared" si="2"/>
        <v>42426</v>
      </c>
      <c r="L891" s="3" t="s">
        <v>817</v>
      </c>
      <c r="M891" s="3" t="s">
        <v>590</v>
      </c>
      <c r="N891" s="3">
        <v>8875.0</v>
      </c>
      <c r="O891" s="3" t="s">
        <v>818</v>
      </c>
      <c r="P891" s="10">
        <v>5873.0</v>
      </c>
      <c r="Q891" s="13">
        <v>421.89</v>
      </c>
      <c r="R891" s="13">
        <v>364.69</v>
      </c>
      <c r="S891" s="13">
        <f t="shared" si="3"/>
        <v>2477759.97</v>
      </c>
      <c r="T891" s="13">
        <f t="shared" si="4"/>
        <v>2141824.37</v>
      </c>
      <c r="U891" s="13">
        <f t="shared" si="5"/>
        <v>335935.6</v>
      </c>
      <c r="V891" s="3" t="str">
        <f>VLOOKUP(N891,products!A:B,2,0)</f>
        <v>Meat</v>
      </c>
      <c r="W891" s="3" t="s">
        <v>28</v>
      </c>
      <c r="X891" s="3" t="s">
        <v>98</v>
      </c>
      <c r="Y891" s="14">
        <f t="shared" si="10"/>
        <v>0.1355803646</v>
      </c>
      <c r="Z891" s="3">
        <f t="shared" si="7"/>
        <v>41</v>
      </c>
      <c r="AA891" s="15">
        <f t="shared" si="8"/>
        <v>7</v>
      </c>
    </row>
    <row r="892" ht="15.75" customHeight="1">
      <c r="A892" s="3">
        <v>6.82314765E8</v>
      </c>
      <c r="B892" s="3" t="s">
        <v>1626</v>
      </c>
      <c r="C892" s="3">
        <f>IFERROR(__xludf.DUMMYFUNCTION("split(B892,""/"")"),11.0)</f>
        <v>11</v>
      </c>
      <c r="D892" s="10">
        <f>IFERROR(__xludf.DUMMYFUNCTION("""COMPUTED_VALUE"""),26.0)</f>
        <v>26</v>
      </c>
      <c r="E892" s="11">
        <f>IFERROR(__xludf.DUMMYFUNCTION("""COMPUTED_VALUE"""),2015.0)</f>
        <v>2015</v>
      </c>
      <c r="F892" s="12">
        <f t="shared" si="1"/>
        <v>42334</v>
      </c>
      <c r="G892" s="3" t="s">
        <v>1627</v>
      </c>
      <c r="H892" s="3">
        <f>IFERROR(__xludf.DUMMYFUNCTION("split(G892,""/"")"),12.0)</f>
        <v>12</v>
      </c>
      <c r="I892" s="3">
        <f>IFERROR(__xludf.DUMMYFUNCTION("""COMPUTED_VALUE"""),20.0)</f>
        <v>20</v>
      </c>
      <c r="J892" s="3">
        <f>IFERROR(__xludf.DUMMYFUNCTION("""COMPUTED_VALUE"""),2015.0)</f>
        <v>2015</v>
      </c>
      <c r="K892" s="12">
        <f t="shared" si="2"/>
        <v>42358</v>
      </c>
      <c r="L892" s="3" t="s">
        <v>825</v>
      </c>
      <c r="M892" s="3" t="s">
        <v>291</v>
      </c>
      <c r="N892" s="3">
        <v>1270.0</v>
      </c>
      <c r="O892" s="3" t="s">
        <v>818</v>
      </c>
      <c r="P892" s="10">
        <v>956.0</v>
      </c>
      <c r="Q892" s="13">
        <v>47.45</v>
      </c>
      <c r="R892" s="13">
        <v>31.79</v>
      </c>
      <c r="S892" s="13">
        <f t="shared" si="3"/>
        <v>45362.2</v>
      </c>
      <c r="T892" s="13">
        <f t="shared" si="4"/>
        <v>30391.24</v>
      </c>
      <c r="U892" s="13">
        <f t="shared" si="5"/>
        <v>14970.96</v>
      </c>
      <c r="V892" s="3" t="str">
        <f>VLOOKUP(N892,products!A:B,2,0)</f>
        <v>Beverages</v>
      </c>
      <c r="W892" s="3" t="s">
        <v>28</v>
      </c>
      <c r="X892" s="3" t="s">
        <v>79</v>
      </c>
      <c r="Y892" s="14">
        <f t="shared" si="10"/>
        <v>0.3300316122</v>
      </c>
      <c r="Z892" s="3">
        <f t="shared" si="7"/>
        <v>24</v>
      </c>
      <c r="AA892" s="15">
        <f t="shared" si="8"/>
        <v>5</v>
      </c>
    </row>
    <row r="893" ht="15.75" customHeight="1">
      <c r="A893" s="3">
        <v>6.84239947E8</v>
      </c>
      <c r="B893" s="3" t="s">
        <v>1372</v>
      </c>
      <c r="C893" s="3">
        <f>IFERROR(__xludf.DUMMYFUNCTION("split(B893,""/"")"),8.0)</f>
        <v>8</v>
      </c>
      <c r="D893" s="10">
        <f>IFERROR(__xludf.DUMMYFUNCTION("""COMPUTED_VALUE"""),24.0)</f>
        <v>24</v>
      </c>
      <c r="E893" s="11">
        <f>IFERROR(__xludf.DUMMYFUNCTION("""COMPUTED_VALUE"""),2013.0)</f>
        <v>2013</v>
      </c>
      <c r="F893" s="12">
        <f t="shared" si="1"/>
        <v>41510</v>
      </c>
      <c r="G893" s="3" t="s">
        <v>1628</v>
      </c>
      <c r="H893" s="3">
        <f>IFERROR(__xludf.DUMMYFUNCTION("split(G893,""/"")"),8.0)</f>
        <v>8</v>
      </c>
      <c r="I893" s="3">
        <f>IFERROR(__xludf.DUMMYFUNCTION("""COMPUTED_VALUE"""),31.0)</f>
        <v>31</v>
      </c>
      <c r="J893" s="3">
        <f>IFERROR(__xludf.DUMMYFUNCTION("""COMPUTED_VALUE"""),2013.0)</f>
        <v>2013</v>
      </c>
      <c r="K893" s="12">
        <f t="shared" si="2"/>
        <v>41517</v>
      </c>
      <c r="L893" s="3" t="s">
        <v>825</v>
      </c>
      <c r="M893" s="3" t="s">
        <v>686</v>
      </c>
      <c r="N893" s="3">
        <v>8293.0</v>
      </c>
      <c r="O893" s="3" t="s">
        <v>815</v>
      </c>
      <c r="P893" s="10">
        <v>661.0</v>
      </c>
      <c r="Q893" s="13">
        <v>437.2</v>
      </c>
      <c r="R893" s="13">
        <v>263.33</v>
      </c>
      <c r="S893" s="13">
        <f t="shared" si="3"/>
        <v>288989.2</v>
      </c>
      <c r="T893" s="13">
        <f t="shared" si="4"/>
        <v>174061.13</v>
      </c>
      <c r="U893" s="13">
        <f t="shared" si="5"/>
        <v>114928.07</v>
      </c>
      <c r="V893" s="3" t="str">
        <f>VLOOKUP(N893,products!A:B,2,0)</f>
        <v>Cosmetics</v>
      </c>
      <c r="W893" s="3" t="s">
        <v>28</v>
      </c>
      <c r="X893" s="3" t="s">
        <v>29</v>
      </c>
      <c r="Y893" s="14">
        <f t="shared" si="10"/>
        <v>0.3976898445</v>
      </c>
      <c r="Z893" s="3">
        <f t="shared" si="7"/>
        <v>7</v>
      </c>
      <c r="AA893" s="15">
        <f t="shared" si="8"/>
        <v>7</v>
      </c>
    </row>
    <row r="894" ht="15.75" customHeight="1">
      <c r="A894" s="3">
        <v>6.84853637E8</v>
      </c>
      <c r="B894" s="3" t="s">
        <v>1243</v>
      </c>
      <c r="C894" s="3">
        <f>IFERROR(__xludf.DUMMYFUNCTION("split(B894,""/"")"),2.0)</f>
        <v>2</v>
      </c>
      <c r="D894" s="10">
        <f>IFERROR(__xludf.DUMMYFUNCTION("""COMPUTED_VALUE"""),15.0)</f>
        <v>15</v>
      </c>
      <c r="E894" s="11">
        <f>IFERROR(__xludf.DUMMYFUNCTION("""COMPUTED_VALUE"""),2012.0)</f>
        <v>2012</v>
      </c>
      <c r="F894" s="12">
        <f t="shared" si="1"/>
        <v>40954</v>
      </c>
      <c r="G894" s="9">
        <v>40972.0</v>
      </c>
      <c r="H894" s="3">
        <f>IFERROR(__xludf.DUMMYFUNCTION("split(G894,""/"")"),4.0)</f>
        <v>4</v>
      </c>
      <c r="I894" s="3">
        <f>IFERROR(__xludf.DUMMYFUNCTION("""COMPUTED_VALUE"""),3.0)</f>
        <v>3</v>
      </c>
      <c r="J894" s="3">
        <f>IFERROR(__xludf.DUMMYFUNCTION("""COMPUTED_VALUE"""),2012.0)</f>
        <v>2012</v>
      </c>
      <c r="K894" s="12">
        <f t="shared" si="2"/>
        <v>41002</v>
      </c>
      <c r="L894" s="3" t="s">
        <v>827</v>
      </c>
      <c r="M894" s="3" t="s">
        <v>578</v>
      </c>
      <c r="N894" s="3">
        <v>2455.0</v>
      </c>
      <c r="O894" s="3" t="s">
        <v>818</v>
      </c>
      <c r="P894" s="10">
        <v>2265.0</v>
      </c>
      <c r="Q894" s="13">
        <v>109.28</v>
      </c>
      <c r="R894" s="13">
        <v>35.84</v>
      </c>
      <c r="S894" s="13">
        <f t="shared" si="3"/>
        <v>247519.2</v>
      </c>
      <c r="T894" s="13">
        <f t="shared" si="4"/>
        <v>81177.6</v>
      </c>
      <c r="U894" s="13">
        <f t="shared" si="5"/>
        <v>166341.6</v>
      </c>
      <c r="V894" s="3" t="str">
        <f>VLOOKUP(N894,products!A:B,2,0)</f>
        <v>Clothes</v>
      </c>
      <c r="W894" s="3" t="s">
        <v>28</v>
      </c>
      <c r="X894" s="3" t="s">
        <v>33</v>
      </c>
      <c r="Y894" s="14">
        <f t="shared" si="10"/>
        <v>0.6720351391</v>
      </c>
      <c r="Z894" s="3">
        <f t="shared" si="7"/>
        <v>48</v>
      </c>
      <c r="AA894" s="15">
        <f t="shared" si="8"/>
        <v>4</v>
      </c>
    </row>
    <row r="895" ht="15.75" customHeight="1">
      <c r="A895" s="3">
        <v>6.85233008E8</v>
      </c>
      <c r="B895" s="3" t="s">
        <v>1017</v>
      </c>
      <c r="C895" s="3">
        <f>IFERROR(__xludf.DUMMYFUNCTION("split(B895,""/"")"),9.0)</f>
        <v>9</v>
      </c>
      <c r="D895" s="10">
        <f>IFERROR(__xludf.DUMMYFUNCTION("""COMPUTED_VALUE"""),26.0)</f>
        <v>26</v>
      </c>
      <c r="E895" s="11">
        <f>IFERROR(__xludf.DUMMYFUNCTION("""COMPUTED_VALUE"""),2011.0)</f>
        <v>2011</v>
      </c>
      <c r="F895" s="12">
        <f t="shared" si="1"/>
        <v>40812</v>
      </c>
      <c r="G895" s="3" t="s">
        <v>1629</v>
      </c>
      <c r="H895" s="3">
        <f>IFERROR(__xludf.DUMMYFUNCTION("split(G895,""/"")"),10.0)</f>
        <v>10</v>
      </c>
      <c r="I895" s="3">
        <f>IFERROR(__xludf.DUMMYFUNCTION("""COMPUTED_VALUE"""),17.0)</f>
        <v>17</v>
      </c>
      <c r="J895" s="3">
        <f>IFERROR(__xludf.DUMMYFUNCTION("""COMPUTED_VALUE"""),2011.0)</f>
        <v>2011</v>
      </c>
      <c r="K895" s="12">
        <f t="shared" si="2"/>
        <v>40833</v>
      </c>
      <c r="L895" s="3" t="s">
        <v>817</v>
      </c>
      <c r="M895" s="3" t="s">
        <v>575</v>
      </c>
      <c r="N895" s="3">
        <v>7331.0</v>
      </c>
      <c r="O895" s="3" t="s">
        <v>815</v>
      </c>
      <c r="P895" s="10">
        <v>4529.0</v>
      </c>
      <c r="Q895" s="13">
        <v>255.28</v>
      </c>
      <c r="R895" s="13">
        <v>159.42</v>
      </c>
      <c r="S895" s="13">
        <f t="shared" si="3"/>
        <v>1156163.12</v>
      </c>
      <c r="T895" s="13">
        <f t="shared" si="4"/>
        <v>722013.18</v>
      </c>
      <c r="U895" s="13">
        <f t="shared" si="5"/>
        <v>434149.94</v>
      </c>
      <c r="V895" s="3" t="str">
        <f>VLOOKUP(N895,products!A:B,2,0)</f>
        <v>Baby Food</v>
      </c>
      <c r="W895" s="3" t="s">
        <v>28</v>
      </c>
      <c r="X895" s="3" t="s">
        <v>98</v>
      </c>
      <c r="Y895" s="14">
        <f t="shared" si="10"/>
        <v>0.3755092448</v>
      </c>
      <c r="Z895" s="3">
        <f t="shared" si="7"/>
        <v>21</v>
      </c>
      <c r="AA895" s="15">
        <f t="shared" si="8"/>
        <v>2</v>
      </c>
    </row>
    <row r="896" ht="15.75" customHeight="1">
      <c r="A896" s="3">
        <v>6.8559693E8</v>
      </c>
      <c r="B896" s="3" t="s">
        <v>1630</v>
      </c>
      <c r="C896" s="3">
        <f>IFERROR(__xludf.DUMMYFUNCTION("split(B896,""/"")"),4.0)</f>
        <v>4</v>
      </c>
      <c r="D896" s="10">
        <f>IFERROR(__xludf.DUMMYFUNCTION("""COMPUTED_VALUE"""),29.0)</f>
        <v>29</v>
      </c>
      <c r="E896" s="11">
        <f>IFERROR(__xludf.DUMMYFUNCTION("""COMPUTED_VALUE"""),2016.0)</f>
        <v>2016</v>
      </c>
      <c r="F896" s="12">
        <f t="shared" si="1"/>
        <v>42489</v>
      </c>
      <c r="G896" s="3" t="s">
        <v>1631</v>
      </c>
      <c r="H896" s="3">
        <f>IFERROR(__xludf.DUMMYFUNCTION("split(G896,""/"")"),6.0)</f>
        <v>6</v>
      </c>
      <c r="I896" s="3">
        <f>IFERROR(__xludf.DUMMYFUNCTION("""COMPUTED_VALUE"""),16.0)</f>
        <v>16</v>
      </c>
      <c r="J896" s="3">
        <f>IFERROR(__xludf.DUMMYFUNCTION("""COMPUTED_VALUE"""),2016.0)</f>
        <v>2016</v>
      </c>
      <c r="K896" s="12">
        <f t="shared" si="2"/>
        <v>42537</v>
      </c>
      <c r="L896" s="3" t="s">
        <v>825</v>
      </c>
      <c r="M896" s="3" t="s">
        <v>488</v>
      </c>
      <c r="N896" s="3">
        <v>2455.0</v>
      </c>
      <c r="O896" s="3" t="s">
        <v>815</v>
      </c>
      <c r="P896" s="10">
        <v>2222.0</v>
      </c>
      <c r="Q896" s="13">
        <v>109.28</v>
      </c>
      <c r="R896" s="13">
        <v>35.84</v>
      </c>
      <c r="S896" s="13">
        <f t="shared" si="3"/>
        <v>242820.16</v>
      </c>
      <c r="T896" s="13">
        <f t="shared" si="4"/>
        <v>79636.48</v>
      </c>
      <c r="U896" s="13">
        <f t="shared" si="5"/>
        <v>163183.68</v>
      </c>
      <c r="V896" s="3" t="str">
        <f>VLOOKUP(N896,products!A:B,2,0)</f>
        <v>Clothes</v>
      </c>
      <c r="W896" s="3" t="s">
        <v>28</v>
      </c>
      <c r="X896" s="3" t="s">
        <v>33</v>
      </c>
      <c r="Y896" s="14">
        <f t="shared" si="10"/>
        <v>0.6720351391</v>
      </c>
      <c r="Z896" s="3">
        <f t="shared" si="7"/>
        <v>48</v>
      </c>
      <c r="AA896" s="15">
        <f t="shared" si="8"/>
        <v>6</v>
      </c>
    </row>
    <row r="897" ht="15.75" customHeight="1">
      <c r="A897" s="3">
        <v>6.87374913E8</v>
      </c>
      <c r="B897" s="9">
        <v>40452.0</v>
      </c>
      <c r="C897" s="3">
        <f>IFERROR(__xludf.DUMMYFUNCTION("split(B897,""/"")"),1.0)</f>
        <v>1</v>
      </c>
      <c r="D897" s="10">
        <f>IFERROR(__xludf.DUMMYFUNCTION("""COMPUTED_VALUE"""),10.0)</f>
        <v>10</v>
      </c>
      <c r="E897" s="11">
        <f>IFERROR(__xludf.DUMMYFUNCTION("""COMPUTED_VALUE"""),2010.0)</f>
        <v>2010</v>
      </c>
      <c r="F897" s="12">
        <f t="shared" si="1"/>
        <v>40188</v>
      </c>
      <c r="G897" s="3" t="s">
        <v>1632</v>
      </c>
      <c r="H897" s="3">
        <f>IFERROR(__xludf.DUMMYFUNCTION("split(G897,""/"")"),2.0)</f>
        <v>2</v>
      </c>
      <c r="I897" s="3">
        <f>IFERROR(__xludf.DUMMYFUNCTION("""COMPUTED_VALUE"""),26.0)</f>
        <v>26</v>
      </c>
      <c r="J897" s="3">
        <f>IFERROR(__xludf.DUMMYFUNCTION("""COMPUTED_VALUE"""),2010.0)</f>
        <v>2010</v>
      </c>
      <c r="K897" s="12">
        <f t="shared" si="2"/>
        <v>40235</v>
      </c>
      <c r="L897" s="3" t="s">
        <v>814</v>
      </c>
      <c r="M897" s="3" t="s">
        <v>300</v>
      </c>
      <c r="N897" s="3">
        <v>2103.0</v>
      </c>
      <c r="O897" s="3" t="s">
        <v>815</v>
      </c>
      <c r="P897" s="10">
        <v>8367.0</v>
      </c>
      <c r="Q897" s="13">
        <v>205.7</v>
      </c>
      <c r="R897" s="13">
        <v>117.11</v>
      </c>
      <c r="S897" s="13">
        <f t="shared" si="3"/>
        <v>1721091.9</v>
      </c>
      <c r="T897" s="13">
        <f t="shared" si="4"/>
        <v>979859.37</v>
      </c>
      <c r="U897" s="13">
        <f t="shared" si="5"/>
        <v>741232.53</v>
      </c>
      <c r="V897" s="3" t="str">
        <f>VLOOKUP(N897,products!A:B,2,0)</f>
        <v>Cereal</v>
      </c>
      <c r="W897" s="3" t="s">
        <v>28</v>
      </c>
      <c r="X897" s="3" t="s">
        <v>33</v>
      </c>
      <c r="Y897" s="14">
        <f t="shared" si="10"/>
        <v>0.4306757414</v>
      </c>
      <c r="Z897" s="3">
        <f t="shared" si="7"/>
        <v>47</v>
      </c>
      <c r="AA897" s="15">
        <f t="shared" si="8"/>
        <v>1</v>
      </c>
    </row>
    <row r="898" ht="15.75" customHeight="1">
      <c r="A898" s="3">
        <v>6.88650786E8</v>
      </c>
      <c r="B898" s="3" t="s">
        <v>1633</v>
      </c>
      <c r="C898" s="3">
        <f>IFERROR(__xludf.DUMMYFUNCTION("split(B898,""/"")"),6.0)</f>
        <v>6</v>
      </c>
      <c r="D898" s="10">
        <f>IFERROR(__xludf.DUMMYFUNCTION("""COMPUTED_VALUE"""),23.0)</f>
        <v>23</v>
      </c>
      <c r="E898" s="11">
        <f>IFERROR(__xludf.DUMMYFUNCTION("""COMPUTED_VALUE"""),2010.0)</f>
        <v>2010</v>
      </c>
      <c r="F898" s="12">
        <f t="shared" si="1"/>
        <v>40352</v>
      </c>
      <c r="G898" s="9">
        <v>40367.0</v>
      </c>
      <c r="H898" s="3">
        <f>IFERROR(__xludf.DUMMYFUNCTION("split(G898,""/"")"),8.0)</f>
        <v>8</v>
      </c>
      <c r="I898" s="3">
        <f>IFERROR(__xludf.DUMMYFUNCTION("""COMPUTED_VALUE"""),7.0)</f>
        <v>7</v>
      </c>
      <c r="J898" s="3">
        <f>IFERROR(__xludf.DUMMYFUNCTION("""COMPUTED_VALUE"""),2010.0)</f>
        <v>2010</v>
      </c>
      <c r="K898" s="12">
        <f t="shared" si="2"/>
        <v>40397</v>
      </c>
      <c r="L898" s="3" t="s">
        <v>827</v>
      </c>
      <c r="M898" s="3" t="s">
        <v>686</v>
      </c>
      <c r="N898" s="3">
        <v>7940.0</v>
      </c>
      <c r="O898" s="3" t="s">
        <v>818</v>
      </c>
      <c r="P898" s="10">
        <v>5926.0</v>
      </c>
      <c r="Q898" s="13">
        <v>668.27</v>
      </c>
      <c r="R898" s="13">
        <v>502.54</v>
      </c>
      <c r="S898" s="13">
        <f t="shared" si="3"/>
        <v>3960168.02</v>
      </c>
      <c r="T898" s="13">
        <f t="shared" si="4"/>
        <v>2978052.04</v>
      </c>
      <c r="U898" s="13">
        <f t="shared" si="5"/>
        <v>982115.98</v>
      </c>
      <c r="V898" s="3" t="str">
        <f>VLOOKUP(N898,products!A:B,2,0)</f>
        <v>Household</v>
      </c>
      <c r="W898" s="3" t="s">
        <v>28</v>
      </c>
      <c r="X898" s="3" t="s">
        <v>29</v>
      </c>
      <c r="Y898" s="14">
        <f t="shared" si="10"/>
        <v>0.2479985635</v>
      </c>
      <c r="Z898" s="3">
        <f t="shared" si="7"/>
        <v>45</v>
      </c>
      <c r="AA898" s="15">
        <f t="shared" si="8"/>
        <v>4</v>
      </c>
    </row>
    <row r="899" ht="15.75" customHeight="1">
      <c r="A899" s="3">
        <v>6.88698422E8</v>
      </c>
      <c r="B899" s="9">
        <v>43072.0</v>
      </c>
      <c r="C899" s="3">
        <f>IFERROR(__xludf.DUMMYFUNCTION("split(B899,""/"")"),3.0)</f>
        <v>3</v>
      </c>
      <c r="D899" s="10">
        <f>IFERROR(__xludf.DUMMYFUNCTION("""COMPUTED_VALUE"""),12.0)</f>
        <v>12</v>
      </c>
      <c r="E899" s="11">
        <f>IFERROR(__xludf.DUMMYFUNCTION("""COMPUTED_VALUE"""),2017.0)</f>
        <v>2017</v>
      </c>
      <c r="F899" s="12">
        <f t="shared" si="1"/>
        <v>42806</v>
      </c>
      <c r="G899" s="9">
        <v>42739.0</v>
      </c>
      <c r="H899" s="3">
        <f>IFERROR(__xludf.DUMMYFUNCTION("split(G899,""/"")"),4.0)</f>
        <v>4</v>
      </c>
      <c r="I899" s="3">
        <f>IFERROR(__xludf.DUMMYFUNCTION("""COMPUTED_VALUE"""),1.0)</f>
        <v>1</v>
      </c>
      <c r="J899" s="3">
        <f>IFERROR(__xludf.DUMMYFUNCTION("""COMPUTED_VALUE"""),2017.0)</f>
        <v>2017</v>
      </c>
      <c r="K899" s="12">
        <f t="shared" si="2"/>
        <v>42826</v>
      </c>
      <c r="L899" s="3" t="s">
        <v>827</v>
      </c>
      <c r="M899" s="3" t="s">
        <v>512</v>
      </c>
      <c r="N899" s="3">
        <v>5988.0</v>
      </c>
      <c r="O899" s="3" t="s">
        <v>818</v>
      </c>
      <c r="P899" s="10">
        <v>22.0</v>
      </c>
      <c r="Q899" s="13">
        <v>154.06</v>
      </c>
      <c r="R899" s="13">
        <v>90.93</v>
      </c>
      <c r="S899" s="13">
        <f t="shared" si="3"/>
        <v>3389.32</v>
      </c>
      <c r="T899" s="13">
        <f t="shared" si="4"/>
        <v>2000.46</v>
      </c>
      <c r="U899" s="13">
        <f t="shared" si="5"/>
        <v>1388.86</v>
      </c>
      <c r="V899" s="3" t="str">
        <f>VLOOKUP(N899,products!A:B,2,0)</f>
        <v>Vegetables</v>
      </c>
      <c r="W899" s="3" t="s">
        <v>28</v>
      </c>
      <c r="X899" s="3" t="s">
        <v>79</v>
      </c>
      <c r="Y899" s="14">
        <f t="shared" si="10"/>
        <v>0.4097754122</v>
      </c>
      <c r="Z899" s="3">
        <f t="shared" si="7"/>
        <v>20</v>
      </c>
      <c r="AA899" s="15">
        <f t="shared" si="8"/>
        <v>1</v>
      </c>
    </row>
    <row r="900" ht="15.75" customHeight="1">
      <c r="A900" s="3">
        <v>6.88903129E8</v>
      </c>
      <c r="B900" s="3" t="s">
        <v>1456</v>
      </c>
      <c r="C900" s="3">
        <f>IFERROR(__xludf.DUMMYFUNCTION("split(B900,""/"")"),5.0)</f>
        <v>5</v>
      </c>
      <c r="D900" s="10">
        <f>IFERROR(__xludf.DUMMYFUNCTION("""COMPUTED_VALUE"""),31.0)</f>
        <v>31</v>
      </c>
      <c r="E900" s="11">
        <f>IFERROR(__xludf.DUMMYFUNCTION("""COMPUTED_VALUE"""),2017.0)</f>
        <v>2017</v>
      </c>
      <c r="F900" s="12">
        <f t="shared" si="1"/>
        <v>42886</v>
      </c>
      <c r="G900" s="9">
        <v>42773.0</v>
      </c>
      <c r="H900" s="3">
        <f>IFERROR(__xludf.DUMMYFUNCTION("split(G900,""/"")"),7.0)</f>
        <v>7</v>
      </c>
      <c r="I900" s="3">
        <f>IFERROR(__xludf.DUMMYFUNCTION("""COMPUTED_VALUE"""),2.0)</f>
        <v>2</v>
      </c>
      <c r="J900" s="3">
        <f>IFERROR(__xludf.DUMMYFUNCTION("""COMPUTED_VALUE"""),2017.0)</f>
        <v>2017</v>
      </c>
      <c r="K900" s="12">
        <f t="shared" si="2"/>
        <v>42918</v>
      </c>
      <c r="L900" s="3" t="s">
        <v>814</v>
      </c>
      <c r="M900" s="3" t="s">
        <v>142</v>
      </c>
      <c r="N900" s="3">
        <v>7940.0</v>
      </c>
      <c r="O900" s="3" t="s">
        <v>815</v>
      </c>
      <c r="P900" s="10">
        <v>600.0</v>
      </c>
      <c r="Q900" s="13">
        <v>668.27</v>
      </c>
      <c r="R900" s="13">
        <v>502.54</v>
      </c>
      <c r="S900" s="13">
        <f t="shared" si="3"/>
        <v>400962</v>
      </c>
      <c r="T900" s="13">
        <f t="shared" si="4"/>
        <v>301524</v>
      </c>
      <c r="U900" s="13">
        <f t="shared" si="5"/>
        <v>99438</v>
      </c>
      <c r="V900" s="3" t="str">
        <f>VLOOKUP(N900,products!A:B,2,0)</f>
        <v>Household</v>
      </c>
      <c r="W900" s="3" t="s">
        <v>28</v>
      </c>
      <c r="X900" s="3" t="s">
        <v>98</v>
      </c>
      <c r="Y900" s="14">
        <f t="shared" si="10"/>
        <v>0.2479985635</v>
      </c>
      <c r="Z900" s="3">
        <f t="shared" si="7"/>
        <v>32</v>
      </c>
      <c r="AA900" s="15">
        <f t="shared" si="8"/>
        <v>4</v>
      </c>
    </row>
    <row r="901" ht="15.75" customHeight="1">
      <c r="A901" s="3">
        <v>6.89349019E8</v>
      </c>
      <c r="B901" s="9">
        <v>41553.0</v>
      </c>
      <c r="C901" s="3">
        <f>IFERROR(__xludf.DUMMYFUNCTION("split(B901,""/"")"),6.0)</f>
        <v>6</v>
      </c>
      <c r="D901" s="10">
        <f>IFERROR(__xludf.DUMMYFUNCTION("""COMPUTED_VALUE"""),10.0)</f>
        <v>10</v>
      </c>
      <c r="E901" s="11">
        <f>IFERROR(__xludf.DUMMYFUNCTION("""COMPUTED_VALUE"""),2013.0)</f>
        <v>2013</v>
      </c>
      <c r="F901" s="12">
        <f t="shared" si="1"/>
        <v>41435</v>
      </c>
      <c r="G901" s="3" t="s">
        <v>1634</v>
      </c>
      <c r="H901" s="3">
        <f>IFERROR(__xludf.DUMMYFUNCTION("split(G901,""/"")"),7.0)</f>
        <v>7</v>
      </c>
      <c r="I901" s="3">
        <f>IFERROR(__xludf.DUMMYFUNCTION("""COMPUTED_VALUE"""),23.0)</f>
        <v>23</v>
      </c>
      <c r="J901" s="3">
        <f>IFERROR(__xludf.DUMMYFUNCTION("""COMPUTED_VALUE"""),2013.0)</f>
        <v>2013</v>
      </c>
      <c r="K901" s="12">
        <f t="shared" si="2"/>
        <v>41478</v>
      </c>
      <c r="L901" s="3" t="s">
        <v>827</v>
      </c>
      <c r="M901" s="3" t="s">
        <v>346</v>
      </c>
      <c r="N901" s="3">
        <v>8293.0</v>
      </c>
      <c r="O901" s="3" t="s">
        <v>818</v>
      </c>
      <c r="P901" s="10">
        <v>2548.0</v>
      </c>
      <c r="Q901" s="13">
        <v>437.2</v>
      </c>
      <c r="R901" s="13">
        <v>263.33</v>
      </c>
      <c r="S901" s="13">
        <f t="shared" si="3"/>
        <v>1113985.6</v>
      </c>
      <c r="T901" s="13">
        <f t="shared" si="4"/>
        <v>670964.84</v>
      </c>
      <c r="U901" s="13">
        <f t="shared" si="5"/>
        <v>443020.76</v>
      </c>
      <c r="V901" s="3" t="str">
        <f>VLOOKUP(N901,products!A:B,2,0)</f>
        <v>Cosmetics</v>
      </c>
      <c r="W901" s="3" t="s">
        <v>28</v>
      </c>
      <c r="X901" s="3" t="s">
        <v>98</v>
      </c>
      <c r="Y901" s="14">
        <f t="shared" si="10"/>
        <v>0.3976898445</v>
      </c>
      <c r="Z901" s="3">
        <f t="shared" si="7"/>
        <v>43</v>
      </c>
      <c r="AA901" s="15">
        <f t="shared" si="8"/>
        <v>2</v>
      </c>
    </row>
    <row r="902" ht="15.75" customHeight="1">
      <c r="A902" s="3">
        <v>6.89421546E8</v>
      </c>
      <c r="B902" s="9">
        <v>40452.0</v>
      </c>
      <c r="C902" s="3">
        <f>IFERROR(__xludf.DUMMYFUNCTION("split(B902,""/"")"),1.0)</f>
        <v>1</v>
      </c>
      <c r="D902" s="10">
        <f>IFERROR(__xludf.DUMMYFUNCTION("""COMPUTED_VALUE"""),10.0)</f>
        <v>10</v>
      </c>
      <c r="E902" s="11">
        <f>IFERROR(__xludf.DUMMYFUNCTION("""COMPUTED_VALUE"""),2010.0)</f>
        <v>2010</v>
      </c>
      <c r="F902" s="12">
        <f t="shared" si="1"/>
        <v>40188</v>
      </c>
      <c r="G902" s="3" t="s">
        <v>1282</v>
      </c>
      <c r="H902" s="3">
        <f>IFERROR(__xludf.DUMMYFUNCTION("split(G902,""/"")"),1.0)</f>
        <v>1</v>
      </c>
      <c r="I902" s="3">
        <f>IFERROR(__xludf.DUMMYFUNCTION("""COMPUTED_VALUE"""),31.0)</f>
        <v>31</v>
      </c>
      <c r="J902" s="3">
        <f>IFERROR(__xludf.DUMMYFUNCTION("""COMPUTED_VALUE"""),2010.0)</f>
        <v>2010</v>
      </c>
      <c r="K902" s="12">
        <f t="shared" si="2"/>
        <v>40209</v>
      </c>
      <c r="L902" s="3" t="s">
        <v>827</v>
      </c>
      <c r="M902" s="3" t="s">
        <v>373</v>
      </c>
      <c r="N902" s="3">
        <v>2455.0</v>
      </c>
      <c r="O902" s="3" t="s">
        <v>815</v>
      </c>
      <c r="P902" s="10">
        <v>4011.0</v>
      </c>
      <c r="Q902" s="13">
        <v>109.28</v>
      </c>
      <c r="R902" s="13">
        <v>35.84</v>
      </c>
      <c r="S902" s="13">
        <f t="shared" si="3"/>
        <v>438322.08</v>
      </c>
      <c r="T902" s="13">
        <f t="shared" si="4"/>
        <v>143754.24</v>
      </c>
      <c r="U902" s="13">
        <f t="shared" si="5"/>
        <v>294567.84</v>
      </c>
      <c r="V902" s="3" t="str">
        <f>VLOOKUP(N902,products!A:B,2,0)</f>
        <v>Clothes</v>
      </c>
      <c r="W902" s="3" t="s">
        <v>28</v>
      </c>
      <c r="X902" s="3" t="s">
        <v>33</v>
      </c>
      <c r="Y902" s="14">
        <f t="shared" si="10"/>
        <v>0.6720351391</v>
      </c>
      <c r="Z902" s="3">
        <f t="shared" si="7"/>
        <v>21</v>
      </c>
      <c r="AA902" s="15">
        <f t="shared" si="8"/>
        <v>1</v>
      </c>
    </row>
    <row r="903" ht="15.75" customHeight="1">
      <c r="A903" s="3">
        <v>6.9022063E8</v>
      </c>
      <c r="B903" s="9">
        <v>42471.0</v>
      </c>
      <c r="C903" s="3">
        <f>IFERROR(__xludf.DUMMYFUNCTION("split(B903,""/"")"),11.0)</f>
        <v>11</v>
      </c>
      <c r="D903" s="10">
        <f>IFERROR(__xludf.DUMMYFUNCTION("""COMPUTED_VALUE"""),4.0)</f>
        <v>4</v>
      </c>
      <c r="E903" s="11">
        <f>IFERROR(__xludf.DUMMYFUNCTION("""COMPUTED_VALUE"""),2016.0)</f>
        <v>2016</v>
      </c>
      <c r="F903" s="12">
        <f t="shared" si="1"/>
        <v>42678</v>
      </c>
      <c r="G903" s="3" t="s">
        <v>1635</v>
      </c>
      <c r="H903" s="3">
        <f>IFERROR(__xludf.DUMMYFUNCTION("split(G903,""/"")"),11.0)</f>
        <v>11</v>
      </c>
      <c r="I903" s="3">
        <f>IFERROR(__xludf.DUMMYFUNCTION("""COMPUTED_VALUE"""),19.0)</f>
        <v>19</v>
      </c>
      <c r="J903" s="3">
        <f>IFERROR(__xludf.DUMMYFUNCTION("""COMPUTED_VALUE"""),2016.0)</f>
        <v>2016</v>
      </c>
      <c r="K903" s="12">
        <f t="shared" si="2"/>
        <v>42693</v>
      </c>
      <c r="L903" s="3" t="s">
        <v>817</v>
      </c>
      <c r="M903" s="3" t="s">
        <v>512</v>
      </c>
      <c r="N903" s="3">
        <v>7940.0</v>
      </c>
      <c r="O903" s="3" t="s">
        <v>815</v>
      </c>
      <c r="P903" s="10">
        <v>477.0</v>
      </c>
      <c r="Q903" s="13">
        <v>668.27</v>
      </c>
      <c r="R903" s="13">
        <v>502.54</v>
      </c>
      <c r="S903" s="13">
        <f t="shared" si="3"/>
        <v>318764.79</v>
      </c>
      <c r="T903" s="13">
        <f t="shared" si="4"/>
        <v>239711.58</v>
      </c>
      <c r="U903" s="13">
        <f t="shared" si="5"/>
        <v>79053.21</v>
      </c>
      <c r="V903" s="3" t="str">
        <f>VLOOKUP(N903,products!A:B,2,0)</f>
        <v>Household</v>
      </c>
      <c r="W903" s="3" t="s">
        <v>28</v>
      </c>
      <c r="X903" s="3" t="s">
        <v>79</v>
      </c>
      <c r="Y903" s="14">
        <f t="shared" si="10"/>
        <v>0.2479985635</v>
      </c>
      <c r="Z903" s="3">
        <f t="shared" si="7"/>
        <v>15</v>
      </c>
      <c r="AA903" s="15">
        <f t="shared" si="8"/>
        <v>6</v>
      </c>
    </row>
    <row r="904" ht="15.75" customHeight="1">
      <c r="A904" s="3">
        <v>6.91383635E8</v>
      </c>
      <c r="B904" s="9">
        <v>41549.0</v>
      </c>
      <c r="C904" s="3">
        <f>IFERROR(__xludf.DUMMYFUNCTION("split(B904,""/"")"),2.0)</f>
        <v>2</v>
      </c>
      <c r="D904" s="10">
        <f>IFERROR(__xludf.DUMMYFUNCTION("""COMPUTED_VALUE"""),10.0)</f>
        <v>10</v>
      </c>
      <c r="E904" s="11">
        <f>IFERROR(__xludf.DUMMYFUNCTION("""COMPUTED_VALUE"""),2013.0)</f>
        <v>2013</v>
      </c>
      <c r="F904" s="12">
        <f t="shared" si="1"/>
        <v>41315</v>
      </c>
      <c r="G904" s="3" t="s">
        <v>1636</v>
      </c>
      <c r="H904" s="3">
        <f>IFERROR(__xludf.DUMMYFUNCTION("split(G904,""/"")"),3.0)</f>
        <v>3</v>
      </c>
      <c r="I904" s="3">
        <f>IFERROR(__xludf.DUMMYFUNCTION("""COMPUTED_VALUE"""),19.0)</f>
        <v>19</v>
      </c>
      <c r="J904" s="3">
        <f>IFERROR(__xludf.DUMMYFUNCTION("""COMPUTED_VALUE"""),2013.0)</f>
        <v>2013</v>
      </c>
      <c r="K904" s="12">
        <f t="shared" si="2"/>
        <v>41352</v>
      </c>
      <c r="L904" s="3" t="s">
        <v>814</v>
      </c>
      <c r="M904" s="3" t="s">
        <v>653</v>
      </c>
      <c r="N904" s="3">
        <v>5988.0</v>
      </c>
      <c r="O904" s="3" t="s">
        <v>818</v>
      </c>
      <c r="P904" s="10">
        <v>4637.0</v>
      </c>
      <c r="Q904" s="13">
        <v>154.06</v>
      </c>
      <c r="R904" s="13">
        <v>90.93</v>
      </c>
      <c r="S904" s="13">
        <f t="shared" si="3"/>
        <v>714376.22</v>
      </c>
      <c r="T904" s="13">
        <f t="shared" si="4"/>
        <v>421642.41</v>
      </c>
      <c r="U904" s="13">
        <f t="shared" si="5"/>
        <v>292733.81</v>
      </c>
      <c r="V904" s="3" t="str">
        <f>VLOOKUP(N904,products!A:B,2,0)</f>
        <v>Vegetables</v>
      </c>
      <c r="W904" s="3" t="s">
        <v>28</v>
      </c>
      <c r="X904" s="3" t="s">
        <v>33</v>
      </c>
      <c r="Y904" s="14">
        <f t="shared" si="10"/>
        <v>0.4097754122</v>
      </c>
      <c r="Z904" s="3">
        <f t="shared" si="7"/>
        <v>37</v>
      </c>
      <c r="AA904" s="15">
        <f t="shared" si="8"/>
        <v>1</v>
      </c>
    </row>
    <row r="905" ht="15.75" customHeight="1">
      <c r="A905" s="3">
        <v>6.91760861E8</v>
      </c>
      <c r="B905" s="3" t="s">
        <v>1130</v>
      </c>
      <c r="C905" s="3">
        <f>IFERROR(__xludf.DUMMYFUNCTION("split(B905,""/"")"),12.0)</f>
        <v>12</v>
      </c>
      <c r="D905" s="10">
        <f>IFERROR(__xludf.DUMMYFUNCTION("""COMPUTED_VALUE"""),27.0)</f>
        <v>27</v>
      </c>
      <c r="E905" s="11">
        <f>IFERROR(__xludf.DUMMYFUNCTION("""COMPUTED_VALUE"""),2016.0)</f>
        <v>2016</v>
      </c>
      <c r="F905" s="12">
        <f t="shared" si="1"/>
        <v>42731</v>
      </c>
      <c r="G905" s="3" t="s">
        <v>1360</v>
      </c>
      <c r="H905" s="3">
        <f>IFERROR(__xludf.DUMMYFUNCTION("split(G905,""/"")"),1.0)</f>
        <v>1</v>
      </c>
      <c r="I905" s="3">
        <f>IFERROR(__xludf.DUMMYFUNCTION("""COMPUTED_VALUE"""),28.0)</f>
        <v>28</v>
      </c>
      <c r="J905" s="3">
        <f>IFERROR(__xludf.DUMMYFUNCTION("""COMPUTED_VALUE"""),2017.0)</f>
        <v>2017</v>
      </c>
      <c r="K905" s="12">
        <f t="shared" si="2"/>
        <v>42763</v>
      </c>
      <c r="L905" s="3" t="s">
        <v>817</v>
      </c>
      <c r="M905" s="3" t="s">
        <v>97</v>
      </c>
      <c r="N905" s="3">
        <v>2455.0</v>
      </c>
      <c r="O905" s="3" t="s">
        <v>818</v>
      </c>
      <c r="P905" s="10">
        <v>6266.0</v>
      </c>
      <c r="Q905" s="13">
        <v>109.28</v>
      </c>
      <c r="R905" s="13">
        <v>35.84</v>
      </c>
      <c r="S905" s="13">
        <f t="shared" si="3"/>
        <v>684748.48</v>
      </c>
      <c r="T905" s="13">
        <f t="shared" si="4"/>
        <v>224573.44</v>
      </c>
      <c r="U905" s="13">
        <f t="shared" si="5"/>
        <v>460175.04</v>
      </c>
      <c r="V905" s="3" t="str">
        <f>VLOOKUP(N905,products!A:B,2,0)</f>
        <v>Clothes</v>
      </c>
      <c r="W905" s="3" t="s">
        <v>28</v>
      </c>
      <c r="X905" s="3" t="s">
        <v>98</v>
      </c>
      <c r="Y905" s="14">
        <f t="shared" si="10"/>
        <v>0.6720351391</v>
      </c>
      <c r="Z905" s="3">
        <f t="shared" si="7"/>
        <v>32</v>
      </c>
      <c r="AA905" s="15">
        <f t="shared" si="8"/>
        <v>3</v>
      </c>
    </row>
    <row r="906" ht="15.75" customHeight="1">
      <c r="A906" s="3">
        <v>6.92555224E8</v>
      </c>
      <c r="B906" s="9">
        <v>42248.0</v>
      </c>
      <c r="C906" s="3">
        <f>IFERROR(__xludf.DUMMYFUNCTION("split(B906,""/"")"),1.0)</f>
        <v>1</v>
      </c>
      <c r="D906" s="10">
        <f>IFERROR(__xludf.DUMMYFUNCTION("""COMPUTED_VALUE"""),9.0)</f>
        <v>9</v>
      </c>
      <c r="E906" s="11">
        <f>IFERROR(__xludf.DUMMYFUNCTION("""COMPUTED_VALUE"""),2015.0)</f>
        <v>2015</v>
      </c>
      <c r="F906" s="12">
        <f t="shared" si="1"/>
        <v>42013</v>
      </c>
      <c r="G906" s="9">
        <v>42006.0</v>
      </c>
      <c r="H906" s="3">
        <f>IFERROR(__xludf.DUMMYFUNCTION("split(G906,""/"")"),2.0)</f>
        <v>2</v>
      </c>
      <c r="I906" s="3">
        <f>IFERROR(__xludf.DUMMYFUNCTION("""COMPUTED_VALUE"""),1.0)</f>
        <v>1</v>
      </c>
      <c r="J906" s="3">
        <f>IFERROR(__xludf.DUMMYFUNCTION("""COMPUTED_VALUE"""),2015.0)</f>
        <v>2015</v>
      </c>
      <c r="K906" s="12">
        <f t="shared" si="2"/>
        <v>42036</v>
      </c>
      <c r="L906" s="3" t="s">
        <v>814</v>
      </c>
      <c r="M906" s="3" t="s">
        <v>218</v>
      </c>
      <c r="N906" s="3">
        <v>8875.0</v>
      </c>
      <c r="O906" s="3" t="s">
        <v>815</v>
      </c>
      <c r="P906" s="10">
        <v>1336.0</v>
      </c>
      <c r="Q906" s="13">
        <v>421.89</v>
      </c>
      <c r="R906" s="13">
        <v>364.69</v>
      </c>
      <c r="S906" s="13">
        <f t="shared" si="3"/>
        <v>563645.04</v>
      </c>
      <c r="T906" s="13">
        <f t="shared" si="4"/>
        <v>487225.84</v>
      </c>
      <c r="U906" s="13">
        <f t="shared" si="5"/>
        <v>76419.2</v>
      </c>
      <c r="V906" s="3" t="str">
        <f>VLOOKUP(N906,products!A:B,2,0)</f>
        <v>Meat</v>
      </c>
      <c r="W906" s="3" t="s">
        <v>28</v>
      </c>
      <c r="X906" s="3" t="s">
        <v>98</v>
      </c>
      <c r="Y906" s="14">
        <f t="shared" si="10"/>
        <v>0.1355803646</v>
      </c>
      <c r="Z906" s="3">
        <f t="shared" si="7"/>
        <v>23</v>
      </c>
      <c r="AA906" s="15">
        <f t="shared" si="8"/>
        <v>6</v>
      </c>
    </row>
    <row r="907" ht="15.75" customHeight="1">
      <c r="A907" s="3">
        <v>6.92704999E8</v>
      </c>
      <c r="B907" s="3" t="s">
        <v>1637</v>
      </c>
      <c r="C907" s="3">
        <f>IFERROR(__xludf.DUMMYFUNCTION("split(B907,""/"")"),12.0)</f>
        <v>12</v>
      </c>
      <c r="D907" s="10">
        <f>IFERROR(__xludf.DUMMYFUNCTION("""COMPUTED_VALUE"""),23.0)</f>
        <v>23</v>
      </c>
      <c r="E907" s="11">
        <f>IFERROR(__xludf.DUMMYFUNCTION("""COMPUTED_VALUE"""),2016.0)</f>
        <v>2016</v>
      </c>
      <c r="F907" s="12">
        <f t="shared" si="1"/>
        <v>42727</v>
      </c>
      <c r="G907" s="3" t="s">
        <v>1638</v>
      </c>
      <c r="H907" s="3">
        <f>IFERROR(__xludf.DUMMYFUNCTION("split(G907,""/"")"),1.0)</f>
        <v>1</v>
      </c>
      <c r="I907" s="3">
        <f>IFERROR(__xludf.DUMMYFUNCTION("""COMPUTED_VALUE"""),24.0)</f>
        <v>24</v>
      </c>
      <c r="J907" s="3">
        <f>IFERROR(__xludf.DUMMYFUNCTION("""COMPUTED_VALUE"""),2017.0)</f>
        <v>2017</v>
      </c>
      <c r="K907" s="12">
        <f t="shared" si="2"/>
        <v>42759</v>
      </c>
      <c r="L907" s="3" t="s">
        <v>817</v>
      </c>
      <c r="M907" s="3" t="s">
        <v>373</v>
      </c>
      <c r="N907" s="3">
        <v>7940.0</v>
      </c>
      <c r="O907" s="3" t="s">
        <v>815</v>
      </c>
      <c r="P907" s="10">
        <v>5657.0</v>
      </c>
      <c r="Q907" s="13">
        <v>668.27</v>
      </c>
      <c r="R907" s="13">
        <v>502.54</v>
      </c>
      <c r="S907" s="13">
        <f t="shared" si="3"/>
        <v>3780403.39</v>
      </c>
      <c r="T907" s="13">
        <f t="shared" si="4"/>
        <v>2842868.78</v>
      </c>
      <c r="U907" s="13">
        <f t="shared" si="5"/>
        <v>937534.61</v>
      </c>
      <c r="V907" s="3" t="str">
        <f>VLOOKUP(N907,products!A:B,2,0)</f>
        <v>Household</v>
      </c>
      <c r="W907" s="3" t="s">
        <v>28</v>
      </c>
      <c r="X907" s="3" t="s">
        <v>33</v>
      </c>
      <c r="Y907" s="14">
        <f t="shared" si="10"/>
        <v>0.2479985635</v>
      </c>
      <c r="Z907" s="3">
        <f t="shared" si="7"/>
        <v>32</v>
      </c>
      <c r="AA907" s="15">
        <f t="shared" si="8"/>
        <v>6</v>
      </c>
    </row>
    <row r="908" ht="15.75" customHeight="1">
      <c r="A908" s="3">
        <v>6.92757356E8</v>
      </c>
      <c r="B908" s="9">
        <v>42771.0</v>
      </c>
      <c r="C908" s="3">
        <f>IFERROR(__xludf.DUMMYFUNCTION("split(B908,""/"")"),5.0)</f>
        <v>5</v>
      </c>
      <c r="D908" s="10">
        <f>IFERROR(__xludf.DUMMYFUNCTION("""COMPUTED_VALUE"""),2.0)</f>
        <v>2</v>
      </c>
      <c r="E908" s="11">
        <f>IFERROR(__xludf.DUMMYFUNCTION("""COMPUTED_VALUE"""),2017.0)</f>
        <v>2017</v>
      </c>
      <c r="F908" s="12">
        <f t="shared" si="1"/>
        <v>42857</v>
      </c>
      <c r="G908" s="9">
        <v>43074.0</v>
      </c>
      <c r="H908" s="3">
        <f>IFERROR(__xludf.DUMMYFUNCTION("split(G908,""/"")"),5.0)</f>
        <v>5</v>
      </c>
      <c r="I908" s="3">
        <f>IFERROR(__xludf.DUMMYFUNCTION("""COMPUTED_VALUE"""),12.0)</f>
        <v>12</v>
      </c>
      <c r="J908" s="3">
        <f>IFERROR(__xludf.DUMMYFUNCTION("""COMPUTED_VALUE"""),2017.0)</f>
        <v>2017</v>
      </c>
      <c r="K908" s="12">
        <f t="shared" si="2"/>
        <v>42867</v>
      </c>
      <c r="L908" s="3" t="s">
        <v>827</v>
      </c>
      <c r="M908" s="3" t="s">
        <v>291</v>
      </c>
      <c r="N908" s="3">
        <v>8875.0</v>
      </c>
      <c r="O908" s="3" t="s">
        <v>818</v>
      </c>
      <c r="P908" s="10">
        <v>1151.0</v>
      </c>
      <c r="Q908" s="13">
        <v>421.89</v>
      </c>
      <c r="R908" s="13">
        <v>364.69</v>
      </c>
      <c r="S908" s="13">
        <f t="shared" si="3"/>
        <v>485595.39</v>
      </c>
      <c r="T908" s="13">
        <f t="shared" si="4"/>
        <v>419758.19</v>
      </c>
      <c r="U908" s="13">
        <f t="shared" si="5"/>
        <v>65837.2</v>
      </c>
      <c r="V908" s="3" t="str">
        <f>VLOOKUP(N908,products!A:B,2,0)</f>
        <v>Meat</v>
      </c>
      <c r="W908" s="3" t="s">
        <v>28</v>
      </c>
      <c r="X908" s="3" t="s">
        <v>79</v>
      </c>
      <c r="Y908" s="14">
        <f t="shared" si="10"/>
        <v>0.1355803646</v>
      </c>
      <c r="Z908" s="3">
        <f t="shared" si="7"/>
        <v>10</v>
      </c>
      <c r="AA908" s="15">
        <f t="shared" si="8"/>
        <v>3</v>
      </c>
    </row>
    <row r="909" ht="15.75" customHeight="1">
      <c r="A909" s="3">
        <v>6.92952191E8</v>
      </c>
      <c r="B909" s="3" t="s">
        <v>1170</v>
      </c>
      <c r="C909" s="3">
        <f>IFERROR(__xludf.DUMMYFUNCTION("split(B909,""/"")"),12.0)</f>
        <v>12</v>
      </c>
      <c r="D909" s="10">
        <f>IFERROR(__xludf.DUMMYFUNCTION("""COMPUTED_VALUE"""),14.0)</f>
        <v>14</v>
      </c>
      <c r="E909" s="11">
        <f>IFERROR(__xludf.DUMMYFUNCTION("""COMPUTED_VALUE"""),2012.0)</f>
        <v>2012</v>
      </c>
      <c r="F909" s="12">
        <f t="shared" si="1"/>
        <v>41257</v>
      </c>
      <c r="G909" s="9">
        <v>41365.0</v>
      </c>
      <c r="H909" s="3">
        <f>IFERROR(__xludf.DUMMYFUNCTION("split(G909,""/"")"),1.0)</f>
        <v>1</v>
      </c>
      <c r="I909" s="3">
        <f>IFERROR(__xludf.DUMMYFUNCTION("""COMPUTED_VALUE"""),4.0)</f>
        <v>4</v>
      </c>
      <c r="J909" s="3">
        <f>IFERROR(__xludf.DUMMYFUNCTION("""COMPUTED_VALUE"""),2013.0)</f>
        <v>2013</v>
      </c>
      <c r="K909" s="12">
        <f t="shared" si="2"/>
        <v>41278</v>
      </c>
      <c r="L909" s="3" t="s">
        <v>814</v>
      </c>
      <c r="M909" s="3" t="s">
        <v>746</v>
      </c>
      <c r="N909" s="3">
        <v>8293.0</v>
      </c>
      <c r="O909" s="3" t="s">
        <v>815</v>
      </c>
      <c r="P909" s="10">
        <v>8807.0</v>
      </c>
      <c r="Q909" s="13">
        <v>437.2</v>
      </c>
      <c r="R909" s="13">
        <v>263.33</v>
      </c>
      <c r="S909" s="13">
        <f t="shared" si="3"/>
        <v>3850420.4</v>
      </c>
      <c r="T909" s="13">
        <f t="shared" si="4"/>
        <v>2319147.31</v>
      </c>
      <c r="U909" s="13">
        <f t="shared" si="5"/>
        <v>1531273.09</v>
      </c>
      <c r="V909" s="3" t="str">
        <f>VLOOKUP(N909,products!A:B,2,0)</f>
        <v>Cosmetics</v>
      </c>
      <c r="W909" s="3" t="s">
        <v>28</v>
      </c>
      <c r="X909" s="3" t="s">
        <v>29</v>
      </c>
      <c r="Y909" s="14">
        <f t="shared" si="10"/>
        <v>0.3976898445</v>
      </c>
      <c r="Z909" s="3">
        <f t="shared" si="7"/>
        <v>21</v>
      </c>
      <c r="AA909" s="15">
        <f t="shared" si="8"/>
        <v>6</v>
      </c>
    </row>
    <row r="910" ht="15.75" customHeight="1">
      <c r="A910" s="3">
        <v>6.93210542E8</v>
      </c>
      <c r="B910" s="3" t="s">
        <v>1291</v>
      </c>
      <c r="C910" s="3">
        <f>IFERROR(__xludf.DUMMYFUNCTION("split(B910,""/"")"),6.0)</f>
        <v>6</v>
      </c>
      <c r="D910" s="10">
        <f>IFERROR(__xludf.DUMMYFUNCTION("""COMPUTED_VALUE"""),25.0)</f>
        <v>25</v>
      </c>
      <c r="E910" s="11">
        <f>IFERROR(__xludf.DUMMYFUNCTION("""COMPUTED_VALUE"""),2012.0)</f>
        <v>2012</v>
      </c>
      <c r="F910" s="12">
        <f t="shared" si="1"/>
        <v>41085</v>
      </c>
      <c r="G910" s="3" t="s">
        <v>1329</v>
      </c>
      <c r="H910" s="3">
        <f>IFERROR(__xludf.DUMMYFUNCTION("split(G910,""/"")"),8.0)</f>
        <v>8</v>
      </c>
      <c r="I910" s="3">
        <f>IFERROR(__xludf.DUMMYFUNCTION("""COMPUTED_VALUE"""),13.0)</f>
        <v>13</v>
      </c>
      <c r="J910" s="3">
        <f>IFERROR(__xludf.DUMMYFUNCTION("""COMPUTED_VALUE"""),2012.0)</f>
        <v>2012</v>
      </c>
      <c r="K910" s="12">
        <f t="shared" si="2"/>
        <v>41134</v>
      </c>
      <c r="L910" s="3" t="s">
        <v>825</v>
      </c>
      <c r="M910" s="3" t="s">
        <v>67</v>
      </c>
      <c r="N910" s="3">
        <v>8875.0</v>
      </c>
      <c r="O910" s="3" t="s">
        <v>815</v>
      </c>
      <c r="P910" s="10">
        <v>5259.0</v>
      </c>
      <c r="Q910" s="13">
        <v>421.89</v>
      </c>
      <c r="R910" s="13">
        <v>364.69</v>
      </c>
      <c r="S910" s="13">
        <f t="shared" si="3"/>
        <v>2218719.51</v>
      </c>
      <c r="T910" s="13">
        <f t="shared" si="4"/>
        <v>1917904.71</v>
      </c>
      <c r="U910" s="13">
        <f t="shared" si="5"/>
        <v>300814.8</v>
      </c>
      <c r="V910" s="3" t="str">
        <f>VLOOKUP(N910,products!A:B,2,0)</f>
        <v>Meat</v>
      </c>
      <c r="W910" s="3" t="s">
        <v>23</v>
      </c>
      <c r="X910" s="3" t="s">
        <v>68</v>
      </c>
      <c r="Y910" s="14">
        <f t="shared" si="10"/>
        <v>0.1355803646</v>
      </c>
      <c r="Z910" s="3">
        <f t="shared" si="7"/>
        <v>49</v>
      </c>
      <c r="AA910" s="15">
        <f t="shared" si="8"/>
        <v>2</v>
      </c>
    </row>
    <row r="911" ht="15.75" customHeight="1">
      <c r="A911" s="3">
        <v>6.93583905E8</v>
      </c>
      <c r="B911" s="9">
        <v>40675.0</v>
      </c>
      <c r="C911" s="3">
        <f>IFERROR(__xludf.DUMMYFUNCTION("split(B911,""/"")"),12.0)</f>
        <v>12</v>
      </c>
      <c r="D911" s="10">
        <f>IFERROR(__xludf.DUMMYFUNCTION("""COMPUTED_VALUE"""),5.0)</f>
        <v>5</v>
      </c>
      <c r="E911" s="11">
        <f>IFERROR(__xludf.DUMMYFUNCTION("""COMPUTED_VALUE"""),2011.0)</f>
        <v>2011</v>
      </c>
      <c r="F911" s="12">
        <f t="shared" si="1"/>
        <v>40882</v>
      </c>
      <c r="G911" s="9">
        <v>41061.0</v>
      </c>
      <c r="H911" s="3">
        <f>IFERROR(__xludf.DUMMYFUNCTION("split(G911,""/"")"),1.0)</f>
        <v>1</v>
      </c>
      <c r="I911" s="3">
        <f>IFERROR(__xludf.DUMMYFUNCTION("""COMPUTED_VALUE"""),6.0)</f>
        <v>6</v>
      </c>
      <c r="J911" s="3">
        <f>IFERROR(__xludf.DUMMYFUNCTION("""COMPUTED_VALUE"""),2012.0)</f>
        <v>2012</v>
      </c>
      <c r="K911" s="12">
        <f t="shared" si="2"/>
        <v>40914</v>
      </c>
      <c r="L911" s="3" t="s">
        <v>814</v>
      </c>
      <c r="M911" s="3" t="s">
        <v>218</v>
      </c>
      <c r="N911" s="3">
        <v>8875.0</v>
      </c>
      <c r="O911" s="3" t="s">
        <v>818</v>
      </c>
      <c r="P911" s="10">
        <v>5745.0</v>
      </c>
      <c r="Q911" s="13">
        <v>421.89</v>
      </c>
      <c r="R911" s="13">
        <v>364.69</v>
      </c>
      <c r="S911" s="13">
        <f t="shared" si="3"/>
        <v>2423758.05</v>
      </c>
      <c r="T911" s="13">
        <f t="shared" si="4"/>
        <v>2095144.05</v>
      </c>
      <c r="U911" s="13">
        <f t="shared" si="5"/>
        <v>328614</v>
      </c>
      <c r="V911" s="3" t="str">
        <f>VLOOKUP(N911,products!A:B,2,0)</f>
        <v>Meat</v>
      </c>
      <c r="W911" s="3" t="s">
        <v>28</v>
      </c>
      <c r="X911" s="3" t="s">
        <v>98</v>
      </c>
      <c r="Y911" s="14">
        <f t="shared" si="10"/>
        <v>0.1355803646</v>
      </c>
      <c r="Z911" s="3">
        <f t="shared" si="7"/>
        <v>32</v>
      </c>
      <c r="AA911" s="15">
        <f t="shared" si="8"/>
        <v>2</v>
      </c>
    </row>
    <row r="912" ht="15.75" customHeight="1">
      <c r="A912" s="3">
        <v>6.93831098E8</v>
      </c>
      <c r="B912" s="3" t="s">
        <v>1558</v>
      </c>
      <c r="C912" s="3">
        <f>IFERROR(__xludf.DUMMYFUNCTION("split(B912,""/"")"),6.0)</f>
        <v>6</v>
      </c>
      <c r="D912" s="10">
        <f>IFERROR(__xludf.DUMMYFUNCTION("""COMPUTED_VALUE"""),23.0)</f>
        <v>23</v>
      </c>
      <c r="E912" s="11">
        <f>IFERROR(__xludf.DUMMYFUNCTION("""COMPUTED_VALUE"""),2015.0)</f>
        <v>2015</v>
      </c>
      <c r="F912" s="12">
        <f t="shared" si="1"/>
        <v>42178</v>
      </c>
      <c r="G912" s="3" t="s">
        <v>1639</v>
      </c>
      <c r="H912" s="3">
        <f>IFERROR(__xludf.DUMMYFUNCTION("split(G912,""/"")"),7.0)</f>
        <v>7</v>
      </c>
      <c r="I912" s="3">
        <f>IFERROR(__xludf.DUMMYFUNCTION("""COMPUTED_VALUE"""),14.0)</f>
        <v>14</v>
      </c>
      <c r="J912" s="3">
        <f>IFERROR(__xludf.DUMMYFUNCTION("""COMPUTED_VALUE"""),2015.0)</f>
        <v>2015</v>
      </c>
      <c r="K912" s="12">
        <f t="shared" si="2"/>
        <v>42199</v>
      </c>
      <c r="L912" s="3" t="s">
        <v>827</v>
      </c>
      <c r="M912" s="3" t="s">
        <v>590</v>
      </c>
      <c r="N912" s="3">
        <v>7331.0</v>
      </c>
      <c r="O912" s="3" t="s">
        <v>818</v>
      </c>
      <c r="P912" s="10">
        <v>8895.0</v>
      </c>
      <c r="Q912" s="13">
        <v>255.28</v>
      </c>
      <c r="R912" s="13">
        <v>159.42</v>
      </c>
      <c r="S912" s="13">
        <f t="shared" si="3"/>
        <v>2270715.6</v>
      </c>
      <c r="T912" s="13">
        <f t="shared" si="4"/>
        <v>1418040.9</v>
      </c>
      <c r="U912" s="13">
        <f t="shared" si="5"/>
        <v>852674.7</v>
      </c>
      <c r="V912" s="3" t="str">
        <f>VLOOKUP(N912,products!A:B,2,0)</f>
        <v>Baby Food</v>
      </c>
      <c r="W912" s="3" t="s">
        <v>28</v>
      </c>
      <c r="X912" s="3" t="s">
        <v>98</v>
      </c>
      <c r="Y912" s="14">
        <f t="shared" si="10"/>
        <v>0.3755092448</v>
      </c>
      <c r="Z912" s="3">
        <f t="shared" si="7"/>
        <v>21</v>
      </c>
      <c r="AA912" s="15">
        <f t="shared" si="8"/>
        <v>3</v>
      </c>
    </row>
    <row r="913" ht="15.75" customHeight="1">
      <c r="A913" s="3">
        <v>6.94771802E8</v>
      </c>
      <c r="B913" s="3" t="s">
        <v>1640</v>
      </c>
      <c r="C913" s="3">
        <f>IFERROR(__xludf.DUMMYFUNCTION("split(B913,""/"")"),3.0)</f>
        <v>3</v>
      </c>
      <c r="D913" s="10">
        <f>IFERROR(__xludf.DUMMYFUNCTION("""COMPUTED_VALUE"""),16.0)</f>
        <v>16</v>
      </c>
      <c r="E913" s="11">
        <f>IFERROR(__xludf.DUMMYFUNCTION("""COMPUTED_VALUE"""),2013.0)</f>
        <v>2013</v>
      </c>
      <c r="F913" s="12">
        <f t="shared" si="1"/>
        <v>41349</v>
      </c>
      <c r="G913" s="3" t="s">
        <v>990</v>
      </c>
      <c r="H913" s="3">
        <f>IFERROR(__xludf.DUMMYFUNCTION("split(G913,""/"")"),3.0)</f>
        <v>3</v>
      </c>
      <c r="I913" s="3">
        <f>IFERROR(__xludf.DUMMYFUNCTION("""COMPUTED_VALUE"""),21.0)</f>
        <v>21</v>
      </c>
      <c r="J913" s="3">
        <f>IFERROR(__xludf.DUMMYFUNCTION("""COMPUTED_VALUE"""),2013.0)</f>
        <v>2013</v>
      </c>
      <c r="K913" s="12">
        <f t="shared" si="2"/>
        <v>41354</v>
      </c>
      <c r="L913" s="3" t="s">
        <v>827</v>
      </c>
      <c r="M913" s="3" t="s">
        <v>512</v>
      </c>
      <c r="N913" s="3">
        <v>7331.0</v>
      </c>
      <c r="O913" s="3" t="s">
        <v>818</v>
      </c>
      <c r="P913" s="10">
        <v>7270.0</v>
      </c>
      <c r="Q913" s="13">
        <v>255.28</v>
      </c>
      <c r="R913" s="13">
        <v>159.42</v>
      </c>
      <c r="S913" s="13">
        <f t="shared" si="3"/>
        <v>1855885.6</v>
      </c>
      <c r="T913" s="13">
        <f t="shared" si="4"/>
        <v>1158983.4</v>
      </c>
      <c r="U913" s="13">
        <f t="shared" si="5"/>
        <v>696902.2</v>
      </c>
      <c r="V913" s="3" t="str">
        <f>VLOOKUP(N913,products!A:B,2,0)</f>
        <v>Baby Food</v>
      </c>
      <c r="W913" s="3" t="s">
        <v>28</v>
      </c>
      <c r="X913" s="3" t="s">
        <v>79</v>
      </c>
      <c r="Y913" s="14">
        <f t="shared" si="10"/>
        <v>0.3755092448</v>
      </c>
      <c r="Z913" s="3">
        <f t="shared" si="7"/>
        <v>5</v>
      </c>
      <c r="AA913" s="15">
        <f t="shared" si="8"/>
        <v>7</v>
      </c>
    </row>
    <row r="914" ht="15.75" customHeight="1">
      <c r="A914" s="3">
        <v>6.9491471E8</v>
      </c>
      <c r="B914" s="3" t="s">
        <v>1641</v>
      </c>
      <c r="C914" s="3">
        <f>IFERROR(__xludf.DUMMYFUNCTION("split(B914,""/"")"),8.0)</f>
        <v>8</v>
      </c>
      <c r="D914" s="10">
        <f>IFERROR(__xludf.DUMMYFUNCTION("""COMPUTED_VALUE"""),23.0)</f>
        <v>23</v>
      </c>
      <c r="E914" s="11">
        <f>IFERROR(__xludf.DUMMYFUNCTION("""COMPUTED_VALUE"""),2010.0)</f>
        <v>2010</v>
      </c>
      <c r="F914" s="12">
        <f t="shared" si="1"/>
        <v>40413</v>
      </c>
      <c r="G914" s="3" t="s">
        <v>1330</v>
      </c>
      <c r="H914" s="3">
        <f>IFERROR(__xludf.DUMMYFUNCTION("split(G914,""/"")"),9.0)</f>
        <v>9</v>
      </c>
      <c r="I914" s="3">
        <f>IFERROR(__xludf.DUMMYFUNCTION("""COMPUTED_VALUE"""),25.0)</f>
        <v>25</v>
      </c>
      <c r="J914" s="3">
        <f>IFERROR(__xludf.DUMMYFUNCTION("""COMPUTED_VALUE"""),2010.0)</f>
        <v>2010</v>
      </c>
      <c r="K914" s="12">
        <f t="shared" si="2"/>
        <v>40446</v>
      </c>
      <c r="L914" s="3" t="s">
        <v>817</v>
      </c>
      <c r="M914" s="3" t="s">
        <v>32</v>
      </c>
      <c r="N914" s="3">
        <v>8293.0</v>
      </c>
      <c r="O914" s="3" t="s">
        <v>818</v>
      </c>
      <c r="P914" s="10">
        <v>9560.0</v>
      </c>
      <c r="Q914" s="13">
        <v>437.2</v>
      </c>
      <c r="R914" s="13">
        <v>263.33</v>
      </c>
      <c r="S914" s="13">
        <f t="shared" si="3"/>
        <v>4179632</v>
      </c>
      <c r="T914" s="13">
        <f t="shared" si="4"/>
        <v>2517434.8</v>
      </c>
      <c r="U914" s="13">
        <f t="shared" si="5"/>
        <v>1662197.2</v>
      </c>
      <c r="V914" s="3" t="str">
        <f>VLOOKUP(N914,products!A:B,2,0)</f>
        <v>Cosmetics</v>
      </c>
      <c r="W914" s="3" t="s">
        <v>28</v>
      </c>
      <c r="X914" s="3" t="s">
        <v>33</v>
      </c>
      <c r="Y914" s="14">
        <f t="shared" si="10"/>
        <v>0.3976898445</v>
      </c>
      <c r="Z914" s="3">
        <f t="shared" si="7"/>
        <v>33</v>
      </c>
      <c r="AA914" s="15">
        <f t="shared" si="8"/>
        <v>2</v>
      </c>
    </row>
    <row r="915" ht="15.75" customHeight="1">
      <c r="A915" s="3">
        <v>6.95059764E8</v>
      </c>
      <c r="B915" s="3" t="s">
        <v>1642</v>
      </c>
      <c r="C915" s="3">
        <f>IFERROR(__xludf.DUMMYFUNCTION("split(B915,""/"")"),5.0)</f>
        <v>5</v>
      </c>
      <c r="D915" s="10">
        <f>IFERROR(__xludf.DUMMYFUNCTION("""COMPUTED_VALUE"""),21.0)</f>
        <v>21</v>
      </c>
      <c r="E915" s="11">
        <f>IFERROR(__xludf.DUMMYFUNCTION("""COMPUTED_VALUE"""),2011.0)</f>
        <v>2011</v>
      </c>
      <c r="F915" s="12">
        <f t="shared" si="1"/>
        <v>40684</v>
      </c>
      <c r="G915" s="3" t="s">
        <v>1326</v>
      </c>
      <c r="H915" s="3">
        <f>IFERROR(__xludf.DUMMYFUNCTION("split(G915,""/"")"),6.0)</f>
        <v>6</v>
      </c>
      <c r="I915" s="3">
        <f>IFERROR(__xludf.DUMMYFUNCTION("""COMPUTED_VALUE"""),29.0)</f>
        <v>29</v>
      </c>
      <c r="J915" s="3">
        <f>IFERROR(__xludf.DUMMYFUNCTION("""COMPUTED_VALUE"""),2011.0)</f>
        <v>2011</v>
      </c>
      <c r="K915" s="12">
        <f t="shared" si="2"/>
        <v>40723</v>
      </c>
      <c r="L915" s="3" t="s">
        <v>817</v>
      </c>
      <c r="M915" s="3" t="s">
        <v>101</v>
      </c>
      <c r="N915" s="3">
        <v>8293.0</v>
      </c>
      <c r="O915" s="3" t="s">
        <v>818</v>
      </c>
      <c r="P915" s="10">
        <v>2485.0</v>
      </c>
      <c r="Q915" s="13">
        <v>437.2</v>
      </c>
      <c r="R915" s="13">
        <v>263.33</v>
      </c>
      <c r="S915" s="13">
        <f t="shared" si="3"/>
        <v>1086442</v>
      </c>
      <c r="T915" s="13">
        <f t="shared" si="4"/>
        <v>654375.05</v>
      </c>
      <c r="U915" s="13">
        <f t="shared" si="5"/>
        <v>432066.95</v>
      </c>
      <c r="V915" s="3" t="str">
        <f>VLOOKUP(N915,products!A:B,2,0)</f>
        <v>Cosmetics</v>
      </c>
      <c r="W915" s="3" t="s">
        <v>28</v>
      </c>
      <c r="X915" s="3" t="s">
        <v>79</v>
      </c>
      <c r="Y915" s="14">
        <f t="shared" si="10"/>
        <v>0.3976898445</v>
      </c>
      <c r="Z915" s="3">
        <f t="shared" si="7"/>
        <v>39</v>
      </c>
      <c r="AA915" s="15">
        <f t="shared" si="8"/>
        <v>7</v>
      </c>
    </row>
    <row r="916" ht="15.75" customHeight="1">
      <c r="A916" s="3">
        <v>6.96197879E8</v>
      </c>
      <c r="B916" s="3" t="s">
        <v>1535</v>
      </c>
      <c r="C916" s="3">
        <f>IFERROR(__xludf.DUMMYFUNCTION("split(B916,""/"")"),3.0)</f>
        <v>3</v>
      </c>
      <c r="D916" s="10">
        <f>IFERROR(__xludf.DUMMYFUNCTION("""COMPUTED_VALUE"""),19.0)</f>
        <v>19</v>
      </c>
      <c r="E916" s="11">
        <f>IFERROR(__xludf.DUMMYFUNCTION("""COMPUTED_VALUE"""),2010.0)</f>
        <v>2010</v>
      </c>
      <c r="F916" s="12">
        <f t="shared" si="1"/>
        <v>40256</v>
      </c>
      <c r="G916" s="3" t="s">
        <v>1557</v>
      </c>
      <c r="H916" s="3">
        <f>IFERROR(__xludf.DUMMYFUNCTION("split(G916,""/"")"),3.0)</f>
        <v>3</v>
      </c>
      <c r="I916" s="3">
        <f>IFERROR(__xludf.DUMMYFUNCTION("""COMPUTED_VALUE"""),26.0)</f>
        <v>26</v>
      </c>
      <c r="J916" s="3">
        <f>IFERROR(__xludf.DUMMYFUNCTION("""COMPUTED_VALUE"""),2010.0)</f>
        <v>2010</v>
      </c>
      <c r="K916" s="12">
        <f t="shared" si="2"/>
        <v>40263</v>
      </c>
      <c r="L916" s="3" t="s">
        <v>827</v>
      </c>
      <c r="M916" s="3" t="s">
        <v>46</v>
      </c>
      <c r="N916" s="3">
        <v>2103.0</v>
      </c>
      <c r="O916" s="3" t="s">
        <v>815</v>
      </c>
      <c r="P916" s="10">
        <v>9278.0</v>
      </c>
      <c r="Q916" s="13">
        <v>205.7</v>
      </c>
      <c r="R916" s="13">
        <v>117.11</v>
      </c>
      <c r="S916" s="13">
        <f t="shared" si="3"/>
        <v>1908484.6</v>
      </c>
      <c r="T916" s="13">
        <f t="shared" si="4"/>
        <v>1086546.58</v>
      </c>
      <c r="U916" s="13">
        <f t="shared" si="5"/>
        <v>821938.02</v>
      </c>
      <c r="V916" s="3" t="str">
        <f>VLOOKUP(N916,products!A:B,2,0)</f>
        <v>Cereal</v>
      </c>
      <c r="W916" s="3" t="s">
        <v>28</v>
      </c>
      <c r="X916" s="3" t="s">
        <v>33</v>
      </c>
      <c r="Y916" s="14">
        <f t="shared" si="10"/>
        <v>0.4306757414</v>
      </c>
      <c r="Z916" s="3">
        <f t="shared" si="7"/>
        <v>7</v>
      </c>
      <c r="AA916" s="15">
        <f t="shared" si="8"/>
        <v>6</v>
      </c>
    </row>
    <row r="917" ht="15.75" customHeight="1">
      <c r="A917" s="3">
        <v>6.96839892E8</v>
      </c>
      <c r="B917" s="3" t="s">
        <v>1075</v>
      </c>
      <c r="C917" s="3">
        <f>IFERROR(__xludf.DUMMYFUNCTION("split(B917,""/"")"),12.0)</f>
        <v>12</v>
      </c>
      <c r="D917" s="10">
        <f>IFERROR(__xludf.DUMMYFUNCTION("""COMPUTED_VALUE"""),17.0)</f>
        <v>17</v>
      </c>
      <c r="E917" s="11">
        <f>IFERROR(__xludf.DUMMYFUNCTION("""COMPUTED_VALUE"""),2015.0)</f>
        <v>2015</v>
      </c>
      <c r="F917" s="12">
        <f t="shared" si="1"/>
        <v>42355</v>
      </c>
      <c r="G917" s="9">
        <v>42401.0</v>
      </c>
      <c r="H917" s="3">
        <f>IFERROR(__xludf.DUMMYFUNCTION("split(G917,""/"")"),1.0)</f>
        <v>1</v>
      </c>
      <c r="I917" s="3">
        <f>IFERROR(__xludf.DUMMYFUNCTION("""COMPUTED_VALUE"""),2.0)</f>
        <v>2</v>
      </c>
      <c r="J917" s="3">
        <f>IFERROR(__xludf.DUMMYFUNCTION("""COMPUTED_VALUE"""),2016.0)</f>
        <v>2016</v>
      </c>
      <c r="K917" s="12">
        <f t="shared" si="2"/>
        <v>42371</v>
      </c>
      <c r="L917" s="3" t="s">
        <v>817</v>
      </c>
      <c r="M917" s="3" t="s">
        <v>536</v>
      </c>
      <c r="N917" s="3">
        <v>8681.0</v>
      </c>
      <c r="O917" s="3" t="s">
        <v>818</v>
      </c>
      <c r="P917" s="10">
        <v>9264.0</v>
      </c>
      <c r="Q917" s="13">
        <v>651.21</v>
      </c>
      <c r="R917" s="13">
        <v>524.96</v>
      </c>
      <c r="S917" s="13">
        <f t="shared" si="3"/>
        <v>6032809.44</v>
      </c>
      <c r="T917" s="13">
        <f t="shared" si="4"/>
        <v>4863229.44</v>
      </c>
      <c r="U917" s="13">
        <f t="shared" si="5"/>
        <v>1169580</v>
      </c>
      <c r="V917" s="3" t="str">
        <f>VLOOKUP(N917,products!A:B,2,0)</f>
        <v>Office Supplies</v>
      </c>
      <c r="W917" s="3" t="s">
        <v>28</v>
      </c>
      <c r="X917" s="3" t="s">
        <v>33</v>
      </c>
      <c r="Y917" s="14">
        <f t="shared" si="10"/>
        <v>0.193869873</v>
      </c>
      <c r="Z917" s="3">
        <f t="shared" si="7"/>
        <v>16</v>
      </c>
      <c r="AA917" s="15">
        <f t="shared" si="8"/>
        <v>5</v>
      </c>
    </row>
    <row r="918" ht="15.75" customHeight="1">
      <c r="A918" s="3">
        <v>6.96844613E8</v>
      </c>
      <c r="B918" s="9">
        <v>42797.0</v>
      </c>
      <c r="C918" s="3">
        <f>IFERROR(__xludf.DUMMYFUNCTION("split(B918,""/"")"),3.0)</f>
        <v>3</v>
      </c>
      <c r="D918" s="10">
        <f>IFERROR(__xludf.DUMMYFUNCTION("""COMPUTED_VALUE"""),3.0)</f>
        <v>3</v>
      </c>
      <c r="E918" s="11">
        <f>IFERROR(__xludf.DUMMYFUNCTION("""COMPUTED_VALUE"""),2017.0)</f>
        <v>2017</v>
      </c>
      <c r="F918" s="12">
        <f t="shared" si="1"/>
        <v>42797</v>
      </c>
      <c r="G918" s="3" t="s">
        <v>992</v>
      </c>
      <c r="H918" s="3">
        <f>IFERROR(__xludf.DUMMYFUNCTION("split(G918,""/"")"),3.0)</f>
        <v>3</v>
      </c>
      <c r="I918" s="3">
        <f>IFERROR(__xludf.DUMMYFUNCTION("""COMPUTED_VALUE"""),22.0)</f>
        <v>22</v>
      </c>
      <c r="J918" s="3">
        <f>IFERROR(__xludf.DUMMYFUNCTION("""COMPUTED_VALUE"""),2017.0)</f>
        <v>2017</v>
      </c>
      <c r="K918" s="12">
        <f t="shared" si="2"/>
        <v>42816</v>
      </c>
      <c r="L918" s="3" t="s">
        <v>814</v>
      </c>
      <c r="M918" s="3" t="s">
        <v>542</v>
      </c>
      <c r="N918" s="3">
        <v>8875.0</v>
      </c>
      <c r="O918" s="3" t="s">
        <v>815</v>
      </c>
      <c r="P918" s="10">
        <v>661.0</v>
      </c>
      <c r="Q918" s="13">
        <v>421.89</v>
      </c>
      <c r="R918" s="13">
        <v>364.69</v>
      </c>
      <c r="S918" s="13">
        <f t="shared" si="3"/>
        <v>278869.29</v>
      </c>
      <c r="T918" s="13">
        <f t="shared" si="4"/>
        <v>241060.09</v>
      </c>
      <c r="U918" s="13">
        <f t="shared" si="5"/>
        <v>37809.2</v>
      </c>
      <c r="V918" s="3" t="str">
        <f>VLOOKUP(N918,products!A:B,2,0)</f>
        <v>Meat</v>
      </c>
      <c r="W918" s="3" t="s">
        <v>28</v>
      </c>
      <c r="X918" s="3" t="s">
        <v>29</v>
      </c>
      <c r="Y918" s="14">
        <f t="shared" si="10"/>
        <v>0.1355803646</v>
      </c>
      <c r="Z918" s="3">
        <f t="shared" si="7"/>
        <v>19</v>
      </c>
      <c r="AA918" s="15">
        <f t="shared" si="8"/>
        <v>6</v>
      </c>
    </row>
    <row r="919" ht="15.75" customHeight="1">
      <c r="A919" s="3">
        <v>6.97617518E8</v>
      </c>
      <c r="B919" s="3" t="s">
        <v>1643</v>
      </c>
      <c r="C919" s="3">
        <f>IFERROR(__xludf.DUMMYFUNCTION("split(B919,""/"")"),6.0)</f>
        <v>6</v>
      </c>
      <c r="D919" s="10">
        <f>IFERROR(__xludf.DUMMYFUNCTION("""COMPUTED_VALUE"""),13.0)</f>
        <v>13</v>
      </c>
      <c r="E919" s="11">
        <f>IFERROR(__xludf.DUMMYFUNCTION("""COMPUTED_VALUE"""),2012.0)</f>
        <v>2012</v>
      </c>
      <c r="F919" s="12">
        <f t="shared" si="1"/>
        <v>41073</v>
      </c>
      <c r="G919" s="9">
        <v>41097.0</v>
      </c>
      <c r="H919" s="3">
        <f>IFERROR(__xludf.DUMMYFUNCTION("split(G919,""/"")"),7.0)</f>
        <v>7</v>
      </c>
      <c r="I919" s="3">
        <f>IFERROR(__xludf.DUMMYFUNCTION("""COMPUTED_VALUE"""),7.0)</f>
        <v>7</v>
      </c>
      <c r="J919" s="3">
        <f>IFERROR(__xludf.DUMMYFUNCTION("""COMPUTED_VALUE"""),2012.0)</f>
        <v>2012</v>
      </c>
      <c r="K919" s="12">
        <f t="shared" si="2"/>
        <v>41097</v>
      </c>
      <c r="L919" s="3" t="s">
        <v>814</v>
      </c>
      <c r="M919" s="3" t="s">
        <v>821</v>
      </c>
      <c r="N919" s="3">
        <v>8875.0</v>
      </c>
      <c r="O919" s="3" t="s">
        <v>818</v>
      </c>
      <c r="P919" s="10">
        <v>9381.0</v>
      </c>
      <c r="Q919" s="13">
        <v>421.89</v>
      </c>
      <c r="R919" s="13">
        <v>364.69</v>
      </c>
      <c r="S919" s="13">
        <f t="shared" si="3"/>
        <v>3957750.09</v>
      </c>
      <c r="T919" s="13">
        <f t="shared" si="4"/>
        <v>3421156.89</v>
      </c>
      <c r="U919" s="13">
        <f t="shared" si="5"/>
        <v>536593.2</v>
      </c>
      <c r="V919" s="3" t="str">
        <f>VLOOKUP(N919,products!A:B,2,0)</f>
        <v>Meat</v>
      </c>
      <c r="W919" s="3" t="s">
        <v>821</v>
      </c>
      <c r="X919" s="3" t="s">
        <v>821</v>
      </c>
      <c r="Y919" s="14">
        <f t="shared" si="10"/>
        <v>0.1355803646</v>
      </c>
      <c r="Z919" s="3">
        <f t="shared" si="7"/>
        <v>24</v>
      </c>
      <c r="AA919" s="15">
        <f t="shared" si="8"/>
        <v>4</v>
      </c>
    </row>
    <row r="920" ht="15.75" customHeight="1">
      <c r="A920" s="3">
        <v>6.97638976E8</v>
      </c>
      <c r="B920" s="3" t="s">
        <v>1538</v>
      </c>
      <c r="C920" s="3">
        <f>IFERROR(__xludf.DUMMYFUNCTION("split(B920,""/"")"),3.0)</f>
        <v>3</v>
      </c>
      <c r="D920" s="10">
        <f>IFERROR(__xludf.DUMMYFUNCTION("""COMPUTED_VALUE"""),16.0)</f>
        <v>16</v>
      </c>
      <c r="E920" s="11">
        <f>IFERROR(__xludf.DUMMYFUNCTION("""COMPUTED_VALUE"""),2015.0)</f>
        <v>2015</v>
      </c>
      <c r="F920" s="12">
        <f t="shared" si="1"/>
        <v>42079</v>
      </c>
      <c r="G920" s="3" t="s">
        <v>1644</v>
      </c>
      <c r="H920" s="3">
        <f>IFERROR(__xludf.DUMMYFUNCTION("split(G920,""/"")"),3.0)</f>
        <v>3</v>
      </c>
      <c r="I920" s="3">
        <f>IFERROR(__xludf.DUMMYFUNCTION("""COMPUTED_VALUE"""),26.0)</f>
        <v>26</v>
      </c>
      <c r="J920" s="3">
        <f>IFERROR(__xludf.DUMMYFUNCTION("""COMPUTED_VALUE"""),2015.0)</f>
        <v>2015</v>
      </c>
      <c r="K920" s="12">
        <f t="shared" si="2"/>
        <v>42089</v>
      </c>
      <c r="L920" s="3" t="s">
        <v>825</v>
      </c>
      <c r="M920" s="3" t="s">
        <v>635</v>
      </c>
      <c r="N920" s="3">
        <v>5988.0</v>
      </c>
      <c r="O920" s="3" t="s">
        <v>818</v>
      </c>
      <c r="P920" s="10">
        <v>5731.0</v>
      </c>
      <c r="Q920" s="13">
        <v>154.06</v>
      </c>
      <c r="R920" s="13">
        <v>90.93</v>
      </c>
      <c r="S920" s="13">
        <f t="shared" si="3"/>
        <v>882917.86</v>
      </c>
      <c r="T920" s="13">
        <f t="shared" si="4"/>
        <v>521119.83</v>
      </c>
      <c r="U920" s="13">
        <f t="shared" si="5"/>
        <v>361798.03</v>
      </c>
      <c r="V920" s="3" t="str">
        <f>VLOOKUP(N920,products!A:B,2,0)</f>
        <v>Vegetables</v>
      </c>
      <c r="W920" s="3" t="s">
        <v>28</v>
      </c>
      <c r="X920" s="3" t="s">
        <v>33</v>
      </c>
      <c r="Y920" s="14">
        <f t="shared" si="10"/>
        <v>0.4097754122</v>
      </c>
      <c r="Z920" s="3">
        <f t="shared" si="7"/>
        <v>10</v>
      </c>
      <c r="AA920" s="15">
        <f t="shared" si="8"/>
        <v>2</v>
      </c>
    </row>
    <row r="921" ht="15.75" customHeight="1">
      <c r="A921" s="3">
        <v>7.00069701E8</v>
      </c>
      <c r="B921" s="9">
        <v>42644.0</v>
      </c>
      <c r="C921" s="3">
        <f>IFERROR(__xludf.DUMMYFUNCTION("split(B921,""/"")"),1.0)</f>
        <v>1</v>
      </c>
      <c r="D921" s="10">
        <f>IFERROR(__xludf.DUMMYFUNCTION("""COMPUTED_VALUE"""),10.0)</f>
        <v>10</v>
      </c>
      <c r="E921" s="11">
        <f>IFERROR(__xludf.DUMMYFUNCTION("""COMPUTED_VALUE"""),2016.0)</f>
        <v>2016</v>
      </c>
      <c r="F921" s="12">
        <f t="shared" si="1"/>
        <v>42379</v>
      </c>
      <c r="G921" s="3" t="s">
        <v>1287</v>
      </c>
      <c r="H921" s="3">
        <f>IFERROR(__xludf.DUMMYFUNCTION("split(G921,""/"")"),1.0)</f>
        <v>1</v>
      </c>
      <c r="I921" s="3">
        <f>IFERROR(__xludf.DUMMYFUNCTION("""COMPUTED_VALUE"""),21.0)</f>
        <v>21</v>
      </c>
      <c r="J921" s="3">
        <f>IFERROR(__xludf.DUMMYFUNCTION("""COMPUTED_VALUE"""),2016.0)</f>
        <v>2016</v>
      </c>
      <c r="K921" s="12">
        <f t="shared" si="2"/>
        <v>42390</v>
      </c>
      <c r="L921" s="3" t="s">
        <v>825</v>
      </c>
      <c r="M921" s="3" t="s">
        <v>821</v>
      </c>
      <c r="N921" s="3">
        <v>5988.0</v>
      </c>
      <c r="O921" s="3" t="s">
        <v>818</v>
      </c>
      <c r="P921" s="10">
        <v>5037.0</v>
      </c>
      <c r="Q921" s="13">
        <v>154.06</v>
      </c>
      <c r="R921" s="13">
        <v>90.93</v>
      </c>
      <c r="S921" s="13">
        <f t="shared" si="3"/>
        <v>776000.22</v>
      </c>
      <c r="T921" s="13">
        <f t="shared" si="4"/>
        <v>458014.41</v>
      </c>
      <c r="U921" s="13">
        <f t="shared" si="5"/>
        <v>317985.81</v>
      </c>
      <c r="V921" s="3" t="str">
        <f>VLOOKUP(N921,products!A:B,2,0)</f>
        <v>Vegetables</v>
      </c>
      <c r="W921" s="3" t="s">
        <v>821</v>
      </c>
      <c r="X921" s="3" t="s">
        <v>821</v>
      </c>
      <c r="Y921" s="14">
        <f t="shared" si="10"/>
        <v>0.4097754122</v>
      </c>
      <c r="Z921" s="3">
        <f t="shared" si="7"/>
        <v>11</v>
      </c>
      <c r="AA921" s="15">
        <f t="shared" si="8"/>
        <v>1</v>
      </c>
    </row>
    <row r="922" ht="15.75" customHeight="1">
      <c r="A922" s="3">
        <v>7.00304019E8</v>
      </c>
      <c r="B922" s="3" t="s">
        <v>1645</v>
      </c>
      <c r="C922" s="3">
        <f>IFERROR(__xludf.DUMMYFUNCTION("split(B922,""/"")"),11.0)</f>
        <v>11</v>
      </c>
      <c r="D922" s="10">
        <f>IFERROR(__xludf.DUMMYFUNCTION("""COMPUTED_VALUE"""),23.0)</f>
        <v>23</v>
      </c>
      <c r="E922" s="11">
        <f>IFERROR(__xludf.DUMMYFUNCTION("""COMPUTED_VALUE"""),2014.0)</f>
        <v>2014</v>
      </c>
      <c r="F922" s="12">
        <f t="shared" si="1"/>
        <v>41966</v>
      </c>
      <c r="G922" s="3" t="s">
        <v>1471</v>
      </c>
      <c r="H922" s="3">
        <f>IFERROR(__xludf.DUMMYFUNCTION("split(G922,""/"")"),12.0)</f>
        <v>12</v>
      </c>
      <c r="I922" s="3">
        <f>IFERROR(__xludf.DUMMYFUNCTION("""COMPUTED_VALUE"""),21.0)</f>
        <v>21</v>
      </c>
      <c r="J922" s="3">
        <f>IFERROR(__xludf.DUMMYFUNCTION("""COMPUTED_VALUE"""),2014.0)</f>
        <v>2014</v>
      </c>
      <c r="K922" s="12">
        <f t="shared" si="2"/>
        <v>41994</v>
      </c>
      <c r="L922" s="3" t="s">
        <v>814</v>
      </c>
      <c r="M922" s="3" t="s">
        <v>653</v>
      </c>
      <c r="N922" s="3">
        <v>3127.0</v>
      </c>
      <c r="O922" s="3" t="s">
        <v>818</v>
      </c>
      <c r="P922" s="10">
        <v>4376.0</v>
      </c>
      <c r="Q922" s="13">
        <v>81.73</v>
      </c>
      <c r="R922" s="13">
        <v>56.67</v>
      </c>
      <c r="S922" s="13">
        <f t="shared" si="3"/>
        <v>357650.48</v>
      </c>
      <c r="T922" s="13">
        <f t="shared" si="4"/>
        <v>247987.92</v>
      </c>
      <c r="U922" s="13">
        <f t="shared" si="5"/>
        <v>109662.56</v>
      </c>
      <c r="V922" s="3" t="str">
        <f>VLOOKUP(N922,products!A:B,2,0)</f>
        <v>Personal Care</v>
      </c>
      <c r="W922" s="3" t="s">
        <v>28</v>
      </c>
      <c r="X922" s="3" t="s">
        <v>33</v>
      </c>
      <c r="Y922" s="14">
        <f t="shared" si="10"/>
        <v>0.3066193564</v>
      </c>
      <c r="Z922" s="3">
        <f t="shared" si="7"/>
        <v>28</v>
      </c>
      <c r="AA922" s="15">
        <f t="shared" si="8"/>
        <v>1</v>
      </c>
    </row>
    <row r="923" ht="15.75" customHeight="1">
      <c r="A923" s="3">
        <v>7.01298367E8</v>
      </c>
      <c r="B923" s="9">
        <v>40767.0</v>
      </c>
      <c r="C923" s="3">
        <f>IFERROR(__xludf.DUMMYFUNCTION("split(B923,""/"")"),12.0)</f>
        <v>12</v>
      </c>
      <c r="D923" s="10">
        <f>IFERROR(__xludf.DUMMYFUNCTION("""COMPUTED_VALUE"""),8.0)</f>
        <v>8</v>
      </c>
      <c r="E923" s="11">
        <f>IFERROR(__xludf.DUMMYFUNCTION("""COMPUTED_VALUE"""),2011.0)</f>
        <v>2011</v>
      </c>
      <c r="F923" s="12">
        <f t="shared" si="1"/>
        <v>40885</v>
      </c>
      <c r="G923" s="9">
        <v>41061.0</v>
      </c>
      <c r="H923" s="3">
        <f>IFERROR(__xludf.DUMMYFUNCTION("split(G923,""/"")"),1.0)</f>
        <v>1</v>
      </c>
      <c r="I923" s="3">
        <f>IFERROR(__xludf.DUMMYFUNCTION("""COMPUTED_VALUE"""),6.0)</f>
        <v>6</v>
      </c>
      <c r="J923" s="3">
        <f>IFERROR(__xludf.DUMMYFUNCTION("""COMPUTED_VALUE"""),2012.0)</f>
        <v>2012</v>
      </c>
      <c r="K923" s="12">
        <f t="shared" si="2"/>
        <v>40914</v>
      </c>
      <c r="L923" s="3" t="s">
        <v>814</v>
      </c>
      <c r="M923" s="3" t="s">
        <v>300</v>
      </c>
      <c r="N923" s="3">
        <v>3127.0</v>
      </c>
      <c r="O923" s="3" t="s">
        <v>818</v>
      </c>
      <c r="P923" s="10">
        <v>8626.0</v>
      </c>
      <c r="Q923" s="13">
        <v>81.73</v>
      </c>
      <c r="R923" s="13">
        <v>56.67</v>
      </c>
      <c r="S923" s="13">
        <f t="shared" si="3"/>
        <v>705002.98</v>
      </c>
      <c r="T923" s="13">
        <f t="shared" si="4"/>
        <v>488835.42</v>
      </c>
      <c r="U923" s="13">
        <f t="shared" si="5"/>
        <v>216167.56</v>
      </c>
      <c r="V923" s="3" t="str">
        <f>VLOOKUP(N923,products!A:B,2,0)</f>
        <v>Personal Care</v>
      </c>
      <c r="W923" s="3" t="s">
        <v>28</v>
      </c>
      <c r="X923" s="3" t="s">
        <v>33</v>
      </c>
      <c r="Y923" s="14">
        <f t="shared" si="10"/>
        <v>0.3066193564</v>
      </c>
      <c r="Z923" s="3">
        <f t="shared" si="7"/>
        <v>29</v>
      </c>
      <c r="AA923" s="15">
        <f t="shared" si="8"/>
        <v>5</v>
      </c>
    </row>
    <row r="924" ht="15.75" customHeight="1">
      <c r="A924" s="3">
        <v>7.02357947E8</v>
      </c>
      <c r="B924" s="9">
        <v>41760.0</v>
      </c>
      <c r="C924" s="3">
        <f>IFERROR(__xludf.DUMMYFUNCTION("split(B924,""/"")"),1.0)</f>
        <v>1</v>
      </c>
      <c r="D924" s="10">
        <f>IFERROR(__xludf.DUMMYFUNCTION("""COMPUTED_VALUE"""),5.0)</f>
        <v>5</v>
      </c>
      <c r="E924" s="11">
        <f>IFERROR(__xludf.DUMMYFUNCTION("""COMPUTED_VALUE"""),2014.0)</f>
        <v>2014</v>
      </c>
      <c r="F924" s="12">
        <f t="shared" si="1"/>
        <v>41644</v>
      </c>
      <c r="G924" s="9">
        <v>41731.0</v>
      </c>
      <c r="H924" s="3">
        <f>IFERROR(__xludf.DUMMYFUNCTION("split(G924,""/"")"),2.0)</f>
        <v>2</v>
      </c>
      <c r="I924" s="3">
        <f>IFERROR(__xludf.DUMMYFUNCTION("""COMPUTED_VALUE"""),4.0)</f>
        <v>4</v>
      </c>
      <c r="J924" s="3">
        <f>IFERROR(__xludf.DUMMYFUNCTION("""COMPUTED_VALUE"""),2014.0)</f>
        <v>2014</v>
      </c>
      <c r="K924" s="12">
        <f t="shared" si="2"/>
        <v>41674</v>
      </c>
      <c r="L924" s="3" t="s">
        <v>825</v>
      </c>
      <c r="M924" s="3" t="s">
        <v>364</v>
      </c>
      <c r="N924" s="3">
        <v>3127.0</v>
      </c>
      <c r="O924" s="3" t="s">
        <v>818</v>
      </c>
      <c r="P924" s="10">
        <v>2179.0</v>
      </c>
      <c r="Q924" s="13">
        <v>81.73</v>
      </c>
      <c r="R924" s="13">
        <v>56.67</v>
      </c>
      <c r="S924" s="13">
        <f t="shared" si="3"/>
        <v>178089.67</v>
      </c>
      <c r="T924" s="13">
        <f t="shared" si="4"/>
        <v>123483.93</v>
      </c>
      <c r="U924" s="13">
        <f t="shared" si="5"/>
        <v>54605.74</v>
      </c>
      <c r="V924" s="3" t="str">
        <f>VLOOKUP(N924,products!A:B,2,0)</f>
        <v>Personal Care</v>
      </c>
      <c r="W924" s="3" t="s">
        <v>28</v>
      </c>
      <c r="X924" s="3" t="s">
        <v>29</v>
      </c>
      <c r="Y924" s="14">
        <f t="shared" si="10"/>
        <v>0.3066193564</v>
      </c>
      <c r="Z924" s="3">
        <f t="shared" si="7"/>
        <v>30</v>
      </c>
      <c r="AA924" s="15">
        <f t="shared" si="8"/>
        <v>1</v>
      </c>
    </row>
    <row r="925" ht="15.75" customHeight="1">
      <c r="A925" s="3">
        <v>7.02815854E8</v>
      </c>
      <c r="B925" s="3" t="s">
        <v>1646</v>
      </c>
      <c r="C925" s="3">
        <f>IFERROR(__xludf.DUMMYFUNCTION("split(B925,""/"")"),5.0)</f>
        <v>5</v>
      </c>
      <c r="D925" s="10">
        <f>IFERROR(__xludf.DUMMYFUNCTION("""COMPUTED_VALUE"""),16.0)</f>
        <v>16</v>
      </c>
      <c r="E925" s="11">
        <f>IFERROR(__xludf.DUMMYFUNCTION("""COMPUTED_VALUE"""),2010.0)</f>
        <v>2010</v>
      </c>
      <c r="F925" s="12">
        <f t="shared" si="1"/>
        <v>40314</v>
      </c>
      <c r="G925" s="9">
        <v>40335.0</v>
      </c>
      <c r="H925" s="3">
        <f>IFERROR(__xludf.DUMMYFUNCTION("split(G925,""/"")"),6.0)</f>
        <v>6</v>
      </c>
      <c r="I925" s="3">
        <f>IFERROR(__xludf.DUMMYFUNCTION("""COMPUTED_VALUE"""),6.0)</f>
        <v>6</v>
      </c>
      <c r="J925" s="3">
        <f>IFERROR(__xludf.DUMMYFUNCTION("""COMPUTED_VALUE"""),2010.0)</f>
        <v>2010</v>
      </c>
      <c r="K925" s="12">
        <f t="shared" si="2"/>
        <v>40335</v>
      </c>
      <c r="L925" s="3" t="s">
        <v>825</v>
      </c>
      <c r="M925" s="3" t="s">
        <v>221</v>
      </c>
      <c r="N925" s="3">
        <v>7940.0</v>
      </c>
      <c r="O925" s="3" t="s">
        <v>815</v>
      </c>
      <c r="P925" s="10">
        <v>7684.0</v>
      </c>
      <c r="Q925" s="13">
        <v>668.27</v>
      </c>
      <c r="R925" s="13">
        <v>502.54</v>
      </c>
      <c r="S925" s="13">
        <f t="shared" si="3"/>
        <v>5134986.68</v>
      </c>
      <c r="T925" s="13">
        <f t="shared" si="4"/>
        <v>3861517.36</v>
      </c>
      <c r="U925" s="13">
        <f t="shared" si="5"/>
        <v>1273469.32</v>
      </c>
      <c r="V925" s="3" t="str">
        <f>VLOOKUP(N925,products!A:B,2,0)</f>
        <v>Household</v>
      </c>
      <c r="W925" s="3" t="s">
        <v>28</v>
      </c>
      <c r="X925" s="3" t="s">
        <v>29</v>
      </c>
      <c r="Y925" s="14">
        <f t="shared" si="10"/>
        <v>0.2479985635</v>
      </c>
      <c r="Z925" s="3">
        <f t="shared" si="7"/>
        <v>21</v>
      </c>
      <c r="AA925" s="15">
        <f t="shared" si="8"/>
        <v>1</v>
      </c>
    </row>
    <row r="926" ht="15.75" customHeight="1">
      <c r="A926" s="3">
        <v>7.03966844E8</v>
      </c>
      <c r="B926" s="3" t="s">
        <v>1647</v>
      </c>
      <c r="C926" s="3">
        <f>IFERROR(__xludf.DUMMYFUNCTION("split(B926,""/"")"),11.0)</f>
        <v>11</v>
      </c>
      <c r="D926" s="10">
        <f>IFERROR(__xludf.DUMMYFUNCTION("""COMPUTED_VALUE"""),18.0)</f>
        <v>18</v>
      </c>
      <c r="E926" s="11">
        <f>IFERROR(__xludf.DUMMYFUNCTION("""COMPUTED_VALUE"""),2013.0)</f>
        <v>2013</v>
      </c>
      <c r="F926" s="12">
        <f t="shared" si="1"/>
        <v>41596</v>
      </c>
      <c r="G926" s="3" t="s">
        <v>1542</v>
      </c>
      <c r="H926" s="3">
        <f>IFERROR(__xludf.DUMMYFUNCTION("split(G926,""/"")"),11.0)</f>
        <v>11</v>
      </c>
      <c r="I926" s="3">
        <f>IFERROR(__xludf.DUMMYFUNCTION("""COMPUTED_VALUE"""),30.0)</f>
        <v>30</v>
      </c>
      <c r="J926" s="3">
        <f>IFERROR(__xludf.DUMMYFUNCTION("""COMPUTED_VALUE"""),2013.0)</f>
        <v>2013</v>
      </c>
      <c r="K926" s="12">
        <f t="shared" si="2"/>
        <v>41608</v>
      </c>
      <c r="L926" s="3" t="s">
        <v>817</v>
      </c>
      <c r="M926" s="3" t="s">
        <v>635</v>
      </c>
      <c r="N926" s="3">
        <v>8969.0</v>
      </c>
      <c r="O926" s="3" t="s">
        <v>818</v>
      </c>
      <c r="P926" s="10">
        <v>8288.0</v>
      </c>
      <c r="Q926" s="13">
        <v>152.58</v>
      </c>
      <c r="R926" s="13">
        <v>97.44</v>
      </c>
      <c r="S926" s="13">
        <f t="shared" si="3"/>
        <v>1264583.04</v>
      </c>
      <c r="T926" s="13">
        <f t="shared" si="4"/>
        <v>807582.72</v>
      </c>
      <c r="U926" s="13">
        <f t="shared" si="5"/>
        <v>457000.32</v>
      </c>
      <c r="V926" s="3" t="str">
        <f>VLOOKUP(N926,products!A:B,2,0)</f>
        <v>Snacks</v>
      </c>
      <c r="W926" s="3" t="s">
        <v>28</v>
      </c>
      <c r="X926" s="3" t="s">
        <v>33</v>
      </c>
      <c r="Y926" s="14">
        <f t="shared" si="10"/>
        <v>0.3613841919</v>
      </c>
      <c r="Z926" s="3">
        <f t="shared" si="7"/>
        <v>12</v>
      </c>
      <c r="AA926" s="15">
        <f t="shared" si="8"/>
        <v>2</v>
      </c>
    </row>
    <row r="927" ht="15.75" customHeight="1">
      <c r="A927" s="3">
        <v>7.04139363E8</v>
      </c>
      <c r="B927" s="3" t="s">
        <v>1648</v>
      </c>
      <c r="C927" s="3">
        <f>IFERROR(__xludf.DUMMYFUNCTION("split(B927,""/"")"),7.0)</f>
        <v>7</v>
      </c>
      <c r="D927" s="10">
        <f>IFERROR(__xludf.DUMMYFUNCTION("""COMPUTED_VALUE"""),17.0)</f>
        <v>17</v>
      </c>
      <c r="E927" s="11">
        <f>IFERROR(__xludf.DUMMYFUNCTION("""COMPUTED_VALUE"""),2017.0)</f>
        <v>2017</v>
      </c>
      <c r="F927" s="12">
        <f t="shared" si="1"/>
        <v>42933</v>
      </c>
      <c r="G927" s="3" t="s">
        <v>1649</v>
      </c>
      <c r="H927" s="3">
        <f>IFERROR(__xludf.DUMMYFUNCTION("split(G927,""/"")"),8.0)</f>
        <v>8</v>
      </c>
      <c r="I927" s="3">
        <f>IFERROR(__xludf.DUMMYFUNCTION("""COMPUTED_VALUE"""),31.0)</f>
        <v>31</v>
      </c>
      <c r="J927" s="3">
        <f>IFERROR(__xludf.DUMMYFUNCTION("""COMPUTED_VALUE"""),2017.0)</f>
        <v>2017</v>
      </c>
      <c r="K927" s="12">
        <f t="shared" si="2"/>
        <v>42978</v>
      </c>
      <c r="L927" s="3" t="s">
        <v>814</v>
      </c>
      <c r="M927" s="3" t="s">
        <v>536</v>
      </c>
      <c r="N927" s="3">
        <v>1270.0</v>
      </c>
      <c r="O927" s="3" t="s">
        <v>818</v>
      </c>
      <c r="P927" s="10">
        <v>9340.0</v>
      </c>
      <c r="Q927" s="13">
        <v>47.45</v>
      </c>
      <c r="R927" s="13">
        <v>31.79</v>
      </c>
      <c r="S927" s="13">
        <f t="shared" si="3"/>
        <v>443183</v>
      </c>
      <c r="T927" s="13">
        <f t="shared" si="4"/>
        <v>296918.6</v>
      </c>
      <c r="U927" s="13">
        <f t="shared" si="5"/>
        <v>146264.4</v>
      </c>
      <c r="V927" s="3" t="str">
        <f>VLOOKUP(N927,products!A:B,2,0)</f>
        <v>Beverages</v>
      </c>
      <c r="W927" s="3" t="s">
        <v>28</v>
      </c>
      <c r="X927" s="3" t="s">
        <v>33</v>
      </c>
      <c r="Y927" s="14">
        <f t="shared" si="10"/>
        <v>0.3300316122</v>
      </c>
      <c r="Z927" s="3">
        <f t="shared" si="7"/>
        <v>45</v>
      </c>
      <c r="AA927" s="15">
        <f t="shared" si="8"/>
        <v>2</v>
      </c>
    </row>
    <row r="928" ht="15.75" customHeight="1">
      <c r="A928" s="3">
        <v>7.04233348E8</v>
      </c>
      <c r="B928" s="3" t="s">
        <v>1650</v>
      </c>
      <c r="C928" s="3">
        <f>IFERROR(__xludf.DUMMYFUNCTION("split(B928,""/"")"),11.0)</f>
        <v>11</v>
      </c>
      <c r="D928" s="10">
        <f>IFERROR(__xludf.DUMMYFUNCTION("""COMPUTED_VALUE"""),17.0)</f>
        <v>17</v>
      </c>
      <c r="E928" s="11">
        <f>IFERROR(__xludf.DUMMYFUNCTION("""COMPUTED_VALUE"""),2016.0)</f>
        <v>2016</v>
      </c>
      <c r="F928" s="12">
        <f t="shared" si="1"/>
        <v>42691</v>
      </c>
      <c r="G928" s="3" t="s">
        <v>1492</v>
      </c>
      <c r="H928" s="3">
        <f>IFERROR(__xludf.DUMMYFUNCTION("split(G928,""/"")"),11.0)</f>
        <v>11</v>
      </c>
      <c r="I928" s="3">
        <f>IFERROR(__xludf.DUMMYFUNCTION("""COMPUTED_VALUE"""),26.0)</f>
        <v>26</v>
      </c>
      <c r="J928" s="3">
        <f>IFERROR(__xludf.DUMMYFUNCTION("""COMPUTED_VALUE"""),2016.0)</f>
        <v>2016</v>
      </c>
      <c r="K928" s="12">
        <f t="shared" si="2"/>
        <v>42700</v>
      </c>
      <c r="L928" s="3" t="s">
        <v>825</v>
      </c>
      <c r="M928" s="3" t="s">
        <v>373</v>
      </c>
      <c r="N928" s="3">
        <v>4594.0</v>
      </c>
      <c r="O928" s="3" t="s">
        <v>818</v>
      </c>
      <c r="P928" s="10">
        <v>7152.0</v>
      </c>
      <c r="Q928" s="13">
        <v>9.33</v>
      </c>
      <c r="R928" s="13">
        <v>6.92</v>
      </c>
      <c r="S928" s="13">
        <f t="shared" si="3"/>
        <v>66728.16</v>
      </c>
      <c r="T928" s="13">
        <f t="shared" si="4"/>
        <v>49491.84</v>
      </c>
      <c r="U928" s="13">
        <f t="shared" si="5"/>
        <v>17236.32</v>
      </c>
      <c r="V928" s="3" t="str">
        <f>VLOOKUP(N928,products!A:B,2,0)</f>
        <v>Fruits</v>
      </c>
      <c r="W928" s="3" t="s">
        <v>28</v>
      </c>
      <c r="X928" s="3" t="s">
        <v>33</v>
      </c>
      <c r="Y928" s="14">
        <f t="shared" si="10"/>
        <v>0.258306538</v>
      </c>
      <c r="Z928" s="3">
        <f t="shared" si="7"/>
        <v>9</v>
      </c>
      <c r="AA928" s="15">
        <f t="shared" si="8"/>
        <v>5</v>
      </c>
    </row>
    <row r="929" ht="15.75" customHeight="1">
      <c r="A929" s="3">
        <v>7.04361665E8</v>
      </c>
      <c r="B929" s="3" t="s">
        <v>1651</v>
      </c>
      <c r="C929" s="3">
        <f>IFERROR(__xludf.DUMMYFUNCTION("split(B929,""/"")"),1.0)</f>
        <v>1</v>
      </c>
      <c r="D929" s="10">
        <f>IFERROR(__xludf.DUMMYFUNCTION("""COMPUTED_VALUE"""),30.0)</f>
        <v>30</v>
      </c>
      <c r="E929" s="11">
        <f>IFERROR(__xludf.DUMMYFUNCTION("""COMPUTED_VALUE"""),2016.0)</f>
        <v>2016</v>
      </c>
      <c r="F929" s="12">
        <f t="shared" si="1"/>
        <v>42399</v>
      </c>
      <c r="G929" s="9">
        <v>42372.0</v>
      </c>
      <c r="H929" s="3">
        <f>IFERROR(__xludf.DUMMYFUNCTION("split(G929,""/"")"),3.0)</f>
        <v>3</v>
      </c>
      <c r="I929" s="3">
        <f>IFERROR(__xludf.DUMMYFUNCTION("""COMPUTED_VALUE"""),1.0)</f>
        <v>1</v>
      </c>
      <c r="J929" s="3">
        <f>IFERROR(__xludf.DUMMYFUNCTION("""COMPUTED_VALUE"""),2016.0)</f>
        <v>2016</v>
      </c>
      <c r="K929" s="12">
        <f t="shared" si="2"/>
        <v>42430</v>
      </c>
      <c r="L929" s="3" t="s">
        <v>817</v>
      </c>
      <c r="M929" s="3" t="s">
        <v>650</v>
      </c>
      <c r="N929" s="3">
        <v>7940.0</v>
      </c>
      <c r="O929" s="3" t="s">
        <v>815</v>
      </c>
      <c r="P929" s="10">
        <v>5124.0</v>
      </c>
      <c r="Q929" s="13">
        <v>668.27</v>
      </c>
      <c r="R929" s="13">
        <v>502.54</v>
      </c>
      <c r="S929" s="13">
        <f t="shared" si="3"/>
        <v>3424215.48</v>
      </c>
      <c r="T929" s="13">
        <f t="shared" si="4"/>
        <v>2575014.96</v>
      </c>
      <c r="U929" s="13">
        <f t="shared" si="5"/>
        <v>849200.52</v>
      </c>
      <c r="V929" s="3" t="str">
        <f>VLOOKUP(N929,products!A:B,2,0)</f>
        <v>Household</v>
      </c>
      <c r="W929" s="3" t="s">
        <v>28</v>
      </c>
      <c r="X929" s="3" t="s">
        <v>98</v>
      </c>
      <c r="Y929" s="14">
        <f t="shared" si="10"/>
        <v>0.2479985635</v>
      </c>
      <c r="Z929" s="3">
        <f t="shared" si="7"/>
        <v>31</v>
      </c>
      <c r="AA929" s="15">
        <f t="shared" si="8"/>
        <v>7</v>
      </c>
    </row>
    <row r="930" ht="15.75" customHeight="1">
      <c r="A930" s="3">
        <v>7.06176555E8</v>
      </c>
      <c r="B930" s="3" t="s">
        <v>1652</v>
      </c>
      <c r="C930" s="3">
        <f>IFERROR(__xludf.DUMMYFUNCTION("split(B930,""/"")"),2.0)</f>
        <v>2</v>
      </c>
      <c r="D930" s="10">
        <f>IFERROR(__xludf.DUMMYFUNCTION("""COMPUTED_VALUE"""),13.0)</f>
        <v>13</v>
      </c>
      <c r="E930" s="11">
        <f>IFERROR(__xludf.DUMMYFUNCTION("""COMPUTED_VALUE"""),2015.0)</f>
        <v>2015</v>
      </c>
      <c r="F930" s="12">
        <f t="shared" si="1"/>
        <v>42048</v>
      </c>
      <c r="G930" s="3" t="s">
        <v>1030</v>
      </c>
      <c r="H930" s="3">
        <f>IFERROR(__xludf.DUMMYFUNCTION("split(G930,""/"")"),2.0)</f>
        <v>2</v>
      </c>
      <c r="I930" s="3">
        <f>IFERROR(__xludf.DUMMYFUNCTION("""COMPUTED_VALUE"""),26.0)</f>
        <v>26</v>
      </c>
      <c r="J930" s="3">
        <f>IFERROR(__xludf.DUMMYFUNCTION("""COMPUTED_VALUE"""),2015.0)</f>
        <v>2015</v>
      </c>
      <c r="K930" s="12">
        <f t="shared" si="2"/>
        <v>42061</v>
      </c>
      <c r="L930" s="3" t="s">
        <v>817</v>
      </c>
      <c r="M930" s="3" t="s">
        <v>349</v>
      </c>
      <c r="N930" s="3">
        <v>5988.0</v>
      </c>
      <c r="O930" s="3" t="s">
        <v>818</v>
      </c>
      <c r="P930" s="10">
        <v>2190.0</v>
      </c>
      <c r="Q930" s="13">
        <v>154.06</v>
      </c>
      <c r="R930" s="13">
        <v>90.93</v>
      </c>
      <c r="S930" s="13">
        <f t="shared" si="3"/>
        <v>337391.4</v>
      </c>
      <c r="T930" s="13">
        <f t="shared" si="4"/>
        <v>199136.7</v>
      </c>
      <c r="U930" s="13">
        <f t="shared" si="5"/>
        <v>138254.7</v>
      </c>
      <c r="V930" s="3" t="str">
        <f>VLOOKUP(N930,products!A:B,2,0)</f>
        <v>Vegetables</v>
      </c>
      <c r="W930" s="3" t="s">
        <v>28</v>
      </c>
      <c r="X930" s="3" t="s">
        <v>29</v>
      </c>
      <c r="Y930" s="14">
        <f t="shared" si="10"/>
        <v>0.4097754122</v>
      </c>
      <c r="Z930" s="3">
        <f t="shared" si="7"/>
        <v>13</v>
      </c>
      <c r="AA930" s="15">
        <f t="shared" si="8"/>
        <v>6</v>
      </c>
    </row>
    <row r="931" ht="15.75" customHeight="1">
      <c r="A931" s="3">
        <v>7.06301438E8</v>
      </c>
      <c r="B931" s="3" t="s">
        <v>1001</v>
      </c>
      <c r="C931" s="3">
        <f>IFERROR(__xludf.DUMMYFUNCTION("split(B931,""/"")"),1.0)</f>
        <v>1</v>
      </c>
      <c r="D931" s="10">
        <f>IFERROR(__xludf.DUMMYFUNCTION("""COMPUTED_VALUE"""),23.0)</f>
        <v>23</v>
      </c>
      <c r="E931" s="11">
        <f>IFERROR(__xludf.DUMMYFUNCTION("""COMPUTED_VALUE"""),2012.0)</f>
        <v>2012</v>
      </c>
      <c r="F931" s="12">
        <f t="shared" si="1"/>
        <v>40931</v>
      </c>
      <c r="G931" s="9">
        <v>41215.0</v>
      </c>
      <c r="H931" s="3">
        <f>IFERROR(__xludf.DUMMYFUNCTION("split(G931,""/"")"),2.0)</f>
        <v>2</v>
      </c>
      <c r="I931" s="3">
        <f>IFERROR(__xludf.DUMMYFUNCTION("""COMPUTED_VALUE"""),11.0)</f>
        <v>11</v>
      </c>
      <c r="J931" s="3">
        <f>IFERROR(__xludf.DUMMYFUNCTION("""COMPUTED_VALUE"""),2012.0)</f>
        <v>2012</v>
      </c>
      <c r="K931" s="12">
        <f t="shared" si="2"/>
        <v>40950</v>
      </c>
      <c r="L931" s="3" t="s">
        <v>814</v>
      </c>
      <c r="M931" s="3" t="s">
        <v>300</v>
      </c>
      <c r="N931" s="3">
        <v>7940.0</v>
      </c>
      <c r="O931" s="3" t="s">
        <v>818</v>
      </c>
      <c r="P931" s="10">
        <v>9146.0</v>
      </c>
      <c r="Q931" s="13">
        <v>668.27</v>
      </c>
      <c r="R931" s="13">
        <v>502.54</v>
      </c>
      <c r="S931" s="13">
        <f t="shared" si="3"/>
        <v>6111997.42</v>
      </c>
      <c r="T931" s="13">
        <f t="shared" si="4"/>
        <v>4596230.84</v>
      </c>
      <c r="U931" s="13">
        <f t="shared" si="5"/>
        <v>1515766.58</v>
      </c>
      <c r="V931" s="3" t="str">
        <f>VLOOKUP(N931,products!A:B,2,0)</f>
        <v>Household</v>
      </c>
      <c r="W931" s="3" t="s">
        <v>28</v>
      </c>
      <c r="X931" s="3" t="s">
        <v>33</v>
      </c>
      <c r="Y931" s="14">
        <f t="shared" si="10"/>
        <v>0.2479985635</v>
      </c>
      <c r="Z931" s="3">
        <f t="shared" si="7"/>
        <v>19</v>
      </c>
      <c r="AA931" s="15">
        <f t="shared" si="8"/>
        <v>2</v>
      </c>
    </row>
    <row r="932" ht="15.75" customHeight="1">
      <c r="A932" s="3">
        <v>7.07661855E8</v>
      </c>
      <c r="B932" s="3" t="s">
        <v>1653</v>
      </c>
      <c r="C932" s="3">
        <f>IFERROR(__xludf.DUMMYFUNCTION("split(B932,""/"")"),12.0)</f>
        <v>12</v>
      </c>
      <c r="D932" s="10">
        <f>IFERROR(__xludf.DUMMYFUNCTION("""COMPUTED_VALUE"""),31.0)</f>
        <v>31</v>
      </c>
      <c r="E932" s="11">
        <f>IFERROR(__xludf.DUMMYFUNCTION("""COMPUTED_VALUE"""),2016.0)</f>
        <v>2016</v>
      </c>
      <c r="F932" s="12">
        <f t="shared" si="1"/>
        <v>42735</v>
      </c>
      <c r="G932" s="3" t="s">
        <v>1654</v>
      </c>
      <c r="H932" s="3">
        <f>IFERROR(__xludf.DUMMYFUNCTION("split(G932,""/"")"),1.0)</f>
        <v>1</v>
      </c>
      <c r="I932" s="3">
        <f>IFERROR(__xludf.DUMMYFUNCTION("""COMPUTED_VALUE"""),26.0)</f>
        <v>26</v>
      </c>
      <c r="J932" s="3">
        <f>IFERROR(__xludf.DUMMYFUNCTION("""COMPUTED_VALUE"""),2017.0)</f>
        <v>2017</v>
      </c>
      <c r="K932" s="12">
        <f t="shared" si="2"/>
        <v>42761</v>
      </c>
      <c r="L932" s="3" t="s">
        <v>814</v>
      </c>
      <c r="M932" s="3" t="s">
        <v>434</v>
      </c>
      <c r="N932" s="3">
        <v>4594.0</v>
      </c>
      <c r="O932" s="3" t="s">
        <v>818</v>
      </c>
      <c r="P932" s="10">
        <v>1723.0</v>
      </c>
      <c r="Q932" s="13">
        <v>9.33</v>
      </c>
      <c r="R932" s="13">
        <v>6.92</v>
      </c>
      <c r="S932" s="13">
        <f t="shared" si="3"/>
        <v>16075.59</v>
      </c>
      <c r="T932" s="13">
        <f t="shared" si="4"/>
        <v>11923.16</v>
      </c>
      <c r="U932" s="13">
        <f t="shared" si="5"/>
        <v>4152.43</v>
      </c>
      <c r="V932" s="3" t="str">
        <f>VLOOKUP(N932,products!A:B,2,0)</f>
        <v>Fruits</v>
      </c>
      <c r="W932" s="3" t="s">
        <v>28</v>
      </c>
      <c r="X932" s="3" t="s">
        <v>79</v>
      </c>
      <c r="Y932" s="14">
        <f t="shared" si="10"/>
        <v>0.258306538</v>
      </c>
      <c r="Z932" s="3">
        <f t="shared" si="7"/>
        <v>26</v>
      </c>
      <c r="AA932" s="15">
        <f t="shared" si="8"/>
        <v>7</v>
      </c>
    </row>
    <row r="933" ht="15.75" customHeight="1">
      <c r="A933" s="3">
        <v>7.07718932E8</v>
      </c>
      <c r="B933" s="3" t="s">
        <v>1655</v>
      </c>
      <c r="C933" s="3">
        <f>IFERROR(__xludf.DUMMYFUNCTION("split(B933,""/"")"),12.0)</f>
        <v>12</v>
      </c>
      <c r="D933" s="10">
        <f>IFERROR(__xludf.DUMMYFUNCTION("""COMPUTED_VALUE"""),30.0)</f>
        <v>30</v>
      </c>
      <c r="E933" s="11">
        <f>IFERROR(__xludf.DUMMYFUNCTION("""COMPUTED_VALUE"""),2010.0)</f>
        <v>2010</v>
      </c>
      <c r="F933" s="12">
        <f t="shared" si="1"/>
        <v>40542</v>
      </c>
      <c r="G933" s="9">
        <v>40695.0</v>
      </c>
      <c r="H933" s="3">
        <f>IFERROR(__xludf.DUMMYFUNCTION("split(G933,""/"")"),1.0)</f>
        <v>1</v>
      </c>
      <c r="I933" s="3">
        <f>IFERROR(__xludf.DUMMYFUNCTION("""COMPUTED_VALUE"""),6.0)</f>
        <v>6</v>
      </c>
      <c r="J933" s="3">
        <f>IFERROR(__xludf.DUMMYFUNCTION("""COMPUTED_VALUE"""),2011.0)</f>
        <v>2011</v>
      </c>
      <c r="K933" s="12">
        <f t="shared" si="2"/>
        <v>40549</v>
      </c>
      <c r="L933" s="3" t="s">
        <v>814</v>
      </c>
      <c r="M933" s="3" t="s">
        <v>536</v>
      </c>
      <c r="N933" s="3">
        <v>4594.0</v>
      </c>
      <c r="O933" s="3" t="s">
        <v>815</v>
      </c>
      <c r="P933" s="10">
        <v>8614.0</v>
      </c>
      <c r="Q933" s="13">
        <v>9.33</v>
      </c>
      <c r="R933" s="13">
        <v>6.92</v>
      </c>
      <c r="S933" s="13">
        <f t="shared" si="3"/>
        <v>80368.62</v>
      </c>
      <c r="T933" s="13">
        <f t="shared" si="4"/>
        <v>59608.88</v>
      </c>
      <c r="U933" s="13">
        <f t="shared" si="5"/>
        <v>20759.74</v>
      </c>
      <c r="V933" s="3" t="str">
        <f>VLOOKUP(N933,products!A:B,2,0)</f>
        <v>Fruits</v>
      </c>
      <c r="W933" s="3" t="s">
        <v>28</v>
      </c>
      <c r="X933" s="3" t="s">
        <v>33</v>
      </c>
      <c r="Y933" s="14">
        <f t="shared" si="10"/>
        <v>0.258306538</v>
      </c>
      <c r="Z933" s="3">
        <f t="shared" si="7"/>
        <v>7</v>
      </c>
      <c r="AA933" s="15">
        <f t="shared" si="8"/>
        <v>5</v>
      </c>
    </row>
    <row r="934" ht="15.75" customHeight="1">
      <c r="A934" s="3">
        <v>7.08320605E8</v>
      </c>
      <c r="B934" s="3" t="s">
        <v>1656</v>
      </c>
      <c r="C934" s="3">
        <f>IFERROR(__xludf.DUMMYFUNCTION("split(B934,""/"")"),9.0)</f>
        <v>9</v>
      </c>
      <c r="D934" s="10">
        <f>IFERROR(__xludf.DUMMYFUNCTION("""COMPUTED_VALUE"""),18.0)</f>
        <v>18</v>
      </c>
      <c r="E934" s="11">
        <f>IFERROR(__xludf.DUMMYFUNCTION("""COMPUTED_VALUE"""),2016.0)</f>
        <v>2016</v>
      </c>
      <c r="F934" s="12">
        <f t="shared" si="1"/>
        <v>42631</v>
      </c>
      <c r="G934" s="9">
        <v>42500.0</v>
      </c>
      <c r="H934" s="3">
        <f>IFERROR(__xludf.DUMMYFUNCTION("split(G934,""/"")"),10.0)</f>
        <v>10</v>
      </c>
      <c r="I934" s="3">
        <f>IFERROR(__xludf.DUMMYFUNCTION("""COMPUTED_VALUE"""),5.0)</f>
        <v>5</v>
      </c>
      <c r="J934" s="3">
        <f>IFERROR(__xludf.DUMMYFUNCTION("""COMPUTED_VALUE"""),2016.0)</f>
        <v>2016</v>
      </c>
      <c r="K934" s="12">
        <f t="shared" si="2"/>
        <v>42648</v>
      </c>
      <c r="L934" s="3" t="s">
        <v>825</v>
      </c>
      <c r="M934" s="3" t="s">
        <v>623</v>
      </c>
      <c r="N934" s="3">
        <v>4594.0</v>
      </c>
      <c r="O934" s="3" t="s">
        <v>818</v>
      </c>
      <c r="P934" s="10">
        <v>6662.0</v>
      </c>
      <c r="Q934" s="13">
        <v>9.33</v>
      </c>
      <c r="R934" s="13">
        <v>6.92</v>
      </c>
      <c r="S934" s="13">
        <f t="shared" si="3"/>
        <v>62156.46</v>
      </c>
      <c r="T934" s="13">
        <f t="shared" si="4"/>
        <v>46101.04</v>
      </c>
      <c r="U934" s="13">
        <f t="shared" si="5"/>
        <v>16055.42</v>
      </c>
      <c r="V934" s="3" t="str">
        <f>VLOOKUP(N934,products!A:B,2,0)</f>
        <v>Fruits</v>
      </c>
      <c r="W934" s="3" t="s">
        <v>28</v>
      </c>
      <c r="X934" s="3" t="s">
        <v>33</v>
      </c>
      <c r="Y934" s="14">
        <f t="shared" si="10"/>
        <v>0.258306538</v>
      </c>
      <c r="Z934" s="3">
        <f t="shared" si="7"/>
        <v>17</v>
      </c>
      <c r="AA934" s="15">
        <f t="shared" si="8"/>
        <v>1</v>
      </c>
    </row>
    <row r="935" ht="15.75" customHeight="1">
      <c r="A935" s="3">
        <v>7.09071195E8</v>
      </c>
      <c r="B935" s="3" t="s">
        <v>1657</v>
      </c>
      <c r="C935" s="3">
        <f>IFERROR(__xludf.DUMMYFUNCTION("split(B935,""/"")"),6.0)</f>
        <v>6</v>
      </c>
      <c r="D935" s="10">
        <f>IFERROR(__xludf.DUMMYFUNCTION("""COMPUTED_VALUE"""),18.0)</f>
        <v>18</v>
      </c>
      <c r="E935" s="11">
        <f>IFERROR(__xludf.DUMMYFUNCTION("""COMPUTED_VALUE"""),2012.0)</f>
        <v>2012</v>
      </c>
      <c r="F935" s="12">
        <f t="shared" si="1"/>
        <v>41078</v>
      </c>
      <c r="G935" s="9">
        <v>40947.0</v>
      </c>
      <c r="H935" s="3">
        <f>IFERROR(__xludf.DUMMYFUNCTION("split(G935,""/"")"),8.0)</f>
        <v>8</v>
      </c>
      <c r="I935" s="3">
        <f>IFERROR(__xludf.DUMMYFUNCTION("""COMPUTED_VALUE"""),2.0)</f>
        <v>2</v>
      </c>
      <c r="J935" s="3">
        <f>IFERROR(__xludf.DUMMYFUNCTION("""COMPUTED_VALUE"""),2012.0)</f>
        <v>2012</v>
      </c>
      <c r="K935" s="12">
        <f t="shared" si="2"/>
        <v>41123</v>
      </c>
      <c r="L935" s="3" t="s">
        <v>817</v>
      </c>
      <c r="M935" s="3" t="s">
        <v>215</v>
      </c>
      <c r="N935" s="3">
        <v>7940.0</v>
      </c>
      <c r="O935" s="3" t="s">
        <v>815</v>
      </c>
      <c r="P935" s="10">
        <v>8778.0</v>
      </c>
      <c r="Q935" s="13">
        <v>668.27</v>
      </c>
      <c r="R935" s="13">
        <v>502.54</v>
      </c>
      <c r="S935" s="13">
        <f t="shared" si="3"/>
        <v>5866074.06</v>
      </c>
      <c r="T935" s="13">
        <f t="shared" si="4"/>
        <v>4411296.12</v>
      </c>
      <c r="U935" s="13">
        <f t="shared" si="5"/>
        <v>1454777.94</v>
      </c>
      <c r="V935" s="3" t="str">
        <f>VLOOKUP(N935,products!A:B,2,0)</f>
        <v>Household</v>
      </c>
      <c r="W935" s="3" t="s">
        <v>23</v>
      </c>
      <c r="X935" s="3" t="s">
        <v>68</v>
      </c>
      <c r="Y935" s="14">
        <f t="shared" si="10"/>
        <v>0.2479985635</v>
      </c>
      <c r="Z935" s="3">
        <f t="shared" si="7"/>
        <v>45</v>
      </c>
      <c r="AA935" s="15">
        <f t="shared" si="8"/>
        <v>2</v>
      </c>
    </row>
    <row r="936" ht="15.75" customHeight="1">
      <c r="A936" s="3">
        <v>7.09105527E8</v>
      </c>
      <c r="B936" s="3" t="s">
        <v>1444</v>
      </c>
      <c r="C936" s="3">
        <f>IFERROR(__xludf.DUMMYFUNCTION("split(B936,""/"")"),4.0)</f>
        <v>4</v>
      </c>
      <c r="D936" s="10">
        <f>IFERROR(__xludf.DUMMYFUNCTION("""COMPUTED_VALUE"""),29.0)</f>
        <v>29</v>
      </c>
      <c r="E936" s="11">
        <f>IFERROR(__xludf.DUMMYFUNCTION("""COMPUTED_VALUE"""),2012.0)</f>
        <v>2012</v>
      </c>
      <c r="F936" s="12">
        <f t="shared" si="1"/>
        <v>41028</v>
      </c>
      <c r="G936" s="9">
        <v>40913.0</v>
      </c>
      <c r="H936" s="3">
        <f>IFERROR(__xludf.DUMMYFUNCTION("split(G936,""/"")"),5.0)</f>
        <v>5</v>
      </c>
      <c r="I936" s="3">
        <f>IFERROR(__xludf.DUMMYFUNCTION("""COMPUTED_VALUE"""),1.0)</f>
        <v>1</v>
      </c>
      <c r="J936" s="3">
        <f>IFERROR(__xludf.DUMMYFUNCTION("""COMPUTED_VALUE"""),2012.0)</f>
        <v>2012</v>
      </c>
      <c r="K936" s="12">
        <f t="shared" si="2"/>
        <v>41030</v>
      </c>
      <c r="L936" s="3" t="s">
        <v>817</v>
      </c>
      <c r="M936" s="3" t="s">
        <v>542</v>
      </c>
      <c r="N936" s="3">
        <v>2455.0</v>
      </c>
      <c r="O936" s="3" t="s">
        <v>815</v>
      </c>
      <c r="P936" s="10">
        <v>8938.0</v>
      </c>
      <c r="Q936" s="13">
        <v>109.28</v>
      </c>
      <c r="R936" s="13">
        <v>35.84</v>
      </c>
      <c r="S936" s="13">
        <f t="shared" si="3"/>
        <v>976744.64</v>
      </c>
      <c r="T936" s="13">
        <f t="shared" si="4"/>
        <v>320337.92</v>
      </c>
      <c r="U936" s="13">
        <f t="shared" si="5"/>
        <v>656406.72</v>
      </c>
      <c r="V936" s="3" t="str">
        <f>VLOOKUP(N936,products!A:B,2,0)</f>
        <v>Clothes</v>
      </c>
      <c r="W936" s="3" t="s">
        <v>28</v>
      </c>
      <c r="X936" s="3" t="s">
        <v>29</v>
      </c>
      <c r="Y936" s="14">
        <f t="shared" si="10"/>
        <v>0.6720351391</v>
      </c>
      <c r="Z936" s="3">
        <f t="shared" si="7"/>
        <v>2</v>
      </c>
      <c r="AA936" s="15">
        <f t="shared" si="8"/>
        <v>1</v>
      </c>
    </row>
    <row r="937" ht="15.75" customHeight="1">
      <c r="A937" s="3">
        <v>7.09276759E8</v>
      </c>
      <c r="B937" s="9">
        <v>43070.0</v>
      </c>
      <c r="C937" s="3">
        <f>IFERROR(__xludf.DUMMYFUNCTION("split(B937,""/"")"),1.0)</f>
        <v>1</v>
      </c>
      <c r="D937" s="10">
        <f>IFERROR(__xludf.DUMMYFUNCTION("""COMPUTED_VALUE"""),12.0)</f>
        <v>12</v>
      </c>
      <c r="E937" s="11">
        <f>IFERROR(__xludf.DUMMYFUNCTION("""COMPUTED_VALUE"""),2017.0)</f>
        <v>2017</v>
      </c>
      <c r="F937" s="12">
        <f t="shared" si="1"/>
        <v>42747</v>
      </c>
      <c r="G937" s="9">
        <v>42738.0</v>
      </c>
      <c r="H937" s="3">
        <f>IFERROR(__xludf.DUMMYFUNCTION("split(G937,""/"")"),3.0)</f>
        <v>3</v>
      </c>
      <c r="I937" s="3">
        <f>IFERROR(__xludf.DUMMYFUNCTION("""COMPUTED_VALUE"""),1.0)</f>
        <v>1</v>
      </c>
      <c r="J937" s="3">
        <f>IFERROR(__xludf.DUMMYFUNCTION("""COMPUTED_VALUE"""),2017.0)</f>
        <v>2017</v>
      </c>
      <c r="K937" s="12">
        <f t="shared" si="2"/>
        <v>42795</v>
      </c>
      <c r="L937" s="3" t="s">
        <v>825</v>
      </c>
      <c r="M937" s="3" t="s">
        <v>590</v>
      </c>
      <c r="N937" s="3">
        <v>2455.0</v>
      </c>
      <c r="O937" s="3" t="s">
        <v>818</v>
      </c>
      <c r="P937" s="10">
        <v>9610.0</v>
      </c>
      <c r="Q937" s="13">
        <v>109.28</v>
      </c>
      <c r="R937" s="13">
        <v>35.84</v>
      </c>
      <c r="S937" s="13">
        <f t="shared" si="3"/>
        <v>1050180.8</v>
      </c>
      <c r="T937" s="13">
        <f t="shared" si="4"/>
        <v>344422.4</v>
      </c>
      <c r="U937" s="13">
        <f t="shared" si="5"/>
        <v>705758.4</v>
      </c>
      <c r="V937" s="3" t="str">
        <f>VLOOKUP(N937,products!A:B,2,0)</f>
        <v>Clothes</v>
      </c>
      <c r="W937" s="3" t="s">
        <v>28</v>
      </c>
      <c r="X937" s="3" t="s">
        <v>98</v>
      </c>
      <c r="Y937" s="14">
        <f t="shared" si="10"/>
        <v>0.6720351391</v>
      </c>
      <c r="Z937" s="3">
        <f t="shared" si="7"/>
        <v>48</v>
      </c>
      <c r="AA937" s="15">
        <f t="shared" si="8"/>
        <v>5</v>
      </c>
    </row>
    <row r="938" ht="15.75" customHeight="1">
      <c r="A938" s="3">
        <v>7.12595832E8</v>
      </c>
      <c r="B938" s="3" t="s">
        <v>1658</v>
      </c>
      <c r="C938" s="3">
        <f>IFERROR(__xludf.DUMMYFUNCTION("split(B938,""/"")"),3.0)</f>
        <v>3</v>
      </c>
      <c r="D938" s="10">
        <f>IFERROR(__xludf.DUMMYFUNCTION("""COMPUTED_VALUE"""),24.0)</f>
        <v>24</v>
      </c>
      <c r="E938" s="11">
        <f>IFERROR(__xludf.DUMMYFUNCTION("""COMPUTED_VALUE"""),2015.0)</f>
        <v>2015</v>
      </c>
      <c r="F938" s="12">
        <f t="shared" si="1"/>
        <v>42087</v>
      </c>
      <c r="G938" s="3" t="s">
        <v>1659</v>
      </c>
      <c r="H938" s="3">
        <f>IFERROR(__xludf.DUMMYFUNCTION("split(G938,""/"")"),3.0)</f>
        <v>3</v>
      </c>
      <c r="I938" s="3">
        <f>IFERROR(__xludf.DUMMYFUNCTION("""COMPUTED_VALUE"""),28.0)</f>
        <v>28</v>
      </c>
      <c r="J938" s="3">
        <f>IFERROR(__xludf.DUMMYFUNCTION("""COMPUTED_VALUE"""),2015.0)</f>
        <v>2015</v>
      </c>
      <c r="K938" s="12">
        <f t="shared" si="2"/>
        <v>42091</v>
      </c>
      <c r="L938" s="3" t="s">
        <v>827</v>
      </c>
      <c r="M938" s="3" t="s">
        <v>740</v>
      </c>
      <c r="N938" s="3">
        <v>1270.0</v>
      </c>
      <c r="O938" s="3" t="s">
        <v>815</v>
      </c>
      <c r="P938" s="10">
        <v>1797.0</v>
      </c>
      <c r="Q938" s="13">
        <v>47.45</v>
      </c>
      <c r="R938" s="13">
        <v>31.79</v>
      </c>
      <c r="S938" s="13">
        <f t="shared" si="3"/>
        <v>85267.65</v>
      </c>
      <c r="T938" s="13">
        <f t="shared" si="4"/>
        <v>57126.63</v>
      </c>
      <c r="U938" s="13">
        <f t="shared" si="5"/>
        <v>28141.02</v>
      </c>
      <c r="V938" s="3" t="str">
        <f>VLOOKUP(N938,products!A:B,2,0)</f>
        <v>Beverages</v>
      </c>
      <c r="W938" s="3" t="s">
        <v>28</v>
      </c>
      <c r="X938" s="3" t="s">
        <v>98</v>
      </c>
      <c r="Y938" s="14">
        <f t="shared" si="10"/>
        <v>0.3300316122</v>
      </c>
      <c r="Z938" s="3">
        <f t="shared" si="7"/>
        <v>4</v>
      </c>
      <c r="AA938" s="15">
        <f t="shared" si="8"/>
        <v>3</v>
      </c>
    </row>
    <row r="939" ht="15.75" customHeight="1">
      <c r="A939" s="3">
        <v>7.13009965E8</v>
      </c>
      <c r="B939" s="3" t="s">
        <v>1660</v>
      </c>
      <c r="C939" s="3">
        <f>IFERROR(__xludf.DUMMYFUNCTION("split(B939,""/"")"),11.0)</f>
        <v>11</v>
      </c>
      <c r="D939" s="10">
        <f>IFERROR(__xludf.DUMMYFUNCTION("""COMPUTED_VALUE"""),15.0)</f>
        <v>15</v>
      </c>
      <c r="E939" s="11">
        <f>IFERROR(__xludf.DUMMYFUNCTION("""COMPUTED_VALUE"""),2016.0)</f>
        <v>2016</v>
      </c>
      <c r="F939" s="12">
        <f t="shared" si="1"/>
        <v>42689</v>
      </c>
      <c r="G939" s="3" t="s">
        <v>1661</v>
      </c>
      <c r="H939" s="3">
        <f>IFERROR(__xludf.DUMMYFUNCTION("split(G939,""/"")"),12.0)</f>
        <v>12</v>
      </c>
      <c r="I939" s="3">
        <f>IFERROR(__xludf.DUMMYFUNCTION("""COMPUTED_VALUE"""),16.0)</f>
        <v>16</v>
      </c>
      <c r="J939" s="3">
        <f>IFERROR(__xludf.DUMMYFUNCTION("""COMPUTED_VALUE"""),2016.0)</f>
        <v>2016</v>
      </c>
      <c r="K939" s="12">
        <f t="shared" si="2"/>
        <v>42720</v>
      </c>
      <c r="L939" s="3" t="s">
        <v>827</v>
      </c>
      <c r="M939" s="3" t="s">
        <v>46</v>
      </c>
      <c r="N939" s="3">
        <v>7940.0</v>
      </c>
      <c r="O939" s="3" t="s">
        <v>815</v>
      </c>
      <c r="P939" s="10">
        <v>4348.0</v>
      </c>
      <c r="Q939" s="13">
        <v>668.27</v>
      </c>
      <c r="R939" s="13">
        <v>502.54</v>
      </c>
      <c r="S939" s="13">
        <f t="shared" si="3"/>
        <v>2905637.96</v>
      </c>
      <c r="T939" s="13">
        <f t="shared" si="4"/>
        <v>2185043.92</v>
      </c>
      <c r="U939" s="13">
        <f t="shared" si="5"/>
        <v>720594.04</v>
      </c>
      <c r="V939" s="3" t="str">
        <f>VLOOKUP(N939,products!A:B,2,0)</f>
        <v>Household</v>
      </c>
      <c r="W939" s="3" t="s">
        <v>28</v>
      </c>
      <c r="X939" s="3" t="s">
        <v>33</v>
      </c>
      <c r="Y939" s="14">
        <f t="shared" si="10"/>
        <v>0.2479985635</v>
      </c>
      <c r="Z939" s="3">
        <f t="shared" si="7"/>
        <v>31</v>
      </c>
      <c r="AA939" s="15">
        <f t="shared" si="8"/>
        <v>3</v>
      </c>
    </row>
    <row r="940" ht="15.75" customHeight="1">
      <c r="A940" s="3">
        <v>7.1335715E8</v>
      </c>
      <c r="B940" s="9">
        <v>41157.0</v>
      </c>
      <c r="C940" s="3">
        <f>IFERROR(__xludf.DUMMYFUNCTION("split(B940,""/"")"),5.0)</f>
        <v>5</v>
      </c>
      <c r="D940" s="10">
        <f>IFERROR(__xludf.DUMMYFUNCTION("""COMPUTED_VALUE"""),9.0)</f>
        <v>9</v>
      </c>
      <c r="E940" s="11">
        <f>IFERROR(__xludf.DUMMYFUNCTION("""COMPUTED_VALUE"""),2012.0)</f>
        <v>2012</v>
      </c>
      <c r="F940" s="12">
        <f t="shared" si="1"/>
        <v>41038</v>
      </c>
      <c r="G940" s="9">
        <v>40974.0</v>
      </c>
      <c r="H940" s="3">
        <f>IFERROR(__xludf.DUMMYFUNCTION("split(G940,""/"")"),6.0)</f>
        <v>6</v>
      </c>
      <c r="I940" s="3">
        <f>IFERROR(__xludf.DUMMYFUNCTION("""COMPUTED_VALUE"""),3.0)</f>
        <v>3</v>
      </c>
      <c r="J940" s="3">
        <f>IFERROR(__xludf.DUMMYFUNCTION("""COMPUTED_VALUE"""),2012.0)</f>
        <v>2012</v>
      </c>
      <c r="K940" s="12">
        <f t="shared" si="2"/>
        <v>41063</v>
      </c>
      <c r="L940" s="3" t="s">
        <v>827</v>
      </c>
      <c r="M940" s="3" t="s">
        <v>221</v>
      </c>
      <c r="N940" s="3">
        <v>2455.0</v>
      </c>
      <c r="O940" s="3" t="s">
        <v>818</v>
      </c>
      <c r="P940" s="10">
        <v>7088.0</v>
      </c>
      <c r="Q940" s="13">
        <v>109.28</v>
      </c>
      <c r="R940" s="13">
        <v>35.84</v>
      </c>
      <c r="S940" s="13">
        <f t="shared" si="3"/>
        <v>774576.64</v>
      </c>
      <c r="T940" s="13">
        <f t="shared" si="4"/>
        <v>254033.92</v>
      </c>
      <c r="U940" s="13">
        <f t="shared" si="5"/>
        <v>520542.72</v>
      </c>
      <c r="V940" s="3" t="str">
        <f>VLOOKUP(N940,products!A:B,2,0)</f>
        <v>Clothes</v>
      </c>
      <c r="W940" s="3" t="s">
        <v>28</v>
      </c>
      <c r="X940" s="3" t="s">
        <v>29</v>
      </c>
      <c r="Y940" s="14">
        <f t="shared" si="10"/>
        <v>0.6720351391</v>
      </c>
      <c r="Z940" s="3">
        <f t="shared" si="7"/>
        <v>25</v>
      </c>
      <c r="AA940" s="15">
        <f t="shared" si="8"/>
        <v>4</v>
      </c>
    </row>
    <row r="941" ht="15.75" customHeight="1">
      <c r="A941" s="3">
        <v>7.14165675E8</v>
      </c>
      <c r="B941" s="9">
        <v>41852.0</v>
      </c>
      <c r="C941" s="3">
        <f>IFERROR(__xludf.DUMMYFUNCTION("split(B941,""/"")"),1.0)</f>
        <v>1</v>
      </c>
      <c r="D941" s="10">
        <f>IFERROR(__xludf.DUMMYFUNCTION("""COMPUTED_VALUE"""),8.0)</f>
        <v>8</v>
      </c>
      <c r="E941" s="11">
        <f>IFERROR(__xludf.DUMMYFUNCTION("""COMPUTED_VALUE"""),2014.0)</f>
        <v>2014</v>
      </c>
      <c r="F941" s="12">
        <f t="shared" si="1"/>
        <v>41647</v>
      </c>
      <c r="G941" s="9">
        <v>41672.0</v>
      </c>
      <c r="H941" s="3">
        <f>IFERROR(__xludf.DUMMYFUNCTION("split(G941,""/"")"),2.0)</f>
        <v>2</v>
      </c>
      <c r="I941" s="3">
        <f>IFERROR(__xludf.DUMMYFUNCTION("""COMPUTED_VALUE"""),2.0)</f>
        <v>2</v>
      </c>
      <c r="J941" s="3">
        <f>IFERROR(__xludf.DUMMYFUNCTION("""COMPUTED_VALUE"""),2014.0)</f>
        <v>2014</v>
      </c>
      <c r="K941" s="12">
        <f t="shared" si="2"/>
        <v>41672</v>
      </c>
      <c r="L941" s="3" t="s">
        <v>817</v>
      </c>
      <c r="M941" s="3" t="s">
        <v>575</v>
      </c>
      <c r="N941" s="3">
        <v>1270.0</v>
      </c>
      <c r="O941" s="3" t="s">
        <v>818</v>
      </c>
      <c r="P941" s="10">
        <v>6348.0</v>
      </c>
      <c r="Q941" s="13">
        <v>47.45</v>
      </c>
      <c r="R941" s="13">
        <v>31.79</v>
      </c>
      <c r="S941" s="13">
        <f t="shared" si="3"/>
        <v>301212.6</v>
      </c>
      <c r="T941" s="13">
        <f t="shared" si="4"/>
        <v>201802.92</v>
      </c>
      <c r="U941" s="13">
        <f t="shared" si="5"/>
        <v>99409.68</v>
      </c>
      <c r="V941" s="3" t="str">
        <f>VLOOKUP(N941,products!A:B,2,0)</f>
        <v>Beverages</v>
      </c>
      <c r="W941" s="3" t="s">
        <v>28</v>
      </c>
      <c r="X941" s="3" t="s">
        <v>98</v>
      </c>
      <c r="Y941" s="14">
        <f t="shared" si="10"/>
        <v>0.3300316122</v>
      </c>
      <c r="Z941" s="3">
        <f t="shared" si="7"/>
        <v>25</v>
      </c>
      <c r="AA941" s="15">
        <f t="shared" si="8"/>
        <v>4</v>
      </c>
    </row>
    <row r="942" ht="15.75" customHeight="1">
      <c r="A942" s="3">
        <v>7.15309798E8</v>
      </c>
      <c r="B942" s="9">
        <v>41426.0</v>
      </c>
      <c r="C942" s="3">
        <f>IFERROR(__xludf.DUMMYFUNCTION("split(B942,""/"")"),1.0)</f>
        <v>1</v>
      </c>
      <c r="D942" s="10">
        <f>IFERROR(__xludf.DUMMYFUNCTION("""COMPUTED_VALUE"""),6.0)</f>
        <v>6</v>
      </c>
      <c r="E942" s="11">
        <f>IFERROR(__xludf.DUMMYFUNCTION("""COMPUTED_VALUE"""),2013.0)</f>
        <v>2013</v>
      </c>
      <c r="F942" s="12">
        <f t="shared" si="1"/>
        <v>41280</v>
      </c>
      <c r="G942" s="9">
        <v>41549.0</v>
      </c>
      <c r="H942" s="3">
        <f>IFERROR(__xludf.DUMMYFUNCTION("split(G942,""/"")"),2.0)</f>
        <v>2</v>
      </c>
      <c r="I942" s="3">
        <f>IFERROR(__xludf.DUMMYFUNCTION("""COMPUTED_VALUE"""),10.0)</f>
        <v>10</v>
      </c>
      <c r="J942" s="3">
        <f>IFERROR(__xludf.DUMMYFUNCTION("""COMPUTED_VALUE"""),2013.0)</f>
        <v>2013</v>
      </c>
      <c r="K942" s="12">
        <f t="shared" si="2"/>
        <v>41315</v>
      </c>
      <c r="L942" s="3" t="s">
        <v>814</v>
      </c>
      <c r="M942" s="3" t="s">
        <v>373</v>
      </c>
      <c r="N942" s="3">
        <v>2103.0</v>
      </c>
      <c r="O942" s="3" t="s">
        <v>815</v>
      </c>
      <c r="P942" s="10">
        <v>4920.0</v>
      </c>
      <c r="Q942" s="13">
        <v>205.7</v>
      </c>
      <c r="R942" s="13">
        <v>117.11</v>
      </c>
      <c r="S942" s="13">
        <f t="shared" si="3"/>
        <v>1012044</v>
      </c>
      <c r="T942" s="13">
        <f t="shared" si="4"/>
        <v>576181.2</v>
      </c>
      <c r="U942" s="13">
        <f t="shared" si="5"/>
        <v>435862.8</v>
      </c>
      <c r="V942" s="3" t="str">
        <f>VLOOKUP(N942,products!A:B,2,0)</f>
        <v>Cereal</v>
      </c>
      <c r="W942" s="3" t="s">
        <v>28</v>
      </c>
      <c r="X942" s="3" t="s">
        <v>33</v>
      </c>
      <c r="Y942" s="14">
        <f t="shared" si="10"/>
        <v>0.4306757414</v>
      </c>
      <c r="Z942" s="3">
        <f t="shared" si="7"/>
        <v>35</v>
      </c>
      <c r="AA942" s="15">
        <f t="shared" si="8"/>
        <v>1</v>
      </c>
    </row>
    <row r="943" ht="15.75" customHeight="1">
      <c r="A943" s="3">
        <v>7.15863835E8</v>
      </c>
      <c r="B943" s="9">
        <v>41091.0</v>
      </c>
      <c r="C943" s="3">
        <f>IFERROR(__xludf.DUMMYFUNCTION("split(B943,""/"")"),1.0)</f>
        <v>1</v>
      </c>
      <c r="D943" s="10">
        <f>IFERROR(__xludf.DUMMYFUNCTION("""COMPUTED_VALUE"""),7.0)</f>
        <v>7</v>
      </c>
      <c r="E943" s="11">
        <f>IFERROR(__xludf.DUMMYFUNCTION("""COMPUTED_VALUE"""),2012.0)</f>
        <v>2012</v>
      </c>
      <c r="F943" s="12">
        <f t="shared" si="1"/>
        <v>40915</v>
      </c>
      <c r="G943" s="3" t="s">
        <v>1662</v>
      </c>
      <c r="H943" s="3">
        <f>IFERROR(__xludf.DUMMYFUNCTION("split(G943,""/"")"),1.0)</f>
        <v>1</v>
      </c>
      <c r="I943" s="3">
        <f>IFERROR(__xludf.DUMMYFUNCTION("""COMPUTED_VALUE"""),26.0)</f>
        <v>26</v>
      </c>
      <c r="J943" s="3">
        <f>IFERROR(__xludf.DUMMYFUNCTION("""COMPUTED_VALUE"""),2012.0)</f>
        <v>2012</v>
      </c>
      <c r="K943" s="12">
        <f t="shared" si="2"/>
        <v>40934</v>
      </c>
      <c r="L943" s="3" t="s">
        <v>817</v>
      </c>
      <c r="M943" s="3" t="s">
        <v>686</v>
      </c>
      <c r="N943" s="3">
        <v>5988.0</v>
      </c>
      <c r="O943" s="3" t="s">
        <v>815</v>
      </c>
      <c r="P943" s="10">
        <v>8872.0</v>
      </c>
      <c r="Q943" s="13">
        <v>154.06</v>
      </c>
      <c r="R943" s="13">
        <v>90.93</v>
      </c>
      <c r="S943" s="13">
        <f t="shared" si="3"/>
        <v>1366820.32</v>
      </c>
      <c r="T943" s="13">
        <f t="shared" si="4"/>
        <v>806730.96</v>
      </c>
      <c r="U943" s="13">
        <f t="shared" si="5"/>
        <v>560089.36</v>
      </c>
      <c r="V943" s="3" t="str">
        <f>VLOOKUP(N943,products!A:B,2,0)</f>
        <v>Vegetables</v>
      </c>
      <c r="W943" s="3" t="s">
        <v>28</v>
      </c>
      <c r="X943" s="3" t="s">
        <v>29</v>
      </c>
      <c r="Y943" s="14">
        <f t="shared" si="10"/>
        <v>0.4097754122</v>
      </c>
      <c r="Z943" s="3">
        <f t="shared" si="7"/>
        <v>19</v>
      </c>
      <c r="AA943" s="15">
        <f t="shared" si="8"/>
        <v>7</v>
      </c>
    </row>
    <row r="944" ht="15.75" customHeight="1">
      <c r="A944" s="3">
        <v>7.16054379E8</v>
      </c>
      <c r="B944" s="9">
        <v>42463.0</v>
      </c>
      <c r="C944" s="3">
        <f>IFERROR(__xludf.DUMMYFUNCTION("split(B944,""/"")"),3.0)</f>
        <v>3</v>
      </c>
      <c r="D944" s="10">
        <f>IFERROR(__xludf.DUMMYFUNCTION("""COMPUTED_VALUE"""),4.0)</f>
        <v>4</v>
      </c>
      <c r="E944" s="11">
        <f>IFERROR(__xludf.DUMMYFUNCTION("""COMPUTED_VALUE"""),2016.0)</f>
        <v>2016</v>
      </c>
      <c r="F944" s="12">
        <f t="shared" si="1"/>
        <v>42433</v>
      </c>
      <c r="G944" s="3" t="s">
        <v>1663</v>
      </c>
      <c r="H944" s="3">
        <f>IFERROR(__xludf.DUMMYFUNCTION("split(G944,""/"")"),3.0)</f>
        <v>3</v>
      </c>
      <c r="I944" s="3">
        <f>IFERROR(__xludf.DUMMYFUNCTION("""COMPUTED_VALUE"""),26.0)</f>
        <v>26</v>
      </c>
      <c r="J944" s="3">
        <f>IFERROR(__xludf.DUMMYFUNCTION("""COMPUTED_VALUE"""),2016.0)</f>
        <v>2016</v>
      </c>
      <c r="K944" s="12">
        <f t="shared" si="2"/>
        <v>42455</v>
      </c>
      <c r="L944" s="3" t="s">
        <v>825</v>
      </c>
      <c r="M944" s="3" t="s">
        <v>46</v>
      </c>
      <c r="N944" s="3">
        <v>4594.0</v>
      </c>
      <c r="O944" s="3" t="s">
        <v>818</v>
      </c>
      <c r="P944" s="10">
        <v>5258.0</v>
      </c>
      <c r="Q944" s="13">
        <v>9.33</v>
      </c>
      <c r="R944" s="13">
        <v>6.92</v>
      </c>
      <c r="S944" s="13">
        <f t="shared" si="3"/>
        <v>49057.14</v>
      </c>
      <c r="T944" s="13">
        <f t="shared" si="4"/>
        <v>36385.36</v>
      </c>
      <c r="U944" s="13">
        <f t="shared" si="5"/>
        <v>12671.78</v>
      </c>
      <c r="V944" s="3" t="str">
        <f>VLOOKUP(N944,products!A:B,2,0)</f>
        <v>Fruits</v>
      </c>
      <c r="W944" s="3" t="s">
        <v>28</v>
      </c>
      <c r="X944" s="3" t="s">
        <v>33</v>
      </c>
      <c r="Y944" s="14">
        <f t="shared" si="10"/>
        <v>0.258306538</v>
      </c>
      <c r="Z944" s="3">
        <f t="shared" si="7"/>
        <v>22</v>
      </c>
      <c r="AA944" s="15">
        <f t="shared" si="8"/>
        <v>6</v>
      </c>
    </row>
    <row r="945" ht="15.75" customHeight="1">
      <c r="A945" s="3">
        <v>7.16411006E8</v>
      </c>
      <c r="B945" s="3" t="s">
        <v>1541</v>
      </c>
      <c r="C945" s="3">
        <f>IFERROR(__xludf.DUMMYFUNCTION("split(B945,""/"")"),1.0)</f>
        <v>1</v>
      </c>
      <c r="D945" s="10">
        <f>IFERROR(__xludf.DUMMYFUNCTION("""COMPUTED_VALUE"""),27.0)</f>
        <v>27</v>
      </c>
      <c r="E945" s="11">
        <f>IFERROR(__xludf.DUMMYFUNCTION("""COMPUTED_VALUE"""),2014.0)</f>
        <v>2014</v>
      </c>
      <c r="F945" s="12">
        <f t="shared" si="1"/>
        <v>41666</v>
      </c>
      <c r="G945" s="3" t="s">
        <v>1664</v>
      </c>
      <c r="H945" s="3">
        <f>IFERROR(__xludf.DUMMYFUNCTION("split(G945,""/"")"),2.0)</f>
        <v>2</v>
      </c>
      <c r="I945" s="3">
        <f>IFERROR(__xludf.DUMMYFUNCTION("""COMPUTED_VALUE"""),17.0)</f>
        <v>17</v>
      </c>
      <c r="J945" s="3">
        <f>IFERROR(__xludf.DUMMYFUNCTION("""COMPUTED_VALUE"""),2014.0)</f>
        <v>2014</v>
      </c>
      <c r="K945" s="12">
        <f t="shared" si="2"/>
        <v>41687</v>
      </c>
      <c r="L945" s="3" t="s">
        <v>825</v>
      </c>
      <c r="M945" s="3" t="s">
        <v>413</v>
      </c>
      <c r="N945" s="3">
        <v>3127.0</v>
      </c>
      <c r="O945" s="3" t="s">
        <v>815</v>
      </c>
      <c r="P945" s="10">
        <v>792.0</v>
      </c>
      <c r="Q945" s="13">
        <v>81.73</v>
      </c>
      <c r="R945" s="13">
        <v>56.67</v>
      </c>
      <c r="S945" s="13">
        <f t="shared" si="3"/>
        <v>64730.16</v>
      </c>
      <c r="T945" s="13">
        <f t="shared" si="4"/>
        <v>44882.64</v>
      </c>
      <c r="U945" s="13">
        <f t="shared" si="5"/>
        <v>19847.52</v>
      </c>
      <c r="V945" s="3" t="str">
        <f>VLOOKUP(N945,products!A:B,2,0)</f>
        <v>Personal Care</v>
      </c>
      <c r="W945" s="3" t="s">
        <v>28</v>
      </c>
      <c r="X945" s="3" t="s">
        <v>29</v>
      </c>
      <c r="Y945" s="14">
        <f t="shared" si="10"/>
        <v>0.3066193564</v>
      </c>
      <c r="Z945" s="3">
        <f t="shared" si="7"/>
        <v>21</v>
      </c>
      <c r="AA945" s="15">
        <f t="shared" si="8"/>
        <v>2</v>
      </c>
    </row>
    <row r="946" ht="15.75" customHeight="1">
      <c r="A946" s="3">
        <v>7.1783322E8</v>
      </c>
      <c r="B946" s="3" t="s">
        <v>931</v>
      </c>
      <c r="C946" s="3">
        <f>IFERROR(__xludf.DUMMYFUNCTION("split(B946,""/"")"),3.0)</f>
        <v>3</v>
      </c>
      <c r="D946" s="10">
        <f>IFERROR(__xludf.DUMMYFUNCTION("""COMPUTED_VALUE"""),22.0)</f>
        <v>22</v>
      </c>
      <c r="E946" s="11">
        <f>IFERROR(__xludf.DUMMYFUNCTION("""COMPUTED_VALUE"""),2014.0)</f>
        <v>2014</v>
      </c>
      <c r="F946" s="12">
        <f t="shared" si="1"/>
        <v>41720</v>
      </c>
      <c r="G946" s="9">
        <v>41702.0</v>
      </c>
      <c r="H946" s="3">
        <f>IFERROR(__xludf.DUMMYFUNCTION("split(G946,""/"")"),4.0)</f>
        <v>4</v>
      </c>
      <c r="I946" s="3">
        <f>IFERROR(__xludf.DUMMYFUNCTION("""COMPUTED_VALUE"""),3.0)</f>
        <v>3</v>
      </c>
      <c r="J946" s="3">
        <f>IFERROR(__xludf.DUMMYFUNCTION("""COMPUTED_VALUE"""),2014.0)</f>
        <v>2014</v>
      </c>
      <c r="K946" s="12">
        <f t="shared" si="2"/>
        <v>41732</v>
      </c>
      <c r="L946" s="3" t="s">
        <v>817</v>
      </c>
      <c r="M946" s="3" t="s">
        <v>635</v>
      </c>
      <c r="N946" s="3">
        <v>5988.0</v>
      </c>
      <c r="O946" s="3" t="s">
        <v>818</v>
      </c>
      <c r="P946" s="10">
        <v>1657.0</v>
      </c>
      <c r="Q946" s="13">
        <v>154.06</v>
      </c>
      <c r="R946" s="13">
        <v>90.93</v>
      </c>
      <c r="S946" s="13">
        <f t="shared" si="3"/>
        <v>255277.42</v>
      </c>
      <c r="T946" s="13">
        <f t="shared" si="4"/>
        <v>150671.01</v>
      </c>
      <c r="U946" s="13">
        <f t="shared" si="5"/>
        <v>104606.41</v>
      </c>
      <c r="V946" s="3" t="str">
        <f>VLOOKUP(N946,products!A:B,2,0)</f>
        <v>Vegetables</v>
      </c>
      <c r="W946" s="3" t="s">
        <v>28</v>
      </c>
      <c r="X946" s="3" t="s">
        <v>33</v>
      </c>
      <c r="Y946" s="14">
        <f t="shared" si="10"/>
        <v>0.4097754122</v>
      </c>
      <c r="Z946" s="3">
        <f t="shared" si="7"/>
        <v>12</v>
      </c>
      <c r="AA946" s="15">
        <f t="shared" si="8"/>
        <v>7</v>
      </c>
    </row>
    <row r="947" ht="15.75" customHeight="1">
      <c r="A947" s="3">
        <v>7.1929363E8</v>
      </c>
      <c r="B947" s="9">
        <v>40576.0</v>
      </c>
      <c r="C947" s="3">
        <f>IFERROR(__xludf.DUMMYFUNCTION("split(B947,""/"")"),2.0)</f>
        <v>2</v>
      </c>
      <c r="D947" s="10">
        <f>IFERROR(__xludf.DUMMYFUNCTION("""COMPUTED_VALUE"""),2.0)</f>
        <v>2</v>
      </c>
      <c r="E947" s="11">
        <f>IFERROR(__xludf.DUMMYFUNCTION("""COMPUTED_VALUE"""),2011.0)</f>
        <v>2011</v>
      </c>
      <c r="F947" s="12">
        <f t="shared" si="1"/>
        <v>40576</v>
      </c>
      <c r="G947" s="3" t="s">
        <v>1168</v>
      </c>
      <c r="H947" s="3">
        <f>IFERROR(__xludf.DUMMYFUNCTION("split(G947,""/"")"),2.0)</f>
        <v>2</v>
      </c>
      <c r="I947" s="3">
        <f>IFERROR(__xludf.DUMMYFUNCTION("""COMPUTED_VALUE"""),25.0)</f>
        <v>25</v>
      </c>
      <c r="J947" s="3">
        <f>IFERROR(__xludf.DUMMYFUNCTION("""COMPUTED_VALUE"""),2011.0)</f>
        <v>2011</v>
      </c>
      <c r="K947" s="12">
        <f t="shared" si="2"/>
        <v>40599</v>
      </c>
      <c r="L947" s="3" t="s">
        <v>814</v>
      </c>
      <c r="M947" s="3" t="s">
        <v>512</v>
      </c>
      <c r="N947" s="3">
        <v>8681.0</v>
      </c>
      <c r="O947" s="3" t="s">
        <v>818</v>
      </c>
      <c r="P947" s="10">
        <v>3824.0</v>
      </c>
      <c r="Q947" s="13">
        <v>651.21</v>
      </c>
      <c r="R947" s="13">
        <v>524.96</v>
      </c>
      <c r="S947" s="13">
        <f t="shared" si="3"/>
        <v>2490227.04</v>
      </c>
      <c r="T947" s="13">
        <f t="shared" si="4"/>
        <v>2007447.04</v>
      </c>
      <c r="U947" s="13">
        <f t="shared" si="5"/>
        <v>482780</v>
      </c>
      <c r="V947" s="3" t="str">
        <f>VLOOKUP(N947,products!A:B,2,0)</f>
        <v>Office Supplies</v>
      </c>
      <c r="W947" s="3" t="s">
        <v>28</v>
      </c>
      <c r="X947" s="3" t="s">
        <v>79</v>
      </c>
      <c r="Y947" s="14">
        <f t="shared" si="10"/>
        <v>0.193869873</v>
      </c>
      <c r="Z947" s="3">
        <f t="shared" si="7"/>
        <v>23</v>
      </c>
      <c r="AA947" s="15">
        <f t="shared" si="8"/>
        <v>4</v>
      </c>
    </row>
    <row r="948" ht="15.75" customHeight="1">
      <c r="A948" s="3">
        <v>7.19404351E8</v>
      </c>
      <c r="B948" s="3" t="s">
        <v>1258</v>
      </c>
      <c r="C948" s="3">
        <f>IFERROR(__xludf.DUMMYFUNCTION("split(B948,""/"")"),12.0)</f>
        <v>12</v>
      </c>
      <c r="D948" s="10">
        <f>IFERROR(__xludf.DUMMYFUNCTION("""COMPUTED_VALUE"""),21.0)</f>
        <v>21</v>
      </c>
      <c r="E948" s="11">
        <f>IFERROR(__xludf.DUMMYFUNCTION("""COMPUTED_VALUE"""),2011.0)</f>
        <v>2011</v>
      </c>
      <c r="F948" s="12">
        <f t="shared" si="1"/>
        <v>40898</v>
      </c>
      <c r="G948" s="9">
        <v>41183.0</v>
      </c>
      <c r="H948" s="3">
        <f>IFERROR(__xludf.DUMMYFUNCTION("split(G948,""/"")"),1.0)</f>
        <v>1</v>
      </c>
      <c r="I948" s="3">
        <f>IFERROR(__xludf.DUMMYFUNCTION("""COMPUTED_VALUE"""),10.0)</f>
        <v>10</v>
      </c>
      <c r="J948" s="3">
        <f>IFERROR(__xludf.DUMMYFUNCTION("""COMPUTED_VALUE"""),2012.0)</f>
        <v>2012</v>
      </c>
      <c r="K948" s="12">
        <f t="shared" si="2"/>
        <v>40918</v>
      </c>
      <c r="L948" s="3" t="s">
        <v>827</v>
      </c>
      <c r="M948" s="3" t="s">
        <v>267</v>
      </c>
      <c r="N948" s="3">
        <v>8681.0</v>
      </c>
      <c r="O948" s="3" t="s">
        <v>815</v>
      </c>
      <c r="P948" s="10">
        <v>6589.0</v>
      </c>
      <c r="Q948" s="13">
        <v>651.21</v>
      </c>
      <c r="R948" s="13">
        <v>524.96</v>
      </c>
      <c r="S948" s="13">
        <f t="shared" si="3"/>
        <v>4290822.69</v>
      </c>
      <c r="T948" s="13">
        <f t="shared" si="4"/>
        <v>3458961.44</v>
      </c>
      <c r="U948" s="13">
        <f t="shared" si="5"/>
        <v>831861.25</v>
      </c>
      <c r="V948" s="3" t="str">
        <f>VLOOKUP(N948,products!A:B,2,0)</f>
        <v>Office Supplies</v>
      </c>
      <c r="W948" s="3" t="s">
        <v>28</v>
      </c>
      <c r="X948" s="3" t="s">
        <v>29</v>
      </c>
      <c r="Y948" s="14">
        <f t="shared" si="10"/>
        <v>0.193869873</v>
      </c>
      <c r="Z948" s="3">
        <f t="shared" si="7"/>
        <v>20</v>
      </c>
      <c r="AA948" s="15">
        <f t="shared" si="8"/>
        <v>4</v>
      </c>
    </row>
    <row r="949" ht="15.75" customHeight="1">
      <c r="A949" s="3">
        <v>7.19730079E8</v>
      </c>
      <c r="B949" s="9">
        <v>41125.0</v>
      </c>
      <c r="C949" s="3">
        <f>IFERROR(__xludf.DUMMYFUNCTION("split(B949,""/"")"),4.0)</f>
        <v>4</v>
      </c>
      <c r="D949" s="10">
        <f>IFERROR(__xludf.DUMMYFUNCTION("""COMPUTED_VALUE"""),8.0)</f>
        <v>8</v>
      </c>
      <c r="E949" s="11">
        <f>IFERROR(__xludf.DUMMYFUNCTION("""COMPUTED_VALUE"""),2012.0)</f>
        <v>2012</v>
      </c>
      <c r="F949" s="12">
        <f t="shared" si="1"/>
        <v>41007</v>
      </c>
      <c r="G949" s="9">
        <v>41065.0</v>
      </c>
      <c r="H949" s="3">
        <f>IFERROR(__xludf.DUMMYFUNCTION("split(G949,""/"")"),5.0)</f>
        <v>5</v>
      </c>
      <c r="I949" s="3">
        <f>IFERROR(__xludf.DUMMYFUNCTION("""COMPUTED_VALUE"""),6.0)</f>
        <v>6</v>
      </c>
      <c r="J949" s="3">
        <f>IFERROR(__xludf.DUMMYFUNCTION("""COMPUTED_VALUE"""),2012.0)</f>
        <v>2012</v>
      </c>
      <c r="K949" s="12">
        <f t="shared" si="2"/>
        <v>41035</v>
      </c>
      <c r="L949" s="3" t="s">
        <v>827</v>
      </c>
      <c r="M949" s="3" t="s">
        <v>512</v>
      </c>
      <c r="N949" s="3">
        <v>2455.0</v>
      </c>
      <c r="O949" s="3" t="s">
        <v>818</v>
      </c>
      <c r="P949" s="10">
        <v>2979.0</v>
      </c>
      <c r="Q949" s="13">
        <v>109.28</v>
      </c>
      <c r="R949" s="13">
        <v>35.84</v>
      </c>
      <c r="S949" s="13">
        <f t="shared" si="3"/>
        <v>325545.12</v>
      </c>
      <c r="T949" s="13">
        <f t="shared" si="4"/>
        <v>106767.36</v>
      </c>
      <c r="U949" s="13">
        <f t="shared" si="5"/>
        <v>218777.76</v>
      </c>
      <c r="V949" s="3" t="str">
        <f>VLOOKUP(N949,products!A:B,2,0)</f>
        <v>Clothes</v>
      </c>
      <c r="W949" s="3" t="s">
        <v>28</v>
      </c>
      <c r="X949" s="3" t="s">
        <v>79</v>
      </c>
      <c r="Y949" s="14">
        <f t="shared" si="10"/>
        <v>0.6720351391</v>
      </c>
      <c r="Z949" s="3">
        <f t="shared" si="7"/>
        <v>28</v>
      </c>
      <c r="AA949" s="15">
        <f t="shared" si="8"/>
        <v>1</v>
      </c>
    </row>
    <row r="950" ht="15.75" customHeight="1">
      <c r="A950" s="3">
        <v>7.20229613E8</v>
      </c>
      <c r="B950" s="9">
        <v>42188.0</v>
      </c>
      <c r="C950" s="3">
        <f>IFERROR(__xludf.DUMMYFUNCTION("split(B950,""/"")"),3.0)</f>
        <v>3</v>
      </c>
      <c r="D950" s="10">
        <f>IFERROR(__xludf.DUMMYFUNCTION("""COMPUTED_VALUE"""),7.0)</f>
        <v>7</v>
      </c>
      <c r="E950" s="11">
        <f>IFERROR(__xludf.DUMMYFUNCTION("""COMPUTED_VALUE"""),2015.0)</f>
        <v>2015</v>
      </c>
      <c r="F950" s="12">
        <f t="shared" si="1"/>
        <v>42070</v>
      </c>
      <c r="G950" s="9">
        <v>42311.0</v>
      </c>
      <c r="H950" s="3">
        <f>IFERROR(__xludf.DUMMYFUNCTION("split(G950,""/"")"),3.0)</f>
        <v>3</v>
      </c>
      <c r="I950" s="3">
        <f>IFERROR(__xludf.DUMMYFUNCTION("""COMPUTED_VALUE"""),11.0)</f>
        <v>11</v>
      </c>
      <c r="J950" s="3">
        <f>IFERROR(__xludf.DUMMYFUNCTION("""COMPUTED_VALUE"""),2015.0)</f>
        <v>2015</v>
      </c>
      <c r="K950" s="12">
        <f t="shared" si="2"/>
        <v>42074</v>
      </c>
      <c r="L950" s="3" t="s">
        <v>817</v>
      </c>
      <c r="M950" s="3" t="s">
        <v>821</v>
      </c>
      <c r="N950" s="3">
        <v>4594.0</v>
      </c>
      <c r="O950" s="3" t="s">
        <v>815</v>
      </c>
      <c r="P950" s="10">
        <v>803.0</v>
      </c>
      <c r="Q950" s="13">
        <v>9.33</v>
      </c>
      <c r="R950" s="13">
        <v>6.92</v>
      </c>
      <c r="S950" s="13">
        <f t="shared" si="3"/>
        <v>7491.99</v>
      </c>
      <c r="T950" s="13">
        <f t="shared" si="4"/>
        <v>5556.76</v>
      </c>
      <c r="U950" s="13">
        <f t="shared" si="5"/>
        <v>1935.23</v>
      </c>
      <c r="V950" s="3" t="str">
        <f>VLOOKUP(N950,products!A:B,2,0)</f>
        <v>Fruits</v>
      </c>
      <c r="W950" s="3" t="s">
        <v>821</v>
      </c>
      <c r="X950" s="3" t="s">
        <v>821</v>
      </c>
      <c r="Y950" s="14">
        <f t="shared" si="10"/>
        <v>0.258306538</v>
      </c>
      <c r="Z950" s="3">
        <f t="shared" si="7"/>
        <v>4</v>
      </c>
      <c r="AA950" s="15">
        <f t="shared" si="8"/>
        <v>7</v>
      </c>
    </row>
    <row r="951" ht="15.75" customHeight="1">
      <c r="A951" s="3">
        <v>7.20878922E8</v>
      </c>
      <c r="B951" s="3" t="s">
        <v>922</v>
      </c>
      <c r="C951" s="3">
        <f>IFERROR(__xludf.DUMMYFUNCTION("split(B951,""/"")"),6.0)</f>
        <v>6</v>
      </c>
      <c r="D951" s="10">
        <f>IFERROR(__xludf.DUMMYFUNCTION("""COMPUTED_VALUE"""),22.0)</f>
        <v>22</v>
      </c>
      <c r="E951" s="11">
        <f>IFERROR(__xludf.DUMMYFUNCTION("""COMPUTED_VALUE"""),2012.0)</f>
        <v>2012</v>
      </c>
      <c r="F951" s="12">
        <f t="shared" si="1"/>
        <v>41082</v>
      </c>
      <c r="G951" s="9">
        <v>40916.0</v>
      </c>
      <c r="H951" s="3">
        <f>IFERROR(__xludf.DUMMYFUNCTION("split(G951,""/"")"),8.0)</f>
        <v>8</v>
      </c>
      <c r="I951" s="3">
        <f>IFERROR(__xludf.DUMMYFUNCTION("""COMPUTED_VALUE"""),1.0)</f>
        <v>1</v>
      </c>
      <c r="J951" s="3">
        <f>IFERROR(__xludf.DUMMYFUNCTION("""COMPUTED_VALUE"""),2012.0)</f>
        <v>2012</v>
      </c>
      <c r="K951" s="12">
        <f t="shared" si="2"/>
        <v>41122</v>
      </c>
      <c r="L951" s="3" t="s">
        <v>827</v>
      </c>
      <c r="M951" s="3" t="s">
        <v>428</v>
      </c>
      <c r="N951" s="3">
        <v>7331.0</v>
      </c>
      <c r="O951" s="3" t="s">
        <v>815</v>
      </c>
      <c r="P951" s="10">
        <v>2948.0</v>
      </c>
      <c r="Q951" s="13">
        <v>255.28</v>
      </c>
      <c r="R951" s="13">
        <v>159.42</v>
      </c>
      <c r="S951" s="13">
        <f t="shared" si="3"/>
        <v>752565.44</v>
      </c>
      <c r="T951" s="13">
        <f t="shared" si="4"/>
        <v>469970.16</v>
      </c>
      <c r="U951" s="13">
        <f t="shared" si="5"/>
        <v>282595.28</v>
      </c>
      <c r="V951" s="3" t="str">
        <f>VLOOKUP(N951,products!A:B,2,0)</f>
        <v>Baby Food</v>
      </c>
      <c r="W951" s="3" t="s">
        <v>28</v>
      </c>
      <c r="X951" s="3" t="s">
        <v>79</v>
      </c>
      <c r="Y951" s="14">
        <f t="shared" si="10"/>
        <v>0.3755092448</v>
      </c>
      <c r="Z951" s="3">
        <f t="shared" si="7"/>
        <v>40</v>
      </c>
      <c r="AA951" s="15">
        <f t="shared" si="8"/>
        <v>6</v>
      </c>
    </row>
    <row r="952" ht="15.75" customHeight="1">
      <c r="A952" s="3">
        <v>7.20931279E8</v>
      </c>
      <c r="B952" s="3" t="s">
        <v>1090</v>
      </c>
      <c r="C952" s="3">
        <f>IFERROR(__xludf.DUMMYFUNCTION("split(B952,""/"")"),10.0)</f>
        <v>10</v>
      </c>
      <c r="D952" s="10">
        <f>IFERROR(__xludf.DUMMYFUNCTION("""COMPUTED_VALUE"""),30.0)</f>
        <v>30</v>
      </c>
      <c r="E952" s="11">
        <f>IFERROR(__xludf.DUMMYFUNCTION("""COMPUTED_VALUE"""),2012.0)</f>
        <v>2012</v>
      </c>
      <c r="F952" s="12">
        <f t="shared" si="1"/>
        <v>41212</v>
      </c>
      <c r="G952" s="3" t="s">
        <v>1161</v>
      </c>
      <c r="H952" s="3">
        <f>IFERROR(__xludf.DUMMYFUNCTION("split(G952,""/"")"),11.0)</f>
        <v>11</v>
      </c>
      <c r="I952" s="3">
        <f>IFERROR(__xludf.DUMMYFUNCTION("""COMPUTED_VALUE"""),18.0)</f>
        <v>18</v>
      </c>
      <c r="J952" s="3">
        <f>IFERROR(__xludf.DUMMYFUNCTION("""COMPUTED_VALUE"""),2012.0)</f>
        <v>2012</v>
      </c>
      <c r="K952" s="12">
        <f t="shared" si="2"/>
        <v>41231</v>
      </c>
      <c r="L952" s="3" t="s">
        <v>825</v>
      </c>
      <c r="M952" s="3" t="s">
        <v>349</v>
      </c>
      <c r="N952" s="3">
        <v>8969.0</v>
      </c>
      <c r="O952" s="3" t="s">
        <v>818</v>
      </c>
      <c r="P952" s="10">
        <v>8441.0</v>
      </c>
      <c r="Q952" s="13">
        <v>152.58</v>
      </c>
      <c r="R952" s="13">
        <v>97.44</v>
      </c>
      <c r="S952" s="13">
        <f t="shared" si="3"/>
        <v>1287927.78</v>
      </c>
      <c r="T952" s="13">
        <f t="shared" si="4"/>
        <v>822491.04</v>
      </c>
      <c r="U952" s="13">
        <f t="shared" si="5"/>
        <v>465436.74</v>
      </c>
      <c r="V952" s="3" t="str">
        <f>VLOOKUP(N952,products!A:B,2,0)</f>
        <v>Snacks</v>
      </c>
      <c r="W952" s="3" t="s">
        <v>28</v>
      </c>
      <c r="X952" s="3" t="s">
        <v>29</v>
      </c>
      <c r="Y952" s="14">
        <f t="shared" si="10"/>
        <v>0.3613841919</v>
      </c>
      <c r="Z952" s="3">
        <f t="shared" si="7"/>
        <v>19</v>
      </c>
      <c r="AA952" s="15">
        <f t="shared" si="8"/>
        <v>3</v>
      </c>
    </row>
    <row r="953" ht="15.75" customHeight="1">
      <c r="A953" s="3">
        <v>7.21318805E8</v>
      </c>
      <c r="B953" s="3" t="s">
        <v>1031</v>
      </c>
      <c r="C953" s="3">
        <f>IFERROR(__xludf.DUMMYFUNCTION("split(B953,""/"")"),11.0)</f>
        <v>11</v>
      </c>
      <c r="D953" s="10">
        <f>IFERROR(__xludf.DUMMYFUNCTION("""COMPUTED_VALUE"""),29.0)</f>
        <v>29</v>
      </c>
      <c r="E953" s="11">
        <f>IFERROR(__xludf.DUMMYFUNCTION("""COMPUTED_VALUE"""),2015.0)</f>
        <v>2015</v>
      </c>
      <c r="F953" s="12">
        <f t="shared" si="1"/>
        <v>42337</v>
      </c>
      <c r="G953" s="9">
        <v>42259.0</v>
      </c>
      <c r="H953" s="3">
        <f>IFERROR(__xludf.DUMMYFUNCTION("split(G953,""/"")"),12.0)</f>
        <v>12</v>
      </c>
      <c r="I953" s="3">
        <f>IFERROR(__xludf.DUMMYFUNCTION("""COMPUTED_VALUE"""),9.0)</f>
        <v>9</v>
      </c>
      <c r="J953" s="3">
        <f>IFERROR(__xludf.DUMMYFUNCTION("""COMPUTED_VALUE"""),2015.0)</f>
        <v>2015</v>
      </c>
      <c r="K953" s="12">
        <f t="shared" si="2"/>
        <v>42347</v>
      </c>
      <c r="L953" s="3" t="s">
        <v>825</v>
      </c>
      <c r="M953" s="3" t="s">
        <v>689</v>
      </c>
      <c r="N953" s="3">
        <v>4594.0</v>
      </c>
      <c r="O953" s="3" t="s">
        <v>818</v>
      </c>
      <c r="P953" s="10">
        <v>3118.0</v>
      </c>
      <c r="Q953" s="13">
        <v>9.33</v>
      </c>
      <c r="R953" s="13">
        <v>6.92</v>
      </c>
      <c r="S953" s="13">
        <f t="shared" si="3"/>
        <v>29090.94</v>
      </c>
      <c r="T953" s="13">
        <f t="shared" si="4"/>
        <v>21576.56</v>
      </c>
      <c r="U953" s="13">
        <f t="shared" si="5"/>
        <v>7514.38</v>
      </c>
      <c r="V953" s="3" t="str">
        <f>VLOOKUP(N953,products!A:B,2,0)</f>
        <v>Fruits</v>
      </c>
      <c r="W953" s="3" t="s">
        <v>28</v>
      </c>
      <c r="X953" s="3" t="s">
        <v>79</v>
      </c>
      <c r="Y953" s="14">
        <f t="shared" si="10"/>
        <v>0.258306538</v>
      </c>
      <c r="Z953" s="3">
        <f t="shared" si="7"/>
        <v>10</v>
      </c>
      <c r="AA953" s="15">
        <f t="shared" si="8"/>
        <v>1</v>
      </c>
    </row>
    <row r="954" ht="15.75" customHeight="1">
      <c r="A954" s="3">
        <v>7.22233331E8</v>
      </c>
      <c r="B954" s="3" t="s">
        <v>1665</v>
      </c>
      <c r="C954" s="3">
        <f>IFERROR(__xludf.DUMMYFUNCTION("split(B954,""/"")"),3.0)</f>
        <v>3</v>
      </c>
      <c r="D954" s="10">
        <f>IFERROR(__xludf.DUMMYFUNCTION("""COMPUTED_VALUE"""),31.0)</f>
        <v>31</v>
      </c>
      <c r="E954" s="11">
        <f>IFERROR(__xludf.DUMMYFUNCTION("""COMPUTED_VALUE"""),2017.0)</f>
        <v>2017</v>
      </c>
      <c r="F954" s="12">
        <f t="shared" si="1"/>
        <v>42825</v>
      </c>
      <c r="G954" s="9">
        <v>42890.0</v>
      </c>
      <c r="H954" s="3">
        <f>IFERROR(__xludf.DUMMYFUNCTION("split(G954,""/"")"),4.0)</f>
        <v>4</v>
      </c>
      <c r="I954" s="3">
        <f>IFERROR(__xludf.DUMMYFUNCTION("""COMPUTED_VALUE"""),6.0)</f>
        <v>6</v>
      </c>
      <c r="J954" s="3">
        <f>IFERROR(__xludf.DUMMYFUNCTION("""COMPUTED_VALUE"""),2017.0)</f>
        <v>2017</v>
      </c>
      <c r="K954" s="12">
        <f t="shared" si="2"/>
        <v>42831</v>
      </c>
      <c r="L954" s="3" t="s">
        <v>827</v>
      </c>
      <c r="M954" s="3" t="s">
        <v>671</v>
      </c>
      <c r="N954" s="3">
        <v>5988.0</v>
      </c>
      <c r="O954" s="3" t="s">
        <v>815</v>
      </c>
      <c r="P954" s="10">
        <v>3747.0</v>
      </c>
      <c r="Q954" s="13">
        <v>154.06</v>
      </c>
      <c r="R954" s="13">
        <v>90.93</v>
      </c>
      <c r="S954" s="13">
        <f t="shared" si="3"/>
        <v>577262.82</v>
      </c>
      <c r="T954" s="13">
        <f t="shared" si="4"/>
        <v>340714.71</v>
      </c>
      <c r="U954" s="13">
        <f t="shared" si="5"/>
        <v>236548.11</v>
      </c>
      <c r="V954" s="3" t="str">
        <f>VLOOKUP(N954,products!A:B,2,0)</f>
        <v>Vegetables</v>
      </c>
      <c r="W954" s="3" t="s">
        <v>28</v>
      </c>
      <c r="X954" s="3" t="s">
        <v>33</v>
      </c>
      <c r="Y954" s="14">
        <f t="shared" si="10"/>
        <v>0.4097754122</v>
      </c>
      <c r="Z954" s="3">
        <f t="shared" si="7"/>
        <v>6</v>
      </c>
      <c r="AA954" s="15">
        <f t="shared" si="8"/>
        <v>6</v>
      </c>
    </row>
    <row r="955" ht="15.75" customHeight="1">
      <c r="A955" s="3">
        <v>7.2224878E8</v>
      </c>
      <c r="B955" s="9">
        <v>41064.0</v>
      </c>
      <c r="C955" s="3">
        <f>IFERROR(__xludf.DUMMYFUNCTION("split(B955,""/"")"),4.0)</f>
        <v>4</v>
      </c>
      <c r="D955" s="10">
        <f>IFERROR(__xludf.DUMMYFUNCTION("""COMPUTED_VALUE"""),6.0)</f>
        <v>6</v>
      </c>
      <c r="E955" s="11">
        <f>IFERROR(__xludf.DUMMYFUNCTION("""COMPUTED_VALUE"""),2012.0)</f>
        <v>2012</v>
      </c>
      <c r="F955" s="12">
        <f t="shared" si="1"/>
        <v>41005</v>
      </c>
      <c r="G955" s="9">
        <v>41125.0</v>
      </c>
      <c r="H955" s="3">
        <f>IFERROR(__xludf.DUMMYFUNCTION("split(G955,""/"")"),4.0)</f>
        <v>4</v>
      </c>
      <c r="I955" s="3">
        <f>IFERROR(__xludf.DUMMYFUNCTION("""COMPUTED_VALUE"""),8.0)</f>
        <v>8</v>
      </c>
      <c r="J955" s="3">
        <f>IFERROR(__xludf.DUMMYFUNCTION("""COMPUTED_VALUE"""),2012.0)</f>
        <v>2012</v>
      </c>
      <c r="K955" s="12">
        <f t="shared" si="2"/>
        <v>41007</v>
      </c>
      <c r="L955" s="3" t="s">
        <v>827</v>
      </c>
      <c r="M955" s="3" t="s">
        <v>689</v>
      </c>
      <c r="N955" s="3">
        <v>8969.0</v>
      </c>
      <c r="O955" s="3" t="s">
        <v>815</v>
      </c>
      <c r="P955" s="10">
        <v>8319.0</v>
      </c>
      <c r="Q955" s="13">
        <v>152.58</v>
      </c>
      <c r="R955" s="13">
        <v>97.44</v>
      </c>
      <c r="S955" s="13">
        <f t="shared" si="3"/>
        <v>1269313.02</v>
      </c>
      <c r="T955" s="13">
        <f t="shared" si="4"/>
        <v>810603.36</v>
      </c>
      <c r="U955" s="13">
        <f t="shared" si="5"/>
        <v>458709.66</v>
      </c>
      <c r="V955" s="3" t="str">
        <f>VLOOKUP(N955,products!A:B,2,0)</f>
        <v>Snacks</v>
      </c>
      <c r="W955" s="3" t="s">
        <v>28</v>
      </c>
      <c r="X955" s="3" t="s">
        <v>79</v>
      </c>
      <c r="Y955" s="14">
        <f t="shared" si="10"/>
        <v>0.3613841919</v>
      </c>
      <c r="Z955" s="3">
        <f t="shared" si="7"/>
        <v>2</v>
      </c>
      <c r="AA955" s="15">
        <f t="shared" si="8"/>
        <v>6</v>
      </c>
    </row>
    <row r="956" ht="15.75" customHeight="1">
      <c r="A956" s="3">
        <v>7.23893725E8</v>
      </c>
      <c r="B956" s="3" t="s">
        <v>1666</v>
      </c>
      <c r="C956" s="3">
        <f>IFERROR(__xludf.DUMMYFUNCTION("split(B956,""/"")"),2.0)</f>
        <v>2</v>
      </c>
      <c r="D956" s="10">
        <f>IFERROR(__xludf.DUMMYFUNCTION("""COMPUTED_VALUE"""),13.0)</f>
        <v>13</v>
      </c>
      <c r="E956" s="11">
        <f>IFERROR(__xludf.DUMMYFUNCTION("""COMPUTED_VALUE"""),2013.0)</f>
        <v>2013</v>
      </c>
      <c r="F956" s="12">
        <f t="shared" si="1"/>
        <v>41318</v>
      </c>
      <c r="G956" s="9">
        <v>41581.0</v>
      </c>
      <c r="H956" s="3">
        <f>IFERROR(__xludf.DUMMYFUNCTION("split(G956,""/"")"),3.0)</f>
        <v>3</v>
      </c>
      <c r="I956" s="3">
        <f>IFERROR(__xludf.DUMMYFUNCTION("""COMPUTED_VALUE"""),11.0)</f>
        <v>11</v>
      </c>
      <c r="J956" s="3">
        <f>IFERROR(__xludf.DUMMYFUNCTION("""COMPUTED_VALUE"""),2013.0)</f>
        <v>2013</v>
      </c>
      <c r="K956" s="12">
        <f t="shared" si="2"/>
        <v>41344</v>
      </c>
      <c r="L956" s="3" t="s">
        <v>817</v>
      </c>
      <c r="M956" s="3" t="s">
        <v>123</v>
      </c>
      <c r="N956" s="3">
        <v>7940.0</v>
      </c>
      <c r="O956" s="3" t="s">
        <v>815</v>
      </c>
      <c r="P956" s="10">
        <v>5095.0</v>
      </c>
      <c r="Q956" s="13">
        <v>668.27</v>
      </c>
      <c r="R956" s="13">
        <v>502.54</v>
      </c>
      <c r="S956" s="13">
        <f t="shared" si="3"/>
        <v>3404835.65</v>
      </c>
      <c r="T956" s="13">
        <f t="shared" si="4"/>
        <v>2560441.3</v>
      </c>
      <c r="U956" s="13">
        <f t="shared" si="5"/>
        <v>844394.35</v>
      </c>
      <c r="V956" s="3" t="str">
        <f>VLOOKUP(N956,products!A:B,2,0)</f>
        <v>Household</v>
      </c>
      <c r="W956" s="3" t="s">
        <v>28</v>
      </c>
      <c r="X956" s="3" t="s">
        <v>33</v>
      </c>
      <c r="Y956" s="14">
        <f t="shared" si="10"/>
        <v>0.2479985635</v>
      </c>
      <c r="Z956" s="3">
        <f t="shared" si="7"/>
        <v>26</v>
      </c>
      <c r="AA956" s="15">
        <f t="shared" si="8"/>
        <v>4</v>
      </c>
    </row>
    <row r="957" ht="15.75" customHeight="1">
      <c r="A957" s="3">
        <v>7.24085128E8</v>
      </c>
      <c r="B957" s="3" t="s">
        <v>1667</v>
      </c>
      <c r="C957" s="3">
        <f>IFERROR(__xludf.DUMMYFUNCTION("split(B957,""/"")"),1.0)</f>
        <v>1</v>
      </c>
      <c r="D957" s="10">
        <f>IFERROR(__xludf.DUMMYFUNCTION("""COMPUTED_VALUE"""),21.0)</f>
        <v>21</v>
      </c>
      <c r="E957" s="11">
        <f>IFERROR(__xludf.DUMMYFUNCTION("""COMPUTED_VALUE"""),2014.0)</f>
        <v>2014</v>
      </c>
      <c r="F957" s="12">
        <f t="shared" si="1"/>
        <v>41660</v>
      </c>
      <c r="G957" s="9">
        <v>41914.0</v>
      </c>
      <c r="H957" s="3">
        <f>IFERROR(__xludf.DUMMYFUNCTION("split(G957,""/"")"),2.0)</f>
        <v>2</v>
      </c>
      <c r="I957" s="3">
        <f>IFERROR(__xludf.DUMMYFUNCTION("""COMPUTED_VALUE"""),10.0)</f>
        <v>10</v>
      </c>
      <c r="J957" s="3">
        <f>IFERROR(__xludf.DUMMYFUNCTION("""COMPUTED_VALUE"""),2014.0)</f>
        <v>2014</v>
      </c>
      <c r="K957" s="12">
        <f t="shared" si="2"/>
        <v>41680</v>
      </c>
      <c r="L957" s="3" t="s">
        <v>814</v>
      </c>
      <c r="M957" s="3" t="s">
        <v>288</v>
      </c>
      <c r="N957" s="3">
        <v>4594.0</v>
      </c>
      <c r="O957" s="3" t="s">
        <v>818</v>
      </c>
      <c r="P957" s="10">
        <v>1735.0</v>
      </c>
      <c r="Q957" s="13">
        <v>9.33</v>
      </c>
      <c r="R957" s="13">
        <v>6.92</v>
      </c>
      <c r="S957" s="13">
        <f t="shared" si="3"/>
        <v>16187.55</v>
      </c>
      <c r="T957" s="13">
        <f t="shared" si="4"/>
        <v>12006.2</v>
      </c>
      <c r="U957" s="13">
        <f t="shared" si="5"/>
        <v>4181.35</v>
      </c>
      <c r="V957" s="3" t="str">
        <f>VLOOKUP(N957,products!A:B,2,0)</f>
        <v>Fruits</v>
      </c>
      <c r="W957" s="3" t="s">
        <v>23</v>
      </c>
      <c r="X957" s="3" t="s">
        <v>68</v>
      </c>
      <c r="Y957" s="14">
        <f t="shared" si="10"/>
        <v>0.258306538</v>
      </c>
      <c r="Z957" s="3">
        <f t="shared" si="7"/>
        <v>20</v>
      </c>
      <c r="AA957" s="15">
        <f t="shared" si="8"/>
        <v>3</v>
      </c>
    </row>
    <row r="958" ht="15.75" customHeight="1">
      <c r="A958" s="3">
        <v>7.2622317E8</v>
      </c>
      <c r="B958" s="3" t="s">
        <v>1668</v>
      </c>
      <c r="C958" s="3">
        <f>IFERROR(__xludf.DUMMYFUNCTION("split(B958,""/"")"),6.0)</f>
        <v>6</v>
      </c>
      <c r="D958" s="10">
        <f>IFERROR(__xludf.DUMMYFUNCTION("""COMPUTED_VALUE"""),27.0)</f>
        <v>27</v>
      </c>
      <c r="E958" s="11">
        <f>IFERROR(__xludf.DUMMYFUNCTION("""COMPUTED_VALUE"""),2015.0)</f>
        <v>2015</v>
      </c>
      <c r="F958" s="12">
        <f t="shared" si="1"/>
        <v>42182</v>
      </c>
      <c r="G958" s="3" t="s">
        <v>1591</v>
      </c>
      <c r="H958" s="3">
        <f>IFERROR(__xludf.DUMMYFUNCTION("split(G958,""/"")"),7.0)</f>
        <v>7</v>
      </c>
      <c r="I958" s="3">
        <f>IFERROR(__xludf.DUMMYFUNCTION("""COMPUTED_VALUE"""),31.0)</f>
        <v>31</v>
      </c>
      <c r="J958" s="3">
        <f>IFERROR(__xludf.DUMMYFUNCTION("""COMPUTED_VALUE"""),2015.0)</f>
        <v>2015</v>
      </c>
      <c r="K958" s="12">
        <f t="shared" si="2"/>
        <v>42216</v>
      </c>
      <c r="L958" s="3" t="s">
        <v>817</v>
      </c>
      <c r="M958" s="3" t="s">
        <v>689</v>
      </c>
      <c r="N958" s="3">
        <v>7331.0</v>
      </c>
      <c r="O958" s="3" t="s">
        <v>818</v>
      </c>
      <c r="P958" s="10">
        <v>4429.0</v>
      </c>
      <c r="Q958" s="13">
        <v>255.28</v>
      </c>
      <c r="R958" s="13">
        <v>159.42</v>
      </c>
      <c r="S958" s="13">
        <f t="shared" si="3"/>
        <v>1130635.12</v>
      </c>
      <c r="T958" s="13">
        <f t="shared" si="4"/>
        <v>706071.18</v>
      </c>
      <c r="U958" s="13">
        <f t="shared" si="5"/>
        <v>424563.94</v>
      </c>
      <c r="V958" s="3" t="str">
        <f>VLOOKUP(N958,products!A:B,2,0)</f>
        <v>Baby Food</v>
      </c>
      <c r="W958" s="3" t="s">
        <v>28</v>
      </c>
      <c r="X958" s="3" t="s">
        <v>79</v>
      </c>
      <c r="Y958" s="14">
        <f t="shared" si="10"/>
        <v>0.3755092448</v>
      </c>
      <c r="Z958" s="3">
        <f t="shared" si="7"/>
        <v>34</v>
      </c>
      <c r="AA958" s="15">
        <f t="shared" si="8"/>
        <v>7</v>
      </c>
    </row>
    <row r="959" ht="15.75" customHeight="1">
      <c r="A959" s="3">
        <v>7.27175891E8</v>
      </c>
      <c r="B959" s="3" t="s">
        <v>1669</v>
      </c>
      <c r="C959" s="3">
        <f>IFERROR(__xludf.DUMMYFUNCTION("split(B959,""/"")"),7.0)</f>
        <v>7</v>
      </c>
      <c r="D959" s="10">
        <f>IFERROR(__xludf.DUMMYFUNCTION("""COMPUTED_VALUE"""),19.0)</f>
        <v>19</v>
      </c>
      <c r="E959" s="11">
        <f>IFERROR(__xludf.DUMMYFUNCTION("""COMPUTED_VALUE"""),2013.0)</f>
        <v>2013</v>
      </c>
      <c r="F959" s="12">
        <f t="shared" si="1"/>
        <v>41474</v>
      </c>
      <c r="G959" s="9">
        <v>41464.0</v>
      </c>
      <c r="H959" s="3">
        <f>IFERROR(__xludf.DUMMYFUNCTION("split(G959,""/"")"),9.0)</f>
        <v>9</v>
      </c>
      <c r="I959" s="3">
        <f>IFERROR(__xludf.DUMMYFUNCTION("""COMPUTED_VALUE"""),7.0)</f>
        <v>7</v>
      </c>
      <c r="J959" s="3">
        <f>IFERROR(__xludf.DUMMYFUNCTION("""COMPUTED_VALUE"""),2013.0)</f>
        <v>2013</v>
      </c>
      <c r="K959" s="12">
        <f t="shared" si="2"/>
        <v>41524</v>
      </c>
      <c r="L959" s="3" t="s">
        <v>827</v>
      </c>
      <c r="M959" s="3" t="s">
        <v>373</v>
      </c>
      <c r="N959" s="3">
        <v>8875.0</v>
      </c>
      <c r="O959" s="3" t="s">
        <v>818</v>
      </c>
      <c r="P959" s="10">
        <v>6360.0</v>
      </c>
      <c r="Q959" s="13">
        <v>421.89</v>
      </c>
      <c r="R959" s="13">
        <v>364.69</v>
      </c>
      <c r="S959" s="13">
        <f t="shared" si="3"/>
        <v>2683220.4</v>
      </c>
      <c r="T959" s="13">
        <f t="shared" si="4"/>
        <v>2319428.4</v>
      </c>
      <c r="U959" s="13">
        <f t="shared" si="5"/>
        <v>363792</v>
      </c>
      <c r="V959" s="3" t="str">
        <f>VLOOKUP(N959,products!A:B,2,0)</f>
        <v>Meat</v>
      </c>
      <c r="W959" s="3" t="s">
        <v>28</v>
      </c>
      <c r="X959" s="3" t="s">
        <v>33</v>
      </c>
      <c r="Y959" s="14">
        <f t="shared" si="10"/>
        <v>0.1355803646</v>
      </c>
      <c r="Z959" s="3">
        <f t="shared" si="7"/>
        <v>50</v>
      </c>
      <c r="AA959" s="15">
        <f t="shared" si="8"/>
        <v>6</v>
      </c>
    </row>
    <row r="960" ht="15.75" customHeight="1">
      <c r="A960" s="3">
        <v>7.27426946E8</v>
      </c>
      <c r="B960" s="3" t="s">
        <v>1670</v>
      </c>
      <c r="C960" s="3">
        <f>IFERROR(__xludf.DUMMYFUNCTION("split(B960,""/"")"),12.0)</f>
        <v>12</v>
      </c>
      <c r="D960" s="10">
        <f>IFERROR(__xludf.DUMMYFUNCTION("""COMPUTED_VALUE"""),15.0)</f>
        <v>15</v>
      </c>
      <c r="E960" s="11">
        <f>IFERROR(__xludf.DUMMYFUNCTION("""COMPUTED_VALUE"""),2013.0)</f>
        <v>2013</v>
      </c>
      <c r="F960" s="12">
        <f t="shared" si="1"/>
        <v>41623</v>
      </c>
      <c r="G960" s="9">
        <v>41700.0</v>
      </c>
      <c r="H960" s="3">
        <f>IFERROR(__xludf.DUMMYFUNCTION("split(G960,""/"")"),2.0)</f>
        <v>2</v>
      </c>
      <c r="I960" s="3">
        <f>IFERROR(__xludf.DUMMYFUNCTION("""COMPUTED_VALUE"""),3.0)</f>
        <v>3</v>
      </c>
      <c r="J960" s="3">
        <f>IFERROR(__xludf.DUMMYFUNCTION("""COMPUTED_VALUE"""),2014.0)</f>
        <v>2014</v>
      </c>
      <c r="K960" s="12">
        <f t="shared" si="2"/>
        <v>41673</v>
      </c>
      <c r="L960" s="3" t="s">
        <v>825</v>
      </c>
      <c r="M960" s="3" t="s">
        <v>46</v>
      </c>
      <c r="N960" s="3">
        <v>5988.0</v>
      </c>
      <c r="O960" s="3" t="s">
        <v>818</v>
      </c>
      <c r="P960" s="10">
        <v>653.0</v>
      </c>
      <c r="Q960" s="13">
        <v>154.06</v>
      </c>
      <c r="R960" s="13">
        <v>90.93</v>
      </c>
      <c r="S960" s="13">
        <f t="shared" si="3"/>
        <v>100601.18</v>
      </c>
      <c r="T960" s="13">
        <f t="shared" si="4"/>
        <v>59377.29</v>
      </c>
      <c r="U960" s="13">
        <f t="shared" si="5"/>
        <v>41223.89</v>
      </c>
      <c r="V960" s="3" t="str">
        <f>VLOOKUP(N960,products!A:B,2,0)</f>
        <v>Vegetables</v>
      </c>
      <c r="W960" s="3" t="s">
        <v>28</v>
      </c>
      <c r="X960" s="3" t="s">
        <v>33</v>
      </c>
      <c r="Y960" s="14">
        <f t="shared" si="10"/>
        <v>0.4097754122</v>
      </c>
      <c r="Z960" s="3">
        <f t="shared" si="7"/>
        <v>50</v>
      </c>
      <c r="AA960" s="15">
        <f t="shared" si="8"/>
        <v>1</v>
      </c>
    </row>
    <row r="961" ht="15.75" customHeight="1">
      <c r="A961" s="3">
        <v>7.27821767E8</v>
      </c>
      <c r="B961" s="3" t="s">
        <v>1068</v>
      </c>
      <c r="C961" s="3">
        <f>IFERROR(__xludf.DUMMYFUNCTION("split(B961,""/"")"),2.0)</f>
        <v>2</v>
      </c>
      <c r="D961" s="10">
        <f>IFERROR(__xludf.DUMMYFUNCTION("""COMPUTED_VALUE"""),26.0)</f>
        <v>26</v>
      </c>
      <c r="E961" s="11">
        <f>IFERROR(__xludf.DUMMYFUNCTION("""COMPUTED_VALUE"""),2016.0)</f>
        <v>2016</v>
      </c>
      <c r="F961" s="12">
        <f t="shared" si="1"/>
        <v>42426</v>
      </c>
      <c r="G961" s="3" t="s">
        <v>1671</v>
      </c>
      <c r="H961" s="3">
        <f>IFERROR(__xludf.DUMMYFUNCTION("split(G961,""/"")"),3.0)</f>
        <v>3</v>
      </c>
      <c r="I961" s="3">
        <f>IFERROR(__xludf.DUMMYFUNCTION("""COMPUTED_VALUE"""),16.0)</f>
        <v>16</v>
      </c>
      <c r="J961" s="3">
        <f>IFERROR(__xludf.DUMMYFUNCTION("""COMPUTED_VALUE"""),2016.0)</f>
        <v>2016</v>
      </c>
      <c r="K961" s="12">
        <f t="shared" si="2"/>
        <v>42445</v>
      </c>
      <c r="L961" s="3" t="s">
        <v>825</v>
      </c>
      <c r="M961" s="3" t="s">
        <v>46</v>
      </c>
      <c r="N961" s="3">
        <v>8293.0</v>
      </c>
      <c r="O961" s="3" t="s">
        <v>815</v>
      </c>
      <c r="P961" s="10">
        <v>7489.0</v>
      </c>
      <c r="Q961" s="13">
        <v>437.2</v>
      </c>
      <c r="R961" s="13">
        <v>263.33</v>
      </c>
      <c r="S961" s="13">
        <f t="shared" si="3"/>
        <v>3274190.8</v>
      </c>
      <c r="T961" s="13">
        <f t="shared" si="4"/>
        <v>1972078.37</v>
      </c>
      <c r="U961" s="13">
        <f t="shared" si="5"/>
        <v>1302112.43</v>
      </c>
      <c r="V961" s="3" t="str">
        <f>VLOOKUP(N961,products!A:B,2,0)</f>
        <v>Cosmetics</v>
      </c>
      <c r="W961" s="3" t="s">
        <v>28</v>
      </c>
      <c r="X961" s="3" t="s">
        <v>33</v>
      </c>
      <c r="Y961" s="14">
        <f t="shared" si="10"/>
        <v>0.3976898445</v>
      </c>
      <c r="Z961" s="3">
        <f t="shared" si="7"/>
        <v>19</v>
      </c>
      <c r="AA961" s="15">
        <f t="shared" si="8"/>
        <v>6</v>
      </c>
    </row>
    <row r="962" ht="15.75" customHeight="1">
      <c r="A962" s="3">
        <v>7.2799772E8</v>
      </c>
      <c r="B962" s="9">
        <v>41677.0</v>
      </c>
      <c r="C962" s="3">
        <f>IFERROR(__xludf.DUMMYFUNCTION("split(B962,""/"")"),7.0)</f>
        <v>7</v>
      </c>
      <c r="D962" s="10">
        <f>IFERROR(__xludf.DUMMYFUNCTION("""COMPUTED_VALUE"""),2.0)</f>
        <v>2</v>
      </c>
      <c r="E962" s="11">
        <f>IFERROR(__xludf.DUMMYFUNCTION("""COMPUTED_VALUE"""),2014.0)</f>
        <v>2014</v>
      </c>
      <c r="F962" s="12">
        <f t="shared" si="1"/>
        <v>41822</v>
      </c>
      <c r="G962" s="3" t="s">
        <v>1356</v>
      </c>
      <c r="H962" s="3">
        <f>IFERROR(__xludf.DUMMYFUNCTION("split(G962,""/"")"),7.0)</f>
        <v>7</v>
      </c>
      <c r="I962" s="3">
        <f>IFERROR(__xludf.DUMMYFUNCTION("""COMPUTED_VALUE"""),19.0)</f>
        <v>19</v>
      </c>
      <c r="J962" s="3">
        <f>IFERROR(__xludf.DUMMYFUNCTION("""COMPUTED_VALUE"""),2014.0)</f>
        <v>2014</v>
      </c>
      <c r="K962" s="12">
        <f t="shared" si="2"/>
        <v>41839</v>
      </c>
      <c r="L962" s="3" t="s">
        <v>817</v>
      </c>
      <c r="M962" s="3" t="s">
        <v>215</v>
      </c>
      <c r="N962" s="3">
        <v>5988.0</v>
      </c>
      <c r="O962" s="3" t="s">
        <v>818</v>
      </c>
      <c r="P962" s="10">
        <v>9558.0</v>
      </c>
      <c r="Q962" s="13">
        <v>154.06</v>
      </c>
      <c r="R962" s="13">
        <v>90.93</v>
      </c>
      <c r="S962" s="13">
        <f t="shared" si="3"/>
        <v>1472505.48</v>
      </c>
      <c r="T962" s="13">
        <f t="shared" si="4"/>
        <v>869108.94</v>
      </c>
      <c r="U962" s="13">
        <f t="shared" si="5"/>
        <v>603396.54</v>
      </c>
      <c r="V962" s="3" t="str">
        <f>VLOOKUP(N962,products!A:B,2,0)</f>
        <v>Vegetables</v>
      </c>
      <c r="W962" s="3" t="s">
        <v>23</v>
      </c>
      <c r="X962" s="3" t="s">
        <v>68</v>
      </c>
      <c r="Y962" s="14">
        <f t="shared" si="10"/>
        <v>0.4097754122</v>
      </c>
      <c r="Z962" s="3">
        <f t="shared" si="7"/>
        <v>17</v>
      </c>
      <c r="AA962" s="15">
        <f t="shared" si="8"/>
        <v>4</v>
      </c>
    </row>
    <row r="963" ht="15.75" customHeight="1">
      <c r="A963" s="3">
        <v>7.2879337E8</v>
      </c>
      <c r="B963" s="3" t="s">
        <v>1672</v>
      </c>
      <c r="C963" s="3">
        <f>IFERROR(__xludf.DUMMYFUNCTION("split(B963,""/"")"),6.0)</f>
        <v>6</v>
      </c>
      <c r="D963" s="10">
        <f>IFERROR(__xludf.DUMMYFUNCTION("""COMPUTED_VALUE"""),27.0)</f>
        <v>27</v>
      </c>
      <c r="E963" s="11">
        <f>IFERROR(__xludf.DUMMYFUNCTION("""COMPUTED_VALUE"""),2011.0)</f>
        <v>2011</v>
      </c>
      <c r="F963" s="12">
        <f t="shared" si="1"/>
        <v>40721</v>
      </c>
      <c r="G963" s="9">
        <v>40885.0</v>
      </c>
      <c r="H963" s="3">
        <f>IFERROR(__xludf.DUMMYFUNCTION("split(G963,""/"")"),8.0)</f>
        <v>8</v>
      </c>
      <c r="I963" s="3">
        <f>IFERROR(__xludf.DUMMYFUNCTION("""COMPUTED_VALUE"""),12.0)</f>
        <v>12</v>
      </c>
      <c r="J963" s="3">
        <f>IFERROR(__xludf.DUMMYFUNCTION("""COMPUTED_VALUE"""),2011.0)</f>
        <v>2011</v>
      </c>
      <c r="K963" s="12">
        <f t="shared" si="2"/>
        <v>40767</v>
      </c>
      <c r="L963" s="3" t="s">
        <v>825</v>
      </c>
      <c r="M963" s="3" t="s">
        <v>32</v>
      </c>
      <c r="N963" s="3">
        <v>8293.0</v>
      </c>
      <c r="O963" s="3" t="s">
        <v>818</v>
      </c>
      <c r="P963" s="10">
        <v>5009.0</v>
      </c>
      <c r="Q963" s="13">
        <v>437.2</v>
      </c>
      <c r="R963" s="13">
        <v>263.33</v>
      </c>
      <c r="S963" s="13">
        <f t="shared" si="3"/>
        <v>2189934.8</v>
      </c>
      <c r="T963" s="13">
        <f t="shared" si="4"/>
        <v>1319019.97</v>
      </c>
      <c r="U963" s="13">
        <f t="shared" si="5"/>
        <v>870914.83</v>
      </c>
      <c r="V963" s="3" t="str">
        <f>VLOOKUP(N963,products!A:B,2,0)</f>
        <v>Cosmetics</v>
      </c>
      <c r="W963" s="3" t="s">
        <v>28</v>
      </c>
      <c r="X963" s="3" t="s">
        <v>33</v>
      </c>
      <c r="Y963" s="14">
        <f t="shared" si="10"/>
        <v>0.3976898445</v>
      </c>
      <c r="Z963" s="3">
        <f t="shared" si="7"/>
        <v>46</v>
      </c>
      <c r="AA963" s="15">
        <f t="shared" si="8"/>
        <v>2</v>
      </c>
    </row>
    <row r="964" ht="15.75" customHeight="1">
      <c r="A964" s="3">
        <v>7.29373586E8</v>
      </c>
      <c r="B964" s="3" t="s">
        <v>1673</v>
      </c>
      <c r="C964" s="3">
        <f>IFERROR(__xludf.DUMMYFUNCTION("split(B964,""/"")"),6.0)</f>
        <v>6</v>
      </c>
      <c r="D964" s="10">
        <f>IFERROR(__xludf.DUMMYFUNCTION("""COMPUTED_VALUE"""),15.0)</f>
        <v>15</v>
      </c>
      <c r="E964" s="11">
        <f>IFERROR(__xludf.DUMMYFUNCTION("""COMPUTED_VALUE"""),2014.0)</f>
        <v>2014</v>
      </c>
      <c r="F964" s="12">
        <f t="shared" si="1"/>
        <v>41805</v>
      </c>
      <c r="G964" s="9">
        <v>41766.0</v>
      </c>
      <c r="H964" s="3">
        <f>IFERROR(__xludf.DUMMYFUNCTION("split(G964,""/"")"),7.0)</f>
        <v>7</v>
      </c>
      <c r="I964" s="3">
        <f>IFERROR(__xludf.DUMMYFUNCTION("""COMPUTED_VALUE"""),5.0)</f>
        <v>5</v>
      </c>
      <c r="J964" s="3">
        <f>IFERROR(__xludf.DUMMYFUNCTION("""COMPUTED_VALUE"""),2014.0)</f>
        <v>2014</v>
      </c>
      <c r="K964" s="12">
        <f t="shared" si="2"/>
        <v>41825</v>
      </c>
      <c r="L964" s="3" t="s">
        <v>817</v>
      </c>
      <c r="M964" s="3" t="s">
        <v>364</v>
      </c>
      <c r="N964" s="3">
        <v>8681.0</v>
      </c>
      <c r="O964" s="3" t="s">
        <v>818</v>
      </c>
      <c r="P964" s="10">
        <v>6707.0</v>
      </c>
      <c r="Q964" s="13">
        <v>651.21</v>
      </c>
      <c r="R964" s="13">
        <v>524.96</v>
      </c>
      <c r="S964" s="13">
        <f t="shared" si="3"/>
        <v>4367665.47</v>
      </c>
      <c r="T964" s="13">
        <f t="shared" si="4"/>
        <v>3520906.72</v>
      </c>
      <c r="U964" s="13">
        <f t="shared" si="5"/>
        <v>846758.75</v>
      </c>
      <c r="V964" s="3" t="str">
        <f>VLOOKUP(N964,products!A:B,2,0)</f>
        <v>Office Supplies</v>
      </c>
      <c r="W964" s="3" t="s">
        <v>28</v>
      </c>
      <c r="X964" s="3" t="s">
        <v>29</v>
      </c>
      <c r="Y964" s="14">
        <f t="shared" si="10"/>
        <v>0.193869873</v>
      </c>
      <c r="Z964" s="3">
        <f t="shared" si="7"/>
        <v>20</v>
      </c>
      <c r="AA964" s="15">
        <f t="shared" si="8"/>
        <v>1</v>
      </c>
    </row>
    <row r="965" ht="15.75" customHeight="1">
      <c r="A965" s="3">
        <v>7.30490243E8</v>
      </c>
      <c r="B965" s="9">
        <v>40519.0</v>
      </c>
      <c r="C965" s="3">
        <f>IFERROR(__xludf.DUMMYFUNCTION("split(B965,""/"")"),7.0)</f>
        <v>7</v>
      </c>
      <c r="D965" s="10">
        <f>IFERROR(__xludf.DUMMYFUNCTION("""COMPUTED_VALUE"""),12.0)</f>
        <v>12</v>
      </c>
      <c r="E965" s="11">
        <f>IFERROR(__xludf.DUMMYFUNCTION("""COMPUTED_VALUE"""),2010.0)</f>
        <v>2010</v>
      </c>
      <c r="F965" s="12">
        <f t="shared" si="1"/>
        <v>40371</v>
      </c>
      <c r="G965" s="3" t="s">
        <v>1674</v>
      </c>
      <c r="H965" s="3">
        <f>IFERROR(__xludf.DUMMYFUNCTION("split(G965,""/"")"),7.0)</f>
        <v>7</v>
      </c>
      <c r="I965" s="3">
        <f>IFERROR(__xludf.DUMMYFUNCTION("""COMPUTED_VALUE"""),14.0)</f>
        <v>14</v>
      </c>
      <c r="J965" s="3">
        <f>IFERROR(__xludf.DUMMYFUNCTION("""COMPUTED_VALUE"""),2010.0)</f>
        <v>2010</v>
      </c>
      <c r="K965" s="12">
        <f t="shared" si="2"/>
        <v>40373</v>
      </c>
      <c r="L965" s="3" t="s">
        <v>827</v>
      </c>
      <c r="M965" s="3" t="s">
        <v>428</v>
      </c>
      <c r="N965" s="3">
        <v>8875.0</v>
      </c>
      <c r="O965" s="3" t="s">
        <v>815</v>
      </c>
      <c r="P965" s="10">
        <v>7151.0</v>
      </c>
      <c r="Q965" s="13">
        <v>421.89</v>
      </c>
      <c r="R965" s="13">
        <v>364.69</v>
      </c>
      <c r="S965" s="13">
        <f t="shared" si="3"/>
        <v>3016935.39</v>
      </c>
      <c r="T965" s="13">
        <f t="shared" si="4"/>
        <v>2607898.19</v>
      </c>
      <c r="U965" s="13">
        <f t="shared" si="5"/>
        <v>409037.2</v>
      </c>
      <c r="V965" s="3" t="str">
        <f>VLOOKUP(N965,products!A:B,2,0)</f>
        <v>Meat</v>
      </c>
      <c r="W965" s="3" t="s">
        <v>28</v>
      </c>
      <c r="X965" s="3" t="s">
        <v>79</v>
      </c>
      <c r="Y965" s="14">
        <f t="shared" si="10"/>
        <v>0.1355803646</v>
      </c>
      <c r="Z965" s="3">
        <f t="shared" si="7"/>
        <v>2</v>
      </c>
      <c r="AA965" s="15">
        <f t="shared" si="8"/>
        <v>2</v>
      </c>
    </row>
    <row r="966" ht="15.75" customHeight="1">
      <c r="A966" s="3">
        <v>7.32703387E8</v>
      </c>
      <c r="B966" s="9">
        <v>41883.0</v>
      </c>
      <c r="C966" s="3">
        <f>IFERROR(__xludf.DUMMYFUNCTION("split(B966,""/"")"),1.0)</f>
        <v>1</v>
      </c>
      <c r="D966" s="10">
        <f>IFERROR(__xludf.DUMMYFUNCTION("""COMPUTED_VALUE"""),9.0)</f>
        <v>9</v>
      </c>
      <c r="E966" s="11">
        <f>IFERROR(__xludf.DUMMYFUNCTION("""COMPUTED_VALUE"""),2014.0)</f>
        <v>2014</v>
      </c>
      <c r="F966" s="12">
        <f t="shared" si="1"/>
        <v>41648</v>
      </c>
      <c r="G966" s="3" t="s">
        <v>927</v>
      </c>
      <c r="H966" s="3">
        <f>IFERROR(__xludf.DUMMYFUNCTION("split(G966,""/"")"),1.0)</f>
        <v>1</v>
      </c>
      <c r="I966" s="3">
        <f>IFERROR(__xludf.DUMMYFUNCTION("""COMPUTED_VALUE"""),28.0)</f>
        <v>28</v>
      </c>
      <c r="J966" s="3">
        <f>IFERROR(__xludf.DUMMYFUNCTION("""COMPUTED_VALUE"""),2014.0)</f>
        <v>2014</v>
      </c>
      <c r="K966" s="12">
        <f t="shared" si="2"/>
        <v>41667</v>
      </c>
      <c r="L966" s="3" t="s">
        <v>827</v>
      </c>
      <c r="M966" s="3" t="s">
        <v>431</v>
      </c>
      <c r="N966" s="3">
        <v>1270.0</v>
      </c>
      <c r="O966" s="3" t="s">
        <v>815</v>
      </c>
      <c r="P966" s="10">
        <v>2069.0</v>
      </c>
      <c r="Q966" s="13">
        <v>47.45</v>
      </c>
      <c r="R966" s="13">
        <v>31.79</v>
      </c>
      <c r="S966" s="13">
        <f t="shared" si="3"/>
        <v>98174.05</v>
      </c>
      <c r="T966" s="13">
        <f t="shared" si="4"/>
        <v>65773.51</v>
      </c>
      <c r="U966" s="13">
        <f t="shared" si="5"/>
        <v>32400.54</v>
      </c>
      <c r="V966" s="3" t="str">
        <f>VLOOKUP(N966,products!A:B,2,0)</f>
        <v>Beverages</v>
      </c>
      <c r="W966" s="3" t="s">
        <v>28</v>
      </c>
      <c r="X966" s="3" t="s">
        <v>29</v>
      </c>
      <c r="Y966" s="14">
        <f t="shared" si="10"/>
        <v>0.3300316122</v>
      </c>
      <c r="Z966" s="3">
        <f t="shared" si="7"/>
        <v>19</v>
      </c>
      <c r="AA966" s="15">
        <f t="shared" si="8"/>
        <v>5</v>
      </c>
    </row>
    <row r="967" ht="15.75" customHeight="1">
      <c r="A967" s="3">
        <v>7.33636796E8</v>
      </c>
      <c r="B967" s="3" t="s">
        <v>1675</v>
      </c>
      <c r="C967" s="3">
        <f>IFERROR(__xludf.DUMMYFUNCTION("split(B967,""/"")"),8.0)</f>
        <v>8</v>
      </c>
      <c r="D967" s="10">
        <f>IFERROR(__xludf.DUMMYFUNCTION("""COMPUTED_VALUE"""),20.0)</f>
        <v>20</v>
      </c>
      <c r="E967" s="11">
        <f>IFERROR(__xludf.DUMMYFUNCTION("""COMPUTED_VALUE"""),2012.0)</f>
        <v>2012</v>
      </c>
      <c r="F967" s="12">
        <f t="shared" si="1"/>
        <v>41141</v>
      </c>
      <c r="G967" s="3" t="s">
        <v>1554</v>
      </c>
      <c r="H967" s="3">
        <f>IFERROR(__xludf.DUMMYFUNCTION("split(G967,""/"")"),9.0)</f>
        <v>9</v>
      </c>
      <c r="I967" s="3">
        <f>IFERROR(__xludf.DUMMYFUNCTION("""COMPUTED_VALUE"""),15.0)</f>
        <v>15</v>
      </c>
      <c r="J967" s="3">
        <f>IFERROR(__xludf.DUMMYFUNCTION("""COMPUTED_VALUE"""),2012.0)</f>
        <v>2012</v>
      </c>
      <c r="K967" s="12">
        <f t="shared" si="2"/>
        <v>41167</v>
      </c>
      <c r="L967" s="3" t="s">
        <v>814</v>
      </c>
      <c r="M967" s="3" t="s">
        <v>740</v>
      </c>
      <c r="N967" s="3">
        <v>8875.0</v>
      </c>
      <c r="O967" s="3" t="s">
        <v>815</v>
      </c>
      <c r="P967" s="10">
        <v>8286.0</v>
      </c>
      <c r="Q967" s="13">
        <v>421.89</v>
      </c>
      <c r="R967" s="13">
        <v>364.69</v>
      </c>
      <c r="S967" s="13">
        <f t="shared" si="3"/>
        <v>3495780.54</v>
      </c>
      <c r="T967" s="13">
        <f t="shared" si="4"/>
        <v>3021821.34</v>
      </c>
      <c r="U967" s="13">
        <f t="shared" si="5"/>
        <v>473959.2</v>
      </c>
      <c r="V967" s="3" t="str">
        <f>VLOOKUP(N967,products!A:B,2,0)</f>
        <v>Meat</v>
      </c>
      <c r="W967" s="3" t="s">
        <v>28</v>
      </c>
      <c r="X967" s="3" t="s">
        <v>98</v>
      </c>
      <c r="Y967" s="14">
        <f t="shared" si="10"/>
        <v>0.1355803646</v>
      </c>
      <c r="Z967" s="3">
        <f t="shared" si="7"/>
        <v>26</v>
      </c>
      <c r="AA967" s="15">
        <f t="shared" si="8"/>
        <v>2</v>
      </c>
    </row>
    <row r="968" ht="15.75" customHeight="1">
      <c r="A968" s="3">
        <v>7.33648812E8</v>
      </c>
      <c r="B968" s="3" t="s">
        <v>1676</v>
      </c>
      <c r="C968" s="3">
        <f>IFERROR(__xludf.DUMMYFUNCTION("split(B968,""/"")"),12.0)</f>
        <v>12</v>
      </c>
      <c r="D968" s="10">
        <f>IFERROR(__xludf.DUMMYFUNCTION("""COMPUTED_VALUE"""),18.0)</f>
        <v>18</v>
      </c>
      <c r="E968" s="11">
        <f>IFERROR(__xludf.DUMMYFUNCTION("""COMPUTED_VALUE"""),2012.0)</f>
        <v>2012</v>
      </c>
      <c r="F968" s="12">
        <f t="shared" si="1"/>
        <v>41261</v>
      </c>
      <c r="G968" s="3" t="s">
        <v>970</v>
      </c>
      <c r="H968" s="3">
        <f>IFERROR(__xludf.DUMMYFUNCTION("split(G968,""/"")"),12.0)</f>
        <v>12</v>
      </c>
      <c r="I968" s="3">
        <f>IFERROR(__xludf.DUMMYFUNCTION("""COMPUTED_VALUE"""),24.0)</f>
        <v>24</v>
      </c>
      <c r="J968" s="3">
        <f>IFERROR(__xludf.DUMMYFUNCTION("""COMPUTED_VALUE"""),2012.0)</f>
        <v>2012</v>
      </c>
      <c r="K968" s="12">
        <f t="shared" si="2"/>
        <v>41267</v>
      </c>
      <c r="L968" s="3" t="s">
        <v>814</v>
      </c>
      <c r="M968" s="3" t="s">
        <v>434</v>
      </c>
      <c r="N968" s="3">
        <v>2103.0</v>
      </c>
      <c r="O968" s="3" t="s">
        <v>815</v>
      </c>
      <c r="P968" s="10">
        <v>1842.0</v>
      </c>
      <c r="Q968" s="13">
        <v>205.7</v>
      </c>
      <c r="R968" s="13">
        <v>117.11</v>
      </c>
      <c r="S968" s="13">
        <f t="shared" si="3"/>
        <v>378899.4</v>
      </c>
      <c r="T968" s="13">
        <f t="shared" si="4"/>
        <v>215716.62</v>
      </c>
      <c r="U968" s="13">
        <f t="shared" si="5"/>
        <v>163182.78</v>
      </c>
      <c r="V968" s="3" t="str">
        <f>VLOOKUP(N968,products!A:B,2,0)</f>
        <v>Cereal</v>
      </c>
      <c r="W968" s="3" t="s">
        <v>28</v>
      </c>
      <c r="X968" s="3" t="s">
        <v>79</v>
      </c>
      <c r="Y968" s="14">
        <f t="shared" si="10"/>
        <v>0.4306757414</v>
      </c>
      <c r="Z968" s="3">
        <f t="shared" si="7"/>
        <v>6</v>
      </c>
      <c r="AA968" s="15">
        <f t="shared" si="8"/>
        <v>3</v>
      </c>
    </row>
    <row r="969" ht="15.75" customHeight="1">
      <c r="A969" s="3">
        <v>7.34189975E8</v>
      </c>
      <c r="B969" s="9">
        <v>41923.0</v>
      </c>
      <c r="C969" s="3">
        <f>IFERROR(__xludf.DUMMYFUNCTION("split(B969,""/"")"),11.0)</f>
        <v>11</v>
      </c>
      <c r="D969" s="10">
        <f>IFERROR(__xludf.DUMMYFUNCTION("""COMPUTED_VALUE"""),10.0)</f>
        <v>10</v>
      </c>
      <c r="E969" s="11">
        <f>IFERROR(__xludf.DUMMYFUNCTION("""COMPUTED_VALUE"""),2014.0)</f>
        <v>2014</v>
      </c>
      <c r="F969" s="12">
        <f t="shared" si="1"/>
        <v>41953</v>
      </c>
      <c r="G969" s="3" t="s">
        <v>1241</v>
      </c>
      <c r="H969" s="3">
        <f>IFERROR(__xludf.DUMMYFUNCTION("split(G969,""/"")"),11.0)</f>
        <v>11</v>
      </c>
      <c r="I969" s="3">
        <f>IFERROR(__xludf.DUMMYFUNCTION("""COMPUTED_VALUE"""),29.0)</f>
        <v>29</v>
      </c>
      <c r="J969" s="3">
        <f>IFERROR(__xludf.DUMMYFUNCTION("""COMPUTED_VALUE"""),2014.0)</f>
        <v>2014</v>
      </c>
      <c r="K969" s="12">
        <f t="shared" si="2"/>
        <v>41972</v>
      </c>
      <c r="L969" s="3" t="s">
        <v>827</v>
      </c>
      <c r="M969" s="3" t="s">
        <v>291</v>
      </c>
      <c r="N969" s="3">
        <v>2103.0</v>
      </c>
      <c r="O969" s="3" t="s">
        <v>815</v>
      </c>
      <c r="P969" s="10">
        <v>1984.0</v>
      </c>
      <c r="Q969" s="13">
        <v>205.7</v>
      </c>
      <c r="R969" s="13">
        <v>117.11</v>
      </c>
      <c r="S969" s="13">
        <f t="shared" si="3"/>
        <v>408108.8</v>
      </c>
      <c r="T969" s="13">
        <f t="shared" si="4"/>
        <v>232346.24</v>
      </c>
      <c r="U969" s="13">
        <f t="shared" si="5"/>
        <v>175762.56</v>
      </c>
      <c r="V969" s="3" t="str">
        <f>VLOOKUP(N969,products!A:B,2,0)</f>
        <v>Cereal</v>
      </c>
      <c r="W969" s="3" t="s">
        <v>28</v>
      </c>
      <c r="X969" s="3" t="s">
        <v>79</v>
      </c>
      <c r="Y969" s="14">
        <f t="shared" si="10"/>
        <v>0.4306757414</v>
      </c>
      <c r="Z969" s="3">
        <f t="shared" si="7"/>
        <v>19</v>
      </c>
      <c r="AA969" s="15">
        <f t="shared" si="8"/>
        <v>2</v>
      </c>
    </row>
    <row r="970" ht="15.75" customHeight="1">
      <c r="A970" s="3">
        <v>7.34318292E8</v>
      </c>
      <c r="B970" s="3" t="s">
        <v>1667</v>
      </c>
      <c r="C970" s="3">
        <f>IFERROR(__xludf.DUMMYFUNCTION("split(B970,""/"")"),1.0)</f>
        <v>1</v>
      </c>
      <c r="D970" s="10">
        <f>IFERROR(__xludf.DUMMYFUNCTION("""COMPUTED_VALUE"""),21.0)</f>
        <v>21</v>
      </c>
      <c r="E970" s="11">
        <f>IFERROR(__xludf.DUMMYFUNCTION("""COMPUTED_VALUE"""),2014.0)</f>
        <v>2014</v>
      </c>
      <c r="F970" s="12">
        <f t="shared" si="1"/>
        <v>41660</v>
      </c>
      <c r="G970" s="9">
        <v>41732.0</v>
      </c>
      <c r="H970" s="3">
        <f>IFERROR(__xludf.DUMMYFUNCTION("split(G970,""/"")"),3.0)</f>
        <v>3</v>
      </c>
      <c r="I970" s="3">
        <f>IFERROR(__xludf.DUMMYFUNCTION("""COMPUTED_VALUE"""),4.0)</f>
        <v>4</v>
      </c>
      <c r="J970" s="3">
        <f>IFERROR(__xludf.DUMMYFUNCTION("""COMPUTED_VALUE"""),2014.0)</f>
        <v>2014</v>
      </c>
      <c r="K970" s="12">
        <f t="shared" si="2"/>
        <v>41702</v>
      </c>
      <c r="L970" s="3" t="s">
        <v>814</v>
      </c>
      <c r="M970" s="3" t="s">
        <v>578</v>
      </c>
      <c r="N970" s="3">
        <v>8681.0</v>
      </c>
      <c r="O970" s="3" t="s">
        <v>815</v>
      </c>
      <c r="P970" s="10">
        <v>9956.0</v>
      </c>
      <c r="Q970" s="13">
        <v>651.21</v>
      </c>
      <c r="R970" s="13">
        <v>524.96</v>
      </c>
      <c r="S970" s="13">
        <f t="shared" si="3"/>
        <v>6483446.76</v>
      </c>
      <c r="T970" s="13">
        <f t="shared" si="4"/>
        <v>5226501.76</v>
      </c>
      <c r="U970" s="13">
        <f t="shared" si="5"/>
        <v>1256945</v>
      </c>
      <c r="V970" s="3" t="str">
        <f>VLOOKUP(N970,products!A:B,2,0)</f>
        <v>Office Supplies</v>
      </c>
      <c r="W970" s="3" t="s">
        <v>28</v>
      </c>
      <c r="X970" s="3" t="s">
        <v>33</v>
      </c>
      <c r="Y970" s="14">
        <f t="shared" si="10"/>
        <v>0.193869873</v>
      </c>
      <c r="Z970" s="3">
        <f t="shared" si="7"/>
        <v>42</v>
      </c>
      <c r="AA970" s="15">
        <f t="shared" si="8"/>
        <v>3</v>
      </c>
    </row>
    <row r="971" ht="15.75" customHeight="1">
      <c r="A971" s="3">
        <v>7.35445678E8</v>
      </c>
      <c r="B971" s="9">
        <v>40670.0</v>
      </c>
      <c r="C971" s="3">
        <f>IFERROR(__xludf.DUMMYFUNCTION("split(B971,""/"")"),7.0)</f>
        <v>7</v>
      </c>
      <c r="D971" s="10">
        <f>IFERROR(__xludf.DUMMYFUNCTION("""COMPUTED_VALUE"""),5.0)</f>
        <v>5</v>
      </c>
      <c r="E971" s="11">
        <f>IFERROR(__xludf.DUMMYFUNCTION("""COMPUTED_VALUE"""),2011.0)</f>
        <v>2011</v>
      </c>
      <c r="F971" s="12">
        <f t="shared" si="1"/>
        <v>40729</v>
      </c>
      <c r="G971" s="3" t="s">
        <v>1237</v>
      </c>
      <c r="H971" s="3">
        <f>IFERROR(__xludf.DUMMYFUNCTION("split(G971,""/"")"),7.0)</f>
        <v>7</v>
      </c>
      <c r="I971" s="3">
        <f>IFERROR(__xludf.DUMMYFUNCTION("""COMPUTED_VALUE"""),22.0)</f>
        <v>22</v>
      </c>
      <c r="J971" s="3">
        <f>IFERROR(__xludf.DUMMYFUNCTION("""COMPUTED_VALUE"""),2011.0)</f>
        <v>2011</v>
      </c>
      <c r="K971" s="12">
        <f t="shared" si="2"/>
        <v>40746</v>
      </c>
      <c r="L971" s="3" t="s">
        <v>827</v>
      </c>
      <c r="M971" s="3" t="s">
        <v>575</v>
      </c>
      <c r="N971" s="3">
        <v>1270.0</v>
      </c>
      <c r="O971" s="3" t="s">
        <v>818</v>
      </c>
      <c r="P971" s="10">
        <v>3574.0</v>
      </c>
      <c r="Q971" s="13">
        <v>47.45</v>
      </c>
      <c r="R971" s="13">
        <v>31.79</v>
      </c>
      <c r="S971" s="13">
        <f t="shared" si="3"/>
        <v>169586.3</v>
      </c>
      <c r="T971" s="13">
        <f t="shared" si="4"/>
        <v>113617.46</v>
      </c>
      <c r="U971" s="13">
        <f t="shared" si="5"/>
        <v>55968.84</v>
      </c>
      <c r="V971" s="3" t="str">
        <f>VLOOKUP(N971,products!A:B,2,0)</f>
        <v>Beverages</v>
      </c>
      <c r="W971" s="3" t="s">
        <v>28</v>
      </c>
      <c r="X971" s="3" t="s">
        <v>98</v>
      </c>
      <c r="Y971" s="14">
        <f t="shared" si="10"/>
        <v>0.3300316122</v>
      </c>
      <c r="Z971" s="3">
        <f t="shared" si="7"/>
        <v>17</v>
      </c>
      <c r="AA971" s="15">
        <f t="shared" si="8"/>
        <v>3</v>
      </c>
    </row>
    <row r="972" ht="15.75" customHeight="1">
      <c r="A972" s="3">
        <v>7.36240041E8</v>
      </c>
      <c r="B972" s="9">
        <v>43041.0</v>
      </c>
      <c r="C972" s="3">
        <f>IFERROR(__xludf.DUMMYFUNCTION("split(B972,""/"")"),2.0)</f>
        <v>2</v>
      </c>
      <c r="D972" s="10">
        <f>IFERROR(__xludf.DUMMYFUNCTION("""COMPUTED_VALUE"""),11.0)</f>
        <v>11</v>
      </c>
      <c r="E972" s="11">
        <f>IFERROR(__xludf.DUMMYFUNCTION("""COMPUTED_VALUE"""),2017.0)</f>
        <v>2017</v>
      </c>
      <c r="F972" s="12">
        <f t="shared" si="1"/>
        <v>42777</v>
      </c>
      <c r="G972" s="3" t="s">
        <v>1141</v>
      </c>
      <c r="H972" s="3">
        <f>IFERROR(__xludf.DUMMYFUNCTION("split(G972,""/"")"),2.0)</f>
        <v>2</v>
      </c>
      <c r="I972" s="3">
        <f>IFERROR(__xludf.DUMMYFUNCTION("""COMPUTED_VALUE"""),20.0)</f>
        <v>20</v>
      </c>
      <c r="J972" s="3">
        <f>IFERROR(__xludf.DUMMYFUNCTION("""COMPUTED_VALUE"""),2017.0)</f>
        <v>2017</v>
      </c>
      <c r="K972" s="12">
        <f t="shared" si="2"/>
        <v>42786</v>
      </c>
      <c r="L972" s="3" t="s">
        <v>825</v>
      </c>
      <c r="M972" s="3" t="s">
        <v>653</v>
      </c>
      <c r="N972" s="3">
        <v>7940.0</v>
      </c>
      <c r="O972" s="3" t="s">
        <v>818</v>
      </c>
      <c r="P972" s="10">
        <v>8644.0</v>
      </c>
      <c r="Q972" s="13">
        <v>668.27</v>
      </c>
      <c r="R972" s="13">
        <v>502.54</v>
      </c>
      <c r="S972" s="13">
        <f t="shared" si="3"/>
        <v>5776525.88</v>
      </c>
      <c r="T972" s="13">
        <f t="shared" si="4"/>
        <v>4343955.76</v>
      </c>
      <c r="U972" s="13">
        <f t="shared" si="5"/>
        <v>1432570.12</v>
      </c>
      <c r="V972" s="3" t="str">
        <f>VLOOKUP(N972,products!A:B,2,0)</f>
        <v>Household</v>
      </c>
      <c r="W972" s="3" t="s">
        <v>28</v>
      </c>
      <c r="X972" s="3" t="s">
        <v>33</v>
      </c>
      <c r="Y972" s="14">
        <f t="shared" si="10"/>
        <v>0.2479985635</v>
      </c>
      <c r="Z972" s="3">
        <f t="shared" si="7"/>
        <v>9</v>
      </c>
      <c r="AA972" s="15">
        <f t="shared" si="8"/>
        <v>7</v>
      </c>
    </row>
    <row r="973" ht="15.75" customHeight="1">
      <c r="A973" s="3">
        <v>7.37095344E8</v>
      </c>
      <c r="B973" s="3" t="s">
        <v>1677</v>
      </c>
      <c r="C973" s="3">
        <f>IFERROR(__xludf.DUMMYFUNCTION("split(B973,""/"")"),7.0)</f>
        <v>7</v>
      </c>
      <c r="D973" s="10">
        <f>IFERROR(__xludf.DUMMYFUNCTION("""COMPUTED_VALUE"""),31.0)</f>
        <v>31</v>
      </c>
      <c r="E973" s="11">
        <f>IFERROR(__xludf.DUMMYFUNCTION("""COMPUTED_VALUE"""),2013.0)</f>
        <v>2013</v>
      </c>
      <c r="F973" s="12">
        <f t="shared" si="1"/>
        <v>41486</v>
      </c>
      <c r="G973" s="3" t="s">
        <v>1678</v>
      </c>
      <c r="H973" s="3">
        <f>IFERROR(__xludf.DUMMYFUNCTION("split(G973,""/"")"),9.0)</f>
        <v>9</v>
      </c>
      <c r="I973" s="3">
        <f>IFERROR(__xludf.DUMMYFUNCTION("""COMPUTED_VALUE"""),13.0)</f>
        <v>13</v>
      </c>
      <c r="J973" s="3">
        <f>IFERROR(__xludf.DUMMYFUNCTION("""COMPUTED_VALUE"""),2013.0)</f>
        <v>2013</v>
      </c>
      <c r="K973" s="12">
        <f t="shared" si="2"/>
        <v>41530</v>
      </c>
      <c r="L973" s="3" t="s">
        <v>825</v>
      </c>
      <c r="M973" s="3" t="s">
        <v>67</v>
      </c>
      <c r="N973" s="3">
        <v>8969.0</v>
      </c>
      <c r="O973" s="3" t="s">
        <v>818</v>
      </c>
      <c r="P973" s="10">
        <v>1747.0</v>
      </c>
      <c r="Q973" s="13">
        <v>152.58</v>
      </c>
      <c r="R973" s="13">
        <v>97.44</v>
      </c>
      <c r="S973" s="13">
        <f t="shared" si="3"/>
        <v>266557.26</v>
      </c>
      <c r="T973" s="13">
        <f t="shared" si="4"/>
        <v>170227.68</v>
      </c>
      <c r="U973" s="13">
        <f t="shared" si="5"/>
        <v>96329.58</v>
      </c>
      <c r="V973" s="3" t="str">
        <f>VLOOKUP(N973,products!A:B,2,0)</f>
        <v>Snacks</v>
      </c>
      <c r="W973" s="3" t="s">
        <v>23</v>
      </c>
      <c r="X973" s="3" t="s">
        <v>68</v>
      </c>
      <c r="Y973" s="14">
        <f t="shared" si="10"/>
        <v>0.3613841919</v>
      </c>
      <c r="Z973" s="3">
        <f t="shared" si="7"/>
        <v>44</v>
      </c>
      <c r="AA973" s="15">
        <f t="shared" si="8"/>
        <v>4</v>
      </c>
    </row>
    <row r="974" ht="15.75" customHeight="1">
      <c r="A974" s="3">
        <v>7.3773607E8</v>
      </c>
      <c r="B974" s="3" t="s">
        <v>1679</v>
      </c>
      <c r="C974" s="3">
        <f>IFERROR(__xludf.DUMMYFUNCTION("split(B974,""/"")"),10.0)</f>
        <v>10</v>
      </c>
      <c r="D974" s="10">
        <f>IFERROR(__xludf.DUMMYFUNCTION("""COMPUTED_VALUE"""),19.0)</f>
        <v>19</v>
      </c>
      <c r="E974" s="11">
        <f>IFERROR(__xludf.DUMMYFUNCTION("""COMPUTED_VALUE"""),2012.0)</f>
        <v>2012</v>
      </c>
      <c r="F974" s="12">
        <f t="shared" si="1"/>
        <v>41201</v>
      </c>
      <c r="G974" s="9">
        <v>40979.0</v>
      </c>
      <c r="H974" s="3">
        <f>IFERROR(__xludf.DUMMYFUNCTION("split(G974,""/"")"),11.0)</f>
        <v>11</v>
      </c>
      <c r="I974" s="3">
        <f>IFERROR(__xludf.DUMMYFUNCTION("""COMPUTED_VALUE"""),3.0)</f>
        <v>3</v>
      </c>
      <c r="J974" s="3">
        <f>IFERROR(__xludf.DUMMYFUNCTION("""COMPUTED_VALUE"""),2012.0)</f>
        <v>2012</v>
      </c>
      <c r="K974" s="12">
        <f t="shared" si="2"/>
        <v>41216</v>
      </c>
      <c r="L974" s="3" t="s">
        <v>825</v>
      </c>
      <c r="M974" s="3" t="s">
        <v>686</v>
      </c>
      <c r="N974" s="3">
        <v>2103.0</v>
      </c>
      <c r="O974" s="3" t="s">
        <v>818</v>
      </c>
      <c r="P974" s="10">
        <v>1352.0</v>
      </c>
      <c r="Q974" s="13">
        <v>205.7</v>
      </c>
      <c r="R974" s="13">
        <v>117.11</v>
      </c>
      <c r="S974" s="13">
        <f t="shared" si="3"/>
        <v>278106.4</v>
      </c>
      <c r="T974" s="13">
        <f t="shared" si="4"/>
        <v>158332.72</v>
      </c>
      <c r="U974" s="13">
        <f t="shared" si="5"/>
        <v>119773.68</v>
      </c>
      <c r="V974" s="3" t="str">
        <f>VLOOKUP(N974,products!A:B,2,0)</f>
        <v>Cereal</v>
      </c>
      <c r="W974" s="3" t="s">
        <v>28</v>
      </c>
      <c r="X974" s="3" t="s">
        <v>29</v>
      </c>
      <c r="Y974" s="14">
        <f t="shared" si="10"/>
        <v>0.4306757414</v>
      </c>
      <c r="Z974" s="3">
        <f t="shared" si="7"/>
        <v>15</v>
      </c>
      <c r="AA974" s="15">
        <f t="shared" si="8"/>
        <v>6</v>
      </c>
    </row>
    <row r="975" ht="15.75" customHeight="1">
      <c r="A975" s="3">
        <v>7.40300261E8</v>
      </c>
      <c r="B975" s="3" t="s">
        <v>1680</v>
      </c>
      <c r="C975" s="3">
        <f>IFERROR(__xludf.DUMMYFUNCTION("split(B975,""/"")"),3.0)</f>
        <v>3</v>
      </c>
      <c r="D975" s="10">
        <f>IFERROR(__xludf.DUMMYFUNCTION("""COMPUTED_VALUE"""),17.0)</f>
        <v>17</v>
      </c>
      <c r="E975" s="11">
        <f>IFERROR(__xludf.DUMMYFUNCTION("""COMPUTED_VALUE"""),2016.0)</f>
        <v>2016</v>
      </c>
      <c r="F975" s="12">
        <f t="shared" si="1"/>
        <v>42446</v>
      </c>
      <c r="G975" s="3" t="s">
        <v>1681</v>
      </c>
      <c r="H975" s="3">
        <f>IFERROR(__xludf.DUMMYFUNCTION("split(G975,""/"")"),4.0)</f>
        <v>4</v>
      </c>
      <c r="I975" s="3">
        <f>IFERROR(__xludf.DUMMYFUNCTION("""COMPUTED_VALUE"""),23.0)</f>
        <v>23</v>
      </c>
      <c r="J975" s="3">
        <f>IFERROR(__xludf.DUMMYFUNCTION("""COMPUTED_VALUE"""),2016.0)</f>
        <v>2016</v>
      </c>
      <c r="K975" s="12">
        <f t="shared" si="2"/>
        <v>42483</v>
      </c>
      <c r="L975" s="3" t="s">
        <v>814</v>
      </c>
      <c r="M975" s="3" t="s">
        <v>215</v>
      </c>
      <c r="N975" s="3">
        <v>7331.0</v>
      </c>
      <c r="O975" s="3" t="s">
        <v>815</v>
      </c>
      <c r="P975" s="10">
        <v>153.0</v>
      </c>
      <c r="Q975" s="13">
        <v>255.28</v>
      </c>
      <c r="R975" s="13">
        <v>159.42</v>
      </c>
      <c r="S975" s="13">
        <f t="shared" si="3"/>
        <v>39057.84</v>
      </c>
      <c r="T975" s="13">
        <f t="shared" si="4"/>
        <v>24391.26</v>
      </c>
      <c r="U975" s="13">
        <f t="shared" si="5"/>
        <v>14666.58</v>
      </c>
      <c r="V975" s="3" t="str">
        <f>VLOOKUP(N975,products!A:B,2,0)</f>
        <v>Baby Food</v>
      </c>
      <c r="W975" s="3" t="s">
        <v>23</v>
      </c>
      <c r="X975" s="3" t="s">
        <v>68</v>
      </c>
      <c r="Y975" s="14">
        <f t="shared" si="10"/>
        <v>0.3755092448</v>
      </c>
      <c r="Z975" s="3">
        <f t="shared" si="7"/>
        <v>37</v>
      </c>
      <c r="AA975" s="15">
        <f t="shared" si="8"/>
        <v>5</v>
      </c>
    </row>
    <row r="976" ht="15.75" customHeight="1">
      <c r="A976" s="3">
        <v>7.41690289E8</v>
      </c>
      <c r="B976" s="3" t="s">
        <v>1095</v>
      </c>
      <c r="C976" s="3">
        <f>IFERROR(__xludf.DUMMYFUNCTION("split(B976,""/"")"),3.0)</f>
        <v>3</v>
      </c>
      <c r="D976" s="10">
        <f>IFERROR(__xludf.DUMMYFUNCTION("""COMPUTED_VALUE"""),23.0)</f>
        <v>23</v>
      </c>
      <c r="E976" s="11">
        <f>IFERROR(__xludf.DUMMYFUNCTION("""COMPUTED_VALUE"""),2012.0)</f>
        <v>2012</v>
      </c>
      <c r="F976" s="12">
        <f t="shared" si="1"/>
        <v>40991</v>
      </c>
      <c r="G976" s="9">
        <v>41187.0</v>
      </c>
      <c r="H976" s="3">
        <f>IFERROR(__xludf.DUMMYFUNCTION("split(G976,""/"")"),5.0)</f>
        <v>5</v>
      </c>
      <c r="I976" s="3">
        <f>IFERROR(__xludf.DUMMYFUNCTION("""COMPUTED_VALUE"""),10.0)</f>
        <v>10</v>
      </c>
      <c r="J976" s="3">
        <f>IFERROR(__xludf.DUMMYFUNCTION("""COMPUTED_VALUE"""),2012.0)</f>
        <v>2012</v>
      </c>
      <c r="K976" s="12">
        <f t="shared" si="2"/>
        <v>41039</v>
      </c>
      <c r="L976" s="3" t="s">
        <v>817</v>
      </c>
      <c r="M976" s="3" t="s">
        <v>590</v>
      </c>
      <c r="N976" s="3">
        <v>8875.0</v>
      </c>
      <c r="O976" s="3" t="s">
        <v>818</v>
      </c>
      <c r="P976" s="10">
        <v>1494.0</v>
      </c>
      <c r="Q976" s="13">
        <v>421.89</v>
      </c>
      <c r="R976" s="13">
        <v>364.69</v>
      </c>
      <c r="S976" s="13">
        <f t="shared" si="3"/>
        <v>630303.66</v>
      </c>
      <c r="T976" s="13">
        <f t="shared" si="4"/>
        <v>544846.86</v>
      </c>
      <c r="U976" s="13">
        <f t="shared" si="5"/>
        <v>85456.8</v>
      </c>
      <c r="V976" s="3" t="str">
        <f>VLOOKUP(N976,products!A:B,2,0)</f>
        <v>Meat</v>
      </c>
      <c r="W976" s="3" t="s">
        <v>28</v>
      </c>
      <c r="X976" s="3" t="s">
        <v>98</v>
      </c>
      <c r="Y976" s="14">
        <f t="shared" si="10"/>
        <v>0.1355803646</v>
      </c>
      <c r="Z976" s="3">
        <f t="shared" si="7"/>
        <v>48</v>
      </c>
      <c r="AA976" s="15">
        <f t="shared" si="8"/>
        <v>6</v>
      </c>
    </row>
    <row r="977" ht="15.75" customHeight="1">
      <c r="A977" s="3">
        <v>7.41866242E8</v>
      </c>
      <c r="B977" s="3" t="s">
        <v>1682</v>
      </c>
      <c r="C977" s="3">
        <f>IFERROR(__xludf.DUMMYFUNCTION("split(B977,""/"")"),7.0)</f>
        <v>7</v>
      </c>
      <c r="D977" s="10">
        <f>IFERROR(__xludf.DUMMYFUNCTION("""COMPUTED_VALUE"""),28.0)</f>
        <v>28</v>
      </c>
      <c r="E977" s="11">
        <f>IFERROR(__xludf.DUMMYFUNCTION("""COMPUTED_VALUE"""),2010.0)</f>
        <v>2010</v>
      </c>
      <c r="F977" s="12">
        <f t="shared" si="1"/>
        <v>40387</v>
      </c>
      <c r="G977" s="3" t="s">
        <v>1683</v>
      </c>
      <c r="H977" s="3">
        <f>IFERROR(__xludf.DUMMYFUNCTION("split(G977,""/"")"),9.0)</f>
        <v>9</v>
      </c>
      <c r="I977" s="3">
        <f>IFERROR(__xludf.DUMMYFUNCTION("""COMPUTED_VALUE"""),13.0)</f>
        <v>13</v>
      </c>
      <c r="J977" s="3">
        <f>IFERROR(__xludf.DUMMYFUNCTION("""COMPUTED_VALUE"""),2010.0)</f>
        <v>2010</v>
      </c>
      <c r="K977" s="12">
        <f t="shared" si="2"/>
        <v>40434</v>
      </c>
      <c r="L977" s="3" t="s">
        <v>827</v>
      </c>
      <c r="M977" s="3" t="s">
        <v>740</v>
      </c>
      <c r="N977" s="3">
        <v>7940.0</v>
      </c>
      <c r="O977" s="3" t="s">
        <v>815</v>
      </c>
      <c r="P977" s="10">
        <v>3562.0</v>
      </c>
      <c r="Q977" s="13">
        <v>668.27</v>
      </c>
      <c r="R977" s="13">
        <v>502.54</v>
      </c>
      <c r="S977" s="13">
        <f t="shared" si="3"/>
        <v>2380377.74</v>
      </c>
      <c r="T977" s="13">
        <f t="shared" si="4"/>
        <v>1790047.48</v>
      </c>
      <c r="U977" s="13">
        <f t="shared" si="5"/>
        <v>590330.26</v>
      </c>
      <c r="V977" s="3" t="str">
        <f>VLOOKUP(N977,products!A:B,2,0)</f>
        <v>Household</v>
      </c>
      <c r="W977" s="3" t="s">
        <v>28</v>
      </c>
      <c r="X977" s="3" t="s">
        <v>98</v>
      </c>
      <c r="Y977" s="14">
        <f t="shared" si="10"/>
        <v>0.2479985635</v>
      </c>
      <c r="Z977" s="3">
        <f t="shared" si="7"/>
        <v>47</v>
      </c>
      <c r="AA977" s="15">
        <f t="shared" si="8"/>
        <v>4</v>
      </c>
    </row>
    <row r="978" ht="15.75" customHeight="1">
      <c r="A978" s="3">
        <v>7.41964948E8</v>
      </c>
      <c r="B978" s="3" t="s">
        <v>879</v>
      </c>
      <c r="C978" s="3">
        <f>IFERROR(__xludf.DUMMYFUNCTION("split(B978,""/"")"),2.0)</f>
        <v>2</v>
      </c>
      <c r="D978" s="10">
        <f>IFERROR(__xludf.DUMMYFUNCTION("""COMPUTED_VALUE"""),13.0)</f>
        <v>13</v>
      </c>
      <c r="E978" s="11">
        <f>IFERROR(__xludf.DUMMYFUNCTION("""COMPUTED_VALUE"""),2011.0)</f>
        <v>2011</v>
      </c>
      <c r="F978" s="12">
        <f t="shared" si="1"/>
        <v>40587</v>
      </c>
      <c r="G978" s="3" t="s">
        <v>1544</v>
      </c>
      <c r="H978" s="3">
        <f>IFERROR(__xludf.DUMMYFUNCTION("split(G978,""/"")"),2.0)</f>
        <v>2</v>
      </c>
      <c r="I978" s="3">
        <f>IFERROR(__xludf.DUMMYFUNCTION("""COMPUTED_VALUE"""),26.0)</f>
        <v>26</v>
      </c>
      <c r="J978" s="3">
        <f>IFERROR(__xludf.DUMMYFUNCTION("""COMPUTED_VALUE"""),2011.0)</f>
        <v>2011</v>
      </c>
      <c r="K978" s="12">
        <f t="shared" si="2"/>
        <v>40600</v>
      </c>
      <c r="L978" s="3" t="s">
        <v>817</v>
      </c>
      <c r="M978" s="3" t="s">
        <v>740</v>
      </c>
      <c r="N978" s="3">
        <v>2103.0</v>
      </c>
      <c r="O978" s="3" t="s">
        <v>818</v>
      </c>
      <c r="P978" s="10">
        <v>2771.0</v>
      </c>
      <c r="Q978" s="13">
        <v>205.7</v>
      </c>
      <c r="R978" s="13">
        <v>117.11</v>
      </c>
      <c r="S978" s="13">
        <f t="shared" si="3"/>
        <v>569994.7</v>
      </c>
      <c r="T978" s="13">
        <f t="shared" si="4"/>
        <v>324511.81</v>
      </c>
      <c r="U978" s="13">
        <f t="shared" si="5"/>
        <v>245482.89</v>
      </c>
      <c r="V978" s="3" t="str">
        <f>VLOOKUP(N978,products!A:B,2,0)</f>
        <v>Cereal</v>
      </c>
      <c r="W978" s="3" t="s">
        <v>28</v>
      </c>
      <c r="X978" s="3" t="s">
        <v>98</v>
      </c>
      <c r="Y978" s="14">
        <f t="shared" si="10"/>
        <v>0.4306757414</v>
      </c>
      <c r="Z978" s="3">
        <f t="shared" si="7"/>
        <v>13</v>
      </c>
      <c r="AA978" s="15">
        <f t="shared" si="8"/>
        <v>1</v>
      </c>
    </row>
    <row r="979" ht="15.75" customHeight="1">
      <c r="A979" s="3">
        <v>7.4210056E8</v>
      </c>
      <c r="B979" s="9">
        <v>42826.0</v>
      </c>
      <c r="C979" s="3">
        <f>IFERROR(__xludf.DUMMYFUNCTION("split(B979,""/"")"),1.0)</f>
        <v>1</v>
      </c>
      <c r="D979" s="10">
        <f>IFERROR(__xludf.DUMMYFUNCTION("""COMPUTED_VALUE"""),4.0)</f>
        <v>4</v>
      </c>
      <c r="E979" s="11">
        <f>IFERROR(__xludf.DUMMYFUNCTION("""COMPUTED_VALUE"""),2017.0)</f>
        <v>2017</v>
      </c>
      <c r="F979" s="12">
        <f t="shared" si="1"/>
        <v>42739</v>
      </c>
      <c r="G979" s="3" t="s">
        <v>1684</v>
      </c>
      <c r="H979" s="3">
        <f>IFERROR(__xludf.DUMMYFUNCTION("split(G979,""/"")"),1.0)</f>
        <v>1</v>
      </c>
      <c r="I979" s="3">
        <f>IFERROR(__xludf.DUMMYFUNCTION("""COMPUTED_VALUE"""),17.0)</f>
        <v>17</v>
      </c>
      <c r="J979" s="3">
        <f>IFERROR(__xludf.DUMMYFUNCTION("""COMPUTED_VALUE"""),2017.0)</f>
        <v>2017</v>
      </c>
      <c r="K979" s="12">
        <f t="shared" si="2"/>
        <v>42752</v>
      </c>
      <c r="L979" s="3" t="s">
        <v>817</v>
      </c>
      <c r="M979" s="3" t="s">
        <v>623</v>
      </c>
      <c r="N979" s="3">
        <v>8969.0</v>
      </c>
      <c r="O979" s="3" t="s">
        <v>818</v>
      </c>
      <c r="P979" s="10">
        <v>2902.0</v>
      </c>
      <c r="Q979" s="13">
        <v>152.58</v>
      </c>
      <c r="R979" s="13">
        <v>97.44</v>
      </c>
      <c r="S979" s="13">
        <f t="shared" si="3"/>
        <v>442787.16</v>
      </c>
      <c r="T979" s="13">
        <f t="shared" si="4"/>
        <v>282770.88</v>
      </c>
      <c r="U979" s="13">
        <f t="shared" si="5"/>
        <v>160016.28</v>
      </c>
      <c r="V979" s="3" t="str">
        <f>VLOOKUP(N979,products!A:B,2,0)</f>
        <v>Snacks</v>
      </c>
      <c r="W979" s="3" t="s">
        <v>28</v>
      </c>
      <c r="X979" s="3" t="s">
        <v>33</v>
      </c>
      <c r="Y979" s="14">
        <f t="shared" si="10"/>
        <v>0.3613841919</v>
      </c>
      <c r="Z979" s="3">
        <f t="shared" si="7"/>
        <v>13</v>
      </c>
      <c r="AA979" s="15">
        <f t="shared" si="8"/>
        <v>4</v>
      </c>
    </row>
    <row r="980" ht="15.75" customHeight="1">
      <c r="A980" s="3">
        <v>7.42569196E8</v>
      </c>
      <c r="B980" s="3" t="s">
        <v>1099</v>
      </c>
      <c r="C980" s="3">
        <f>IFERROR(__xludf.DUMMYFUNCTION("split(B980,""/"")"),9.0)</f>
        <v>9</v>
      </c>
      <c r="D980" s="10">
        <f>IFERROR(__xludf.DUMMYFUNCTION("""COMPUTED_VALUE"""),30.0)</f>
        <v>30</v>
      </c>
      <c r="E980" s="11">
        <f>IFERROR(__xludf.DUMMYFUNCTION("""COMPUTED_VALUE"""),2014.0)</f>
        <v>2014</v>
      </c>
      <c r="F980" s="12">
        <f t="shared" si="1"/>
        <v>41912</v>
      </c>
      <c r="G980" s="3" t="s">
        <v>1685</v>
      </c>
      <c r="H980" s="3">
        <f>IFERROR(__xludf.DUMMYFUNCTION("split(G980,""/"")"),11.0)</f>
        <v>11</v>
      </c>
      <c r="I980" s="3">
        <f>IFERROR(__xludf.DUMMYFUNCTION("""COMPUTED_VALUE"""),17.0)</f>
        <v>17</v>
      </c>
      <c r="J980" s="3">
        <f>IFERROR(__xludf.DUMMYFUNCTION("""COMPUTED_VALUE"""),2014.0)</f>
        <v>2014</v>
      </c>
      <c r="K980" s="12">
        <f t="shared" si="2"/>
        <v>41960</v>
      </c>
      <c r="L980" s="3" t="s">
        <v>814</v>
      </c>
      <c r="M980" s="3" t="s">
        <v>434</v>
      </c>
      <c r="N980" s="3">
        <v>5988.0</v>
      </c>
      <c r="O980" s="3" t="s">
        <v>815</v>
      </c>
      <c r="P980" s="10">
        <v>1581.0</v>
      </c>
      <c r="Q980" s="13">
        <v>154.06</v>
      </c>
      <c r="R980" s="13">
        <v>90.93</v>
      </c>
      <c r="S980" s="13">
        <f t="shared" si="3"/>
        <v>243568.86</v>
      </c>
      <c r="T980" s="13">
        <f t="shared" si="4"/>
        <v>143760.33</v>
      </c>
      <c r="U980" s="13">
        <f t="shared" si="5"/>
        <v>99808.53</v>
      </c>
      <c r="V980" s="3" t="str">
        <f>VLOOKUP(N980,products!A:B,2,0)</f>
        <v>Vegetables</v>
      </c>
      <c r="W980" s="3" t="s">
        <v>28</v>
      </c>
      <c r="X980" s="3" t="s">
        <v>79</v>
      </c>
      <c r="Y980" s="14">
        <f t="shared" si="10"/>
        <v>0.4097754122</v>
      </c>
      <c r="Z980" s="3">
        <f t="shared" si="7"/>
        <v>48</v>
      </c>
      <c r="AA980" s="15">
        <f t="shared" si="8"/>
        <v>3</v>
      </c>
    </row>
    <row r="981" ht="15.75" customHeight="1">
      <c r="A981" s="3">
        <v>7.42843854E8</v>
      </c>
      <c r="B981" s="3" t="s">
        <v>1686</v>
      </c>
      <c r="C981" s="3">
        <f>IFERROR(__xludf.DUMMYFUNCTION("split(B981,""/"")"),8.0)</f>
        <v>8</v>
      </c>
      <c r="D981" s="10">
        <f>IFERROR(__xludf.DUMMYFUNCTION("""COMPUTED_VALUE"""),22.0)</f>
        <v>22</v>
      </c>
      <c r="E981" s="11">
        <f>IFERROR(__xludf.DUMMYFUNCTION("""COMPUTED_VALUE"""),2013.0)</f>
        <v>2013</v>
      </c>
      <c r="F981" s="12">
        <f t="shared" si="1"/>
        <v>41508</v>
      </c>
      <c r="G981" s="9">
        <v>41373.0</v>
      </c>
      <c r="H981" s="3">
        <f>IFERROR(__xludf.DUMMYFUNCTION("split(G981,""/"")"),9.0)</f>
        <v>9</v>
      </c>
      <c r="I981" s="3">
        <f>IFERROR(__xludf.DUMMYFUNCTION("""COMPUTED_VALUE"""),4.0)</f>
        <v>4</v>
      </c>
      <c r="J981" s="3">
        <f>IFERROR(__xludf.DUMMYFUNCTION("""COMPUTED_VALUE"""),2013.0)</f>
        <v>2013</v>
      </c>
      <c r="K981" s="12">
        <f t="shared" si="2"/>
        <v>41521</v>
      </c>
      <c r="L981" s="3" t="s">
        <v>814</v>
      </c>
      <c r="M981" s="3" t="s">
        <v>575</v>
      </c>
      <c r="N981" s="3">
        <v>1270.0</v>
      </c>
      <c r="O981" s="3" t="s">
        <v>815</v>
      </c>
      <c r="P981" s="10">
        <v>2859.0</v>
      </c>
      <c r="Q981" s="13">
        <v>47.45</v>
      </c>
      <c r="R981" s="13">
        <v>31.79</v>
      </c>
      <c r="S981" s="13">
        <f t="shared" si="3"/>
        <v>135659.55</v>
      </c>
      <c r="T981" s="13">
        <f t="shared" si="4"/>
        <v>90887.61</v>
      </c>
      <c r="U981" s="13">
        <f t="shared" si="5"/>
        <v>44771.94</v>
      </c>
      <c r="V981" s="3" t="str">
        <f>VLOOKUP(N981,products!A:B,2,0)</f>
        <v>Beverages</v>
      </c>
      <c r="W981" s="3" t="s">
        <v>28</v>
      </c>
      <c r="X981" s="3" t="s">
        <v>98</v>
      </c>
      <c r="Y981" s="14">
        <f t="shared" si="10"/>
        <v>0.3300316122</v>
      </c>
      <c r="Z981" s="3">
        <f t="shared" si="7"/>
        <v>13</v>
      </c>
      <c r="AA981" s="15">
        <f t="shared" si="8"/>
        <v>5</v>
      </c>
    </row>
    <row r="982" ht="15.75" customHeight="1">
      <c r="A982" s="3">
        <v>7.43619334E8</v>
      </c>
      <c r="B982" s="3" t="s">
        <v>1534</v>
      </c>
      <c r="C982" s="3">
        <f>IFERROR(__xludf.DUMMYFUNCTION("split(B982,""/"")"),5.0)</f>
        <v>5</v>
      </c>
      <c r="D982" s="10">
        <f>IFERROR(__xludf.DUMMYFUNCTION("""COMPUTED_VALUE"""),27.0)</f>
        <v>27</v>
      </c>
      <c r="E982" s="11">
        <f>IFERROR(__xludf.DUMMYFUNCTION("""COMPUTED_VALUE"""),2014.0)</f>
        <v>2014</v>
      </c>
      <c r="F982" s="12">
        <f t="shared" si="1"/>
        <v>41786</v>
      </c>
      <c r="G982" s="9">
        <v>41889.0</v>
      </c>
      <c r="H982" s="3">
        <f>IFERROR(__xludf.DUMMYFUNCTION("split(G982,""/"")"),7.0)</f>
        <v>7</v>
      </c>
      <c r="I982" s="3">
        <f>IFERROR(__xludf.DUMMYFUNCTION("""COMPUTED_VALUE"""),9.0)</f>
        <v>9</v>
      </c>
      <c r="J982" s="3">
        <f>IFERROR(__xludf.DUMMYFUNCTION("""COMPUTED_VALUE"""),2014.0)</f>
        <v>2014</v>
      </c>
      <c r="K982" s="12">
        <f t="shared" si="2"/>
        <v>41829</v>
      </c>
      <c r="L982" s="3" t="s">
        <v>825</v>
      </c>
      <c r="M982" s="3" t="s">
        <v>346</v>
      </c>
      <c r="N982" s="3">
        <v>8293.0</v>
      </c>
      <c r="O982" s="3" t="s">
        <v>818</v>
      </c>
      <c r="P982" s="10">
        <v>2341.0</v>
      </c>
      <c r="Q982" s="13">
        <v>437.2</v>
      </c>
      <c r="R982" s="13">
        <v>263.33</v>
      </c>
      <c r="S982" s="13">
        <f t="shared" si="3"/>
        <v>1023485.2</v>
      </c>
      <c r="T982" s="13">
        <f t="shared" si="4"/>
        <v>616455.53</v>
      </c>
      <c r="U982" s="13">
        <f t="shared" si="5"/>
        <v>407029.67</v>
      </c>
      <c r="V982" s="3" t="str">
        <f>VLOOKUP(N982,products!A:B,2,0)</f>
        <v>Cosmetics</v>
      </c>
      <c r="W982" s="3" t="s">
        <v>28</v>
      </c>
      <c r="X982" s="3" t="s">
        <v>98</v>
      </c>
      <c r="Y982" s="14">
        <f t="shared" si="10"/>
        <v>0.3976898445</v>
      </c>
      <c r="Z982" s="3">
        <f t="shared" si="7"/>
        <v>43</v>
      </c>
      <c r="AA982" s="15">
        <f t="shared" si="8"/>
        <v>3</v>
      </c>
    </row>
    <row r="983" ht="15.75" customHeight="1">
      <c r="A983" s="3">
        <v>7.43769109E8</v>
      </c>
      <c r="B983" s="9">
        <v>42648.0</v>
      </c>
      <c r="C983" s="3">
        <f>IFERROR(__xludf.DUMMYFUNCTION("split(B983,""/"")"),5.0)</f>
        <v>5</v>
      </c>
      <c r="D983" s="10">
        <f>IFERROR(__xludf.DUMMYFUNCTION("""COMPUTED_VALUE"""),10.0)</f>
        <v>10</v>
      </c>
      <c r="E983" s="11">
        <f>IFERROR(__xludf.DUMMYFUNCTION("""COMPUTED_VALUE"""),2016.0)</f>
        <v>2016</v>
      </c>
      <c r="F983" s="12">
        <f t="shared" si="1"/>
        <v>42500</v>
      </c>
      <c r="G983" s="9">
        <v>42679.0</v>
      </c>
      <c r="H983" s="3">
        <f>IFERROR(__xludf.DUMMYFUNCTION("split(G983,""/"")"),5.0)</f>
        <v>5</v>
      </c>
      <c r="I983" s="3">
        <f>IFERROR(__xludf.DUMMYFUNCTION("""COMPUTED_VALUE"""),11.0)</f>
        <v>11</v>
      </c>
      <c r="J983" s="3">
        <f>IFERROR(__xludf.DUMMYFUNCTION("""COMPUTED_VALUE"""),2016.0)</f>
        <v>2016</v>
      </c>
      <c r="K983" s="12">
        <f t="shared" si="2"/>
        <v>42501</v>
      </c>
      <c r="L983" s="3" t="s">
        <v>814</v>
      </c>
      <c r="M983" s="3" t="s">
        <v>455</v>
      </c>
      <c r="N983" s="3">
        <v>5988.0</v>
      </c>
      <c r="O983" s="3" t="s">
        <v>815</v>
      </c>
      <c r="P983" s="10">
        <v>6662.0</v>
      </c>
      <c r="Q983" s="13">
        <v>154.06</v>
      </c>
      <c r="R983" s="13">
        <v>90.93</v>
      </c>
      <c r="S983" s="13">
        <f t="shared" si="3"/>
        <v>1026347.72</v>
      </c>
      <c r="T983" s="13">
        <f t="shared" si="4"/>
        <v>605775.66</v>
      </c>
      <c r="U983" s="13">
        <f t="shared" si="5"/>
        <v>420572.06</v>
      </c>
      <c r="V983" s="3" t="str">
        <f>VLOOKUP(N983,products!A:B,2,0)</f>
        <v>Vegetables</v>
      </c>
      <c r="W983" s="3" t="s">
        <v>28</v>
      </c>
      <c r="X983" s="3" t="s">
        <v>33</v>
      </c>
      <c r="Y983" s="14">
        <f t="shared" si="10"/>
        <v>0.4097754122</v>
      </c>
      <c r="Z983" s="3">
        <f t="shared" si="7"/>
        <v>1</v>
      </c>
      <c r="AA983" s="15">
        <f t="shared" si="8"/>
        <v>3</v>
      </c>
    </row>
    <row r="984" ht="15.75" customHeight="1">
      <c r="A984" s="3">
        <v>7.44583642E8</v>
      </c>
      <c r="B984" s="3" t="s">
        <v>1687</v>
      </c>
      <c r="C984" s="3">
        <f>IFERROR(__xludf.DUMMYFUNCTION("split(B984,""/"")"),8.0)</f>
        <v>8</v>
      </c>
      <c r="D984" s="10">
        <f>IFERROR(__xludf.DUMMYFUNCTION("""COMPUTED_VALUE"""),14.0)</f>
        <v>14</v>
      </c>
      <c r="E984" s="11">
        <f>IFERROR(__xludf.DUMMYFUNCTION("""COMPUTED_VALUE"""),2010.0)</f>
        <v>2010</v>
      </c>
      <c r="F984" s="12">
        <f t="shared" si="1"/>
        <v>40404</v>
      </c>
      <c r="G984" s="3" t="s">
        <v>1410</v>
      </c>
      <c r="H984" s="3">
        <f>IFERROR(__xludf.DUMMYFUNCTION("split(G984,""/"")"),9.0)</f>
        <v>9</v>
      </c>
      <c r="I984" s="3">
        <f>IFERROR(__xludf.DUMMYFUNCTION("""COMPUTED_VALUE"""),26.0)</f>
        <v>26</v>
      </c>
      <c r="J984" s="3">
        <f>IFERROR(__xludf.DUMMYFUNCTION("""COMPUTED_VALUE"""),2010.0)</f>
        <v>2010</v>
      </c>
      <c r="K984" s="12">
        <f t="shared" si="2"/>
        <v>40447</v>
      </c>
      <c r="L984" s="3" t="s">
        <v>827</v>
      </c>
      <c r="M984" s="3" t="s">
        <v>671</v>
      </c>
      <c r="N984" s="3">
        <v>2455.0</v>
      </c>
      <c r="O984" s="3" t="s">
        <v>815</v>
      </c>
      <c r="P984" s="10">
        <v>7701.0</v>
      </c>
      <c r="Q984" s="13">
        <v>109.28</v>
      </c>
      <c r="R984" s="13">
        <v>35.84</v>
      </c>
      <c r="S984" s="13">
        <f t="shared" si="3"/>
        <v>841565.28</v>
      </c>
      <c r="T984" s="13">
        <f t="shared" si="4"/>
        <v>276003.84</v>
      </c>
      <c r="U984" s="13">
        <f t="shared" si="5"/>
        <v>565561.44</v>
      </c>
      <c r="V984" s="3" t="str">
        <f>VLOOKUP(N984,products!A:B,2,0)</f>
        <v>Clothes</v>
      </c>
      <c r="W984" s="3" t="s">
        <v>28</v>
      </c>
      <c r="X984" s="3" t="s">
        <v>33</v>
      </c>
      <c r="Y984" s="14">
        <f t="shared" si="10"/>
        <v>0.6720351391</v>
      </c>
      <c r="Z984" s="3">
        <f t="shared" si="7"/>
        <v>43</v>
      </c>
      <c r="AA984" s="15">
        <f t="shared" si="8"/>
        <v>7</v>
      </c>
    </row>
    <row r="985" ht="15.75" customHeight="1">
      <c r="A985" s="3">
        <v>7.44683635E8</v>
      </c>
      <c r="B985" s="3" t="s">
        <v>1688</v>
      </c>
      <c r="C985" s="3">
        <f>IFERROR(__xludf.DUMMYFUNCTION("split(B985,""/"")"),2.0)</f>
        <v>2</v>
      </c>
      <c r="D985" s="10">
        <f>IFERROR(__xludf.DUMMYFUNCTION("""COMPUTED_VALUE"""),13.0)</f>
        <v>13</v>
      </c>
      <c r="E985" s="11">
        <f>IFERROR(__xludf.DUMMYFUNCTION("""COMPUTED_VALUE"""),2010.0)</f>
        <v>2010</v>
      </c>
      <c r="F985" s="12">
        <f t="shared" si="1"/>
        <v>40222</v>
      </c>
      <c r="G985" s="9">
        <v>40182.0</v>
      </c>
      <c r="H985" s="3">
        <f>IFERROR(__xludf.DUMMYFUNCTION("split(G985,""/"")"),4.0)</f>
        <v>4</v>
      </c>
      <c r="I985" s="3">
        <f>IFERROR(__xludf.DUMMYFUNCTION("""COMPUTED_VALUE"""),1.0)</f>
        <v>1</v>
      </c>
      <c r="J985" s="3">
        <f>IFERROR(__xludf.DUMMYFUNCTION("""COMPUTED_VALUE"""),2010.0)</f>
        <v>2010</v>
      </c>
      <c r="K985" s="12">
        <f t="shared" si="2"/>
        <v>40269</v>
      </c>
      <c r="L985" s="3" t="s">
        <v>825</v>
      </c>
      <c r="M985" s="3" t="s">
        <v>434</v>
      </c>
      <c r="N985" s="3">
        <v>5988.0</v>
      </c>
      <c r="O985" s="3" t="s">
        <v>818</v>
      </c>
      <c r="P985" s="10">
        <v>7291.0</v>
      </c>
      <c r="Q985" s="13">
        <v>154.06</v>
      </c>
      <c r="R985" s="13">
        <v>90.93</v>
      </c>
      <c r="S985" s="13">
        <f t="shared" si="3"/>
        <v>1123251.46</v>
      </c>
      <c r="T985" s="13">
        <f t="shared" si="4"/>
        <v>662970.63</v>
      </c>
      <c r="U985" s="13">
        <f t="shared" si="5"/>
        <v>460280.83</v>
      </c>
      <c r="V985" s="3" t="str">
        <f>VLOOKUP(N985,products!A:B,2,0)</f>
        <v>Vegetables</v>
      </c>
      <c r="W985" s="3" t="s">
        <v>28</v>
      </c>
      <c r="X985" s="3" t="s">
        <v>79</v>
      </c>
      <c r="Y985" s="14">
        <f t="shared" si="10"/>
        <v>0.4097754122</v>
      </c>
      <c r="Z985" s="3">
        <f t="shared" si="7"/>
        <v>47</v>
      </c>
      <c r="AA985" s="15">
        <f t="shared" si="8"/>
        <v>7</v>
      </c>
    </row>
    <row r="986" ht="15.75" customHeight="1">
      <c r="A986" s="3">
        <v>7.45467269E8</v>
      </c>
      <c r="B986" s="9">
        <v>41856.0</v>
      </c>
      <c r="C986" s="3">
        <f>IFERROR(__xludf.DUMMYFUNCTION("split(B986,""/"")"),5.0)</f>
        <v>5</v>
      </c>
      <c r="D986" s="10">
        <f>IFERROR(__xludf.DUMMYFUNCTION("""COMPUTED_VALUE"""),8.0)</f>
        <v>8</v>
      </c>
      <c r="E986" s="11">
        <f>IFERROR(__xludf.DUMMYFUNCTION("""COMPUTED_VALUE"""),2014.0)</f>
        <v>2014</v>
      </c>
      <c r="F986" s="12">
        <f t="shared" si="1"/>
        <v>41767</v>
      </c>
      <c r="G986" s="3" t="s">
        <v>1046</v>
      </c>
      <c r="H986" s="3">
        <f>IFERROR(__xludf.DUMMYFUNCTION("split(G986,""/"")"),6.0)</f>
        <v>6</v>
      </c>
      <c r="I986" s="3">
        <f>IFERROR(__xludf.DUMMYFUNCTION("""COMPUTED_VALUE"""),23.0)</f>
        <v>23</v>
      </c>
      <c r="J986" s="3">
        <f>IFERROR(__xludf.DUMMYFUNCTION("""COMPUTED_VALUE"""),2014.0)</f>
        <v>2014</v>
      </c>
      <c r="K986" s="12">
        <f t="shared" si="2"/>
        <v>41813</v>
      </c>
      <c r="L986" s="3" t="s">
        <v>814</v>
      </c>
      <c r="M986" s="3" t="s">
        <v>593</v>
      </c>
      <c r="N986" s="3">
        <v>2455.0</v>
      </c>
      <c r="O986" s="3" t="s">
        <v>818</v>
      </c>
      <c r="P986" s="10">
        <v>9186.0</v>
      </c>
      <c r="Q986" s="13">
        <v>109.28</v>
      </c>
      <c r="R986" s="13">
        <v>35.84</v>
      </c>
      <c r="S986" s="13">
        <f t="shared" si="3"/>
        <v>1003846.08</v>
      </c>
      <c r="T986" s="13">
        <f t="shared" si="4"/>
        <v>329226.24</v>
      </c>
      <c r="U986" s="13">
        <f t="shared" si="5"/>
        <v>674619.84</v>
      </c>
      <c r="V986" s="3" t="str">
        <f>VLOOKUP(N986,products!A:B,2,0)</f>
        <v>Clothes</v>
      </c>
      <c r="W986" s="3" t="s">
        <v>28</v>
      </c>
      <c r="X986" s="3" t="s">
        <v>98</v>
      </c>
      <c r="Y986" s="14">
        <f t="shared" si="10"/>
        <v>0.6720351391</v>
      </c>
      <c r="Z986" s="3">
        <f t="shared" si="7"/>
        <v>46</v>
      </c>
      <c r="AA986" s="15">
        <f t="shared" si="8"/>
        <v>5</v>
      </c>
    </row>
    <row r="987" ht="15.75" customHeight="1">
      <c r="A987" s="3">
        <v>7.46563756E8</v>
      </c>
      <c r="B987" s="3" t="s">
        <v>1565</v>
      </c>
      <c r="C987" s="3">
        <f>IFERROR(__xludf.DUMMYFUNCTION("split(B987,""/"")"),3.0)</f>
        <v>3</v>
      </c>
      <c r="D987" s="10">
        <f>IFERROR(__xludf.DUMMYFUNCTION("""COMPUTED_VALUE"""),14.0)</f>
        <v>14</v>
      </c>
      <c r="E987" s="11">
        <f>IFERROR(__xludf.DUMMYFUNCTION("""COMPUTED_VALUE"""),2014.0)</f>
        <v>2014</v>
      </c>
      <c r="F987" s="12">
        <f t="shared" si="1"/>
        <v>41712</v>
      </c>
      <c r="G987" s="9">
        <v>41977.0</v>
      </c>
      <c r="H987" s="3">
        <f>IFERROR(__xludf.DUMMYFUNCTION("split(G987,""/"")"),4.0)</f>
        <v>4</v>
      </c>
      <c r="I987" s="3">
        <f>IFERROR(__xludf.DUMMYFUNCTION("""COMPUTED_VALUE"""),12.0)</f>
        <v>12</v>
      </c>
      <c r="J987" s="3">
        <f>IFERROR(__xludf.DUMMYFUNCTION("""COMPUTED_VALUE"""),2014.0)</f>
        <v>2014</v>
      </c>
      <c r="K987" s="12">
        <f t="shared" si="2"/>
        <v>41741</v>
      </c>
      <c r="L987" s="3" t="s">
        <v>817</v>
      </c>
      <c r="M987" s="3" t="s">
        <v>542</v>
      </c>
      <c r="N987" s="3">
        <v>8293.0</v>
      </c>
      <c r="O987" s="3" t="s">
        <v>818</v>
      </c>
      <c r="P987" s="10">
        <v>3661.0</v>
      </c>
      <c r="Q987" s="13">
        <v>437.2</v>
      </c>
      <c r="R987" s="13">
        <v>263.33</v>
      </c>
      <c r="S987" s="13">
        <f t="shared" si="3"/>
        <v>1600589.2</v>
      </c>
      <c r="T987" s="13">
        <f t="shared" si="4"/>
        <v>964051.13</v>
      </c>
      <c r="U987" s="13">
        <f t="shared" si="5"/>
        <v>636538.07</v>
      </c>
      <c r="V987" s="3" t="str">
        <f>VLOOKUP(N987,products!A:B,2,0)</f>
        <v>Cosmetics</v>
      </c>
      <c r="W987" s="3" t="s">
        <v>28</v>
      </c>
      <c r="X987" s="3" t="s">
        <v>29</v>
      </c>
      <c r="Y987" s="14">
        <f t="shared" si="10"/>
        <v>0.3976898445</v>
      </c>
      <c r="Z987" s="3">
        <f t="shared" si="7"/>
        <v>29</v>
      </c>
      <c r="AA987" s="15">
        <f t="shared" si="8"/>
        <v>6</v>
      </c>
    </row>
    <row r="988" ht="15.75" customHeight="1">
      <c r="A988" s="3">
        <v>7.4732722E8</v>
      </c>
      <c r="B988" s="3" t="s">
        <v>1103</v>
      </c>
      <c r="C988" s="3">
        <f>IFERROR(__xludf.DUMMYFUNCTION("split(B988,""/"")"),8.0)</f>
        <v>8</v>
      </c>
      <c r="D988" s="10">
        <f>IFERROR(__xludf.DUMMYFUNCTION("""COMPUTED_VALUE"""),18.0)</f>
        <v>18</v>
      </c>
      <c r="E988" s="11">
        <f>IFERROR(__xludf.DUMMYFUNCTION("""COMPUTED_VALUE"""),2014.0)</f>
        <v>2014</v>
      </c>
      <c r="F988" s="12">
        <f t="shared" si="1"/>
        <v>41869</v>
      </c>
      <c r="G988" s="3" t="s">
        <v>1689</v>
      </c>
      <c r="H988" s="3">
        <f>IFERROR(__xludf.DUMMYFUNCTION("split(G988,""/"")"),9.0)</f>
        <v>9</v>
      </c>
      <c r="I988" s="3">
        <f>IFERROR(__xludf.DUMMYFUNCTION("""COMPUTED_VALUE"""),15.0)</f>
        <v>15</v>
      </c>
      <c r="J988" s="3">
        <f>IFERROR(__xludf.DUMMYFUNCTION("""COMPUTED_VALUE"""),2014.0)</f>
        <v>2014</v>
      </c>
      <c r="K988" s="12">
        <f t="shared" si="2"/>
        <v>41897</v>
      </c>
      <c r="L988" s="3" t="s">
        <v>827</v>
      </c>
      <c r="M988" s="3" t="s">
        <v>590</v>
      </c>
      <c r="N988" s="3">
        <v>8969.0</v>
      </c>
      <c r="O988" s="3" t="s">
        <v>815</v>
      </c>
      <c r="P988" s="10">
        <v>9587.0</v>
      </c>
      <c r="Q988" s="13">
        <v>152.58</v>
      </c>
      <c r="R988" s="13">
        <v>97.44</v>
      </c>
      <c r="S988" s="13">
        <f t="shared" si="3"/>
        <v>1462784.46</v>
      </c>
      <c r="T988" s="13">
        <f t="shared" si="4"/>
        <v>934157.28</v>
      </c>
      <c r="U988" s="13">
        <f t="shared" si="5"/>
        <v>528627.18</v>
      </c>
      <c r="V988" s="3" t="str">
        <f>VLOOKUP(N988,products!A:B,2,0)</f>
        <v>Snacks</v>
      </c>
      <c r="W988" s="3" t="s">
        <v>28</v>
      </c>
      <c r="X988" s="3" t="s">
        <v>98</v>
      </c>
      <c r="Y988" s="14">
        <f t="shared" si="10"/>
        <v>0.3613841919</v>
      </c>
      <c r="Z988" s="3">
        <f t="shared" si="7"/>
        <v>28</v>
      </c>
      <c r="AA988" s="15">
        <f t="shared" si="8"/>
        <v>2</v>
      </c>
    </row>
    <row r="989" ht="15.75" customHeight="1">
      <c r="A989" s="3">
        <v>7.47774398E8</v>
      </c>
      <c r="B989" s="9">
        <v>42950.0</v>
      </c>
      <c r="C989" s="3">
        <f>IFERROR(__xludf.DUMMYFUNCTION("split(B989,""/"")"),3.0)</f>
        <v>3</v>
      </c>
      <c r="D989" s="10">
        <f>IFERROR(__xludf.DUMMYFUNCTION("""COMPUTED_VALUE"""),8.0)</f>
        <v>8</v>
      </c>
      <c r="E989" s="11">
        <f>IFERROR(__xludf.DUMMYFUNCTION("""COMPUTED_VALUE"""),2017.0)</f>
        <v>2017</v>
      </c>
      <c r="F989" s="12">
        <f t="shared" si="1"/>
        <v>42802</v>
      </c>
      <c r="G989" s="9">
        <v>42798.0</v>
      </c>
      <c r="H989" s="3">
        <f>IFERROR(__xludf.DUMMYFUNCTION("split(G989,""/"")"),4.0)</f>
        <v>4</v>
      </c>
      <c r="I989" s="3">
        <f>IFERROR(__xludf.DUMMYFUNCTION("""COMPUTED_VALUE"""),3.0)</f>
        <v>3</v>
      </c>
      <c r="J989" s="3">
        <f>IFERROR(__xludf.DUMMYFUNCTION("""COMPUTED_VALUE"""),2017.0)</f>
        <v>2017</v>
      </c>
      <c r="K989" s="12">
        <f t="shared" si="2"/>
        <v>42828</v>
      </c>
      <c r="L989" s="3" t="s">
        <v>814</v>
      </c>
      <c r="M989" s="3" t="s">
        <v>512</v>
      </c>
      <c r="N989" s="3">
        <v>8875.0</v>
      </c>
      <c r="O989" s="3" t="s">
        <v>818</v>
      </c>
      <c r="P989" s="10">
        <v>1916.0</v>
      </c>
      <c r="Q989" s="13">
        <v>421.89</v>
      </c>
      <c r="R989" s="13">
        <v>364.69</v>
      </c>
      <c r="S989" s="13">
        <f t="shared" si="3"/>
        <v>808341.24</v>
      </c>
      <c r="T989" s="13">
        <f t="shared" si="4"/>
        <v>698746.04</v>
      </c>
      <c r="U989" s="13">
        <f t="shared" si="5"/>
        <v>109595.2</v>
      </c>
      <c r="V989" s="3" t="str">
        <f>VLOOKUP(N989,products!A:B,2,0)</f>
        <v>Meat</v>
      </c>
      <c r="W989" s="3" t="s">
        <v>28</v>
      </c>
      <c r="X989" s="3" t="s">
        <v>79</v>
      </c>
      <c r="Y989" s="14">
        <f t="shared" si="10"/>
        <v>0.1355803646</v>
      </c>
      <c r="Z989" s="3">
        <f t="shared" si="7"/>
        <v>26</v>
      </c>
      <c r="AA989" s="15">
        <f t="shared" si="8"/>
        <v>4</v>
      </c>
    </row>
    <row r="990" ht="15.75" customHeight="1">
      <c r="A990" s="3">
        <v>7.47826755E8</v>
      </c>
      <c r="B990" s="3" t="s">
        <v>1648</v>
      </c>
      <c r="C990" s="3">
        <f>IFERROR(__xludf.DUMMYFUNCTION("split(B990,""/"")"),7.0)</f>
        <v>7</v>
      </c>
      <c r="D990" s="10">
        <f>IFERROR(__xludf.DUMMYFUNCTION("""COMPUTED_VALUE"""),17.0)</f>
        <v>17</v>
      </c>
      <c r="E990" s="11">
        <f>IFERROR(__xludf.DUMMYFUNCTION("""COMPUTED_VALUE"""),2017.0)</f>
        <v>2017</v>
      </c>
      <c r="F990" s="12">
        <f t="shared" si="1"/>
        <v>42933</v>
      </c>
      <c r="G990" s="3" t="s">
        <v>1380</v>
      </c>
      <c r="H990" s="3">
        <f>IFERROR(__xludf.DUMMYFUNCTION("split(G990,""/"")"),7.0)</f>
        <v>7</v>
      </c>
      <c r="I990" s="3">
        <f>IFERROR(__xludf.DUMMYFUNCTION("""COMPUTED_VALUE"""),22.0)</f>
        <v>22</v>
      </c>
      <c r="J990" s="3">
        <f>IFERROR(__xludf.DUMMYFUNCTION("""COMPUTED_VALUE"""),2017.0)</f>
        <v>2017</v>
      </c>
      <c r="K990" s="12">
        <f t="shared" si="2"/>
        <v>42938</v>
      </c>
      <c r="L990" s="3" t="s">
        <v>817</v>
      </c>
      <c r="M990" s="3" t="s">
        <v>536</v>
      </c>
      <c r="N990" s="3">
        <v>8681.0</v>
      </c>
      <c r="O990" s="3" t="s">
        <v>818</v>
      </c>
      <c r="P990" s="10">
        <v>7410.0</v>
      </c>
      <c r="Q990" s="13">
        <v>651.21</v>
      </c>
      <c r="R990" s="13">
        <v>524.96</v>
      </c>
      <c r="S990" s="13">
        <f t="shared" si="3"/>
        <v>4825466.1</v>
      </c>
      <c r="T990" s="13">
        <f t="shared" si="4"/>
        <v>3889953.6</v>
      </c>
      <c r="U990" s="13">
        <f t="shared" si="5"/>
        <v>935512.5</v>
      </c>
      <c r="V990" s="3" t="str">
        <f>VLOOKUP(N990,products!A:B,2,0)</f>
        <v>Office Supplies</v>
      </c>
      <c r="W990" s="3" t="s">
        <v>28</v>
      </c>
      <c r="X990" s="3" t="s">
        <v>33</v>
      </c>
      <c r="Y990" s="14">
        <f t="shared" si="10"/>
        <v>0.193869873</v>
      </c>
      <c r="Z990" s="3">
        <f t="shared" si="7"/>
        <v>5</v>
      </c>
      <c r="AA990" s="15">
        <f t="shared" si="8"/>
        <v>2</v>
      </c>
    </row>
    <row r="991" ht="15.75" customHeight="1">
      <c r="A991" s="3">
        <v>7.47955071E8</v>
      </c>
      <c r="B991" s="3" t="s">
        <v>1690</v>
      </c>
      <c r="C991" s="3">
        <f>IFERROR(__xludf.DUMMYFUNCTION("split(B991,""/"")"),9.0)</f>
        <v>9</v>
      </c>
      <c r="D991" s="10">
        <f>IFERROR(__xludf.DUMMYFUNCTION("""COMPUTED_VALUE"""),27.0)</f>
        <v>27</v>
      </c>
      <c r="E991" s="11">
        <f>IFERROR(__xludf.DUMMYFUNCTION("""COMPUTED_VALUE"""),2016.0)</f>
        <v>2016</v>
      </c>
      <c r="F991" s="12">
        <f t="shared" si="1"/>
        <v>42640</v>
      </c>
      <c r="G991" s="3" t="s">
        <v>1691</v>
      </c>
      <c r="H991" s="3">
        <f>IFERROR(__xludf.DUMMYFUNCTION("split(G991,""/"")"),10.0)</f>
        <v>10</v>
      </c>
      <c r="I991" s="3">
        <f>IFERROR(__xludf.DUMMYFUNCTION("""COMPUTED_VALUE"""),25.0)</f>
        <v>25</v>
      </c>
      <c r="J991" s="3">
        <f>IFERROR(__xludf.DUMMYFUNCTION("""COMPUTED_VALUE"""),2016.0)</f>
        <v>2016</v>
      </c>
      <c r="K991" s="12">
        <f t="shared" si="2"/>
        <v>42668</v>
      </c>
      <c r="L991" s="3" t="s">
        <v>827</v>
      </c>
      <c r="M991" s="3" t="s">
        <v>740</v>
      </c>
      <c r="N991" s="3">
        <v>2455.0</v>
      </c>
      <c r="O991" s="3" t="s">
        <v>818</v>
      </c>
      <c r="P991" s="10">
        <v>5382.0</v>
      </c>
      <c r="Q991" s="13">
        <v>109.28</v>
      </c>
      <c r="R991" s="13">
        <v>35.84</v>
      </c>
      <c r="S991" s="13">
        <f t="shared" si="3"/>
        <v>588144.96</v>
      </c>
      <c r="T991" s="13">
        <f t="shared" si="4"/>
        <v>192890.88</v>
      </c>
      <c r="U991" s="13">
        <f t="shared" si="5"/>
        <v>395254.08</v>
      </c>
      <c r="V991" s="3" t="str">
        <f>VLOOKUP(N991,products!A:B,2,0)</f>
        <v>Clothes</v>
      </c>
      <c r="W991" s="3" t="s">
        <v>28</v>
      </c>
      <c r="X991" s="3" t="s">
        <v>98</v>
      </c>
      <c r="Y991" s="14">
        <f t="shared" si="10"/>
        <v>0.6720351391</v>
      </c>
      <c r="Z991" s="3">
        <f t="shared" si="7"/>
        <v>28</v>
      </c>
      <c r="AA991" s="15">
        <f t="shared" si="8"/>
        <v>3</v>
      </c>
    </row>
    <row r="992" ht="15.75" customHeight="1">
      <c r="A992" s="3">
        <v>7.48357188E8</v>
      </c>
      <c r="B992" s="3" t="s">
        <v>1111</v>
      </c>
      <c r="C992" s="3">
        <f>IFERROR(__xludf.DUMMYFUNCTION("split(B992,""/"")"),6.0)</f>
        <v>6</v>
      </c>
      <c r="D992" s="10">
        <f>IFERROR(__xludf.DUMMYFUNCTION("""COMPUTED_VALUE"""),26.0)</f>
        <v>26</v>
      </c>
      <c r="E992" s="11">
        <f>IFERROR(__xludf.DUMMYFUNCTION("""COMPUTED_VALUE"""),2010.0)</f>
        <v>2010</v>
      </c>
      <c r="F992" s="12">
        <f t="shared" si="1"/>
        <v>40355</v>
      </c>
      <c r="G992" s="3" t="s">
        <v>1113</v>
      </c>
      <c r="H992" s="3">
        <f>IFERROR(__xludf.DUMMYFUNCTION("split(G992,""/"")"),7.0)</f>
        <v>7</v>
      </c>
      <c r="I992" s="3">
        <f>IFERROR(__xludf.DUMMYFUNCTION("""COMPUTED_VALUE"""),20.0)</f>
        <v>20</v>
      </c>
      <c r="J992" s="3">
        <f>IFERROR(__xludf.DUMMYFUNCTION("""COMPUTED_VALUE"""),2010.0)</f>
        <v>2010</v>
      </c>
      <c r="K992" s="12">
        <f t="shared" si="2"/>
        <v>40379</v>
      </c>
      <c r="L992" s="3" t="s">
        <v>817</v>
      </c>
      <c r="M992" s="3" t="s">
        <v>373</v>
      </c>
      <c r="N992" s="3">
        <v>7331.0</v>
      </c>
      <c r="O992" s="3" t="s">
        <v>818</v>
      </c>
      <c r="P992" s="10">
        <v>4377.0</v>
      </c>
      <c r="Q992" s="13">
        <v>255.28</v>
      </c>
      <c r="R992" s="13">
        <v>159.42</v>
      </c>
      <c r="S992" s="13">
        <f t="shared" si="3"/>
        <v>1117360.56</v>
      </c>
      <c r="T992" s="13">
        <f t="shared" si="4"/>
        <v>697781.34</v>
      </c>
      <c r="U992" s="13">
        <f t="shared" si="5"/>
        <v>419579.22</v>
      </c>
      <c r="V992" s="3" t="str">
        <f>VLOOKUP(N992,products!A:B,2,0)</f>
        <v>Baby Food</v>
      </c>
      <c r="W992" s="3" t="s">
        <v>28</v>
      </c>
      <c r="X992" s="3" t="s">
        <v>33</v>
      </c>
      <c r="Y992" s="14">
        <f t="shared" si="10"/>
        <v>0.3755092448</v>
      </c>
      <c r="Z992" s="3">
        <f t="shared" si="7"/>
        <v>24</v>
      </c>
      <c r="AA992" s="15">
        <f t="shared" si="8"/>
        <v>7</v>
      </c>
    </row>
    <row r="993" ht="15.75" customHeight="1">
      <c r="A993" s="3">
        <v>7.50047194E8</v>
      </c>
      <c r="B993" s="3" t="s">
        <v>1224</v>
      </c>
      <c r="C993" s="3">
        <f>IFERROR(__xludf.DUMMYFUNCTION("split(B993,""/"")"),7.0)</f>
        <v>7</v>
      </c>
      <c r="D993" s="10">
        <f>IFERROR(__xludf.DUMMYFUNCTION("""COMPUTED_VALUE"""),31.0)</f>
        <v>31</v>
      </c>
      <c r="E993" s="11">
        <f>IFERROR(__xludf.DUMMYFUNCTION("""COMPUTED_VALUE"""),2012.0)</f>
        <v>2012</v>
      </c>
      <c r="F993" s="12">
        <f t="shared" si="1"/>
        <v>41121</v>
      </c>
      <c r="G993" s="3" t="s">
        <v>826</v>
      </c>
      <c r="H993" s="3">
        <f>IFERROR(__xludf.DUMMYFUNCTION("split(G993,""/"")"),9.0)</f>
        <v>9</v>
      </c>
      <c r="I993" s="3">
        <f>IFERROR(__xludf.DUMMYFUNCTION("""COMPUTED_VALUE"""),18.0)</f>
        <v>18</v>
      </c>
      <c r="J993" s="3">
        <f>IFERROR(__xludf.DUMMYFUNCTION("""COMPUTED_VALUE"""),2012.0)</f>
        <v>2012</v>
      </c>
      <c r="K993" s="12">
        <f t="shared" si="2"/>
        <v>41170</v>
      </c>
      <c r="L993" s="3" t="s">
        <v>814</v>
      </c>
      <c r="M993" s="3" t="s">
        <v>78</v>
      </c>
      <c r="N993" s="3">
        <v>4594.0</v>
      </c>
      <c r="O993" s="3" t="s">
        <v>815</v>
      </c>
      <c r="P993" s="10">
        <v>4487.0</v>
      </c>
      <c r="Q993" s="13">
        <v>9.33</v>
      </c>
      <c r="R993" s="13">
        <v>6.92</v>
      </c>
      <c r="S993" s="13">
        <f t="shared" si="3"/>
        <v>41863.71</v>
      </c>
      <c r="T993" s="13">
        <f t="shared" si="4"/>
        <v>31050.04</v>
      </c>
      <c r="U993" s="13">
        <f t="shared" si="5"/>
        <v>10813.67</v>
      </c>
      <c r="V993" s="3" t="str">
        <f>VLOOKUP(N993,products!A:B,2,0)</f>
        <v>Fruits</v>
      </c>
      <c r="W993" s="3" t="s">
        <v>28</v>
      </c>
      <c r="X993" s="3" t="s">
        <v>79</v>
      </c>
      <c r="Y993" s="14">
        <f t="shared" si="10"/>
        <v>0.258306538</v>
      </c>
      <c r="Z993" s="3">
        <f t="shared" si="7"/>
        <v>49</v>
      </c>
      <c r="AA993" s="15">
        <f t="shared" si="8"/>
        <v>3</v>
      </c>
    </row>
    <row r="994" ht="15.75" customHeight="1">
      <c r="A994" s="3">
        <v>7.50439441E8</v>
      </c>
      <c r="B994" s="3" t="s">
        <v>1660</v>
      </c>
      <c r="C994" s="3">
        <f>IFERROR(__xludf.DUMMYFUNCTION("split(B994,""/"")"),11.0)</f>
        <v>11</v>
      </c>
      <c r="D994" s="10">
        <f>IFERROR(__xludf.DUMMYFUNCTION("""COMPUTED_VALUE"""),15.0)</f>
        <v>15</v>
      </c>
      <c r="E994" s="11">
        <f>IFERROR(__xludf.DUMMYFUNCTION("""COMPUTED_VALUE"""),2016.0)</f>
        <v>2016</v>
      </c>
      <c r="F994" s="12">
        <f t="shared" si="1"/>
        <v>42689</v>
      </c>
      <c r="G994" s="3" t="s">
        <v>1692</v>
      </c>
      <c r="H994" s="3">
        <f>IFERROR(__xludf.DUMMYFUNCTION("split(G994,""/"")"),12.0)</f>
        <v>12</v>
      </c>
      <c r="I994" s="3">
        <f>IFERROR(__xludf.DUMMYFUNCTION("""COMPUTED_VALUE"""),29.0)</f>
        <v>29</v>
      </c>
      <c r="J994" s="3">
        <f>IFERROR(__xludf.DUMMYFUNCTION("""COMPUTED_VALUE"""),2016.0)</f>
        <v>2016</v>
      </c>
      <c r="K994" s="12">
        <f t="shared" si="2"/>
        <v>42733</v>
      </c>
      <c r="L994" s="3" t="s">
        <v>827</v>
      </c>
      <c r="M994" s="3" t="s">
        <v>542</v>
      </c>
      <c r="N994" s="3">
        <v>8969.0</v>
      </c>
      <c r="O994" s="3" t="s">
        <v>815</v>
      </c>
      <c r="P994" s="10">
        <v>562.0</v>
      </c>
      <c r="Q994" s="13">
        <v>152.58</v>
      </c>
      <c r="R994" s="13">
        <v>97.44</v>
      </c>
      <c r="S994" s="13">
        <f t="shared" si="3"/>
        <v>85749.96</v>
      </c>
      <c r="T994" s="13">
        <f t="shared" si="4"/>
        <v>54761.28</v>
      </c>
      <c r="U994" s="13">
        <f t="shared" si="5"/>
        <v>30988.68</v>
      </c>
      <c r="V994" s="3" t="str">
        <f>VLOOKUP(N994,products!A:B,2,0)</f>
        <v>Snacks</v>
      </c>
      <c r="W994" s="3" t="s">
        <v>28</v>
      </c>
      <c r="X994" s="3" t="s">
        <v>29</v>
      </c>
      <c r="Y994" s="14">
        <f t="shared" si="10"/>
        <v>0.3613841919</v>
      </c>
      <c r="Z994" s="3">
        <f t="shared" si="7"/>
        <v>44</v>
      </c>
      <c r="AA994" s="15">
        <f t="shared" si="8"/>
        <v>3</v>
      </c>
    </row>
    <row r="995" ht="15.75" customHeight="1">
      <c r="A995" s="3">
        <v>7.50959146E8</v>
      </c>
      <c r="B995" s="9">
        <v>42491.0</v>
      </c>
      <c r="C995" s="3">
        <f>IFERROR(__xludf.DUMMYFUNCTION("split(B995,""/"")"),1.0)</f>
        <v>1</v>
      </c>
      <c r="D995" s="10">
        <f>IFERROR(__xludf.DUMMYFUNCTION("""COMPUTED_VALUE"""),5.0)</f>
        <v>5</v>
      </c>
      <c r="E995" s="11">
        <f>IFERROR(__xludf.DUMMYFUNCTION("""COMPUTED_VALUE"""),2016.0)</f>
        <v>2016</v>
      </c>
      <c r="F995" s="12">
        <f t="shared" si="1"/>
        <v>42374</v>
      </c>
      <c r="G995" s="3" t="s">
        <v>1545</v>
      </c>
      <c r="H995" s="3">
        <f>IFERROR(__xludf.DUMMYFUNCTION("split(G995,""/"")"),1.0)</f>
        <v>1</v>
      </c>
      <c r="I995" s="3">
        <f>IFERROR(__xludf.DUMMYFUNCTION("""COMPUTED_VALUE"""),25.0)</f>
        <v>25</v>
      </c>
      <c r="J995" s="3">
        <f>IFERROR(__xludf.DUMMYFUNCTION("""COMPUTED_VALUE"""),2016.0)</f>
        <v>2016</v>
      </c>
      <c r="K995" s="12">
        <f t="shared" si="2"/>
        <v>42394</v>
      </c>
      <c r="L995" s="3" t="s">
        <v>814</v>
      </c>
      <c r="M995" s="3" t="s">
        <v>488</v>
      </c>
      <c r="N995" s="3">
        <v>7331.0</v>
      </c>
      <c r="O995" s="3" t="s">
        <v>815</v>
      </c>
      <c r="P995" s="10">
        <v>4354.0</v>
      </c>
      <c r="Q995" s="13">
        <v>255.28</v>
      </c>
      <c r="R995" s="13">
        <v>159.42</v>
      </c>
      <c r="S995" s="13">
        <f t="shared" si="3"/>
        <v>1111489.12</v>
      </c>
      <c r="T995" s="13">
        <f t="shared" si="4"/>
        <v>694114.68</v>
      </c>
      <c r="U995" s="13">
        <f t="shared" si="5"/>
        <v>417374.44</v>
      </c>
      <c r="V995" s="3" t="str">
        <f>VLOOKUP(N995,products!A:B,2,0)</f>
        <v>Baby Food</v>
      </c>
      <c r="W995" s="3" t="s">
        <v>28</v>
      </c>
      <c r="X995" s="3" t="s">
        <v>33</v>
      </c>
      <c r="Y995" s="14">
        <f t="shared" si="10"/>
        <v>0.3755092448</v>
      </c>
      <c r="Z995" s="3">
        <f t="shared" si="7"/>
        <v>20</v>
      </c>
      <c r="AA995" s="15">
        <f t="shared" si="8"/>
        <v>3</v>
      </c>
    </row>
    <row r="996" ht="15.75" customHeight="1">
      <c r="A996" s="3">
        <v>7.52792918E8</v>
      </c>
      <c r="B996" s="3" t="s">
        <v>1444</v>
      </c>
      <c r="C996" s="3">
        <f>IFERROR(__xludf.DUMMYFUNCTION("split(B996,""/"")"),4.0)</f>
        <v>4</v>
      </c>
      <c r="D996" s="10">
        <f>IFERROR(__xludf.DUMMYFUNCTION("""COMPUTED_VALUE"""),29.0)</f>
        <v>29</v>
      </c>
      <c r="E996" s="11">
        <f>IFERROR(__xludf.DUMMYFUNCTION("""COMPUTED_VALUE"""),2012.0)</f>
        <v>2012</v>
      </c>
      <c r="F996" s="12">
        <f t="shared" si="1"/>
        <v>41028</v>
      </c>
      <c r="G996" s="9">
        <v>41248.0</v>
      </c>
      <c r="H996" s="3">
        <f>IFERROR(__xludf.DUMMYFUNCTION("split(G996,""/"")"),5.0)</f>
        <v>5</v>
      </c>
      <c r="I996" s="3">
        <f>IFERROR(__xludf.DUMMYFUNCTION("""COMPUTED_VALUE"""),12.0)</f>
        <v>12</v>
      </c>
      <c r="J996" s="3">
        <f>IFERROR(__xludf.DUMMYFUNCTION("""COMPUTED_VALUE"""),2012.0)</f>
        <v>2012</v>
      </c>
      <c r="K996" s="12">
        <f t="shared" si="2"/>
        <v>41041</v>
      </c>
      <c r="L996" s="3" t="s">
        <v>814</v>
      </c>
      <c r="M996" s="3" t="s">
        <v>542</v>
      </c>
      <c r="N996" s="3">
        <v>4594.0</v>
      </c>
      <c r="O996" s="3" t="s">
        <v>818</v>
      </c>
      <c r="P996" s="10">
        <v>7008.0</v>
      </c>
      <c r="Q996" s="13">
        <v>9.33</v>
      </c>
      <c r="R996" s="13">
        <v>6.92</v>
      </c>
      <c r="S996" s="13">
        <f t="shared" si="3"/>
        <v>65384.64</v>
      </c>
      <c r="T996" s="13">
        <f t="shared" si="4"/>
        <v>48495.36</v>
      </c>
      <c r="U996" s="13">
        <f t="shared" si="5"/>
        <v>16889.28</v>
      </c>
      <c r="V996" s="3" t="str">
        <f>VLOOKUP(N996,products!A:B,2,0)</f>
        <v>Fruits</v>
      </c>
      <c r="W996" s="3" t="s">
        <v>28</v>
      </c>
      <c r="X996" s="3" t="s">
        <v>29</v>
      </c>
      <c r="Y996" s="14">
        <f t="shared" si="10"/>
        <v>0.258306538</v>
      </c>
      <c r="Z996" s="3">
        <f t="shared" si="7"/>
        <v>13</v>
      </c>
      <c r="AA996" s="15">
        <f t="shared" si="8"/>
        <v>1</v>
      </c>
    </row>
    <row r="997" ht="15.75" customHeight="1">
      <c r="A997" s="3">
        <v>7.53166282E8</v>
      </c>
      <c r="B997" s="9">
        <v>40796.0</v>
      </c>
      <c r="C997" s="3">
        <f>IFERROR(__xludf.DUMMYFUNCTION("split(B997,""/"")"),10.0)</f>
        <v>10</v>
      </c>
      <c r="D997" s="10">
        <f>IFERROR(__xludf.DUMMYFUNCTION("""COMPUTED_VALUE"""),9.0)</f>
        <v>9</v>
      </c>
      <c r="E997" s="11">
        <f>IFERROR(__xludf.DUMMYFUNCTION("""COMPUTED_VALUE"""),2011.0)</f>
        <v>2011</v>
      </c>
      <c r="F997" s="12">
        <f t="shared" si="1"/>
        <v>40825</v>
      </c>
      <c r="G997" s="3" t="s">
        <v>1346</v>
      </c>
      <c r="H997" s="3">
        <f>IFERROR(__xludf.DUMMYFUNCTION("split(G997,""/"")"),11.0)</f>
        <v>11</v>
      </c>
      <c r="I997" s="3">
        <f>IFERROR(__xludf.DUMMYFUNCTION("""COMPUTED_VALUE"""),25.0)</f>
        <v>25</v>
      </c>
      <c r="J997" s="3">
        <f>IFERROR(__xludf.DUMMYFUNCTION("""COMPUTED_VALUE"""),2011.0)</f>
        <v>2011</v>
      </c>
      <c r="K997" s="12">
        <f t="shared" si="2"/>
        <v>40872</v>
      </c>
      <c r="L997" s="3" t="s">
        <v>827</v>
      </c>
      <c r="M997" s="3" t="s">
        <v>671</v>
      </c>
      <c r="N997" s="3">
        <v>4594.0</v>
      </c>
      <c r="O997" s="3" t="s">
        <v>815</v>
      </c>
      <c r="P997" s="10">
        <v>7495.0</v>
      </c>
      <c r="Q997" s="13">
        <v>9.33</v>
      </c>
      <c r="R997" s="13">
        <v>6.92</v>
      </c>
      <c r="S997" s="13">
        <f t="shared" si="3"/>
        <v>69928.35</v>
      </c>
      <c r="T997" s="13">
        <f t="shared" si="4"/>
        <v>51865.4</v>
      </c>
      <c r="U997" s="13">
        <f t="shared" si="5"/>
        <v>18062.95</v>
      </c>
      <c r="V997" s="3" t="str">
        <f>VLOOKUP(N997,products!A:B,2,0)</f>
        <v>Fruits</v>
      </c>
      <c r="W997" s="3" t="s">
        <v>28</v>
      </c>
      <c r="X997" s="3" t="s">
        <v>33</v>
      </c>
      <c r="Y997" s="14">
        <f t="shared" si="10"/>
        <v>0.258306538</v>
      </c>
      <c r="Z997" s="3">
        <f t="shared" si="7"/>
        <v>47</v>
      </c>
      <c r="AA997" s="15">
        <f t="shared" si="8"/>
        <v>1</v>
      </c>
    </row>
    <row r="998" ht="15.75" customHeight="1">
      <c r="A998" s="3">
        <v>7.54227149E8</v>
      </c>
      <c r="B998" s="3" t="s">
        <v>833</v>
      </c>
      <c r="C998" s="3">
        <f>IFERROR(__xludf.DUMMYFUNCTION("split(B998,""/"")"),10.0)</f>
        <v>10</v>
      </c>
      <c r="D998" s="10">
        <f>IFERROR(__xludf.DUMMYFUNCTION("""COMPUTED_VALUE"""),20.0)</f>
        <v>20</v>
      </c>
      <c r="E998" s="11">
        <f>IFERROR(__xludf.DUMMYFUNCTION("""COMPUTED_VALUE"""),2012.0)</f>
        <v>2012</v>
      </c>
      <c r="F998" s="12">
        <f t="shared" si="1"/>
        <v>41202</v>
      </c>
      <c r="G998" s="3" t="s">
        <v>1501</v>
      </c>
      <c r="H998" s="3">
        <f>IFERROR(__xludf.DUMMYFUNCTION("split(G998,""/"")"),11.0)</f>
        <v>11</v>
      </c>
      <c r="I998" s="3">
        <f>IFERROR(__xludf.DUMMYFUNCTION("""COMPUTED_VALUE"""),24.0)</f>
        <v>24</v>
      </c>
      <c r="J998" s="3">
        <f>IFERROR(__xludf.DUMMYFUNCTION("""COMPUTED_VALUE"""),2012.0)</f>
        <v>2012</v>
      </c>
      <c r="K998" s="12">
        <f t="shared" si="2"/>
        <v>41237</v>
      </c>
      <c r="L998" s="3" t="s">
        <v>827</v>
      </c>
      <c r="M998" s="3" t="s">
        <v>482</v>
      </c>
      <c r="N998" s="3">
        <v>8681.0</v>
      </c>
      <c r="O998" s="3" t="s">
        <v>815</v>
      </c>
      <c r="P998" s="10">
        <v>1429.0</v>
      </c>
      <c r="Q998" s="13">
        <v>651.21</v>
      </c>
      <c r="R998" s="13">
        <v>524.96</v>
      </c>
      <c r="S998" s="13">
        <f t="shared" si="3"/>
        <v>930579.09</v>
      </c>
      <c r="T998" s="13">
        <f t="shared" si="4"/>
        <v>750167.84</v>
      </c>
      <c r="U998" s="13">
        <f t="shared" si="5"/>
        <v>180411.25</v>
      </c>
      <c r="V998" s="3" t="str">
        <f>VLOOKUP(N998,products!A:B,2,0)</f>
        <v>Office Supplies</v>
      </c>
      <c r="W998" s="3" t="s">
        <v>28</v>
      </c>
      <c r="X998" s="3" t="s">
        <v>79</v>
      </c>
      <c r="Y998" s="14">
        <f t="shared" si="10"/>
        <v>0.193869873</v>
      </c>
      <c r="Z998" s="3">
        <f t="shared" si="7"/>
        <v>35</v>
      </c>
      <c r="AA998" s="15">
        <f t="shared" si="8"/>
        <v>7</v>
      </c>
    </row>
    <row r="999" ht="15.75" customHeight="1">
      <c r="A999" s="3">
        <v>7.54541289E8</v>
      </c>
      <c r="B999" s="9">
        <v>41985.0</v>
      </c>
      <c r="C999" s="3">
        <f>IFERROR(__xludf.DUMMYFUNCTION("split(B999,""/"")"),12.0)</f>
        <v>12</v>
      </c>
      <c r="D999" s="10">
        <f>IFERROR(__xludf.DUMMYFUNCTION("""COMPUTED_VALUE"""),12.0)</f>
        <v>12</v>
      </c>
      <c r="E999" s="11">
        <f>IFERROR(__xludf.DUMMYFUNCTION("""COMPUTED_VALUE"""),2014.0)</f>
        <v>2014</v>
      </c>
      <c r="F999" s="12">
        <f t="shared" si="1"/>
        <v>41985</v>
      </c>
      <c r="G999" s="3" t="s">
        <v>1693</v>
      </c>
      <c r="H999" s="3">
        <f>IFERROR(__xludf.DUMMYFUNCTION("split(G999,""/"")"),12.0)</f>
        <v>12</v>
      </c>
      <c r="I999" s="3">
        <f>IFERROR(__xludf.DUMMYFUNCTION("""COMPUTED_VALUE"""),19.0)</f>
        <v>19</v>
      </c>
      <c r="J999" s="3">
        <f>IFERROR(__xludf.DUMMYFUNCTION("""COMPUTED_VALUE"""),2014.0)</f>
        <v>2014</v>
      </c>
      <c r="K999" s="12">
        <f t="shared" si="2"/>
        <v>41992</v>
      </c>
      <c r="L999" s="3" t="s">
        <v>825</v>
      </c>
      <c r="M999" s="3" t="s">
        <v>46</v>
      </c>
      <c r="N999" s="3">
        <v>3127.0</v>
      </c>
      <c r="O999" s="3" t="s">
        <v>818</v>
      </c>
      <c r="P999" s="10">
        <v>4390.0</v>
      </c>
      <c r="Q999" s="13">
        <v>81.73</v>
      </c>
      <c r="R999" s="13">
        <v>56.67</v>
      </c>
      <c r="S999" s="13">
        <f t="shared" si="3"/>
        <v>358794.7</v>
      </c>
      <c r="T999" s="13">
        <f t="shared" si="4"/>
        <v>248781.3</v>
      </c>
      <c r="U999" s="13">
        <f t="shared" si="5"/>
        <v>110013.4</v>
      </c>
      <c r="V999" s="3" t="str">
        <f>VLOOKUP(N999,products!A:B,2,0)</f>
        <v>Personal Care</v>
      </c>
      <c r="W999" s="3" t="s">
        <v>28</v>
      </c>
      <c r="X999" s="3" t="s">
        <v>33</v>
      </c>
      <c r="Y999" s="14">
        <f t="shared" si="10"/>
        <v>0.3066193564</v>
      </c>
      <c r="Z999" s="3">
        <f t="shared" si="7"/>
        <v>7</v>
      </c>
      <c r="AA999" s="15">
        <f t="shared" si="8"/>
        <v>6</v>
      </c>
    </row>
    <row r="1000" ht="15.75" customHeight="1">
      <c r="A1000" s="3">
        <v>7.55318915E8</v>
      </c>
      <c r="B1000" s="9">
        <v>40822.0</v>
      </c>
      <c r="C1000" s="3">
        <f>IFERROR(__xludf.DUMMYFUNCTION("split(B1000,""/"")"),6.0)</f>
        <v>6</v>
      </c>
      <c r="D1000" s="10">
        <f>IFERROR(__xludf.DUMMYFUNCTION("""COMPUTED_VALUE"""),10.0)</f>
        <v>10</v>
      </c>
      <c r="E1000" s="11">
        <f>IFERROR(__xludf.DUMMYFUNCTION("""COMPUTED_VALUE"""),2011.0)</f>
        <v>2011</v>
      </c>
      <c r="F1000" s="12">
        <f t="shared" si="1"/>
        <v>40704</v>
      </c>
      <c r="G1000" s="3" t="s">
        <v>1038</v>
      </c>
      <c r="H1000" s="3">
        <f>IFERROR(__xludf.DUMMYFUNCTION("split(G1000,""/"")"),6.0)</f>
        <v>6</v>
      </c>
      <c r="I1000" s="3">
        <f>IFERROR(__xludf.DUMMYFUNCTION("""COMPUTED_VALUE"""),25.0)</f>
        <v>25</v>
      </c>
      <c r="J1000" s="3">
        <f>IFERROR(__xludf.DUMMYFUNCTION("""COMPUTED_VALUE"""),2011.0)</f>
        <v>2011</v>
      </c>
      <c r="K1000" s="12">
        <f t="shared" si="2"/>
        <v>40719</v>
      </c>
      <c r="L1000" s="3" t="s">
        <v>827</v>
      </c>
      <c r="M1000" s="3" t="s">
        <v>373</v>
      </c>
      <c r="N1000" s="3">
        <v>2455.0</v>
      </c>
      <c r="O1000" s="3" t="s">
        <v>815</v>
      </c>
      <c r="P1000" s="10">
        <v>4507.0</v>
      </c>
      <c r="Q1000" s="13">
        <v>109.28</v>
      </c>
      <c r="R1000" s="13">
        <v>35.84</v>
      </c>
      <c r="S1000" s="13">
        <f t="shared" si="3"/>
        <v>492524.96</v>
      </c>
      <c r="T1000" s="13">
        <f t="shared" si="4"/>
        <v>161530.88</v>
      </c>
      <c r="U1000" s="13">
        <f t="shared" si="5"/>
        <v>330994.08</v>
      </c>
      <c r="V1000" s="3" t="str">
        <f>VLOOKUP(N1000,products!A:B,2,0)</f>
        <v>Clothes</v>
      </c>
      <c r="W1000" s="3" t="s">
        <v>28</v>
      </c>
      <c r="X1000" s="3" t="s">
        <v>33</v>
      </c>
      <c r="Y1000" s="14">
        <f t="shared" si="10"/>
        <v>0.6720351391</v>
      </c>
      <c r="Z1000" s="3">
        <f t="shared" si="7"/>
        <v>15</v>
      </c>
      <c r="AA1000" s="15">
        <f t="shared" si="8"/>
        <v>6</v>
      </c>
    </row>
    <row r="1001" ht="15.75" customHeight="1">
      <c r="A1001" s="3">
        <v>7.5560559E8</v>
      </c>
      <c r="B1001" s="3" t="s">
        <v>1369</v>
      </c>
      <c r="C1001" s="3">
        <f>IFERROR(__xludf.DUMMYFUNCTION("split(B1001,""/"")"),8.0)</f>
        <v>8</v>
      </c>
      <c r="D1001" s="10">
        <f>IFERROR(__xludf.DUMMYFUNCTION("""COMPUTED_VALUE"""),31.0)</f>
        <v>31</v>
      </c>
      <c r="E1001" s="11">
        <f>IFERROR(__xludf.DUMMYFUNCTION("""COMPUTED_VALUE"""),2010.0)</f>
        <v>2010</v>
      </c>
      <c r="F1001" s="12">
        <f t="shared" si="1"/>
        <v>40421</v>
      </c>
      <c r="G1001" s="9">
        <v>40491.0</v>
      </c>
      <c r="H1001" s="3">
        <f>IFERROR(__xludf.DUMMYFUNCTION("split(G1001,""/"")"),9.0)</f>
        <v>9</v>
      </c>
      <c r="I1001" s="3">
        <f>IFERROR(__xludf.DUMMYFUNCTION("""COMPUTED_VALUE"""),11.0)</f>
        <v>11</v>
      </c>
      <c r="J1001" s="3">
        <f>IFERROR(__xludf.DUMMYFUNCTION("""COMPUTED_VALUE"""),2010.0)</f>
        <v>2010</v>
      </c>
      <c r="K1001" s="12">
        <f t="shared" si="2"/>
        <v>40432</v>
      </c>
      <c r="L1001" s="3" t="s">
        <v>814</v>
      </c>
      <c r="M1001" s="3" t="s">
        <v>218</v>
      </c>
      <c r="N1001" s="3">
        <v>8969.0</v>
      </c>
      <c r="O1001" s="3" t="s">
        <v>815</v>
      </c>
      <c r="P1001" s="10">
        <v>9340.0</v>
      </c>
      <c r="Q1001" s="13">
        <v>152.58</v>
      </c>
      <c r="R1001" s="13">
        <v>97.44</v>
      </c>
      <c r="S1001" s="13">
        <f t="shared" si="3"/>
        <v>1425097.2</v>
      </c>
      <c r="T1001" s="13">
        <f t="shared" si="4"/>
        <v>910089.6</v>
      </c>
      <c r="U1001" s="13">
        <f t="shared" si="5"/>
        <v>515007.6</v>
      </c>
      <c r="V1001" s="3" t="str">
        <f>VLOOKUP(N1001,products!A:B,2,0)</f>
        <v>Snacks</v>
      </c>
      <c r="W1001" s="3" t="s">
        <v>28</v>
      </c>
      <c r="X1001" s="3" t="s">
        <v>98</v>
      </c>
      <c r="Y1001" s="14">
        <f t="shared" si="10"/>
        <v>0.3613841919</v>
      </c>
      <c r="Z1001" s="3">
        <f t="shared" si="7"/>
        <v>11</v>
      </c>
      <c r="AA1001" s="15">
        <f t="shared" si="8"/>
        <v>3</v>
      </c>
    </row>
    <row r="1002" ht="15.75" customHeight="1">
      <c r="A1002" s="3">
        <v>7.56252324E8</v>
      </c>
      <c r="B1002" s="3" t="s">
        <v>1228</v>
      </c>
      <c r="C1002" s="3">
        <f>IFERROR(__xludf.DUMMYFUNCTION("split(B1002,""/"")"),1.0)</f>
        <v>1</v>
      </c>
      <c r="D1002" s="10">
        <f>IFERROR(__xludf.DUMMYFUNCTION("""COMPUTED_VALUE"""),18.0)</f>
        <v>18</v>
      </c>
      <c r="E1002" s="11">
        <f>IFERROR(__xludf.DUMMYFUNCTION("""COMPUTED_VALUE"""),2010.0)</f>
        <v>2010</v>
      </c>
      <c r="F1002" s="12">
        <f t="shared" si="1"/>
        <v>40196</v>
      </c>
      <c r="G1002" s="9">
        <v>40423.0</v>
      </c>
      <c r="H1002" s="3">
        <f>IFERROR(__xludf.DUMMYFUNCTION("split(G1002,""/"")"),2.0)</f>
        <v>2</v>
      </c>
      <c r="I1002" s="3">
        <f>IFERROR(__xludf.DUMMYFUNCTION("""COMPUTED_VALUE"""),9.0)</f>
        <v>9</v>
      </c>
      <c r="J1002" s="3">
        <f>IFERROR(__xludf.DUMMYFUNCTION("""COMPUTED_VALUE"""),2010.0)</f>
        <v>2010</v>
      </c>
      <c r="K1002" s="12">
        <f t="shared" si="2"/>
        <v>40218</v>
      </c>
      <c r="L1002" s="3" t="s">
        <v>825</v>
      </c>
      <c r="M1002" s="3" t="s">
        <v>653</v>
      </c>
      <c r="N1002" s="3">
        <v>4594.0</v>
      </c>
      <c r="O1002" s="3" t="s">
        <v>815</v>
      </c>
      <c r="P1002" s="10">
        <v>723.0</v>
      </c>
      <c r="Q1002" s="13">
        <v>9.33</v>
      </c>
      <c r="R1002" s="13">
        <v>6.92</v>
      </c>
      <c r="S1002" s="13">
        <f t="shared" si="3"/>
        <v>6745.59</v>
      </c>
      <c r="T1002" s="13">
        <f t="shared" si="4"/>
        <v>5003.16</v>
      </c>
      <c r="U1002" s="13">
        <f t="shared" si="5"/>
        <v>1742.43</v>
      </c>
      <c r="V1002" s="3" t="str">
        <f>VLOOKUP(N1002,products!A:B,2,0)</f>
        <v>Fruits</v>
      </c>
      <c r="W1002" s="3" t="s">
        <v>28</v>
      </c>
      <c r="X1002" s="3" t="s">
        <v>33</v>
      </c>
      <c r="Y1002" s="14">
        <f t="shared" si="10"/>
        <v>0.258306538</v>
      </c>
      <c r="Z1002" s="3">
        <f t="shared" si="7"/>
        <v>22</v>
      </c>
      <c r="AA1002" s="15">
        <f t="shared" si="8"/>
        <v>2</v>
      </c>
    </row>
    <row r="1003" ht="15.75" customHeight="1">
      <c r="A1003" s="3">
        <v>7.56395232E8</v>
      </c>
      <c r="B1003" s="3" t="s">
        <v>1021</v>
      </c>
      <c r="C1003" s="3">
        <f>IFERROR(__xludf.DUMMYFUNCTION("split(B1003,""/"")"),1.0)</f>
        <v>1</v>
      </c>
      <c r="D1003" s="10">
        <f>IFERROR(__xludf.DUMMYFUNCTION("""COMPUTED_VALUE"""),22.0)</f>
        <v>22</v>
      </c>
      <c r="E1003" s="11">
        <f>IFERROR(__xludf.DUMMYFUNCTION("""COMPUTED_VALUE"""),2015.0)</f>
        <v>2015</v>
      </c>
      <c r="F1003" s="12">
        <f t="shared" si="1"/>
        <v>42026</v>
      </c>
      <c r="G1003" s="3" t="s">
        <v>1694</v>
      </c>
      <c r="H1003" s="3">
        <f>IFERROR(__xludf.DUMMYFUNCTION("split(G1003,""/"")"),3.0)</f>
        <v>3</v>
      </c>
      <c r="I1003" s="3">
        <f>IFERROR(__xludf.DUMMYFUNCTION("""COMPUTED_VALUE"""),13.0)</f>
        <v>13</v>
      </c>
      <c r="J1003" s="3">
        <f>IFERROR(__xludf.DUMMYFUNCTION("""COMPUTED_VALUE"""),2015.0)</f>
        <v>2015</v>
      </c>
      <c r="K1003" s="12">
        <f t="shared" si="2"/>
        <v>42076</v>
      </c>
      <c r="L1003" s="3" t="s">
        <v>827</v>
      </c>
      <c r="M1003" s="3" t="s">
        <v>218</v>
      </c>
      <c r="N1003" s="3">
        <v>8875.0</v>
      </c>
      <c r="O1003" s="3" t="s">
        <v>815</v>
      </c>
      <c r="P1003" s="10">
        <v>3013.0</v>
      </c>
      <c r="Q1003" s="13">
        <v>421.89</v>
      </c>
      <c r="R1003" s="13">
        <v>364.69</v>
      </c>
      <c r="S1003" s="13">
        <f t="shared" si="3"/>
        <v>1271154.57</v>
      </c>
      <c r="T1003" s="13">
        <f t="shared" si="4"/>
        <v>1098810.97</v>
      </c>
      <c r="U1003" s="13">
        <f t="shared" si="5"/>
        <v>172343.6</v>
      </c>
      <c r="V1003" s="3" t="str">
        <f>VLOOKUP(N1003,products!A:B,2,0)</f>
        <v>Meat</v>
      </c>
      <c r="W1003" s="3" t="s">
        <v>28</v>
      </c>
      <c r="X1003" s="3" t="s">
        <v>98</v>
      </c>
      <c r="Y1003" s="14">
        <f t="shared" si="10"/>
        <v>0.1355803646</v>
      </c>
      <c r="Z1003" s="3">
        <f t="shared" si="7"/>
        <v>50</v>
      </c>
      <c r="AA1003" s="15">
        <f t="shared" si="8"/>
        <v>5</v>
      </c>
    </row>
    <row r="1004" ht="15.75" customHeight="1">
      <c r="A1004" s="3">
        <v>7.57468974E8</v>
      </c>
      <c r="B1004" s="3" t="s">
        <v>1695</v>
      </c>
      <c r="C1004" s="3">
        <f>IFERROR(__xludf.DUMMYFUNCTION("split(B1004,""/"")"),3.0)</f>
        <v>3</v>
      </c>
      <c r="D1004" s="10">
        <f>IFERROR(__xludf.DUMMYFUNCTION("""COMPUTED_VALUE"""),14.0)</f>
        <v>14</v>
      </c>
      <c r="E1004" s="11">
        <f>IFERROR(__xludf.DUMMYFUNCTION("""COMPUTED_VALUE"""),2013.0)</f>
        <v>2013</v>
      </c>
      <c r="F1004" s="12">
        <f t="shared" si="1"/>
        <v>41347</v>
      </c>
      <c r="G1004" s="3" t="s">
        <v>1696</v>
      </c>
      <c r="H1004" s="3">
        <f>IFERROR(__xludf.DUMMYFUNCTION("split(G1004,""/"")"),3.0)</f>
        <v>3</v>
      </c>
      <c r="I1004" s="3">
        <f>IFERROR(__xludf.DUMMYFUNCTION("""COMPUTED_VALUE"""),23.0)</f>
        <v>23</v>
      </c>
      <c r="J1004" s="3">
        <f>IFERROR(__xludf.DUMMYFUNCTION("""COMPUTED_VALUE"""),2013.0)</f>
        <v>2013</v>
      </c>
      <c r="K1004" s="12">
        <f t="shared" si="2"/>
        <v>41356</v>
      </c>
      <c r="L1004" s="3" t="s">
        <v>827</v>
      </c>
      <c r="M1004" s="3" t="s">
        <v>482</v>
      </c>
      <c r="N1004" s="3">
        <v>1270.0</v>
      </c>
      <c r="O1004" s="3" t="s">
        <v>815</v>
      </c>
      <c r="P1004" s="10">
        <v>757.0</v>
      </c>
      <c r="Q1004" s="13">
        <v>47.45</v>
      </c>
      <c r="R1004" s="13">
        <v>31.79</v>
      </c>
      <c r="S1004" s="13">
        <f t="shared" si="3"/>
        <v>35919.65</v>
      </c>
      <c r="T1004" s="13">
        <f t="shared" si="4"/>
        <v>24065.03</v>
      </c>
      <c r="U1004" s="13">
        <f t="shared" si="5"/>
        <v>11854.62</v>
      </c>
      <c r="V1004" s="3" t="str">
        <f>VLOOKUP(N1004,products!A:B,2,0)</f>
        <v>Beverages</v>
      </c>
      <c r="W1004" s="3" t="s">
        <v>28</v>
      </c>
      <c r="X1004" s="3" t="s">
        <v>79</v>
      </c>
      <c r="Y1004" s="14">
        <f t="shared" si="10"/>
        <v>0.3300316122</v>
      </c>
      <c r="Z1004" s="3">
        <f t="shared" si="7"/>
        <v>9</v>
      </c>
      <c r="AA1004" s="15">
        <f t="shared" si="8"/>
        <v>5</v>
      </c>
    </row>
    <row r="1005" ht="15.75" customHeight="1">
      <c r="A1005" s="3">
        <v>7.59086453E8</v>
      </c>
      <c r="B1005" s="3" t="s">
        <v>1697</v>
      </c>
      <c r="C1005" s="3">
        <f>IFERROR(__xludf.DUMMYFUNCTION("split(B1005,""/"")"),2.0)</f>
        <v>2</v>
      </c>
      <c r="D1005" s="10">
        <f>IFERROR(__xludf.DUMMYFUNCTION("""COMPUTED_VALUE"""),21.0)</f>
        <v>21</v>
      </c>
      <c r="E1005" s="11">
        <f>IFERROR(__xludf.DUMMYFUNCTION("""COMPUTED_VALUE"""),2011.0)</f>
        <v>2011</v>
      </c>
      <c r="F1005" s="12">
        <f t="shared" si="1"/>
        <v>40595</v>
      </c>
      <c r="G1005" s="3" t="s">
        <v>1097</v>
      </c>
      <c r="H1005" s="3">
        <f>IFERROR(__xludf.DUMMYFUNCTION("split(G1005,""/"")"),2.0)</f>
        <v>2</v>
      </c>
      <c r="I1005" s="3">
        <f>IFERROR(__xludf.DUMMYFUNCTION("""COMPUTED_VALUE"""),27.0)</f>
        <v>27</v>
      </c>
      <c r="J1005" s="3">
        <f>IFERROR(__xludf.DUMMYFUNCTION("""COMPUTED_VALUE"""),2011.0)</f>
        <v>2011</v>
      </c>
      <c r="K1005" s="12">
        <f t="shared" si="2"/>
        <v>40601</v>
      </c>
      <c r="L1005" s="3" t="s">
        <v>825</v>
      </c>
      <c r="M1005" s="3" t="s">
        <v>218</v>
      </c>
      <c r="N1005" s="3">
        <v>7940.0</v>
      </c>
      <c r="O1005" s="3" t="s">
        <v>815</v>
      </c>
      <c r="P1005" s="10">
        <v>9405.0</v>
      </c>
      <c r="Q1005" s="13">
        <v>668.27</v>
      </c>
      <c r="R1005" s="13">
        <v>502.54</v>
      </c>
      <c r="S1005" s="13">
        <f t="shared" si="3"/>
        <v>6285079.35</v>
      </c>
      <c r="T1005" s="13">
        <f t="shared" si="4"/>
        <v>4726388.7</v>
      </c>
      <c r="U1005" s="13">
        <f t="shared" si="5"/>
        <v>1558690.65</v>
      </c>
      <c r="V1005" s="3" t="str">
        <f>VLOOKUP(N1005,products!A:B,2,0)</f>
        <v>Household</v>
      </c>
      <c r="W1005" s="3" t="s">
        <v>28</v>
      </c>
      <c r="X1005" s="3" t="s">
        <v>98</v>
      </c>
      <c r="Y1005" s="14">
        <f t="shared" si="10"/>
        <v>0.2479985635</v>
      </c>
      <c r="Z1005" s="3">
        <f t="shared" si="7"/>
        <v>6</v>
      </c>
      <c r="AA1005" s="15">
        <f t="shared" si="8"/>
        <v>2</v>
      </c>
    </row>
    <row r="1006" ht="15.75" customHeight="1">
      <c r="A1006" s="3">
        <v>7.59594142E8</v>
      </c>
      <c r="B1006" s="9">
        <v>43015.0</v>
      </c>
      <c r="C1006" s="3">
        <f>IFERROR(__xludf.DUMMYFUNCTION("split(B1006,""/"")"),7.0)</f>
        <v>7</v>
      </c>
      <c r="D1006" s="10">
        <f>IFERROR(__xludf.DUMMYFUNCTION("""COMPUTED_VALUE"""),10.0)</f>
        <v>10</v>
      </c>
      <c r="E1006" s="11">
        <f>IFERROR(__xludf.DUMMYFUNCTION("""COMPUTED_VALUE"""),2017.0)</f>
        <v>2017</v>
      </c>
      <c r="F1006" s="12">
        <f t="shared" si="1"/>
        <v>42926</v>
      </c>
      <c r="G1006" s="9">
        <v>43076.0</v>
      </c>
      <c r="H1006" s="3">
        <f>IFERROR(__xludf.DUMMYFUNCTION("split(G1006,""/"")"),7.0)</f>
        <v>7</v>
      </c>
      <c r="I1006" s="3">
        <f>IFERROR(__xludf.DUMMYFUNCTION("""COMPUTED_VALUE"""),12.0)</f>
        <v>12</v>
      </c>
      <c r="J1006" s="3">
        <f>IFERROR(__xludf.DUMMYFUNCTION("""COMPUTED_VALUE"""),2017.0)</f>
        <v>2017</v>
      </c>
      <c r="K1006" s="12">
        <f t="shared" si="2"/>
        <v>42928</v>
      </c>
      <c r="L1006" s="3" t="s">
        <v>817</v>
      </c>
      <c r="M1006" s="3" t="s">
        <v>536</v>
      </c>
      <c r="N1006" s="3">
        <v>5988.0</v>
      </c>
      <c r="O1006" s="3" t="s">
        <v>818</v>
      </c>
      <c r="P1006" s="10">
        <v>9641.0</v>
      </c>
      <c r="Q1006" s="13">
        <v>154.06</v>
      </c>
      <c r="R1006" s="13">
        <v>90.93</v>
      </c>
      <c r="S1006" s="13">
        <f t="shared" si="3"/>
        <v>1485292.46</v>
      </c>
      <c r="T1006" s="13">
        <f t="shared" si="4"/>
        <v>876656.13</v>
      </c>
      <c r="U1006" s="13">
        <f t="shared" si="5"/>
        <v>608636.33</v>
      </c>
      <c r="V1006" s="3" t="str">
        <f>VLOOKUP(N1006,products!A:B,2,0)</f>
        <v>Vegetables</v>
      </c>
      <c r="W1006" s="3" t="s">
        <v>28</v>
      </c>
      <c r="X1006" s="3" t="s">
        <v>33</v>
      </c>
      <c r="Y1006" s="14">
        <f t="shared" si="10"/>
        <v>0.4097754122</v>
      </c>
      <c r="Z1006" s="3">
        <f t="shared" si="7"/>
        <v>2</v>
      </c>
      <c r="AA1006" s="15">
        <f t="shared" si="8"/>
        <v>2</v>
      </c>
    </row>
    <row r="1007" ht="15.75" customHeight="1">
      <c r="A1007" s="3">
        <v>7.60280358E8</v>
      </c>
      <c r="B1007" s="9">
        <v>40916.0</v>
      </c>
      <c r="C1007" s="3">
        <f>IFERROR(__xludf.DUMMYFUNCTION("split(B1007,""/"")"),8.0)</f>
        <v>8</v>
      </c>
      <c r="D1007" s="10">
        <f>IFERROR(__xludf.DUMMYFUNCTION("""COMPUTED_VALUE"""),1.0)</f>
        <v>1</v>
      </c>
      <c r="E1007" s="11">
        <f>IFERROR(__xludf.DUMMYFUNCTION("""COMPUTED_VALUE"""),2012.0)</f>
        <v>2012</v>
      </c>
      <c r="F1007" s="12">
        <f t="shared" si="1"/>
        <v>41122</v>
      </c>
      <c r="G1007" s="3" t="s">
        <v>1569</v>
      </c>
      <c r="H1007" s="3">
        <f>IFERROR(__xludf.DUMMYFUNCTION("split(G1007,""/"")"),8.0)</f>
        <v>8</v>
      </c>
      <c r="I1007" s="3">
        <f>IFERROR(__xludf.DUMMYFUNCTION("""COMPUTED_VALUE"""),21.0)</f>
        <v>21</v>
      </c>
      <c r="J1007" s="3">
        <f>IFERROR(__xludf.DUMMYFUNCTION("""COMPUTED_VALUE"""),2012.0)</f>
        <v>2012</v>
      </c>
      <c r="K1007" s="12">
        <f t="shared" si="2"/>
        <v>41142</v>
      </c>
      <c r="L1007" s="3" t="s">
        <v>814</v>
      </c>
      <c r="M1007" s="3" t="s">
        <v>821</v>
      </c>
      <c r="N1007" s="3">
        <v>8681.0</v>
      </c>
      <c r="O1007" s="3" t="s">
        <v>818</v>
      </c>
      <c r="P1007" s="10">
        <v>2708.0</v>
      </c>
      <c r="Q1007" s="13">
        <v>651.21</v>
      </c>
      <c r="R1007" s="13">
        <v>524.96</v>
      </c>
      <c r="S1007" s="13">
        <f t="shared" si="3"/>
        <v>1763476.68</v>
      </c>
      <c r="T1007" s="13">
        <f t="shared" si="4"/>
        <v>1421591.68</v>
      </c>
      <c r="U1007" s="13">
        <f t="shared" si="5"/>
        <v>341885</v>
      </c>
      <c r="V1007" s="3" t="str">
        <f>VLOOKUP(N1007,products!A:B,2,0)</f>
        <v>Office Supplies</v>
      </c>
      <c r="W1007" s="3" t="s">
        <v>821</v>
      </c>
      <c r="X1007" s="3" t="s">
        <v>821</v>
      </c>
      <c r="Y1007" s="14">
        <f t="shared" si="10"/>
        <v>0.193869873</v>
      </c>
      <c r="Z1007" s="3">
        <f t="shared" si="7"/>
        <v>20</v>
      </c>
      <c r="AA1007" s="15">
        <f t="shared" si="8"/>
        <v>4</v>
      </c>
    </row>
    <row r="1008" ht="15.75" customHeight="1">
      <c r="A1008" s="3">
        <v>7.60346877E8</v>
      </c>
      <c r="B1008" s="3" t="s">
        <v>961</v>
      </c>
      <c r="C1008" s="3">
        <f>IFERROR(__xludf.DUMMYFUNCTION("split(B1008,""/"")"),7.0)</f>
        <v>7</v>
      </c>
      <c r="D1008" s="10">
        <f>IFERROR(__xludf.DUMMYFUNCTION("""COMPUTED_VALUE"""),29.0)</f>
        <v>29</v>
      </c>
      <c r="E1008" s="11">
        <f>IFERROR(__xludf.DUMMYFUNCTION("""COMPUTED_VALUE"""),2016.0)</f>
        <v>2016</v>
      </c>
      <c r="F1008" s="12">
        <f t="shared" si="1"/>
        <v>42580</v>
      </c>
      <c r="G1008" s="9">
        <v>42529.0</v>
      </c>
      <c r="H1008" s="3">
        <f>IFERROR(__xludf.DUMMYFUNCTION("split(G1008,""/"")"),8.0)</f>
        <v>8</v>
      </c>
      <c r="I1008" s="3">
        <f>IFERROR(__xludf.DUMMYFUNCTION("""COMPUTED_VALUE"""),6.0)</f>
        <v>6</v>
      </c>
      <c r="J1008" s="3">
        <f>IFERROR(__xludf.DUMMYFUNCTION("""COMPUTED_VALUE"""),2016.0)</f>
        <v>2016</v>
      </c>
      <c r="K1008" s="12">
        <f t="shared" si="2"/>
        <v>42588</v>
      </c>
      <c r="L1008" s="3" t="s">
        <v>814</v>
      </c>
      <c r="M1008" s="3" t="s">
        <v>575</v>
      </c>
      <c r="N1008" s="3">
        <v>7940.0</v>
      </c>
      <c r="O1008" s="3" t="s">
        <v>815</v>
      </c>
      <c r="P1008" s="10">
        <v>2392.0</v>
      </c>
      <c r="Q1008" s="13">
        <v>668.27</v>
      </c>
      <c r="R1008" s="13">
        <v>502.54</v>
      </c>
      <c r="S1008" s="13">
        <f t="shared" si="3"/>
        <v>1598501.84</v>
      </c>
      <c r="T1008" s="13">
        <f t="shared" si="4"/>
        <v>1202075.68</v>
      </c>
      <c r="U1008" s="13">
        <f t="shared" si="5"/>
        <v>396426.16</v>
      </c>
      <c r="V1008" s="3" t="str">
        <f>VLOOKUP(N1008,products!A:B,2,0)</f>
        <v>Household</v>
      </c>
      <c r="W1008" s="3" t="s">
        <v>28</v>
      </c>
      <c r="X1008" s="3" t="s">
        <v>98</v>
      </c>
      <c r="Y1008" s="14">
        <f t="shared" si="10"/>
        <v>0.2479985635</v>
      </c>
      <c r="Z1008" s="3">
        <f t="shared" si="7"/>
        <v>8</v>
      </c>
      <c r="AA1008" s="15">
        <f t="shared" si="8"/>
        <v>6</v>
      </c>
    </row>
    <row r="1009" ht="15.75" customHeight="1">
      <c r="A1009" s="3">
        <v>7.6061939E8</v>
      </c>
      <c r="B1009" s="9">
        <v>40942.0</v>
      </c>
      <c r="C1009" s="3">
        <f>IFERROR(__xludf.DUMMYFUNCTION("split(B1009,""/"")"),3.0)</f>
        <v>3</v>
      </c>
      <c r="D1009" s="10">
        <f>IFERROR(__xludf.DUMMYFUNCTION("""COMPUTED_VALUE"""),2.0)</f>
        <v>2</v>
      </c>
      <c r="E1009" s="11">
        <f>IFERROR(__xludf.DUMMYFUNCTION("""COMPUTED_VALUE"""),2012.0)</f>
        <v>2012</v>
      </c>
      <c r="F1009" s="12">
        <f t="shared" si="1"/>
        <v>40970</v>
      </c>
      <c r="G1009" s="3" t="s">
        <v>844</v>
      </c>
      <c r="H1009" s="3">
        <f>IFERROR(__xludf.DUMMYFUNCTION("split(G1009,""/"")"),4.0)</f>
        <v>4</v>
      </c>
      <c r="I1009" s="3">
        <f>IFERROR(__xludf.DUMMYFUNCTION("""COMPUTED_VALUE"""),16.0)</f>
        <v>16</v>
      </c>
      <c r="J1009" s="3">
        <f>IFERROR(__xludf.DUMMYFUNCTION("""COMPUTED_VALUE"""),2012.0)</f>
        <v>2012</v>
      </c>
      <c r="K1009" s="12">
        <f t="shared" si="2"/>
        <v>41015</v>
      </c>
      <c r="L1009" s="3" t="s">
        <v>817</v>
      </c>
      <c r="M1009" s="3" t="s">
        <v>123</v>
      </c>
      <c r="N1009" s="3">
        <v>5988.0</v>
      </c>
      <c r="O1009" s="3" t="s">
        <v>815</v>
      </c>
      <c r="P1009" s="10">
        <v>3035.0</v>
      </c>
      <c r="Q1009" s="13">
        <v>154.06</v>
      </c>
      <c r="R1009" s="13">
        <v>90.93</v>
      </c>
      <c r="S1009" s="13">
        <f t="shared" si="3"/>
        <v>467572.1</v>
      </c>
      <c r="T1009" s="13">
        <f t="shared" si="4"/>
        <v>275972.55</v>
      </c>
      <c r="U1009" s="13">
        <f t="shared" si="5"/>
        <v>191599.55</v>
      </c>
      <c r="V1009" s="3" t="str">
        <f>VLOOKUP(N1009,products!A:B,2,0)</f>
        <v>Vegetables</v>
      </c>
      <c r="W1009" s="3" t="s">
        <v>28</v>
      </c>
      <c r="X1009" s="3" t="s">
        <v>33</v>
      </c>
      <c r="Y1009" s="14">
        <f t="shared" si="10"/>
        <v>0.4097754122</v>
      </c>
      <c r="Z1009" s="3">
        <f t="shared" si="7"/>
        <v>45</v>
      </c>
      <c r="AA1009" s="15">
        <f t="shared" si="8"/>
        <v>6</v>
      </c>
    </row>
    <row r="1010" ht="15.75" customHeight="1">
      <c r="A1010" s="3">
        <v>7.6172403E8</v>
      </c>
      <c r="B1010" s="3" t="s">
        <v>858</v>
      </c>
      <c r="C1010" s="3">
        <f>IFERROR(__xludf.DUMMYFUNCTION("split(B1010,""/"")"),6.0)</f>
        <v>6</v>
      </c>
      <c r="D1010" s="10">
        <f>IFERROR(__xludf.DUMMYFUNCTION("""COMPUTED_VALUE"""),26.0)</f>
        <v>26</v>
      </c>
      <c r="E1010" s="11">
        <f>IFERROR(__xludf.DUMMYFUNCTION("""COMPUTED_VALUE"""),2015.0)</f>
        <v>2015</v>
      </c>
      <c r="F1010" s="12">
        <f t="shared" si="1"/>
        <v>42181</v>
      </c>
      <c r="G1010" s="3" t="s">
        <v>1698</v>
      </c>
      <c r="H1010" s="3">
        <f>IFERROR(__xludf.DUMMYFUNCTION("split(G1010,""/"")"),8.0)</f>
        <v>8</v>
      </c>
      <c r="I1010" s="3">
        <f>IFERROR(__xludf.DUMMYFUNCTION("""COMPUTED_VALUE"""),13.0)</f>
        <v>13</v>
      </c>
      <c r="J1010" s="3">
        <f>IFERROR(__xludf.DUMMYFUNCTION("""COMPUTED_VALUE"""),2015.0)</f>
        <v>2015</v>
      </c>
      <c r="K1010" s="12">
        <f t="shared" si="2"/>
        <v>42229</v>
      </c>
      <c r="L1010" s="3" t="s">
        <v>827</v>
      </c>
      <c r="M1010" s="3" t="s">
        <v>821</v>
      </c>
      <c r="N1010" s="3">
        <v>1270.0</v>
      </c>
      <c r="O1010" s="3" t="s">
        <v>815</v>
      </c>
      <c r="P1010" s="10">
        <v>9923.0</v>
      </c>
      <c r="Q1010" s="13">
        <v>47.45</v>
      </c>
      <c r="R1010" s="13">
        <v>31.79</v>
      </c>
      <c r="S1010" s="13">
        <f t="shared" si="3"/>
        <v>470846.35</v>
      </c>
      <c r="T1010" s="13">
        <f t="shared" si="4"/>
        <v>315452.17</v>
      </c>
      <c r="U1010" s="13">
        <f t="shared" si="5"/>
        <v>155394.18</v>
      </c>
      <c r="V1010" s="3" t="str">
        <f>VLOOKUP(N1010,products!A:B,2,0)</f>
        <v>Beverages</v>
      </c>
      <c r="W1010" s="3" t="s">
        <v>821</v>
      </c>
      <c r="X1010" s="3" t="s">
        <v>821</v>
      </c>
      <c r="Y1010" s="14">
        <f t="shared" si="10"/>
        <v>0.3300316122</v>
      </c>
      <c r="Z1010" s="3">
        <f t="shared" si="7"/>
        <v>48</v>
      </c>
      <c r="AA1010" s="15">
        <f t="shared" si="8"/>
        <v>6</v>
      </c>
    </row>
    <row r="1011" ht="15.75" customHeight="1">
      <c r="A1011" s="3">
        <v>7.61887109E8</v>
      </c>
      <c r="B1011" s="3" t="s">
        <v>1314</v>
      </c>
      <c r="C1011" s="3">
        <f>IFERROR(__xludf.DUMMYFUNCTION("split(B1011,""/"")"),9.0)</f>
        <v>9</v>
      </c>
      <c r="D1011" s="10">
        <f>IFERROR(__xludf.DUMMYFUNCTION("""COMPUTED_VALUE"""),20.0)</f>
        <v>20</v>
      </c>
      <c r="E1011" s="11">
        <f>IFERROR(__xludf.DUMMYFUNCTION("""COMPUTED_VALUE"""),2016.0)</f>
        <v>2016</v>
      </c>
      <c r="F1011" s="12">
        <f t="shared" si="1"/>
        <v>42633</v>
      </c>
      <c r="G1011" s="3" t="s">
        <v>1699</v>
      </c>
      <c r="H1011" s="3">
        <f>IFERROR(__xludf.DUMMYFUNCTION("split(G1011,""/"")"),10.0)</f>
        <v>10</v>
      </c>
      <c r="I1011" s="3">
        <f>IFERROR(__xludf.DUMMYFUNCTION("""COMPUTED_VALUE"""),14.0)</f>
        <v>14</v>
      </c>
      <c r="J1011" s="3">
        <f>IFERROR(__xludf.DUMMYFUNCTION("""COMPUTED_VALUE"""),2016.0)</f>
        <v>2016</v>
      </c>
      <c r="K1011" s="12">
        <f t="shared" si="2"/>
        <v>42657</v>
      </c>
      <c r="L1011" s="3" t="s">
        <v>814</v>
      </c>
      <c r="M1011" s="3" t="s">
        <v>101</v>
      </c>
      <c r="N1011" s="3">
        <v>2455.0</v>
      </c>
      <c r="O1011" s="3" t="s">
        <v>818</v>
      </c>
      <c r="P1011" s="10">
        <v>8181.0</v>
      </c>
      <c r="Q1011" s="13">
        <v>109.28</v>
      </c>
      <c r="R1011" s="13">
        <v>35.84</v>
      </c>
      <c r="S1011" s="13">
        <f t="shared" si="3"/>
        <v>894019.68</v>
      </c>
      <c r="T1011" s="13">
        <f t="shared" si="4"/>
        <v>293207.04</v>
      </c>
      <c r="U1011" s="13">
        <f t="shared" si="5"/>
        <v>600812.64</v>
      </c>
      <c r="V1011" s="3" t="str">
        <f>VLOOKUP(N1011,products!A:B,2,0)</f>
        <v>Clothes</v>
      </c>
      <c r="W1011" s="3" t="s">
        <v>28</v>
      </c>
      <c r="X1011" s="3" t="s">
        <v>79</v>
      </c>
      <c r="Y1011" s="14">
        <f t="shared" si="10"/>
        <v>0.6720351391</v>
      </c>
      <c r="Z1011" s="3">
        <f t="shared" si="7"/>
        <v>24</v>
      </c>
      <c r="AA1011" s="15">
        <f t="shared" si="8"/>
        <v>3</v>
      </c>
    </row>
    <row r="1012" ht="15.75" customHeight="1">
      <c r="A1012" s="3">
        <v>7.62117564E8</v>
      </c>
      <c r="B1012" s="3" t="s">
        <v>1544</v>
      </c>
      <c r="C1012" s="3">
        <f>IFERROR(__xludf.DUMMYFUNCTION("split(B1012,""/"")"),2.0)</f>
        <v>2</v>
      </c>
      <c r="D1012" s="10">
        <f>IFERROR(__xludf.DUMMYFUNCTION("""COMPUTED_VALUE"""),26.0)</f>
        <v>26</v>
      </c>
      <c r="E1012" s="11">
        <f>IFERROR(__xludf.DUMMYFUNCTION("""COMPUTED_VALUE"""),2011.0)</f>
        <v>2011</v>
      </c>
      <c r="F1012" s="12">
        <f t="shared" si="1"/>
        <v>40600</v>
      </c>
      <c r="G1012" s="3" t="s">
        <v>880</v>
      </c>
      <c r="H1012" s="3">
        <f>IFERROR(__xludf.DUMMYFUNCTION("split(G1012,""/"")"),3.0)</f>
        <v>3</v>
      </c>
      <c r="I1012" s="3">
        <f>IFERROR(__xludf.DUMMYFUNCTION("""COMPUTED_VALUE"""),28.0)</f>
        <v>28</v>
      </c>
      <c r="J1012" s="3">
        <f>IFERROR(__xludf.DUMMYFUNCTION("""COMPUTED_VALUE"""),2011.0)</f>
        <v>2011</v>
      </c>
      <c r="K1012" s="12">
        <f t="shared" si="2"/>
        <v>40630</v>
      </c>
      <c r="L1012" s="3" t="s">
        <v>814</v>
      </c>
      <c r="M1012" s="3" t="s">
        <v>740</v>
      </c>
      <c r="N1012" s="3">
        <v>3127.0</v>
      </c>
      <c r="O1012" s="3" t="s">
        <v>815</v>
      </c>
      <c r="P1012" s="10">
        <v>6378.0</v>
      </c>
      <c r="Q1012" s="13">
        <v>81.73</v>
      </c>
      <c r="R1012" s="13">
        <v>56.67</v>
      </c>
      <c r="S1012" s="13">
        <f t="shared" si="3"/>
        <v>521273.94</v>
      </c>
      <c r="T1012" s="13">
        <f t="shared" si="4"/>
        <v>361441.26</v>
      </c>
      <c r="U1012" s="13">
        <f t="shared" si="5"/>
        <v>159832.68</v>
      </c>
      <c r="V1012" s="3" t="str">
        <f>VLOOKUP(N1012,products!A:B,2,0)</f>
        <v>Personal Care</v>
      </c>
      <c r="W1012" s="3" t="s">
        <v>28</v>
      </c>
      <c r="X1012" s="3" t="s">
        <v>98</v>
      </c>
      <c r="Y1012" s="14">
        <f t="shared" si="10"/>
        <v>0.3066193564</v>
      </c>
      <c r="Z1012" s="3">
        <f t="shared" si="7"/>
        <v>30</v>
      </c>
      <c r="AA1012" s="15">
        <f t="shared" si="8"/>
        <v>7</v>
      </c>
    </row>
    <row r="1013" ht="15.75" customHeight="1">
      <c r="A1013" s="3">
        <v>7.62655293E8</v>
      </c>
      <c r="B1013" s="3" t="s">
        <v>1700</v>
      </c>
      <c r="C1013" s="3">
        <f>IFERROR(__xludf.DUMMYFUNCTION("split(B1013,""/"")"),10.0)</f>
        <v>10</v>
      </c>
      <c r="D1013" s="10">
        <f>IFERROR(__xludf.DUMMYFUNCTION("""COMPUTED_VALUE"""),16.0)</f>
        <v>16</v>
      </c>
      <c r="E1013" s="11">
        <f>IFERROR(__xludf.DUMMYFUNCTION("""COMPUTED_VALUE"""),2010.0)</f>
        <v>2010</v>
      </c>
      <c r="F1013" s="12">
        <f t="shared" si="1"/>
        <v>40467</v>
      </c>
      <c r="G1013" s="9">
        <v>40493.0</v>
      </c>
      <c r="H1013" s="3">
        <f>IFERROR(__xludf.DUMMYFUNCTION("split(G1013,""/"")"),11.0)</f>
        <v>11</v>
      </c>
      <c r="I1013" s="3">
        <f>IFERROR(__xludf.DUMMYFUNCTION("""COMPUTED_VALUE"""),11.0)</f>
        <v>11</v>
      </c>
      <c r="J1013" s="3">
        <f>IFERROR(__xludf.DUMMYFUNCTION("""COMPUTED_VALUE"""),2010.0)</f>
        <v>2010</v>
      </c>
      <c r="K1013" s="12">
        <f t="shared" si="2"/>
        <v>40493</v>
      </c>
      <c r="L1013" s="3" t="s">
        <v>827</v>
      </c>
      <c r="M1013" s="3" t="s">
        <v>270</v>
      </c>
      <c r="N1013" s="3">
        <v>3127.0</v>
      </c>
      <c r="O1013" s="3" t="s">
        <v>815</v>
      </c>
      <c r="P1013" s="10">
        <v>5504.0</v>
      </c>
      <c r="Q1013" s="13">
        <v>81.73</v>
      </c>
      <c r="R1013" s="13">
        <v>56.67</v>
      </c>
      <c r="S1013" s="13">
        <f t="shared" si="3"/>
        <v>449841.92</v>
      </c>
      <c r="T1013" s="13">
        <f t="shared" si="4"/>
        <v>311911.68</v>
      </c>
      <c r="U1013" s="13">
        <f t="shared" si="5"/>
        <v>137930.24</v>
      </c>
      <c r="V1013" s="3" t="str">
        <f>VLOOKUP(N1013,products!A:B,2,0)</f>
        <v>Personal Care</v>
      </c>
      <c r="W1013" s="3" t="s">
        <v>28</v>
      </c>
      <c r="X1013" s="3" t="s">
        <v>79</v>
      </c>
      <c r="Y1013" s="14">
        <f t="shared" si="10"/>
        <v>0.3066193564</v>
      </c>
      <c r="Z1013" s="3">
        <f t="shared" si="7"/>
        <v>26</v>
      </c>
      <c r="AA1013" s="15">
        <f t="shared" si="8"/>
        <v>7</v>
      </c>
    </row>
    <row r="1014" ht="15.75" customHeight="1">
      <c r="A1014" s="3">
        <v>7.64483058E8</v>
      </c>
      <c r="B1014" s="9">
        <v>41797.0</v>
      </c>
      <c r="C1014" s="3">
        <f>IFERROR(__xludf.DUMMYFUNCTION("split(B1014,""/"")"),7.0)</f>
        <v>7</v>
      </c>
      <c r="D1014" s="10">
        <f>IFERROR(__xludf.DUMMYFUNCTION("""COMPUTED_VALUE"""),6.0)</f>
        <v>6</v>
      </c>
      <c r="E1014" s="11">
        <f>IFERROR(__xludf.DUMMYFUNCTION("""COMPUTED_VALUE"""),2014.0)</f>
        <v>2014</v>
      </c>
      <c r="F1014" s="12">
        <f t="shared" si="1"/>
        <v>41826</v>
      </c>
      <c r="G1014" s="9">
        <v>41767.0</v>
      </c>
      <c r="H1014" s="3">
        <f>IFERROR(__xludf.DUMMYFUNCTION("split(G1014,""/"")"),8.0)</f>
        <v>8</v>
      </c>
      <c r="I1014" s="3">
        <f>IFERROR(__xludf.DUMMYFUNCTION("""COMPUTED_VALUE"""),5.0)</f>
        <v>5</v>
      </c>
      <c r="J1014" s="3">
        <f>IFERROR(__xludf.DUMMYFUNCTION("""COMPUTED_VALUE"""),2014.0)</f>
        <v>2014</v>
      </c>
      <c r="K1014" s="12">
        <f t="shared" si="2"/>
        <v>41856</v>
      </c>
      <c r="L1014" s="3" t="s">
        <v>817</v>
      </c>
      <c r="M1014" s="3" t="s">
        <v>431</v>
      </c>
      <c r="N1014" s="3">
        <v>8875.0</v>
      </c>
      <c r="O1014" s="3" t="s">
        <v>818</v>
      </c>
      <c r="P1014" s="10">
        <v>6380.0</v>
      </c>
      <c r="Q1014" s="13">
        <v>421.89</v>
      </c>
      <c r="R1014" s="13">
        <v>364.69</v>
      </c>
      <c r="S1014" s="13">
        <f t="shared" si="3"/>
        <v>2691658.2</v>
      </c>
      <c r="T1014" s="13">
        <f t="shared" si="4"/>
        <v>2326722.2</v>
      </c>
      <c r="U1014" s="13">
        <f t="shared" si="5"/>
        <v>364936</v>
      </c>
      <c r="V1014" s="3" t="str">
        <f>VLOOKUP(N1014,products!A:B,2,0)</f>
        <v>Meat</v>
      </c>
      <c r="W1014" s="3" t="s">
        <v>28</v>
      </c>
      <c r="X1014" s="3" t="s">
        <v>29</v>
      </c>
      <c r="Y1014" s="14">
        <f t="shared" si="10"/>
        <v>0.1355803646</v>
      </c>
      <c r="Z1014" s="3">
        <f t="shared" si="7"/>
        <v>30</v>
      </c>
      <c r="AA1014" s="15">
        <f t="shared" si="8"/>
        <v>1</v>
      </c>
    </row>
    <row r="1015" ht="15.75" customHeight="1">
      <c r="A1015" s="3">
        <v>7.64592492E8</v>
      </c>
      <c r="B1015" s="9">
        <v>42619.0</v>
      </c>
      <c r="C1015" s="3">
        <f>IFERROR(__xludf.DUMMYFUNCTION("split(B1015,""/"")"),6.0)</f>
        <v>6</v>
      </c>
      <c r="D1015" s="10">
        <f>IFERROR(__xludf.DUMMYFUNCTION("""COMPUTED_VALUE"""),9.0)</f>
        <v>9</v>
      </c>
      <c r="E1015" s="11">
        <f>IFERROR(__xludf.DUMMYFUNCTION("""COMPUTED_VALUE"""),2016.0)</f>
        <v>2016</v>
      </c>
      <c r="F1015" s="12">
        <f t="shared" si="1"/>
        <v>42530</v>
      </c>
      <c r="G1015" s="3" t="s">
        <v>1701</v>
      </c>
      <c r="H1015" s="3">
        <f>IFERROR(__xludf.DUMMYFUNCTION("split(G1015,""/"")"),7.0)</f>
        <v>7</v>
      </c>
      <c r="I1015" s="3">
        <f>IFERROR(__xludf.DUMMYFUNCTION("""COMPUTED_VALUE"""),19.0)</f>
        <v>19</v>
      </c>
      <c r="J1015" s="3">
        <f>IFERROR(__xludf.DUMMYFUNCTION("""COMPUTED_VALUE"""),2016.0)</f>
        <v>2016</v>
      </c>
      <c r="K1015" s="12">
        <f t="shared" si="2"/>
        <v>42570</v>
      </c>
      <c r="L1015" s="3" t="s">
        <v>814</v>
      </c>
      <c r="M1015" s="3" t="s">
        <v>373</v>
      </c>
      <c r="N1015" s="3">
        <v>8681.0</v>
      </c>
      <c r="O1015" s="3" t="s">
        <v>818</v>
      </c>
      <c r="P1015" s="10">
        <v>8764.0</v>
      </c>
      <c r="Q1015" s="13">
        <v>651.21</v>
      </c>
      <c r="R1015" s="13">
        <v>524.96</v>
      </c>
      <c r="S1015" s="13">
        <f t="shared" si="3"/>
        <v>5707204.44</v>
      </c>
      <c r="T1015" s="13">
        <f t="shared" si="4"/>
        <v>4600749.44</v>
      </c>
      <c r="U1015" s="13">
        <f t="shared" si="5"/>
        <v>1106455</v>
      </c>
      <c r="V1015" s="3" t="str">
        <f>VLOOKUP(N1015,products!A:B,2,0)</f>
        <v>Office Supplies</v>
      </c>
      <c r="W1015" s="3" t="s">
        <v>28</v>
      </c>
      <c r="X1015" s="3" t="s">
        <v>33</v>
      </c>
      <c r="Y1015" s="14">
        <f t="shared" si="10"/>
        <v>0.193869873</v>
      </c>
      <c r="Z1015" s="3">
        <f t="shared" si="7"/>
        <v>40</v>
      </c>
      <c r="AA1015" s="15">
        <f t="shared" si="8"/>
        <v>5</v>
      </c>
    </row>
    <row r="1016" ht="15.75" customHeight="1">
      <c r="A1016" s="3">
        <v>7.6481136E8</v>
      </c>
      <c r="B1016" s="3" t="s">
        <v>832</v>
      </c>
      <c r="C1016" s="3">
        <f>IFERROR(__xludf.DUMMYFUNCTION("split(B1016,""/"")"),9.0)</f>
        <v>9</v>
      </c>
      <c r="D1016" s="10">
        <f>IFERROR(__xludf.DUMMYFUNCTION("""COMPUTED_VALUE"""),19.0)</f>
        <v>19</v>
      </c>
      <c r="E1016" s="11">
        <f>IFERROR(__xludf.DUMMYFUNCTION("""COMPUTED_VALUE"""),2012.0)</f>
        <v>2012</v>
      </c>
      <c r="F1016" s="12">
        <f t="shared" si="1"/>
        <v>41171</v>
      </c>
      <c r="G1016" s="3" t="s">
        <v>1476</v>
      </c>
      <c r="H1016" s="3">
        <f>IFERROR(__xludf.DUMMYFUNCTION("split(G1016,""/"")"),9.0)</f>
        <v>9</v>
      </c>
      <c r="I1016" s="3">
        <f>IFERROR(__xludf.DUMMYFUNCTION("""COMPUTED_VALUE"""),30.0)</f>
        <v>30</v>
      </c>
      <c r="J1016" s="3">
        <f>IFERROR(__xludf.DUMMYFUNCTION("""COMPUTED_VALUE"""),2012.0)</f>
        <v>2012</v>
      </c>
      <c r="K1016" s="12">
        <f t="shared" si="2"/>
        <v>41182</v>
      </c>
      <c r="L1016" s="3" t="s">
        <v>817</v>
      </c>
      <c r="M1016" s="3" t="s">
        <v>270</v>
      </c>
      <c r="N1016" s="3">
        <v>2103.0</v>
      </c>
      <c r="O1016" s="3" t="s">
        <v>815</v>
      </c>
      <c r="P1016" s="10">
        <v>3532.0</v>
      </c>
      <c r="Q1016" s="13">
        <v>205.7</v>
      </c>
      <c r="R1016" s="13">
        <v>117.11</v>
      </c>
      <c r="S1016" s="13">
        <f t="shared" si="3"/>
        <v>726532.4</v>
      </c>
      <c r="T1016" s="13">
        <f t="shared" si="4"/>
        <v>413632.52</v>
      </c>
      <c r="U1016" s="13">
        <f t="shared" si="5"/>
        <v>312899.88</v>
      </c>
      <c r="V1016" s="3" t="str">
        <f>VLOOKUP(N1016,products!A:B,2,0)</f>
        <v>Cereal</v>
      </c>
      <c r="W1016" s="3" t="s">
        <v>28</v>
      </c>
      <c r="X1016" s="3" t="s">
        <v>79</v>
      </c>
      <c r="Y1016" s="14">
        <f t="shared" si="10"/>
        <v>0.4306757414</v>
      </c>
      <c r="Z1016" s="3">
        <f t="shared" si="7"/>
        <v>11</v>
      </c>
      <c r="AA1016" s="15">
        <f t="shared" si="8"/>
        <v>4</v>
      </c>
    </row>
    <row r="1017" ht="15.75" customHeight="1">
      <c r="A1017" s="3">
        <v>7.64837539E8</v>
      </c>
      <c r="B1017" s="9">
        <v>42530.0</v>
      </c>
      <c r="C1017" s="3">
        <f>IFERROR(__xludf.DUMMYFUNCTION("split(B1017,""/"")"),9.0)</f>
        <v>9</v>
      </c>
      <c r="D1017" s="10">
        <f>IFERROR(__xludf.DUMMYFUNCTION("""COMPUTED_VALUE"""),6.0)</f>
        <v>6</v>
      </c>
      <c r="E1017" s="11">
        <f>IFERROR(__xludf.DUMMYFUNCTION("""COMPUTED_VALUE"""),2016.0)</f>
        <v>2016</v>
      </c>
      <c r="F1017" s="12">
        <f t="shared" si="1"/>
        <v>42619</v>
      </c>
      <c r="G1017" s="9">
        <v>42530.0</v>
      </c>
      <c r="H1017" s="3">
        <f>IFERROR(__xludf.DUMMYFUNCTION("split(G1017,""/"")"),9.0)</f>
        <v>9</v>
      </c>
      <c r="I1017" s="3">
        <f>IFERROR(__xludf.DUMMYFUNCTION("""COMPUTED_VALUE"""),6.0)</f>
        <v>6</v>
      </c>
      <c r="J1017" s="3">
        <f>IFERROR(__xludf.DUMMYFUNCTION("""COMPUTED_VALUE"""),2016.0)</f>
        <v>2016</v>
      </c>
      <c r="K1017" s="12">
        <f t="shared" si="2"/>
        <v>42619</v>
      </c>
      <c r="L1017" s="3" t="s">
        <v>825</v>
      </c>
      <c r="M1017" s="3" t="s">
        <v>221</v>
      </c>
      <c r="N1017" s="3">
        <v>7331.0</v>
      </c>
      <c r="O1017" s="3" t="s">
        <v>815</v>
      </c>
      <c r="P1017" s="10">
        <v>1279.0</v>
      </c>
      <c r="Q1017" s="13">
        <v>255.28</v>
      </c>
      <c r="R1017" s="13">
        <v>159.42</v>
      </c>
      <c r="S1017" s="13">
        <f t="shared" si="3"/>
        <v>326503.12</v>
      </c>
      <c r="T1017" s="13">
        <f t="shared" si="4"/>
        <v>203898.18</v>
      </c>
      <c r="U1017" s="13">
        <f t="shared" si="5"/>
        <v>122604.94</v>
      </c>
      <c r="V1017" s="3" t="str">
        <f>VLOOKUP(N1017,products!A:B,2,0)</f>
        <v>Baby Food</v>
      </c>
      <c r="W1017" s="3" t="s">
        <v>28</v>
      </c>
      <c r="X1017" s="3" t="s">
        <v>29</v>
      </c>
      <c r="Y1017" s="14">
        <f t="shared" si="10"/>
        <v>0.3755092448</v>
      </c>
      <c r="Z1017" s="3">
        <f t="shared" si="7"/>
        <v>0</v>
      </c>
      <c r="AA1017" s="15">
        <f t="shared" si="8"/>
        <v>3</v>
      </c>
    </row>
    <row r="1018" ht="15.75" customHeight="1">
      <c r="A1018" s="3">
        <v>7.65101468E8</v>
      </c>
      <c r="B1018" s="3" t="s">
        <v>1565</v>
      </c>
      <c r="C1018" s="3">
        <f>IFERROR(__xludf.DUMMYFUNCTION("split(B1018,""/"")"),3.0)</f>
        <v>3</v>
      </c>
      <c r="D1018" s="10">
        <f>IFERROR(__xludf.DUMMYFUNCTION("""COMPUTED_VALUE"""),14.0)</f>
        <v>14</v>
      </c>
      <c r="E1018" s="11">
        <f>IFERROR(__xludf.DUMMYFUNCTION("""COMPUTED_VALUE"""),2014.0)</f>
        <v>2014</v>
      </c>
      <c r="F1018" s="12">
        <f t="shared" si="1"/>
        <v>41712</v>
      </c>
      <c r="G1018" s="9">
        <v>41794.0</v>
      </c>
      <c r="H1018" s="3">
        <f>IFERROR(__xludf.DUMMYFUNCTION("split(G1018,""/"")"),4.0)</f>
        <v>4</v>
      </c>
      <c r="I1018" s="3">
        <f>IFERROR(__xludf.DUMMYFUNCTION("""COMPUTED_VALUE"""),6.0)</f>
        <v>6</v>
      </c>
      <c r="J1018" s="3">
        <f>IFERROR(__xludf.DUMMYFUNCTION("""COMPUTED_VALUE"""),2014.0)</f>
        <v>2014</v>
      </c>
      <c r="K1018" s="12">
        <f t="shared" si="2"/>
        <v>41735</v>
      </c>
      <c r="L1018" s="3" t="s">
        <v>827</v>
      </c>
      <c r="M1018" s="3" t="s">
        <v>413</v>
      </c>
      <c r="N1018" s="3">
        <v>8293.0</v>
      </c>
      <c r="O1018" s="3" t="s">
        <v>815</v>
      </c>
      <c r="P1018" s="10">
        <v>9382.0</v>
      </c>
      <c r="Q1018" s="13">
        <v>437.2</v>
      </c>
      <c r="R1018" s="13">
        <v>263.33</v>
      </c>
      <c r="S1018" s="13">
        <f t="shared" si="3"/>
        <v>4101810.4</v>
      </c>
      <c r="T1018" s="13">
        <f t="shared" si="4"/>
        <v>2470562.06</v>
      </c>
      <c r="U1018" s="13">
        <f t="shared" si="5"/>
        <v>1631248.34</v>
      </c>
      <c r="V1018" s="3" t="str">
        <f>VLOOKUP(N1018,products!A:B,2,0)</f>
        <v>Cosmetics</v>
      </c>
      <c r="W1018" s="3" t="s">
        <v>28</v>
      </c>
      <c r="X1018" s="3" t="s">
        <v>29</v>
      </c>
      <c r="Y1018" s="14">
        <f t="shared" si="10"/>
        <v>0.3976898445</v>
      </c>
      <c r="Z1018" s="3">
        <f t="shared" si="7"/>
        <v>23</v>
      </c>
      <c r="AA1018" s="15">
        <f t="shared" si="8"/>
        <v>6</v>
      </c>
    </row>
    <row r="1019" ht="15.75" customHeight="1">
      <c r="A1019" s="3">
        <v>7.65552079E8</v>
      </c>
      <c r="B1019" s="9">
        <v>40822.0</v>
      </c>
      <c r="C1019" s="3">
        <f>IFERROR(__xludf.DUMMYFUNCTION("split(B1019,""/"")"),6.0)</f>
        <v>6</v>
      </c>
      <c r="D1019" s="10">
        <f>IFERROR(__xludf.DUMMYFUNCTION("""COMPUTED_VALUE"""),10.0)</f>
        <v>10</v>
      </c>
      <c r="E1019" s="11">
        <f>IFERROR(__xludf.DUMMYFUNCTION("""COMPUTED_VALUE"""),2011.0)</f>
        <v>2011</v>
      </c>
      <c r="F1019" s="12">
        <f t="shared" si="1"/>
        <v>40704</v>
      </c>
      <c r="G1019" s="3" t="s">
        <v>1571</v>
      </c>
      <c r="H1019" s="3">
        <f>IFERROR(__xludf.DUMMYFUNCTION("split(G1019,""/"")"),7.0)</f>
        <v>7</v>
      </c>
      <c r="I1019" s="3">
        <f>IFERROR(__xludf.DUMMYFUNCTION("""COMPUTED_VALUE"""),17.0)</f>
        <v>17</v>
      </c>
      <c r="J1019" s="3">
        <f>IFERROR(__xludf.DUMMYFUNCTION("""COMPUTED_VALUE"""),2011.0)</f>
        <v>2011</v>
      </c>
      <c r="K1019" s="12">
        <f t="shared" si="2"/>
        <v>40741</v>
      </c>
      <c r="L1019" s="3" t="s">
        <v>814</v>
      </c>
      <c r="M1019" s="3" t="s">
        <v>650</v>
      </c>
      <c r="N1019" s="3">
        <v>8969.0</v>
      </c>
      <c r="O1019" s="3" t="s">
        <v>818</v>
      </c>
      <c r="P1019" s="10">
        <v>2727.0</v>
      </c>
      <c r="Q1019" s="13">
        <v>152.58</v>
      </c>
      <c r="R1019" s="13">
        <v>97.44</v>
      </c>
      <c r="S1019" s="13">
        <f t="shared" si="3"/>
        <v>416085.66</v>
      </c>
      <c r="T1019" s="13">
        <f t="shared" si="4"/>
        <v>265718.88</v>
      </c>
      <c r="U1019" s="13">
        <f t="shared" si="5"/>
        <v>150366.78</v>
      </c>
      <c r="V1019" s="3" t="str">
        <f>VLOOKUP(N1019,products!A:B,2,0)</f>
        <v>Snacks</v>
      </c>
      <c r="W1019" s="3" t="s">
        <v>28</v>
      </c>
      <c r="X1019" s="3" t="s">
        <v>98</v>
      </c>
      <c r="Y1019" s="14">
        <f t="shared" si="10"/>
        <v>0.3613841919</v>
      </c>
      <c r="Z1019" s="3">
        <f t="shared" si="7"/>
        <v>37</v>
      </c>
      <c r="AA1019" s="15">
        <f t="shared" si="8"/>
        <v>6</v>
      </c>
    </row>
    <row r="1020" ht="15.75" customHeight="1">
      <c r="A1020" s="3">
        <v>7.6573404E8</v>
      </c>
      <c r="B1020" s="9">
        <v>43015.0</v>
      </c>
      <c r="C1020" s="3">
        <f>IFERROR(__xludf.DUMMYFUNCTION("split(B1020,""/"")"),7.0)</f>
        <v>7</v>
      </c>
      <c r="D1020" s="10">
        <f>IFERROR(__xludf.DUMMYFUNCTION("""COMPUTED_VALUE"""),10.0)</f>
        <v>10</v>
      </c>
      <c r="E1020" s="11">
        <f>IFERROR(__xludf.DUMMYFUNCTION("""COMPUTED_VALUE"""),2017.0)</f>
        <v>2017</v>
      </c>
      <c r="F1020" s="12">
        <f t="shared" si="1"/>
        <v>42926</v>
      </c>
      <c r="G1020" s="9">
        <v>42833.0</v>
      </c>
      <c r="H1020" s="3">
        <f>IFERROR(__xludf.DUMMYFUNCTION("split(G1020,""/"")"),8.0)</f>
        <v>8</v>
      </c>
      <c r="I1020" s="3">
        <f>IFERROR(__xludf.DUMMYFUNCTION("""COMPUTED_VALUE"""),4.0)</f>
        <v>4</v>
      </c>
      <c r="J1020" s="3">
        <f>IFERROR(__xludf.DUMMYFUNCTION("""COMPUTED_VALUE"""),2017.0)</f>
        <v>2017</v>
      </c>
      <c r="K1020" s="12">
        <f t="shared" si="2"/>
        <v>42951</v>
      </c>
      <c r="L1020" s="3" t="s">
        <v>825</v>
      </c>
      <c r="M1020" s="3" t="s">
        <v>623</v>
      </c>
      <c r="N1020" s="3">
        <v>4594.0</v>
      </c>
      <c r="O1020" s="3" t="s">
        <v>815</v>
      </c>
      <c r="P1020" s="10">
        <v>6574.0</v>
      </c>
      <c r="Q1020" s="13">
        <v>9.33</v>
      </c>
      <c r="R1020" s="13">
        <v>6.92</v>
      </c>
      <c r="S1020" s="13">
        <f t="shared" si="3"/>
        <v>61335.42</v>
      </c>
      <c r="T1020" s="13">
        <f t="shared" si="4"/>
        <v>45492.08</v>
      </c>
      <c r="U1020" s="13">
        <f t="shared" si="5"/>
        <v>15843.34</v>
      </c>
      <c r="V1020" s="3" t="str">
        <f>VLOOKUP(N1020,products!A:B,2,0)</f>
        <v>Fruits</v>
      </c>
      <c r="W1020" s="3" t="s">
        <v>28</v>
      </c>
      <c r="X1020" s="3" t="s">
        <v>33</v>
      </c>
      <c r="Y1020" s="14">
        <f t="shared" si="10"/>
        <v>0.258306538</v>
      </c>
      <c r="Z1020" s="3">
        <f t="shared" si="7"/>
        <v>25</v>
      </c>
      <c r="AA1020" s="15">
        <f t="shared" si="8"/>
        <v>2</v>
      </c>
    </row>
    <row r="1021" ht="15.75" customHeight="1">
      <c r="A1021" s="3">
        <v>7.65858924E8</v>
      </c>
      <c r="B1021" s="3" t="s">
        <v>1108</v>
      </c>
      <c r="C1021" s="3">
        <f>IFERROR(__xludf.DUMMYFUNCTION("split(B1021,""/"")"),6.0)</f>
        <v>6</v>
      </c>
      <c r="D1021" s="10">
        <f>IFERROR(__xludf.DUMMYFUNCTION("""COMPUTED_VALUE"""),19.0)</f>
        <v>19</v>
      </c>
      <c r="E1021" s="11">
        <f>IFERROR(__xludf.DUMMYFUNCTION("""COMPUTED_VALUE"""),2014.0)</f>
        <v>2014</v>
      </c>
      <c r="F1021" s="12">
        <f t="shared" si="1"/>
        <v>41809</v>
      </c>
      <c r="G1021" s="3" t="s">
        <v>1452</v>
      </c>
      <c r="H1021" s="3">
        <f>IFERROR(__xludf.DUMMYFUNCTION("split(G1021,""/"")"),7.0)</f>
        <v>7</v>
      </c>
      <c r="I1021" s="3">
        <f>IFERROR(__xludf.DUMMYFUNCTION("""COMPUTED_VALUE"""),21.0)</f>
        <v>21</v>
      </c>
      <c r="J1021" s="3">
        <f>IFERROR(__xludf.DUMMYFUNCTION("""COMPUTED_VALUE"""),2014.0)</f>
        <v>2014</v>
      </c>
      <c r="K1021" s="12">
        <f t="shared" si="2"/>
        <v>41841</v>
      </c>
      <c r="L1021" s="3" t="s">
        <v>827</v>
      </c>
      <c r="M1021" s="3" t="s">
        <v>590</v>
      </c>
      <c r="N1021" s="3">
        <v>7940.0</v>
      </c>
      <c r="O1021" s="3" t="s">
        <v>818</v>
      </c>
      <c r="P1021" s="10">
        <v>3530.0</v>
      </c>
      <c r="Q1021" s="13">
        <v>668.27</v>
      </c>
      <c r="R1021" s="13">
        <v>502.54</v>
      </c>
      <c r="S1021" s="13">
        <f t="shared" si="3"/>
        <v>2358993.1</v>
      </c>
      <c r="T1021" s="13">
        <f t="shared" si="4"/>
        <v>1773966.2</v>
      </c>
      <c r="U1021" s="13">
        <f t="shared" si="5"/>
        <v>585026.9</v>
      </c>
      <c r="V1021" s="3" t="str">
        <f>VLOOKUP(N1021,products!A:B,2,0)</f>
        <v>Household</v>
      </c>
      <c r="W1021" s="3" t="s">
        <v>28</v>
      </c>
      <c r="X1021" s="3" t="s">
        <v>98</v>
      </c>
      <c r="Y1021" s="14">
        <f t="shared" si="10"/>
        <v>0.2479985635</v>
      </c>
      <c r="Z1021" s="3">
        <f t="shared" si="7"/>
        <v>32</v>
      </c>
      <c r="AA1021" s="15">
        <f t="shared" si="8"/>
        <v>5</v>
      </c>
    </row>
    <row r="1022" ht="15.75" customHeight="1">
      <c r="A1022" s="3">
        <v>7.66118133E8</v>
      </c>
      <c r="B1022" s="9">
        <v>40431.0</v>
      </c>
      <c r="C1022" s="3">
        <f>IFERROR(__xludf.DUMMYFUNCTION("split(B1022,""/"")"),10.0)</f>
        <v>10</v>
      </c>
      <c r="D1022" s="10">
        <f>IFERROR(__xludf.DUMMYFUNCTION("""COMPUTED_VALUE"""),9.0)</f>
        <v>9</v>
      </c>
      <c r="E1022" s="11">
        <f>IFERROR(__xludf.DUMMYFUNCTION("""COMPUTED_VALUE"""),2010.0)</f>
        <v>2010</v>
      </c>
      <c r="F1022" s="12">
        <f t="shared" si="1"/>
        <v>40460</v>
      </c>
      <c r="G1022" s="9">
        <v>40461.0</v>
      </c>
      <c r="H1022" s="3">
        <f>IFERROR(__xludf.DUMMYFUNCTION("split(G1022,""/"")"),10.0)</f>
        <v>10</v>
      </c>
      <c r="I1022" s="3">
        <f>IFERROR(__xludf.DUMMYFUNCTION("""COMPUTED_VALUE"""),10.0)</f>
        <v>10</v>
      </c>
      <c r="J1022" s="3">
        <f>IFERROR(__xludf.DUMMYFUNCTION("""COMPUTED_VALUE"""),2010.0)</f>
        <v>2010</v>
      </c>
      <c r="K1022" s="12">
        <f t="shared" si="2"/>
        <v>40461</v>
      </c>
      <c r="L1022" s="3" t="s">
        <v>817</v>
      </c>
      <c r="M1022" s="3" t="s">
        <v>686</v>
      </c>
      <c r="N1022" s="3">
        <v>7940.0</v>
      </c>
      <c r="O1022" s="3" t="s">
        <v>818</v>
      </c>
      <c r="P1022" s="10">
        <v>235.0</v>
      </c>
      <c r="Q1022" s="13">
        <v>668.27</v>
      </c>
      <c r="R1022" s="13">
        <v>502.54</v>
      </c>
      <c r="S1022" s="13">
        <f t="shared" si="3"/>
        <v>157043.45</v>
      </c>
      <c r="T1022" s="13">
        <f t="shared" si="4"/>
        <v>118096.9</v>
      </c>
      <c r="U1022" s="13">
        <f t="shared" si="5"/>
        <v>38946.55</v>
      </c>
      <c r="V1022" s="3" t="str">
        <f>VLOOKUP(N1022,products!A:B,2,0)</f>
        <v>Household</v>
      </c>
      <c r="W1022" s="3" t="s">
        <v>28</v>
      </c>
      <c r="X1022" s="3" t="s">
        <v>29</v>
      </c>
      <c r="Y1022" s="14">
        <f t="shared" si="10"/>
        <v>0.2479985635</v>
      </c>
      <c r="Z1022" s="3">
        <f t="shared" si="7"/>
        <v>1</v>
      </c>
      <c r="AA1022" s="15">
        <f t="shared" si="8"/>
        <v>7</v>
      </c>
    </row>
    <row r="1023" ht="15.75" customHeight="1">
      <c r="A1023" s="3">
        <v>7.67490565E8</v>
      </c>
      <c r="B1023" s="3" t="s">
        <v>1232</v>
      </c>
      <c r="C1023" s="3">
        <f>IFERROR(__xludf.DUMMYFUNCTION("split(B1023,""/"")"),1.0)</f>
        <v>1</v>
      </c>
      <c r="D1023" s="10">
        <f>IFERROR(__xludf.DUMMYFUNCTION("""COMPUTED_VALUE"""),16.0)</f>
        <v>16</v>
      </c>
      <c r="E1023" s="11">
        <f>IFERROR(__xludf.DUMMYFUNCTION("""COMPUTED_VALUE"""),2016.0)</f>
        <v>2016</v>
      </c>
      <c r="F1023" s="12">
        <f t="shared" si="1"/>
        <v>42385</v>
      </c>
      <c r="G1023" s="3" t="s">
        <v>1702</v>
      </c>
      <c r="H1023" s="3">
        <f>IFERROR(__xludf.DUMMYFUNCTION("split(G1023,""/"")"),2.0)</f>
        <v>2</v>
      </c>
      <c r="I1023" s="3">
        <f>IFERROR(__xludf.DUMMYFUNCTION("""COMPUTED_VALUE"""),23.0)</f>
        <v>23</v>
      </c>
      <c r="J1023" s="3">
        <f>IFERROR(__xludf.DUMMYFUNCTION("""COMPUTED_VALUE"""),2016.0)</f>
        <v>2016</v>
      </c>
      <c r="K1023" s="12">
        <f t="shared" si="2"/>
        <v>42423</v>
      </c>
      <c r="L1023" s="3" t="s">
        <v>827</v>
      </c>
      <c r="M1023" s="3" t="s">
        <v>512</v>
      </c>
      <c r="N1023" s="3">
        <v>2455.0</v>
      </c>
      <c r="O1023" s="3" t="s">
        <v>815</v>
      </c>
      <c r="P1023" s="10">
        <v>6368.0</v>
      </c>
      <c r="Q1023" s="13">
        <v>109.28</v>
      </c>
      <c r="R1023" s="13">
        <v>35.84</v>
      </c>
      <c r="S1023" s="13">
        <f t="shared" si="3"/>
        <v>695895.04</v>
      </c>
      <c r="T1023" s="13">
        <f t="shared" si="4"/>
        <v>228229.12</v>
      </c>
      <c r="U1023" s="13">
        <f t="shared" si="5"/>
        <v>467665.92</v>
      </c>
      <c r="V1023" s="3" t="str">
        <f>VLOOKUP(N1023,products!A:B,2,0)</f>
        <v>Clothes</v>
      </c>
      <c r="W1023" s="3" t="s">
        <v>28</v>
      </c>
      <c r="X1023" s="3" t="s">
        <v>79</v>
      </c>
      <c r="Y1023" s="14">
        <f t="shared" si="10"/>
        <v>0.6720351391</v>
      </c>
      <c r="Z1023" s="3">
        <f t="shared" si="7"/>
        <v>38</v>
      </c>
      <c r="AA1023" s="15">
        <f t="shared" si="8"/>
        <v>7</v>
      </c>
    </row>
    <row r="1024" ht="15.75" customHeight="1">
      <c r="A1024" s="3">
        <v>7.68230426E8</v>
      </c>
      <c r="B1024" s="3" t="s">
        <v>969</v>
      </c>
      <c r="C1024" s="3">
        <f>IFERROR(__xludf.DUMMYFUNCTION("split(B1024,""/"")"),5.0)</f>
        <v>5</v>
      </c>
      <c r="D1024" s="10">
        <f>IFERROR(__xludf.DUMMYFUNCTION("""COMPUTED_VALUE"""),31.0)</f>
        <v>31</v>
      </c>
      <c r="E1024" s="11">
        <f>IFERROR(__xludf.DUMMYFUNCTION("""COMPUTED_VALUE"""),2010.0)</f>
        <v>2010</v>
      </c>
      <c r="F1024" s="12">
        <f t="shared" si="1"/>
        <v>40329</v>
      </c>
      <c r="G1024" s="3" t="s">
        <v>869</v>
      </c>
      <c r="H1024" s="3">
        <f>IFERROR(__xludf.DUMMYFUNCTION("split(G1024,""/"")"),6.0)</f>
        <v>6</v>
      </c>
      <c r="I1024" s="3">
        <f>IFERROR(__xludf.DUMMYFUNCTION("""COMPUTED_VALUE"""),22.0)</f>
        <v>22</v>
      </c>
      <c r="J1024" s="3">
        <f>IFERROR(__xludf.DUMMYFUNCTION("""COMPUTED_VALUE"""),2010.0)</f>
        <v>2010</v>
      </c>
      <c r="K1024" s="12">
        <f t="shared" si="2"/>
        <v>40351</v>
      </c>
      <c r="L1024" s="3" t="s">
        <v>817</v>
      </c>
      <c r="M1024" s="3" t="s">
        <v>142</v>
      </c>
      <c r="N1024" s="3">
        <v>8969.0</v>
      </c>
      <c r="O1024" s="3" t="s">
        <v>815</v>
      </c>
      <c r="P1024" s="10">
        <v>5310.0</v>
      </c>
      <c r="Q1024" s="13">
        <v>152.58</v>
      </c>
      <c r="R1024" s="13">
        <v>97.44</v>
      </c>
      <c r="S1024" s="13">
        <f t="shared" si="3"/>
        <v>810199.8</v>
      </c>
      <c r="T1024" s="13">
        <f t="shared" si="4"/>
        <v>517406.4</v>
      </c>
      <c r="U1024" s="13">
        <f t="shared" si="5"/>
        <v>292793.4</v>
      </c>
      <c r="V1024" s="3" t="str">
        <f>VLOOKUP(N1024,products!A:B,2,0)</f>
        <v>Snacks</v>
      </c>
      <c r="W1024" s="3" t="s">
        <v>28</v>
      </c>
      <c r="X1024" s="3" t="s">
        <v>98</v>
      </c>
      <c r="Y1024" s="14">
        <f t="shared" si="10"/>
        <v>0.3613841919</v>
      </c>
      <c r="Z1024" s="3">
        <f t="shared" si="7"/>
        <v>22</v>
      </c>
      <c r="AA1024" s="15">
        <f t="shared" si="8"/>
        <v>2</v>
      </c>
    </row>
    <row r="1025" ht="15.75" customHeight="1">
      <c r="A1025" s="3">
        <v>7.68676316E8</v>
      </c>
      <c r="B1025" s="9">
        <v>41791.0</v>
      </c>
      <c r="C1025" s="3">
        <f>IFERROR(__xludf.DUMMYFUNCTION("split(B1025,""/"")"),1.0)</f>
        <v>1</v>
      </c>
      <c r="D1025" s="10">
        <f>IFERROR(__xludf.DUMMYFUNCTION("""COMPUTED_VALUE"""),6.0)</f>
        <v>6</v>
      </c>
      <c r="E1025" s="11">
        <f>IFERROR(__xludf.DUMMYFUNCTION("""COMPUTED_VALUE"""),2014.0)</f>
        <v>2014</v>
      </c>
      <c r="F1025" s="12">
        <f t="shared" si="1"/>
        <v>41645</v>
      </c>
      <c r="G1025" s="9">
        <v>41853.0</v>
      </c>
      <c r="H1025" s="3">
        <f>IFERROR(__xludf.DUMMYFUNCTION("split(G1025,""/"")"),2.0)</f>
        <v>2</v>
      </c>
      <c r="I1025" s="3">
        <f>IFERROR(__xludf.DUMMYFUNCTION("""COMPUTED_VALUE"""),8.0)</f>
        <v>8</v>
      </c>
      <c r="J1025" s="3">
        <f>IFERROR(__xludf.DUMMYFUNCTION("""COMPUTED_VALUE"""),2014.0)</f>
        <v>2014</v>
      </c>
      <c r="K1025" s="12">
        <f t="shared" si="2"/>
        <v>41678</v>
      </c>
      <c r="L1025" s="3" t="s">
        <v>825</v>
      </c>
      <c r="M1025" s="3" t="s">
        <v>346</v>
      </c>
      <c r="N1025" s="3">
        <v>5988.0</v>
      </c>
      <c r="O1025" s="3" t="s">
        <v>818</v>
      </c>
      <c r="P1025" s="10">
        <v>7259.0</v>
      </c>
      <c r="Q1025" s="13">
        <v>154.06</v>
      </c>
      <c r="R1025" s="13">
        <v>90.93</v>
      </c>
      <c r="S1025" s="13">
        <f t="shared" si="3"/>
        <v>1118321.54</v>
      </c>
      <c r="T1025" s="13">
        <f t="shared" si="4"/>
        <v>660060.87</v>
      </c>
      <c r="U1025" s="13">
        <f t="shared" si="5"/>
        <v>458260.67</v>
      </c>
      <c r="V1025" s="3" t="str">
        <f>VLOOKUP(N1025,products!A:B,2,0)</f>
        <v>Vegetables</v>
      </c>
      <c r="W1025" s="3" t="s">
        <v>28</v>
      </c>
      <c r="X1025" s="3" t="s">
        <v>98</v>
      </c>
      <c r="Y1025" s="14">
        <f t="shared" si="10"/>
        <v>0.4097754122</v>
      </c>
      <c r="Z1025" s="3">
        <f t="shared" si="7"/>
        <v>33</v>
      </c>
      <c r="AA1025" s="15">
        <f t="shared" si="8"/>
        <v>2</v>
      </c>
    </row>
    <row r="1026" ht="15.75" customHeight="1">
      <c r="A1026" s="3">
        <v>7.70821654E8</v>
      </c>
      <c r="B1026" s="3" t="s">
        <v>1529</v>
      </c>
      <c r="C1026" s="3">
        <f>IFERROR(__xludf.DUMMYFUNCTION("split(B1026,""/"")"),7.0)</f>
        <v>7</v>
      </c>
      <c r="D1026" s="10">
        <f>IFERROR(__xludf.DUMMYFUNCTION("""COMPUTED_VALUE"""),26.0)</f>
        <v>26</v>
      </c>
      <c r="E1026" s="11">
        <f>IFERROR(__xludf.DUMMYFUNCTION("""COMPUTED_VALUE"""),2014.0)</f>
        <v>2014</v>
      </c>
      <c r="F1026" s="12">
        <f t="shared" si="1"/>
        <v>41846</v>
      </c>
      <c r="G1026" s="3" t="s">
        <v>1703</v>
      </c>
      <c r="H1026" s="3">
        <f>IFERROR(__xludf.DUMMYFUNCTION("split(G1026,""/"")"),8.0)</f>
        <v>8</v>
      </c>
      <c r="I1026" s="3">
        <f>IFERROR(__xludf.DUMMYFUNCTION("""COMPUTED_VALUE"""),19.0)</f>
        <v>19</v>
      </c>
      <c r="J1026" s="3">
        <f>IFERROR(__xludf.DUMMYFUNCTION("""COMPUTED_VALUE"""),2014.0)</f>
        <v>2014</v>
      </c>
      <c r="K1026" s="12">
        <f t="shared" si="2"/>
        <v>41870</v>
      </c>
      <c r="L1026" s="3" t="s">
        <v>817</v>
      </c>
      <c r="M1026" s="3" t="s">
        <v>821</v>
      </c>
      <c r="N1026" s="3">
        <v>8681.0</v>
      </c>
      <c r="O1026" s="3" t="s">
        <v>818</v>
      </c>
      <c r="P1026" s="10">
        <v>2112.0</v>
      </c>
      <c r="Q1026" s="13">
        <v>651.21</v>
      </c>
      <c r="R1026" s="13">
        <v>524.96</v>
      </c>
      <c r="S1026" s="13">
        <f t="shared" si="3"/>
        <v>1375355.52</v>
      </c>
      <c r="T1026" s="13">
        <f t="shared" si="4"/>
        <v>1108715.52</v>
      </c>
      <c r="U1026" s="13">
        <f t="shared" si="5"/>
        <v>266640</v>
      </c>
      <c r="V1026" s="3" t="str">
        <f>VLOOKUP(N1026,products!A:B,2,0)</f>
        <v>Office Supplies</v>
      </c>
      <c r="W1026" s="3" t="s">
        <v>821</v>
      </c>
      <c r="X1026" s="3" t="s">
        <v>821</v>
      </c>
      <c r="Y1026" s="14">
        <f t="shared" si="10"/>
        <v>0.193869873</v>
      </c>
      <c r="Z1026" s="3">
        <f t="shared" si="7"/>
        <v>24</v>
      </c>
      <c r="AA1026" s="15">
        <f t="shared" si="8"/>
        <v>7</v>
      </c>
    </row>
    <row r="1027" ht="15.75" customHeight="1">
      <c r="A1027" s="3">
        <v>7.71674382E8</v>
      </c>
      <c r="B1027" s="3" t="s">
        <v>1704</v>
      </c>
      <c r="C1027" s="3">
        <f>IFERROR(__xludf.DUMMYFUNCTION("split(B1027,""/"")"),2.0)</f>
        <v>2</v>
      </c>
      <c r="D1027" s="10">
        <f>IFERROR(__xludf.DUMMYFUNCTION("""COMPUTED_VALUE"""),14.0)</f>
        <v>14</v>
      </c>
      <c r="E1027" s="11">
        <f>IFERROR(__xludf.DUMMYFUNCTION("""COMPUTED_VALUE"""),2013.0)</f>
        <v>2013</v>
      </c>
      <c r="F1027" s="12">
        <f t="shared" si="1"/>
        <v>41319</v>
      </c>
      <c r="G1027" s="3" t="s">
        <v>990</v>
      </c>
      <c r="H1027" s="3">
        <f>IFERROR(__xludf.DUMMYFUNCTION("split(G1027,""/"")"),3.0)</f>
        <v>3</v>
      </c>
      <c r="I1027" s="3">
        <f>IFERROR(__xludf.DUMMYFUNCTION("""COMPUTED_VALUE"""),21.0)</f>
        <v>21</v>
      </c>
      <c r="J1027" s="3">
        <f>IFERROR(__xludf.DUMMYFUNCTION("""COMPUTED_VALUE"""),2013.0)</f>
        <v>2013</v>
      </c>
      <c r="K1027" s="12">
        <f t="shared" si="2"/>
        <v>41354</v>
      </c>
      <c r="L1027" s="3" t="s">
        <v>825</v>
      </c>
      <c r="M1027" s="3" t="s">
        <v>267</v>
      </c>
      <c r="N1027" s="3">
        <v>5988.0</v>
      </c>
      <c r="O1027" s="3" t="s">
        <v>818</v>
      </c>
      <c r="P1027" s="10">
        <v>4453.0</v>
      </c>
      <c r="Q1027" s="13">
        <v>154.06</v>
      </c>
      <c r="R1027" s="13">
        <v>90.93</v>
      </c>
      <c r="S1027" s="13">
        <f t="shared" si="3"/>
        <v>686029.18</v>
      </c>
      <c r="T1027" s="13">
        <f t="shared" si="4"/>
        <v>404911.29</v>
      </c>
      <c r="U1027" s="13">
        <f t="shared" si="5"/>
        <v>281117.89</v>
      </c>
      <c r="V1027" s="3" t="str">
        <f>VLOOKUP(N1027,products!A:B,2,0)</f>
        <v>Vegetables</v>
      </c>
      <c r="W1027" s="3" t="s">
        <v>28</v>
      </c>
      <c r="X1027" s="3" t="s">
        <v>29</v>
      </c>
      <c r="Y1027" s="14">
        <f t="shared" si="10"/>
        <v>0.4097754122</v>
      </c>
      <c r="Z1027" s="3">
        <f t="shared" si="7"/>
        <v>35</v>
      </c>
      <c r="AA1027" s="15">
        <f t="shared" si="8"/>
        <v>5</v>
      </c>
    </row>
    <row r="1028" ht="15.75" customHeight="1">
      <c r="A1028" s="3">
        <v>7.72643411E8</v>
      </c>
      <c r="B1028" s="3" t="s">
        <v>1562</v>
      </c>
      <c r="C1028" s="3">
        <f>IFERROR(__xludf.DUMMYFUNCTION("split(B1028,""/"")"),7.0)</f>
        <v>7</v>
      </c>
      <c r="D1028" s="10">
        <f>IFERROR(__xludf.DUMMYFUNCTION("""COMPUTED_VALUE"""),19.0)</f>
        <v>19</v>
      </c>
      <c r="E1028" s="11">
        <f>IFERROR(__xludf.DUMMYFUNCTION("""COMPUTED_VALUE"""),2010.0)</f>
        <v>2010</v>
      </c>
      <c r="F1028" s="12">
        <f t="shared" si="1"/>
        <v>40378</v>
      </c>
      <c r="G1028" s="3" t="s">
        <v>1705</v>
      </c>
      <c r="H1028" s="3">
        <f>IFERROR(__xludf.DUMMYFUNCTION("split(G1028,""/"")"),8.0)</f>
        <v>8</v>
      </c>
      <c r="I1028" s="3">
        <f>IFERROR(__xludf.DUMMYFUNCTION("""COMPUTED_VALUE"""),25.0)</f>
        <v>25</v>
      </c>
      <c r="J1028" s="3">
        <f>IFERROR(__xludf.DUMMYFUNCTION("""COMPUTED_VALUE"""),2010.0)</f>
        <v>2010</v>
      </c>
      <c r="K1028" s="12">
        <f t="shared" si="2"/>
        <v>40415</v>
      </c>
      <c r="L1028" s="3" t="s">
        <v>825</v>
      </c>
      <c r="M1028" s="3" t="s">
        <v>686</v>
      </c>
      <c r="N1028" s="3">
        <v>2103.0</v>
      </c>
      <c r="O1028" s="3" t="s">
        <v>815</v>
      </c>
      <c r="P1028" s="10">
        <v>1210.0</v>
      </c>
      <c r="Q1028" s="13">
        <v>205.7</v>
      </c>
      <c r="R1028" s="13">
        <v>117.11</v>
      </c>
      <c r="S1028" s="13">
        <f t="shared" si="3"/>
        <v>248897</v>
      </c>
      <c r="T1028" s="13">
        <f t="shared" si="4"/>
        <v>141703.1</v>
      </c>
      <c r="U1028" s="13">
        <f t="shared" si="5"/>
        <v>107193.9</v>
      </c>
      <c r="V1028" s="3" t="str">
        <f>VLOOKUP(N1028,products!A:B,2,0)</f>
        <v>Cereal</v>
      </c>
      <c r="W1028" s="3" t="s">
        <v>28</v>
      </c>
      <c r="X1028" s="3" t="s">
        <v>29</v>
      </c>
      <c r="Y1028" s="14">
        <f t="shared" si="10"/>
        <v>0.4306757414</v>
      </c>
      <c r="Z1028" s="3">
        <f t="shared" si="7"/>
        <v>37</v>
      </c>
      <c r="AA1028" s="15">
        <f t="shared" si="8"/>
        <v>2</v>
      </c>
    </row>
    <row r="1029" ht="15.75" customHeight="1">
      <c r="A1029" s="3">
        <v>7.72893178E8</v>
      </c>
      <c r="B1029" s="9">
        <v>40940.0</v>
      </c>
      <c r="C1029" s="3">
        <f>IFERROR(__xludf.DUMMYFUNCTION("split(B1029,""/"")"),1.0)</f>
        <v>1</v>
      </c>
      <c r="D1029" s="10">
        <f>IFERROR(__xludf.DUMMYFUNCTION("""COMPUTED_VALUE"""),2.0)</f>
        <v>2</v>
      </c>
      <c r="E1029" s="11">
        <f>IFERROR(__xludf.DUMMYFUNCTION("""COMPUTED_VALUE"""),2012.0)</f>
        <v>2012</v>
      </c>
      <c r="F1029" s="12">
        <f t="shared" si="1"/>
        <v>40910</v>
      </c>
      <c r="G1029" s="9">
        <v>40940.0</v>
      </c>
      <c r="H1029" s="3">
        <f>IFERROR(__xludf.DUMMYFUNCTION("split(G1029,""/"")"),1.0)</f>
        <v>1</v>
      </c>
      <c r="I1029" s="3">
        <f>IFERROR(__xludf.DUMMYFUNCTION("""COMPUTED_VALUE"""),2.0)</f>
        <v>2</v>
      </c>
      <c r="J1029" s="3">
        <f>IFERROR(__xludf.DUMMYFUNCTION("""COMPUTED_VALUE"""),2012.0)</f>
        <v>2012</v>
      </c>
      <c r="K1029" s="12">
        <f t="shared" si="2"/>
        <v>40910</v>
      </c>
      <c r="L1029" s="3" t="s">
        <v>825</v>
      </c>
      <c r="M1029" s="3" t="s">
        <v>623</v>
      </c>
      <c r="N1029" s="3">
        <v>1270.0</v>
      </c>
      <c r="O1029" s="3" t="s">
        <v>818</v>
      </c>
      <c r="P1029" s="10">
        <v>5122.0</v>
      </c>
      <c r="Q1029" s="13">
        <v>47.45</v>
      </c>
      <c r="R1029" s="13">
        <v>31.79</v>
      </c>
      <c r="S1029" s="13">
        <f t="shared" si="3"/>
        <v>243038.9</v>
      </c>
      <c r="T1029" s="13">
        <f t="shared" si="4"/>
        <v>162828.38</v>
      </c>
      <c r="U1029" s="13">
        <f t="shared" si="5"/>
        <v>80210.52</v>
      </c>
      <c r="V1029" s="3" t="str">
        <f>VLOOKUP(N1029,products!A:B,2,0)</f>
        <v>Beverages</v>
      </c>
      <c r="W1029" s="3" t="s">
        <v>28</v>
      </c>
      <c r="X1029" s="3" t="s">
        <v>33</v>
      </c>
      <c r="Y1029" s="14">
        <f t="shared" si="10"/>
        <v>0.3300316122</v>
      </c>
      <c r="Z1029" s="3">
        <f t="shared" si="7"/>
        <v>0</v>
      </c>
      <c r="AA1029" s="15">
        <f t="shared" si="8"/>
        <v>2</v>
      </c>
    </row>
    <row r="1030" ht="15.75" customHeight="1">
      <c r="A1030" s="3">
        <v>7.73645913E8</v>
      </c>
      <c r="B1030" s="3" t="s">
        <v>1214</v>
      </c>
      <c r="C1030" s="3">
        <f>IFERROR(__xludf.DUMMYFUNCTION("split(B1030,""/"")"),1.0)</f>
        <v>1</v>
      </c>
      <c r="D1030" s="10">
        <f>IFERROR(__xludf.DUMMYFUNCTION("""COMPUTED_VALUE"""),22.0)</f>
        <v>22</v>
      </c>
      <c r="E1030" s="11">
        <f>IFERROR(__xludf.DUMMYFUNCTION("""COMPUTED_VALUE"""),2011.0)</f>
        <v>2011</v>
      </c>
      <c r="F1030" s="12">
        <f t="shared" si="1"/>
        <v>40565</v>
      </c>
      <c r="G1030" s="3" t="s">
        <v>1706</v>
      </c>
      <c r="H1030" s="3">
        <f>IFERROR(__xludf.DUMMYFUNCTION("split(G1030,""/"")"),1.0)</f>
        <v>1</v>
      </c>
      <c r="I1030" s="3">
        <f>IFERROR(__xludf.DUMMYFUNCTION("""COMPUTED_VALUE"""),28.0)</f>
        <v>28</v>
      </c>
      <c r="J1030" s="3">
        <f>IFERROR(__xludf.DUMMYFUNCTION("""COMPUTED_VALUE"""),2011.0)</f>
        <v>2011</v>
      </c>
      <c r="K1030" s="12">
        <f t="shared" si="2"/>
        <v>40571</v>
      </c>
      <c r="L1030" s="3" t="s">
        <v>827</v>
      </c>
      <c r="M1030" s="3" t="s">
        <v>740</v>
      </c>
      <c r="N1030" s="3">
        <v>8293.0</v>
      </c>
      <c r="O1030" s="3" t="s">
        <v>815</v>
      </c>
      <c r="P1030" s="10">
        <v>7873.0</v>
      </c>
      <c r="Q1030" s="13">
        <v>437.2</v>
      </c>
      <c r="R1030" s="13">
        <v>263.33</v>
      </c>
      <c r="S1030" s="13">
        <f t="shared" si="3"/>
        <v>3442075.6</v>
      </c>
      <c r="T1030" s="13">
        <f t="shared" si="4"/>
        <v>2073197.09</v>
      </c>
      <c r="U1030" s="13">
        <f t="shared" si="5"/>
        <v>1368878.51</v>
      </c>
      <c r="V1030" s="3" t="str">
        <f>VLOOKUP(N1030,products!A:B,2,0)</f>
        <v>Cosmetics</v>
      </c>
      <c r="W1030" s="3" t="s">
        <v>28</v>
      </c>
      <c r="X1030" s="3" t="s">
        <v>98</v>
      </c>
      <c r="Y1030" s="14">
        <f t="shared" si="10"/>
        <v>0.3976898445</v>
      </c>
      <c r="Z1030" s="3">
        <f t="shared" si="7"/>
        <v>6</v>
      </c>
      <c r="AA1030" s="15">
        <f t="shared" si="8"/>
        <v>7</v>
      </c>
    </row>
    <row r="1031" ht="15.75" customHeight="1">
      <c r="A1031" s="3">
        <v>7.74698626E8</v>
      </c>
      <c r="B1031" s="9">
        <v>42707.0</v>
      </c>
      <c r="C1031" s="3">
        <f>IFERROR(__xludf.DUMMYFUNCTION("split(B1031,""/"")"),3.0)</f>
        <v>3</v>
      </c>
      <c r="D1031" s="10">
        <f>IFERROR(__xludf.DUMMYFUNCTION("""COMPUTED_VALUE"""),12.0)</f>
        <v>12</v>
      </c>
      <c r="E1031" s="11">
        <f>IFERROR(__xludf.DUMMYFUNCTION("""COMPUTED_VALUE"""),2016.0)</f>
        <v>2016</v>
      </c>
      <c r="F1031" s="12">
        <f t="shared" si="1"/>
        <v>42441</v>
      </c>
      <c r="G1031" s="9">
        <v>42555.0</v>
      </c>
      <c r="H1031" s="3">
        <f>IFERROR(__xludf.DUMMYFUNCTION("split(G1031,""/"")"),4.0)</f>
        <v>4</v>
      </c>
      <c r="I1031" s="3">
        <f>IFERROR(__xludf.DUMMYFUNCTION("""COMPUTED_VALUE"""),7.0)</f>
        <v>7</v>
      </c>
      <c r="J1031" s="3">
        <f>IFERROR(__xludf.DUMMYFUNCTION("""COMPUTED_VALUE"""),2016.0)</f>
        <v>2016</v>
      </c>
      <c r="K1031" s="12">
        <f t="shared" si="2"/>
        <v>42467</v>
      </c>
      <c r="L1031" s="3" t="s">
        <v>825</v>
      </c>
      <c r="M1031" s="3" t="s">
        <v>142</v>
      </c>
      <c r="N1031" s="3">
        <v>4594.0</v>
      </c>
      <c r="O1031" s="3" t="s">
        <v>815</v>
      </c>
      <c r="P1031" s="10">
        <v>9394.0</v>
      </c>
      <c r="Q1031" s="13">
        <v>9.33</v>
      </c>
      <c r="R1031" s="13">
        <v>6.92</v>
      </c>
      <c r="S1031" s="13">
        <f t="shared" si="3"/>
        <v>87646.02</v>
      </c>
      <c r="T1031" s="13">
        <f t="shared" si="4"/>
        <v>65006.48</v>
      </c>
      <c r="U1031" s="13">
        <f t="shared" si="5"/>
        <v>22639.54</v>
      </c>
      <c r="V1031" s="3" t="str">
        <f>VLOOKUP(N1031,products!A:B,2,0)</f>
        <v>Fruits</v>
      </c>
      <c r="W1031" s="3" t="s">
        <v>28</v>
      </c>
      <c r="X1031" s="3" t="s">
        <v>98</v>
      </c>
      <c r="Y1031" s="14">
        <f t="shared" si="10"/>
        <v>0.258306538</v>
      </c>
      <c r="Z1031" s="3">
        <f t="shared" si="7"/>
        <v>26</v>
      </c>
      <c r="AA1031" s="15">
        <f t="shared" si="8"/>
        <v>7</v>
      </c>
    </row>
    <row r="1032" ht="15.75" customHeight="1">
      <c r="A1032" s="3">
        <v>7.74926936E8</v>
      </c>
      <c r="B1032" s="3" t="s">
        <v>1707</v>
      </c>
      <c r="C1032" s="3">
        <f>IFERROR(__xludf.DUMMYFUNCTION("split(B1032,""/"")"),11.0)</f>
        <v>11</v>
      </c>
      <c r="D1032" s="10">
        <f>IFERROR(__xludf.DUMMYFUNCTION("""COMPUTED_VALUE"""),24.0)</f>
        <v>24</v>
      </c>
      <c r="E1032" s="11">
        <f>IFERROR(__xludf.DUMMYFUNCTION("""COMPUTED_VALUE"""),2014.0)</f>
        <v>2014</v>
      </c>
      <c r="F1032" s="12">
        <f t="shared" si="1"/>
        <v>41967</v>
      </c>
      <c r="G1032" s="3" t="s">
        <v>1708</v>
      </c>
      <c r="H1032" s="3">
        <f>IFERROR(__xludf.DUMMYFUNCTION("split(G1032,""/"")"),11.0)</f>
        <v>11</v>
      </c>
      <c r="I1032" s="3">
        <f>IFERROR(__xludf.DUMMYFUNCTION("""COMPUTED_VALUE"""),27.0)</f>
        <v>27</v>
      </c>
      <c r="J1032" s="3">
        <f>IFERROR(__xludf.DUMMYFUNCTION("""COMPUTED_VALUE"""),2014.0)</f>
        <v>2014</v>
      </c>
      <c r="K1032" s="12">
        <f t="shared" si="2"/>
        <v>41970</v>
      </c>
      <c r="L1032" s="3" t="s">
        <v>814</v>
      </c>
      <c r="M1032" s="3" t="s">
        <v>218</v>
      </c>
      <c r="N1032" s="3">
        <v>4594.0</v>
      </c>
      <c r="O1032" s="3" t="s">
        <v>818</v>
      </c>
      <c r="P1032" s="10">
        <v>6956.0</v>
      </c>
      <c r="Q1032" s="13">
        <v>9.33</v>
      </c>
      <c r="R1032" s="13">
        <v>6.92</v>
      </c>
      <c r="S1032" s="13">
        <f t="shared" si="3"/>
        <v>64899.48</v>
      </c>
      <c r="T1032" s="13">
        <f t="shared" si="4"/>
        <v>48135.52</v>
      </c>
      <c r="U1032" s="13">
        <f t="shared" si="5"/>
        <v>16763.96</v>
      </c>
      <c r="V1032" s="3" t="str">
        <f>VLOOKUP(N1032,products!A:B,2,0)</f>
        <v>Fruits</v>
      </c>
      <c r="W1032" s="3" t="s">
        <v>28</v>
      </c>
      <c r="X1032" s="3" t="s">
        <v>98</v>
      </c>
      <c r="Y1032" s="14">
        <f t="shared" si="10"/>
        <v>0.258306538</v>
      </c>
      <c r="Z1032" s="3">
        <f t="shared" si="7"/>
        <v>3</v>
      </c>
      <c r="AA1032" s="15">
        <f t="shared" si="8"/>
        <v>2</v>
      </c>
    </row>
    <row r="1033" ht="15.75" customHeight="1">
      <c r="A1033" s="3">
        <v>7.75008904E8</v>
      </c>
      <c r="B1033" s="3" t="s">
        <v>1709</v>
      </c>
      <c r="C1033" s="3">
        <f>IFERROR(__xludf.DUMMYFUNCTION("split(B1033,""/"")"),11.0)</f>
        <v>11</v>
      </c>
      <c r="D1033" s="10">
        <f>IFERROR(__xludf.DUMMYFUNCTION("""COMPUTED_VALUE"""),26.0)</f>
        <v>26</v>
      </c>
      <c r="E1033" s="11">
        <f>IFERROR(__xludf.DUMMYFUNCTION("""COMPUTED_VALUE"""),2013.0)</f>
        <v>2013</v>
      </c>
      <c r="F1033" s="12">
        <f t="shared" si="1"/>
        <v>41604</v>
      </c>
      <c r="G1033" s="9">
        <v>41671.0</v>
      </c>
      <c r="H1033" s="3">
        <f>IFERROR(__xludf.DUMMYFUNCTION("split(G1033,""/"")"),1.0)</f>
        <v>1</v>
      </c>
      <c r="I1033" s="3">
        <f>IFERROR(__xludf.DUMMYFUNCTION("""COMPUTED_VALUE"""),2.0)</f>
        <v>2</v>
      </c>
      <c r="J1033" s="3">
        <f>IFERROR(__xludf.DUMMYFUNCTION("""COMPUTED_VALUE"""),2014.0)</f>
        <v>2014</v>
      </c>
      <c r="K1033" s="12">
        <f t="shared" si="2"/>
        <v>41641</v>
      </c>
      <c r="L1033" s="3" t="s">
        <v>814</v>
      </c>
      <c r="M1033" s="3" t="s">
        <v>428</v>
      </c>
      <c r="N1033" s="3">
        <v>7331.0</v>
      </c>
      <c r="O1033" s="3" t="s">
        <v>815</v>
      </c>
      <c r="P1033" s="10">
        <v>1212.0</v>
      </c>
      <c r="Q1033" s="13">
        <v>255.28</v>
      </c>
      <c r="R1033" s="13">
        <v>159.42</v>
      </c>
      <c r="S1033" s="13">
        <f t="shared" si="3"/>
        <v>309399.36</v>
      </c>
      <c r="T1033" s="13">
        <f t="shared" si="4"/>
        <v>193217.04</v>
      </c>
      <c r="U1033" s="13">
        <f t="shared" si="5"/>
        <v>116182.32</v>
      </c>
      <c r="V1033" s="3" t="str">
        <f>VLOOKUP(N1033,products!A:B,2,0)</f>
        <v>Baby Food</v>
      </c>
      <c r="W1033" s="3" t="s">
        <v>28</v>
      </c>
      <c r="X1033" s="3" t="s">
        <v>79</v>
      </c>
      <c r="Y1033" s="14">
        <f t="shared" si="10"/>
        <v>0.3755092448</v>
      </c>
      <c r="Z1033" s="3">
        <f t="shared" si="7"/>
        <v>37</v>
      </c>
      <c r="AA1033" s="15">
        <f t="shared" si="8"/>
        <v>3</v>
      </c>
    </row>
    <row r="1034" ht="15.75" customHeight="1">
      <c r="A1034" s="3">
        <v>7.75347936E8</v>
      </c>
      <c r="B1034" s="3" t="s">
        <v>1710</v>
      </c>
      <c r="C1034" s="3">
        <f>IFERROR(__xludf.DUMMYFUNCTION("split(B1034,""/"")"),6.0)</f>
        <v>6</v>
      </c>
      <c r="D1034" s="10">
        <f>IFERROR(__xludf.DUMMYFUNCTION("""COMPUTED_VALUE"""),27.0)</f>
        <v>27</v>
      </c>
      <c r="E1034" s="11">
        <f>IFERROR(__xludf.DUMMYFUNCTION("""COMPUTED_VALUE"""),2013.0)</f>
        <v>2013</v>
      </c>
      <c r="F1034" s="12">
        <f t="shared" si="1"/>
        <v>41452</v>
      </c>
      <c r="G1034" s="9">
        <v>41493.0</v>
      </c>
      <c r="H1034" s="3">
        <f>IFERROR(__xludf.DUMMYFUNCTION("split(G1034,""/"")"),7.0)</f>
        <v>7</v>
      </c>
      <c r="I1034" s="3">
        <f>IFERROR(__xludf.DUMMYFUNCTION("""COMPUTED_VALUE"""),8.0)</f>
        <v>8</v>
      </c>
      <c r="J1034" s="3">
        <f>IFERROR(__xludf.DUMMYFUNCTION("""COMPUTED_VALUE"""),2013.0)</f>
        <v>2013</v>
      </c>
      <c r="K1034" s="12">
        <f t="shared" si="2"/>
        <v>41463</v>
      </c>
      <c r="L1034" s="3" t="s">
        <v>817</v>
      </c>
      <c r="M1034" s="3" t="s">
        <v>206</v>
      </c>
      <c r="N1034" s="3">
        <v>7331.0</v>
      </c>
      <c r="O1034" s="3" t="s">
        <v>818</v>
      </c>
      <c r="P1034" s="10">
        <v>1539.0</v>
      </c>
      <c r="Q1034" s="13">
        <v>255.28</v>
      </c>
      <c r="R1034" s="13">
        <v>159.42</v>
      </c>
      <c r="S1034" s="13">
        <f t="shared" si="3"/>
        <v>392875.92</v>
      </c>
      <c r="T1034" s="13">
        <f t="shared" si="4"/>
        <v>245347.38</v>
      </c>
      <c r="U1034" s="13">
        <f t="shared" si="5"/>
        <v>147528.54</v>
      </c>
      <c r="V1034" s="3" t="str">
        <f>VLOOKUP(N1034,products!A:B,2,0)</f>
        <v>Baby Food</v>
      </c>
      <c r="W1034" s="3" t="s">
        <v>28</v>
      </c>
      <c r="X1034" s="3" t="s">
        <v>33</v>
      </c>
      <c r="Y1034" s="14">
        <f t="shared" si="10"/>
        <v>0.3755092448</v>
      </c>
      <c r="Z1034" s="3">
        <f t="shared" si="7"/>
        <v>11</v>
      </c>
      <c r="AA1034" s="15">
        <f t="shared" si="8"/>
        <v>5</v>
      </c>
    </row>
    <row r="1035" ht="15.75" customHeight="1">
      <c r="A1035" s="3">
        <v>7.75849616E8</v>
      </c>
      <c r="B1035" s="3" t="s">
        <v>1711</v>
      </c>
      <c r="C1035" s="3">
        <f>IFERROR(__xludf.DUMMYFUNCTION("split(B1035,""/"")"),2.0)</f>
        <v>2</v>
      </c>
      <c r="D1035" s="10">
        <f>IFERROR(__xludf.DUMMYFUNCTION("""COMPUTED_VALUE"""),17.0)</f>
        <v>17</v>
      </c>
      <c r="E1035" s="11">
        <f>IFERROR(__xludf.DUMMYFUNCTION("""COMPUTED_VALUE"""),2012.0)</f>
        <v>2012</v>
      </c>
      <c r="F1035" s="12">
        <f t="shared" si="1"/>
        <v>40956</v>
      </c>
      <c r="G1035" s="9">
        <v>41032.0</v>
      </c>
      <c r="H1035" s="3">
        <f>IFERROR(__xludf.DUMMYFUNCTION("split(G1035,""/"")"),3.0)</f>
        <v>3</v>
      </c>
      <c r="I1035" s="3">
        <f>IFERROR(__xludf.DUMMYFUNCTION("""COMPUTED_VALUE"""),5.0)</f>
        <v>5</v>
      </c>
      <c r="J1035" s="3">
        <f>IFERROR(__xludf.DUMMYFUNCTION("""COMPUTED_VALUE"""),2012.0)</f>
        <v>2012</v>
      </c>
      <c r="K1035" s="12">
        <f t="shared" si="2"/>
        <v>40973</v>
      </c>
      <c r="L1035" s="3" t="s">
        <v>817</v>
      </c>
      <c r="M1035" s="3" t="s">
        <v>578</v>
      </c>
      <c r="N1035" s="3">
        <v>8681.0</v>
      </c>
      <c r="O1035" s="3" t="s">
        <v>818</v>
      </c>
      <c r="P1035" s="10">
        <v>9997.0</v>
      </c>
      <c r="Q1035" s="13">
        <v>651.21</v>
      </c>
      <c r="R1035" s="13">
        <v>524.96</v>
      </c>
      <c r="S1035" s="13">
        <f t="shared" si="3"/>
        <v>6510146.37</v>
      </c>
      <c r="T1035" s="13">
        <f t="shared" si="4"/>
        <v>5248025.12</v>
      </c>
      <c r="U1035" s="13">
        <f t="shared" si="5"/>
        <v>1262121.25</v>
      </c>
      <c r="V1035" s="3" t="str">
        <f>VLOOKUP(N1035,products!A:B,2,0)</f>
        <v>Office Supplies</v>
      </c>
      <c r="W1035" s="3" t="s">
        <v>28</v>
      </c>
      <c r="X1035" s="3" t="s">
        <v>33</v>
      </c>
      <c r="Y1035" s="14">
        <f t="shared" si="10"/>
        <v>0.193869873</v>
      </c>
      <c r="Z1035" s="3">
        <f t="shared" si="7"/>
        <v>17</v>
      </c>
      <c r="AA1035" s="15">
        <f t="shared" si="8"/>
        <v>6</v>
      </c>
    </row>
    <row r="1036" ht="15.75" customHeight="1">
      <c r="A1036" s="3">
        <v>7.7701863E8</v>
      </c>
      <c r="B1036" s="3" t="s">
        <v>852</v>
      </c>
      <c r="C1036" s="3">
        <f>IFERROR(__xludf.DUMMYFUNCTION("split(B1036,""/"")"),2.0)</f>
        <v>2</v>
      </c>
      <c r="D1036" s="10">
        <f>IFERROR(__xludf.DUMMYFUNCTION("""COMPUTED_VALUE"""),19.0)</f>
        <v>19</v>
      </c>
      <c r="E1036" s="11">
        <f>IFERROR(__xludf.DUMMYFUNCTION("""COMPUTED_VALUE"""),2016.0)</f>
        <v>2016</v>
      </c>
      <c r="F1036" s="12">
        <f t="shared" si="1"/>
        <v>42419</v>
      </c>
      <c r="G1036" s="3" t="s">
        <v>1600</v>
      </c>
      <c r="H1036" s="3">
        <f>IFERROR(__xludf.DUMMYFUNCTION("split(G1036,""/"")"),3.0)</f>
        <v>3</v>
      </c>
      <c r="I1036" s="3">
        <f>IFERROR(__xludf.DUMMYFUNCTION("""COMPUTED_VALUE"""),19.0)</f>
        <v>19</v>
      </c>
      <c r="J1036" s="3">
        <f>IFERROR(__xludf.DUMMYFUNCTION("""COMPUTED_VALUE"""),2016.0)</f>
        <v>2016</v>
      </c>
      <c r="K1036" s="12">
        <f t="shared" si="2"/>
        <v>42448</v>
      </c>
      <c r="L1036" s="3" t="s">
        <v>825</v>
      </c>
      <c r="M1036" s="3" t="s">
        <v>575</v>
      </c>
      <c r="N1036" s="3">
        <v>5988.0</v>
      </c>
      <c r="O1036" s="3" t="s">
        <v>815</v>
      </c>
      <c r="P1036" s="10">
        <v>5935.0</v>
      </c>
      <c r="Q1036" s="13">
        <v>154.06</v>
      </c>
      <c r="R1036" s="13">
        <v>90.93</v>
      </c>
      <c r="S1036" s="13">
        <f t="shared" si="3"/>
        <v>914346.1</v>
      </c>
      <c r="T1036" s="13">
        <f t="shared" si="4"/>
        <v>539669.55</v>
      </c>
      <c r="U1036" s="13">
        <f t="shared" si="5"/>
        <v>374676.55</v>
      </c>
      <c r="V1036" s="3" t="str">
        <f>VLOOKUP(N1036,products!A:B,2,0)</f>
        <v>Vegetables</v>
      </c>
      <c r="W1036" s="3" t="s">
        <v>28</v>
      </c>
      <c r="X1036" s="3" t="s">
        <v>98</v>
      </c>
      <c r="Y1036" s="14">
        <f t="shared" si="10"/>
        <v>0.4097754122</v>
      </c>
      <c r="Z1036" s="3">
        <f t="shared" si="7"/>
        <v>29</v>
      </c>
      <c r="AA1036" s="15">
        <f t="shared" si="8"/>
        <v>6</v>
      </c>
    </row>
    <row r="1037" ht="15.75" customHeight="1">
      <c r="A1037" s="3">
        <v>7.80590045E8</v>
      </c>
      <c r="B1037" s="9">
        <v>41556.0</v>
      </c>
      <c r="C1037" s="3">
        <f>IFERROR(__xludf.DUMMYFUNCTION("split(B1037,""/"")"),9.0)</f>
        <v>9</v>
      </c>
      <c r="D1037" s="10">
        <f>IFERROR(__xludf.DUMMYFUNCTION("""COMPUTED_VALUE"""),10.0)</f>
        <v>10</v>
      </c>
      <c r="E1037" s="11">
        <f>IFERROR(__xludf.DUMMYFUNCTION("""COMPUTED_VALUE"""),2013.0)</f>
        <v>2013</v>
      </c>
      <c r="F1037" s="12">
        <f t="shared" si="1"/>
        <v>41527</v>
      </c>
      <c r="G1037" s="9">
        <v>41343.0</v>
      </c>
      <c r="H1037" s="3">
        <f>IFERROR(__xludf.DUMMYFUNCTION("split(G1037,""/"")"),10.0)</f>
        <v>10</v>
      </c>
      <c r="I1037" s="3">
        <f>IFERROR(__xludf.DUMMYFUNCTION("""COMPUTED_VALUE"""),3.0)</f>
        <v>3</v>
      </c>
      <c r="J1037" s="3">
        <f>IFERROR(__xludf.DUMMYFUNCTION("""COMPUTED_VALUE"""),2013.0)</f>
        <v>2013</v>
      </c>
      <c r="K1037" s="12">
        <f t="shared" si="2"/>
        <v>41550</v>
      </c>
      <c r="L1037" s="3" t="s">
        <v>827</v>
      </c>
      <c r="M1037" s="3" t="s">
        <v>142</v>
      </c>
      <c r="N1037" s="3">
        <v>8875.0</v>
      </c>
      <c r="O1037" s="3" t="s">
        <v>818</v>
      </c>
      <c r="P1037" s="10">
        <v>2796.0</v>
      </c>
      <c r="Q1037" s="13">
        <v>421.89</v>
      </c>
      <c r="R1037" s="13">
        <v>364.69</v>
      </c>
      <c r="S1037" s="13">
        <f t="shared" si="3"/>
        <v>1179604.44</v>
      </c>
      <c r="T1037" s="13">
        <f t="shared" si="4"/>
        <v>1019673.24</v>
      </c>
      <c r="U1037" s="13">
        <f t="shared" si="5"/>
        <v>159931.2</v>
      </c>
      <c r="V1037" s="3" t="str">
        <f>VLOOKUP(N1037,products!A:B,2,0)</f>
        <v>Meat</v>
      </c>
      <c r="W1037" s="3" t="s">
        <v>28</v>
      </c>
      <c r="X1037" s="3" t="s">
        <v>98</v>
      </c>
      <c r="Y1037" s="14">
        <f t="shared" si="10"/>
        <v>0.1355803646</v>
      </c>
      <c r="Z1037" s="3">
        <f t="shared" si="7"/>
        <v>23</v>
      </c>
      <c r="AA1037" s="15">
        <f t="shared" si="8"/>
        <v>3</v>
      </c>
    </row>
    <row r="1038" ht="15.75" customHeight="1">
      <c r="A1038" s="3">
        <v>7.80899035E8</v>
      </c>
      <c r="B1038" s="3" t="s">
        <v>1643</v>
      </c>
      <c r="C1038" s="3">
        <f>IFERROR(__xludf.DUMMYFUNCTION("split(B1038,""/"")"),6.0)</f>
        <v>6</v>
      </c>
      <c r="D1038" s="10">
        <f>IFERROR(__xludf.DUMMYFUNCTION("""COMPUTED_VALUE"""),13.0)</f>
        <v>13</v>
      </c>
      <c r="E1038" s="11">
        <f>IFERROR(__xludf.DUMMYFUNCTION("""COMPUTED_VALUE"""),2012.0)</f>
        <v>2012</v>
      </c>
      <c r="F1038" s="12">
        <f t="shared" si="1"/>
        <v>41073</v>
      </c>
      <c r="G1038" s="3" t="s">
        <v>1712</v>
      </c>
      <c r="H1038" s="3">
        <f>IFERROR(__xludf.DUMMYFUNCTION("split(G1038,""/"")"),7.0)</f>
        <v>7</v>
      </c>
      <c r="I1038" s="3">
        <f>IFERROR(__xludf.DUMMYFUNCTION("""COMPUTED_VALUE"""),30.0)</f>
        <v>30</v>
      </c>
      <c r="J1038" s="3">
        <f>IFERROR(__xludf.DUMMYFUNCTION("""COMPUTED_VALUE"""),2012.0)</f>
        <v>2012</v>
      </c>
      <c r="K1038" s="12">
        <f t="shared" si="2"/>
        <v>41120</v>
      </c>
      <c r="L1038" s="3" t="s">
        <v>827</v>
      </c>
      <c r="M1038" s="3" t="s">
        <v>650</v>
      </c>
      <c r="N1038" s="3">
        <v>8293.0</v>
      </c>
      <c r="O1038" s="3" t="s">
        <v>818</v>
      </c>
      <c r="P1038" s="10">
        <v>4233.0</v>
      </c>
      <c r="Q1038" s="13">
        <v>437.2</v>
      </c>
      <c r="R1038" s="13">
        <v>263.33</v>
      </c>
      <c r="S1038" s="13">
        <f t="shared" si="3"/>
        <v>1850667.6</v>
      </c>
      <c r="T1038" s="13">
        <f t="shared" si="4"/>
        <v>1114675.89</v>
      </c>
      <c r="U1038" s="13">
        <f t="shared" si="5"/>
        <v>735991.71</v>
      </c>
      <c r="V1038" s="3" t="str">
        <f>VLOOKUP(N1038,products!A:B,2,0)</f>
        <v>Cosmetics</v>
      </c>
      <c r="W1038" s="3" t="s">
        <v>28</v>
      </c>
      <c r="X1038" s="3" t="s">
        <v>98</v>
      </c>
      <c r="Y1038" s="14">
        <f t="shared" si="10"/>
        <v>0.3976898445</v>
      </c>
      <c r="Z1038" s="3">
        <f t="shared" si="7"/>
        <v>47</v>
      </c>
      <c r="AA1038" s="15">
        <f t="shared" si="8"/>
        <v>4</v>
      </c>
    </row>
    <row r="1039" ht="15.75" customHeight="1">
      <c r="A1039" s="3">
        <v>7.81083571E8</v>
      </c>
      <c r="B1039" s="9">
        <v>42619.0</v>
      </c>
      <c r="C1039" s="3">
        <f>IFERROR(__xludf.DUMMYFUNCTION("split(B1039,""/"")"),6.0)</f>
        <v>6</v>
      </c>
      <c r="D1039" s="10">
        <f>IFERROR(__xludf.DUMMYFUNCTION("""COMPUTED_VALUE"""),9.0)</f>
        <v>9</v>
      </c>
      <c r="E1039" s="11">
        <f>IFERROR(__xludf.DUMMYFUNCTION("""COMPUTED_VALUE"""),2016.0)</f>
        <v>2016</v>
      </c>
      <c r="F1039" s="12">
        <f t="shared" si="1"/>
        <v>42530</v>
      </c>
      <c r="G1039" s="3" t="s">
        <v>1713</v>
      </c>
      <c r="H1039" s="3">
        <f>IFERROR(__xludf.DUMMYFUNCTION("split(G1039,""/"")"),6.0)</f>
        <v>6</v>
      </c>
      <c r="I1039" s="3">
        <f>IFERROR(__xludf.DUMMYFUNCTION("""COMPUTED_VALUE"""),18.0)</f>
        <v>18</v>
      </c>
      <c r="J1039" s="3">
        <f>IFERROR(__xludf.DUMMYFUNCTION("""COMPUTED_VALUE"""),2016.0)</f>
        <v>2016</v>
      </c>
      <c r="K1039" s="12">
        <f t="shared" si="2"/>
        <v>42539</v>
      </c>
      <c r="L1039" s="3" t="s">
        <v>817</v>
      </c>
      <c r="M1039" s="3" t="s">
        <v>206</v>
      </c>
      <c r="N1039" s="3">
        <v>2455.0</v>
      </c>
      <c r="O1039" s="3" t="s">
        <v>815</v>
      </c>
      <c r="P1039" s="10">
        <v>8841.0</v>
      </c>
      <c r="Q1039" s="13">
        <v>109.28</v>
      </c>
      <c r="R1039" s="13">
        <v>35.84</v>
      </c>
      <c r="S1039" s="13">
        <f t="shared" si="3"/>
        <v>966144.48</v>
      </c>
      <c r="T1039" s="13">
        <f t="shared" si="4"/>
        <v>316861.44</v>
      </c>
      <c r="U1039" s="13">
        <f t="shared" si="5"/>
        <v>649283.04</v>
      </c>
      <c r="V1039" s="3" t="str">
        <f>VLOOKUP(N1039,products!A:B,2,0)</f>
        <v>Clothes</v>
      </c>
      <c r="W1039" s="3" t="s">
        <v>28</v>
      </c>
      <c r="X1039" s="3" t="s">
        <v>33</v>
      </c>
      <c r="Y1039" s="14">
        <f t="shared" si="10"/>
        <v>0.6720351391</v>
      </c>
      <c r="Z1039" s="3">
        <f t="shared" si="7"/>
        <v>9</v>
      </c>
      <c r="AA1039" s="15">
        <f t="shared" si="8"/>
        <v>5</v>
      </c>
    </row>
    <row r="1040" ht="15.75" customHeight="1">
      <c r="A1040" s="3">
        <v>7.81416594E8</v>
      </c>
      <c r="B1040" s="9">
        <v>42258.0</v>
      </c>
      <c r="C1040" s="3">
        <f>IFERROR(__xludf.DUMMYFUNCTION("split(B1040,""/"")"),11.0)</f>
        <v>11</v>
      </c>
      <c r="D1040" s="10">
        <f>IFERROR(__xludf.DUMMYFUNCTION("""COMPUTED_VALUE"""),9.0)</f>
        <v>9</v>
      </c>
      <c r="E1040" s="11">
        <f>IFERROR(__xludf.DUMMYFUNCTION("""COMPUTED_VALUE"""),2015.0)</f>
        <v>2015</v>
      </c>
      <c r="F1040" s="12">
        <f t="shared" si="1"/>
        <v>42317</v>
      </c>
      <c r="G1040" s="3" t="s">
        <v>1714</v>
      </c>
      <c r="H1040" s="3">
        <f>IFERROR(__xludf.DUMMYFUNCTION("split(G1040,""/"")"),12.0)</f>
        <v>12</v>
      </c>
      <c r="I1040" s="3">
        <f>IFERROR(__xludf.DUMMYFUNCTION("""COMPUTED_VALUE"""),23.0)</f>
        <v>23</v>
      </c>
      <c r="J1040" s="3">
        <f>IFERROR(__xludf.DUMMYFUNCTION("""COMPUTED_VALUE"""),2015.0)</f>
        <v>2015</v>
      </c>
      <c r="K1040" s="12">
        <f t="shared" si="2"/>
        <v>42361</v>
      </c>
      <c r="L1040" s="3" t="s">
        <v>814</v>
      </c>
      <c r="M1040" s="3" t="s">
        <v>67</v>
      </c>
      <c r="N1040" s="3">
        <v>8875.0</v>
      </c>
      <c r="O1040" s="3" t="s">
        <v>818</v>
      </c>
      <c r="P1040" s="10">
        <v>7390.0</v>
      </c>
      <c r="Q1040" s="13">
        <v>421.89</v>
      </c>
      <c r="R1040" s="13">
        <v>364.69</v>
      </c>
      <c r="S1040" s="13">
        <f t="shared" si="3"/>
        <v>3117767.1</v>
      </c>
      <c r="T1040" s="13">
        <f t="shared" si="4"/>
        <v>2695059.1</v>
      </c>
      <c r="U1040" s="13">
        <f t="shared" si="5"/>
        <v>422708</v>
      </c>
      <c r="V1040" s="3" t="str">
        <f>VLOOKUP(N1040,products!A:B,2,0)</f>
        <v>Meat</v>
      </c>
      <c r="W1040" s="3" t="s">
        <v>23</v>
      </c>
      <c r="X1040" s="3" t="s">
        <v>68</v>
      </c>
      <c r="Y1040" s="14">
        <f t="shared" si="10"/>
        <v>0.1355803646</v>
      </c>
      <c r="Z1040" s="3">
        <f t="shared" si="7"/>
        <v>44</v>
      </c>
      <c r="AA1040" s="15">
        <f t="shared" si="8"/>
        <v>2</v>
      </c>
    </row>
    <row r="1041" ht="15.75" customHeight="1">
      <c r="A1041" s="3">
        <v>7.831169E8</v>
      </c>
      <c r="B1041" s="3" t="s">
        <v>1167</v>
      </c>
      <c r="C1041" s="3">
        <f>IFERROR(__xludf.DUMMYFUNCTION("split(B1041,""/"")"),2.0)</f>
        <v>2</v>
      </c>
      <c r="D1041" s="10">
        <f>IFERROR(__xludf.DUMMYFUNCTION("""COMPUTED_VALUE"""),26.0)</f>
        <v>26</v>
      </c>
      <c r="E1041" s="11">
        <f>IFERROR(__xludf.DUMMYFUNCTION("""COMPUTED_VALUE"""),2017.0)</f>
        <v>2017</v>
      </c>
      <c r="F1041" s="12">
        <f t="shared" si="1"/>
        <v>42792</v>
      </c>
      <c r="G1041" s="3" t="s">
        <v>1715</v>
      </c>
      <c r="H1041" s="3">
        <f>IFERROR(__xludf.DUMMYFUNCTION("split(G1041,""/"")"),3.0)</f>
        <v>3</v>
      </c>
      <c r="I1041" s="3">
        <f>IFERROR(__xludf.DUMMYFUNCTION("""COMPUTED_VALUE"""),14.0)</f>
        <v>14</v>
      </c>
      <c r="J1041" s="3">
        <f>IFERROR(__xludf.DUMMYFUNCTION("""COMPUTED_VALUE"""),2017.0)</f>
        <v>2017</v>
      </c>
      <c r="K1041" s="12">
        <f t="shared" si="2"/>
        <v>42808</v>
      </c>
      <c r="L1041" s="3" t="s">
        <v>825</v>
      </c>
      <c r="M1041" s="3" t="s">
        <v>746</v>
      </c>
      <c r="N1041" s="3">
        <v>2455.0</v>
      </c>
      <c r="O1041" s="3" t="s">
        <v>815</v>
      </c>
      <c r="P1041" s="10">
        <v>548.0</v>
      </c>
      <c r="Q1041" s="13">
        <v>109.28</v>
      </c>
      <c r="R1041" s="13">
        <v>35.84</v>
      </c>
      <c r="S1041" s="13">
        <f t="shared" si="3"/>
        <v>59885.44</v>
      </c>
      <c r="T1041" s="13">
        <f t="shared" si="4"/>
        <v>19640.32</v>
      </c>
      <c r="U1041" s="13">
        <f t="shared" si="5"/>
        <v>40245.12</v>
      </c>
      <c r="V1041" s="3" t="str">
        <f>VLOOKUP(N1041,products!A:B,2,0)</f>
        <v>Clothes</v>
      </c>
      <c r="W1041" s="3" t="s">
        <v>28</v>
      </c>
      <c r="X1041" s="3" t="s">
        <v>29</v>
      </c>
      <c r="Y1041" s="14">
        <f t="shared" si="10"/>
        <v>0.6720351391</v>
      </c>
      <c r="Z1041" s="3">
        <f t="shared" si="7"/>
        <v>16</v>
      </c>
      <c r="AA1041" s="15">
        <f t="shared" si="8"/>
        <v>1</v>
      </c>
    </row>
    <row r="1042" ht="15.75" customHeight="1">
      <c r="A1042" s="3">
        <v>7.83594977E8</v>
      </c>
      <c r="B1042" s="3" t="s">
        <v>866</v>
      </c>
      <c r="C1042" s="3">
        <f>IFERROR(__xludf.DUMMYFUNCTION("split(B1042,""/"")"),4.0)</f>
        <v>4</v>
      </c>
      <c r="D1042" s="10">
        <f>IFERROR(__xludf.DUMMYFUNCTION("""COMPUTED_VALUE"""),25.0)</f>
        <v>25</v>
      </c>
      <c r="E1042" s="11">
        <f>IFERROR(__xludf.DUMMYFUNCTION("""COMPUTED_VALUE"""),2017.0)</f>
        <v>2017</v>
      </c>
      <c r="F1042" s="12">
        <f t="shared" si="1"/>
        <v>42850</v>
      </c>
      <c r="G1042" s="9">
        <v>42740.0</v>
      </c>
      <c r="H1042" s="3">
        <f>IFERROR(__xludf.DUMMYFUNCTION("split(G1042,""/"")"),5.0)</f>
        <v>5</v>
      </c>
      <c r="I1042" s="3">
        <f>IFERROR(__xludf.DUMMYFUNCTION("""COMPUTED_VALUE"""),1.0)</f>
        <v>1</v>
      </c>
      <c r="J1042" s="3">
        <f>IFERROR(__xludf.DUMMYFUNCTION("""COMPUTED_VALUE"""),2017.0)</f>
        <v>2017</v>
      </c>
      <c r="K1042" s="12">
        <f t="shared" si="2"/>
        <v>42856</v>
      </c>
      <c r="L1042" s="3" t="s">
        <v>827</v>
      </c>
      <c r="M1042" s="3" t="s">
        <v>740</v>
      </c>
      <c r="N1042" s="3">
        <v>8875.0</v>
      </c>
      <c r="O1042" s="3" t="s">
        <v>818</v>
      </c>
      <c r="P1042" s="10">
        <v>2022.0</v>
      </c>
      <c r="Q1042" s="13">
        <v>421.89</v>
      </c>
      <c r="R1042" s="13">
        <v>364.69</v>
      </c>
      <c r="S1042" s="13">
        <f t="shared" si="3"/>
        <v>853061.58</v>
      </c>
      <c r="T1042" s="13">
        <f t="shared" si="4"/>
        <v>737403.18</v>
      </c>
      <c r="U1042" s="13">
        <f t="shared" si="5"/>
        <v>115658.4</v>
      </c>
      <c r="V1042" s="3" t="str">
        <f>VLOOKUP(N1042,products!A:B,2,0)</f>
        <v>Meat</v>
      </c>
      <c r="W1042" s="3" t="s">
        <v>28</v>
      </c>
      <c r="X1042" s="3" t="s">
        <v>98</v>
      </c>
      <c r="Y1042" s="14">
        <f t="shared" si="10"/>
        <v>0.1355803646</v>
      </c>
      <c r="Z1042" s="3">
        <f t="shared" si="7"/>
        <v>6</v>
      </c>
      <c r="AA1042" s="15">
        <f t="shared" si="8"/>
        <v>3</v>
      </c>
    </row>
    <row r="1043" ht="15.75" customHeight="1">
      <c r="A1043" s="3">
        <v>7.83913838E8</v>
      </c>
      <c r="B1043" s="9">
        <v>41396.0</v>
      </c>
      <c r="C1043" s="3">
        <f>IFERROR(__xludf.DUMMYFUNCTION("split(B1043,""/"")"),2.0)</f>
        <v>2</v>
      </c>
      <c r="D1043" s="10">
        <f>IFERROR(__xludf.DUMMYFUNCTION("""COMPUTED_VALUE"""),5.0)</f>
        <v>5</v>
      </c>
      <c r="E1043" s="11">
        <f>IFERROR(__xludf.DUMMYFUNCTION("""COMPUTED_VALUE"""),2013.0)</f>
        <v>2013</v>
      </c>
      <c r="F1043" s="12">
        <f t="shared" si="1"/>
        <v>41310</v>
      </c>
      <c r="G1043" s="9">
        <v>41520.0</v>
      </c>
      <c r="H1043" s="3">
        <f>IFERROR(__xludf.DUMMYFUNCTION("split(G1043,""/"")"),3.0)</f>
        <v>3</v>
      </c>
      <c r="I1043" s="3">
        <f>IFERROR(__xludf.DUMMYFUNCTION("""COMPUTED_VALUE"""),9.0)</f>
        <v>9</v>
      </c>
      <c r="J1043" s="3">
        <f>IFERROR(__xludf.DUMMYFUNCTION("""COMPUTED_VALUE"""),2013.0)</f>
        <v>2013</v>
      </c>
      <c r="K1043" s="12">
        <f t="shared" si="2"/>
        <v>41342</v>
      </c>
      <c r="L1043" s="3" t="s">
        <v>827</v>
      </c>
      <c r="M1043" s="3" t="s">
        <v>821</v>
      </c>
      <c r="N1043" s="3">
        <v>8969.0</v>
      </c>
      <c r="O1043" s="3" t="s">
        <v>815</v>
      </c>
      <c r="P1043" s="10">
        <v>6380.0</v>
      </c>
      <c r="Q1043" s="13">
        <v>152.58</v>
      </c>
      <c r="R1043" s="13">
        <v>97.44</v>
      </c>
      <c r="S1043" s="13">
        <f t="shared" si="3"/>
        <v>973460.4</v>
      </c>
      <c r="T1043" s="13">
        <f t="shared" si="4"/>
        <v>621667.2</v>
      </c>
      <c r="U1043" s="13">
        <f t="shared" si="5"/>
        <v>351793.2</v>
      </c>
      <c r="V1043" s="3" t="str">
        <f>VLOOKUP(N1043,products!A:B,2,0)</f>
        <v>Snacks</v>
      </c>
      <c r="W1043" s="3" t="s">
        <v>821</v>
      </c>
      <c r="X1043" s="3" t="s">
        <v>821</v>
      </c>
      <c r="Y1043" s="14">
        <f t="shared" si="10"/>
        <v>0.3613841919</v>
      </c>
      <c r="Z1043" s="3">
        <f t="shared" si="7"/>
        <v>32</v>
      </c>
      <c r="AA1043" s="15">
        <f t="shared" si="8"/>
        <v>3</v>
      </c>
    </row>
    <row r="1044" ht="15.75" customHeight="1">
      <c r="A1044" s="3">
        <v>7.84397923E8</v>
      </c>
      <c r="B1044" s="9">
        <v>41339.0</v>
      </c>
      <c r="C1044" s="3">
        <f>IFERROR(__xludf.DUMMYFUNCTION("split(B1044,""/"")"),6.0)</f>
        <v>6</v>
      </c>
      <c r="D1044" s="10">
        <f>IFERROR(__xludf.DUMMYFUNCTION("""COMPUTED_VALUE"""),3.0)</f>
        <v>3</v>
      </c>
      <c r="E1044" s="11">
        <f>IFERROR(__xludf.DUMMYFUNCTION("""COMPUTED_VALUE"""),2013.0)</f>
        <v>2013</v>
      </c>
      <c r="F1044" s="12">
        <f t="shared" si="1"/>
        <v>41428</v>
      </c>
      <c r="G1044" s="3" t="s">
        <v>1339</v>
      </c>
      <c r="H1044" s="3">
        <f>IFERROR(__xludf.DUMMYFUNCTION("split(G1044,""/"")"),6.0)</f>
        <v>6</v>
      </c>
      <c r="I1044" s="3">
        <f>IFERROR(__xludf.DUMMYFUNCTION("""COMPUTED_VALUE"""),15.0)</f>
        <v>15</v>
      </c>
      <c r="J1044" s="3">
        <f>IFERROR(__xludf.DUMMYFUNCTION("""COMPUTED_VALUE"""),2013.0)</f>
        <v>2013</v>
      </c>
      <c r="K1044" s="12">
        <f t="shared" si="2"/>
        <v>41440</v>
      </c>
      <c r="L1044" s="3" t="s">
        <v>817</v>
      </c>
      <c r="M1044" s="3" t="s">
        <v>221</v>
      </c>
      <c r="N1044" s="3">
        <v>8969.0</v>
      </c>
      <c r="O1044" s="3" t="s">
        <v>818</v>
      </c>
      <c r="P1044" s="10">
        <v>9631.0</v>
      </c>
      <c r="Q1044" s="13">
        <v>152.58</v>
      </c>
      <c r="R1044" s="13">
        <v>97.44</v>
      </c>
      <c r="S1044" s="13">
        <f t="shared" si="3"/>
        <v>1469497.98</v>
      </c>
      <c r="T1044" s="13">
        <f t="shared" si="4"/>
        <v>938444.64</v>
      </c>
      <c r="U1044" s="13">
        <f t="shared" si="5"/>
        <v>531053.34</v>
      </c>
      <c r="V1044" s="3" t="str">
        <f>VLOOKUP(N1044,products!A:B,2,0)</f>
        <v>Snacks</v>
      </c>
      <c r="W1044" s="3" t="s">
        <v>28</v>
      </c>
      <c r="X1044" s="3" t="s">
        <v>29</v>
      </c>
      <c r="Y1044" s="14">
        <f t="shared" si="10"/>
        <v>0.3613841919</v>
      </c>
      <c r="Z1044" s="3">
        <f t="shared" si="7"/>
        <v>12</v>
      </c>
      <c r="AA1044" s="15">
        <f t="shared" si="8"/>
        <v>2</v>
      </c>
    </row>
    <row r="1045" ht="15.75" customHeight="1">
      <c r="A1045" s="3">
        <v>7.85364806E8</v>
      </c>
      <c r="B1045" s="9">
        <v>42340.0</v>
      </c>
      <c r="C1045" s="3">
        <f>IFERROR(__xludf.DUMMYFUNCTION("split(B1045,""/"")"),2.0)</f>
        <v>2</v>
      </c>
      <c r="D1045" s="10">
        <f>IFERROR(__xludf.DUMMYFUNCTION("""COMPUTED_VALUE"""),12.0)</f>
        <v>12</v>
      </c>
      <c r="E1045" s="11">
        <f>IFERROR(__xludf.DUMMYFUNCTION("""COMPUTED_VALUE"""),2015.0)</f>
        <v>2015</v>
      </c>
      <c r="F1045" s="12">
        <f t="shared" si="1"/>
        <v>42047</v>
      </c>
      <c r="G1045" s="3" t="s">
        <v>1117</v>
      </c>
      <c r="H1045" s="3">
        <f>IFERROR(__xludf.DUMMYFUNCTION("split(G1045,""/"")"),3.0)</f>
        <v>3</v>
      </c>
      <c r="I1045" s="3">
        <f>IFERROR(__xludf.DUMMYFUNCTION("""COMPUTED_VALUE"""),21.0)</f>
        <v>21</v>
      </c>
      <c r="J1045" s="3">
        <f>IFERROR(__xludf.DUMMYFUNCTION("""COMPUTED_VALUE"""),2015.0)</f>
        <v>2015</v>
      </c>
      <c r="K1045" s="12">
        <f t="shared" si="2"/>
        <v>42084</v>
      </c>
      <c r="L1045" s="3" t="s">
        <v>814</v>
      </c>
      <c r="M1045" s="3" t="s">
        <v>97</v>
      </c>
      <c r="N1045" s="3">
        <v>7940.0</v>
      </c>
      <c r="O1045" s="3" t="s">
        <v>818</v>
      </c>
      <c r="P1045" s="10">
        <v>5754.0</v>
      </c>
      <c r="Q1045" s="13">
        <v>668.27</v>
      </c>
      <c r="R1045" s="13">
        <v>502.54</v>
      </c>
      <c r="S1045" s="13">
        <f t="shared" si="3"/>
        <v>3845225.58</v>
      </c>
      <c r="T1045" s="13">
        <f t="shared" si="4"/>
        <v>2891615.16</v>
      </c>
      <c r="U1045" s="13">
        <f t="shared" si="5"/>
        <v>953610.42</v>
      </c>
      <c r="V1045" s="3" t="str">
        <f>VLOOKUP(N1045,products!A:B,2,0)</f>
        <v>Household</v>
      </c>
      <c r="W1045" s="3" t="s">
        <v>28</v>
      </c>
      <c r="X1045" s="3" t="s">
        <v>98</v>
      </c>
      <c r="Y1045" s="14">
        <f t="shared" si="10"/>
        <v>0.2479985635</v>
      </c>
      <c r="Z1045" s="3">
        <f t="shared" si="7"/>
        <v>37</v>
      </c>
      <c r="AA1045" s="15">
        <f t="shared" si="8"/>
        <v>5</v>
      </c>
    </row>
    <row r="1046" ht="15.75" customHeight="1">
      <c r="A1046" s="3">
        <v>7.86318385E8</v>
      </c>
      <c r="B1046" s="9">
        <v>43046.0</v>
      </c>
      <c r="C1046" s="3">
        <f>IFERROR(__xludf.DUMMYFUNCTION("split(B1046,""/"")"),7.0)</f>
        <v>7</v>
      </c>
      <c r="D1046" s="10">
        <f>IFERROR(__xludf.DUMMYFUNCTION("""COMPUTED_VALUE"""),11.0)</f>
        <v>11</v>
      </c>
      <c r="E1046" s="11">
        <f>IFERROR(__xludf.DUMMYFUNCTION("""COMPUTED_VALUE"""),2017.0)</f>
        <v>2017</v>
      </c>
      <c r="F1046" s="12">
        <f t="shared" si="1"/>
        <v>42927</v>
      </c>
      <c r="G1046" s="3" t="s">
        <v>1716</v>
      </c>
      <c r="H1046" s="3">
        <f>IFERROR(__xludf.DUMMYFUNCTION("split(G1046,""/"")"),8.0)</f>
        <v>8</v>
      </c>
      <c r="I1046" s="3">
        <f>IFERROR(__xludf.DUMMYFUNCTION("""COMPUTED_VALUE"""),23.0)</f>
        <v>23</v>
      </c>
      <c r="J1046" s="3">
        <f>IFERROR(__xludf.DUMMYFUNCTION("""COMPUTED_VALUE"""),2017.0)</f>
        <v>2017</v>
      </c>
      <c r="K1046" s="12">
        <f t="shared" si="2"/>
        <v>42970</v>
      </c>
      <c r="L1046" s="3" t="s">
        <v>814</v>
      </c>
      <c r="M1046" s="3" t="s">
        <v>512</v>
      </c>
      <c r="N1046" s="3">
        <v>1270.0</v>
      </c>
      <c r="O1046" s="3" t="s">
        <v>818</v>
      </c>
      <c r="P1046" s="10">
        <v>7939.0</v>
      </c>
      <c r="Q1046" s="13">
        <v>47.45</v>
      </c>
      <c r="R1046" s="13">
        <v>31.79</v>
      </c>
      <c r="S1046" s="13">
        <f t="shared" si="3"/>
        <v>376705.55</v>
      </c>
      <c r="T1046" s="13">
        <f t="shared" si="4"/>
        <v>252380.81</v>
      </c>
      <c r="U1046" s="13">
        <f t="shared" si="5"/>
        <v>124324.74</v>
      </c>
      <c r="V1046" s="3" t="str">
        <f>VLOOKUP(N1046,products!A:B,2,0)</f>
        <v>Beverages</v>
      </c>
      <c r="W1046" s="3" t="s">
        <v>28</v>
      </c>
      <c r="X1046" s="3" t="s">
        <v>79</v>
      </c>
      <c r="Y1046" s="14">
        <f t="shared" si="10"/>
        <v>0.3300316122</v>
      </c>
      <c r="Z1046" s="3">
        <f t="shared" si="7"/>
        <v>43</v>
      </c>
      <c r="AA1046" s="15">
        <f t="shared" si="8"/>
        <v>3</v>
      </c>
    </row>
    <row r="1047" ht="15.75" customHeight="1">
      <c r="A1047" s="3">
        <v>7.8948425E8</v>
      </c>
      <c r="B1047" s="9">
        <v>40670.0</v>
      </c>
      <c r="C1047" s="3">
        <f>IFERROR(__xludf.DUMMYFUNCTION("split(B1047,""/"")"),7.0)</f>
        <v>7</v>
      </c>
      <c r="D1047" s="10">
        <f>IFERROR(__xludf.DUMMYFUNCTION("""COMPUTED_VALUE"""),5.0)</f>
        <v>5</v>
      </c>
      <c r="E1047" s="11">
        <f>IFERROR(__xludf.DUMMYFUNCTION("""COMPUTED_VALUE"""),2011.0)</f>
        <v>2011</v>
      </c>
      <c r="F1047" s="12">
        <f t="shared" si="1"/>
        <v>40729</v>
      </c>
      <c r="G1047" s="3" t="s">
        <v>1246</v>
      </c>
      <c r="H1047" s="3">
        <f>IFERROR(__xludf.DUMMYFUNCTION("split(G1047,""/"")"),7.0)</f>
        <v>7</v>
      </c>
      <c r="I1047" s="3">
        <f>IFERROR(__xludf.DUMMYFUNCTION("""COMPUTED_VALUE"""),30.0)</f>
        <v>30</v>
      </c>
      <c r="J1047" s="3">
        <f>IFERROR(__xludf.DUMMYFUNCTION("""COMPUTED_VALUE"""),2011.0)</f>
        <v>2011</v>
      </c>
      <c r="K1047" s="12">
        <f t="shared" si="2"/>
        <v>40754</v>
      </c>
      <c r="L1047" s="3" t="s">
        <v>814</v>
      </c>
      <c r="M1047" s="3" t="s">
        <v>218</v>
      </c>
      <c r="N1047" s="3">
        <v>8969.0</v>
      </c>
      <c r="O1047" s="3" t="s">
        <v>815</v>
      </c>
      <c r="P1047" s="10">
        <v>4789.0</v>
      </c>
      <c r="Q1047" s="13">
        <v>152.58</v>
      </c>
      <c r="R1047" s="13">
        <v>97.44</v>
      </c>
      <c r="S1047" s="13">
        <f t="shared" si="3"/>
        <v>730705.62</v>
      </c>
      <c r="T1047" s="13">
        <f t="shared" si="4"/>
        <v>466640.16</v>
      </c>
      <c r="U1047" s="13">
        <f t="shared" si="5"/>
        <v>264065.46</v>
      </c>
      <c r="V1047" s="3" t="str">
        <f>VLOOKUP(N1047,products!A:B,2,0)</f>
        <v>Snacks</v>
      </c>
      <c r="W1047" s="3" t="s">
        <v>28</v>
      </c>
      <c r="X1047" s="3" t="s">
        <v>98</v>
      </c>
      <c r="Y1047" s="14">
        <f t="shared" si="10"/>
        <v>0.3613841919</v>
      </c>
      <c r="Z1047" s="3">
        <f t="shared" si="7"/>
        <v>25</v>
      </c>
      <c r="AA1047" s="15">
        <f t="shared" si="8"/>
        <v>3</v>
      </c>
    </row>
    <row r="1048" ht="15.75" customHeight="1">
      <c r="A1048" s="3">
        <v>7.89760196E8</v>
      </c>
      <c r="B1048" s="9">
        <v>42533.0</v>
      </c>
      <c r="C1048" s="3">
        <f>IFERROR(__xludf.DUMMYFUNCTION("split(B1048,""/"")"),12.0)</f>
        <v>12</v>
      </c>
      <c r="D1048" s="10">
        <f>IFERROR(__xludf.DUMMYFUNCTION("""COMPUTED_VALUE"""),6.0)</f>
        <v>6</v>
      </c>
      <c r="E1048" s="11">
        <f>IFERROR(__xludf.DUMMYFUNCTION("""COMPUTED_VALUE"""),2016.0)</f>
        <v>2016</v>
      </c>
      <c r="F1048" s="12">
        <f t="shared" si="1"/>
        <v>42710</v>
      </c>
      <c r="G1048" s="9">
        <v>42767.0</v>
      </c>
      <c r="H1048" s="3">
        <f>IFERROR(__xludf.DUMMYFUNCTION("split(G1048,""/"")"),1.0)</f>
        <v>1</v>
      </c>
      <c r="I1048" s="3">
        <f>IFERROR(__xludf.DUMMYFUNCTION("""COMPUTED_VALUE"""),2.0)</f>
        <v>2</v>
      </c>
      <c r="J1048" s="3">
        <f>IFERROR(__xludf.DUMMYFUNCTION("""COMPUTED_VALUE"""),2017.0)</f>
        <v>2017</v>
      </c>
      <c r="K1048" s="12">
        <f t="shared" si="2"/>
        <v>42737</v>
      </c>
      <c r="L1048" s="3" t="s">
        <v>817</v>
      </c>
      <c r="M1048" s="3" t="s">
        <v>67</v>
      </c>
      <c r="N1048" s="3">
        <v>3127.0</v>
      </c>
      <c r="O1048" s="3" t="s">
        <v>815</v>
      </c>
      <c r="P1048" s="10">
        <v>6447.0</v>
      </c>
      <c r="Q1048" s="13">
        <v>81.73</v>
      </c>
      <c r="R1048" s="13">
        <v>56.67</v>
      </c>
      <c r="S1048" s="13">
        <f t="shared" si="3"/>
        <v>526913.31</v>
      </c>
      <c r="T1048" s="13">
        <f t="shared" si="4"/>
        <v>365351.49</v>
      </c>
      <c r="U1048" s="13">
        <f t="shared" si="5"/>
        <v>161561.82</v>
      </c>
      <c r="V1048" s="3" t="str">
        <f>VLOOKUP(N1048,products!A:B,2,0)</f>
        <v>Personal Care</v>
      </c>
      <c r="W1048" s="3" t="s">
        <v>23</v>
      </c>
      <c r="X1048" s="3" t="s">
        <v>68</v>
      </c>
      <c r="Y1048" s="14">
        <f t="shared" si="10"/>
        <v>0.3066193564</v>
      </c>
      <c r="Z1048" s="3">
        <f t="shared" si="7"/>
        <v>27</v>
      </c>
      <c r="AA1048" s="15">
        <f t="shared" si="8"/>
        <v>3</v>
      </c>
    </row>
    <row r="1049" ht="15.75" customHeight="1">
      <c r="A1049" s="3">
        <v>7.90149009E8</v>
      </c>
      <c r="B1049" s="3" t="s">
        <v>1717</v>
      </c>
      <c r="C1049" s="3">
        <f>IFERROR(__xludf.DUMMYFUNCTION("split(B1049,""/"")"),5.0)</f>
        <v>5</v>
      </c>
      <c r="D1049" s="10">
        <f>IFERROR(__xludf.DUMMYFUNCTION("""COMPUTED_VALUE"""),23.0)</f>
        <v>23</v>
      </c>
      <c r="E1049" s="11">
        <f>IFERROR(__xludf.DUMMYFUNCTION("""COMPUTED_VALUE"""),2011.0)</f>
        <v>2011</v>
      </c>
      <c r="F1049" s="12">
        <f t="shared" si="1"/>
        <v>40686</v>
      </c>
      <c r="G1049" s="3" t="s">
        <v>1718</v>
      </c>
      <c r="H1049" s="3">
        <f>IFERROR(__xludf.DUMMYFUNCTION("split(G1049,""/"")"),5.0)</f>
        <v>5</v>
      </c>
      <c r="I1049" s="3">
        <f>IFERROR(__xludf.DUMMYFUNCTION("""COMPUTED_VALUE"""),29.0)</f>
        <v>29</v>
      </c>
      <c r="J1049" s="3">
        <f>IFERROR(__xludf.DUMMYFUNCTION("""COMPUTED_VALUE"""),2011.0)</f>
        <v>2011</v>
      </c>
      <c r="K1049" s="12">
        <f t="shared" si="2"/>
        <v>40692</v>
      </c>
      <c r="L1049" s="3" t="s">
        <v>817</v>
      </c>
      <c r="M1049" s="3" t="s">
        <v>248</v>
      </c>
      <c r="N1049" s="3">
        <v>8293.0</v>
      </c>
      <c r="O1049" s="3" t="s">
        <v>815</v>
      </c>
      <c r="P1049" s="10">
        <v>1505.0</v>
      </c>
      <c r="Q1049" s="13">
        <v>437.2</v>
      </c>
      <c r="R1049" s="13">
        <v>263.33</v>
      </c>
      <c r="S1049" s="13">
        <f t="shared" si="3"/>
        <v>657986</v>
      </c>
      <c r="T1049" s="13">
        <f t="shared" si="4"/>
        <v>396311.65</v>
      </c>
      <c r="U1049" s="13">
        <f t="shared" si="5"/>
        <v>261674.35</v>
      </c>
      <c r="V1049" s="3" t="str">
        <f>VLOOKUP(N1049,products!A:B,2,0)</f>
        <v>Cosmetics</v>
      </c>
      <c r="W1049" s="3" t="s">
        <v>28</v>
      </c>
      <c r="X1049" s="3" t="s">
        <v>29</v>
      </c>
      <c r="Y1049" s="14">
        <f t="shared" si="10"/>
        <v>0.3976898445</v>
      </c>
      <c r="Z1049" s="3">
        <f t="shared" si="7"/>
        <v>6</v>
      </c>
      <c r="AA1049" s="15">
        <f t="shared" si="8"/>
        <v>2</v>
      </c>
    </row>
    <row r="1050" ht="15.75" customHeight="1">
      <c r="A1050" s="3">
        <v>7.91692674E8</v>
      </c>
      <c r="B1050" s="3" t="s">
        <v>1041</v>
      </c>
      <c r="C1050" s="3">
        <f>IFERROR(__xludf.DUMMYFUNCTION("split(B1050,""/"")"),10.0)</f>
        <v>10</v>
      </c>
      <c r="D1050" s="10">
        <f>IFERROR(__xludf.DUMMYFUNCTION("""COMPUTED_VALUE"""),17.0)</f>
        <v>17</v>
      </c>
      <c r="E1050" s="11">
        <f>IFERROR(__xludf.DUMMYFUNCTION("""COMPUTED_VALUE"""),2013.0)</f>
        <v>2013</v>
      </c>
      <c r="F1050" s="12">
        <f t="shared" si="1"/>
        <v>41564</v>
      </c>
      <c r="G1050" s="3" t="s">
        <v>1719</v>
      </c>
      <c r="H1050" s="3">
        <f>IFERROR(__xludf.DUMMYFUNCTION("split(G1050,""/"")"),11.0)</f>
        <v>11</v>
      </c>
      <c r="I1050" s="3">
        <f>IFERROR(__xludf.DUMMYFUNCTION("""COMPUTED_VALUE"""),24.0)</f>
        <v>24</v>
      </c>
      <c r="J1050" s="3">
        <f>IFERROR(__xludf.DUMMYFUNCTION("""COMPUTED_VALUE"""),2013.0)</f>
        <v>2013</v>
      </c>
      <c r="K1050" s="12">
        <f t="shared" si="2"/>
        <v>41602</v>
      </c>
      <c r="L1050" s="3" t="s">
        <v>825</v>
      </c>
      <c r="M1050" s="3" t="s">
        <v>101</v>
      </c>
      <c r="N1050" s="3">
        <v>4594.0</v>
      </c>
      <c r="O1050" s="3" t="s">
        <v>815</v>
      </c>
      <c r="P1050" s="10">
        <v>8310.0</v>
      </c>
      <c r="Q1050" s="13">
        <v>9.33</v>
      </c>
      <c r="R1050" s="13">
        <v>6.92</v>
      </c>
      <c r="S1050" s="13">
        <f t="shared" si="3"/>
        <v>77532.3</v>
      </c>
      <c r="T1050" s="13">
        <f t="shared" si="4"/>
        <v>57505.2</v>
      </c>
      <c r="U1050" s="13">
        <f t="shared" si="5"/>
        <v>20027.1</v>
      </c>
      <c r="V1050" s="3" t="str">
        <f>VLOOKUP(N1050,products!A:B,2,0)</f>
        <v>Fruits</v>
      </c>
      <c r="W1050" s="3" t="s">
        <v>28</v>
      </c>
      <c r="X1050" s="3" t="s">
        <v>79</v>
      </c>
      <c r="Y1050" s="14">
        <f t="shared" si="10"/>
        <v>0.258306538</v>
      </c>
      <c r="Z1050" s="3">
        <f t="shared" si="7"/>
        <v>38</v>
      </c>
      <c r="AA1050" s="15">
        <f t="shared" si="8"/>
        <v>5</v>
      </c>
    </row>
    <row r="1051" ht="15.75" customHeight="1">
      <c r="A1051" s="3">
        <v>7.91890084E8</v>
      </c>
      <c r="B1051" s="3" t="s">
        <v>1720</v>
      </c>
      <c r="C1051" s="3">
        <f>IFERROR(__xludf.DUMMYFUNCTION("split(B1051,""/"")"),11.0)</f>
        <v>11</v>
      </c>
      <c r="D1051" s="10">
        <f>IFERROR(__xludf.DUMMYFUNCTION("""COMPUTED_VALUE"""),22.0)</f>
        <v>22</v>
      </c>
      <c r="E1051" s="11">
        <f>IFERROR(__xludf.DUMMYFUNCTION("""COMPUTED_VALUE"""),2014.0)</f>
        <v>2014</v>
      </c>
      <c r="F1051" s="12">
        <f t="shared" si="1"/>
        <v>41965</v>
      </c>
      <c r="G1051" s="3" t="s">
        <v>1721</v>
      </c>
      <c r="H1051" s="3">
        <f>IFERROR(__xludf.DUMMYFUNCTION("split(G1051,""/"")"),12.0)</f>
        <v>12</v>
      </c>
      <c r="I1051" s="3">
        <f>IFERROR(__xludf.DUMMYFUNCTION("""COMPUTED_VALUE"""),15.0)</f>
        <v>15</v>
      </c>
      <c r="J1051" s="3">
        <f>IFERROR(__xludf.DUMMYFUNCTION("""COMPUTED_VALUE"""),2014.0)</f>
        <v>2014</v>
      </c>
      <c r="K1051" s="12">
        <f t="shared" si="2"/>
        <v>41988</v>
      </c>
      <c r="L1051" s="3" t="s">
        <v>827</v>
      </c>
      <c r="M1051" s="3" t="s">
        <v>101</v>
      </c>
      <c r="N1051" s="3">
        <v>2103.0</v>
      </c>
      <c r="O1051" s="3" t="s">
        <v>818</v>
      </c>
      <c r="P1051" s="10">
        <v>6728.0</v>
      </c>
      <c r="Q1051" s="13">
        <v>205.7</v>
      </c>
      <c r="R1051" s="13">
        <v>117.11</v>
      </c>
      <c r="S1051" s="13">
        <f t="shared" si="3"/>
        <v>1383949.6</v>
      </c>
      <c r="T1051" s="13">
        <f t="shared" si="4"/>
        <v>787916.08</v>
      </c>
      <c r="U1051" s="13">
        <f t="shared" si="5"/>
        <v>596033.52</v>
      </c>
      <c r="V1051" s="3" t="str">
        <f>VLOOKUP(N1051,products!A:B,2,0)</f>
        <v>Cereal</v>
      </c>
      <c r="W1051" s="3" t="s">
        <v>28</v>
      </c>
      <c r="X1051" s="3" t="s">
        <v>79</v>
      </c>
      <c r="Y1051" s="14">
        <f t="shared" si="10"/>
        <v>0.4306757414</v>
      </c>
      <c r="Z1051" s="3">
        <f t="shared" si="7"/>
        <v>23</v>
      </c>
      <c r="AA1051" s="15">
        <f t="shared" si="8"/>
        <v>7</v>
      </c>
    </row>
    <row r="1052" ht="15.75" customHeight="1">
      <c r="A1052" s="3">
        <v>7.92178905E8</v>
      </c>
      <c r="B1052" s="9">
        <v>42800.0</v>
      </c>
      <c r="C1052" s="3">
        <f>IFERROR(__xludf.DUMMYFUNCTION("split(B1052,""/"")"),6.0)</f>
        <v>6</v>
      </c>
      <c r="D1052" s="10">
        <f>IFERROR(__xludf.DUMMYFUNCTION("""COMPUTED_VALUE"""),3.0)</f>
        <v>3</v>
      </c>
      <c r="E1052" s="11">
        <f>IFERROR(__xludf.DUMMYFUNCTION("""COMPUTED_VALUE"""),2017.0)</f>
        <v>2017</v>
      </c>
      <c r="F1052" s="12">
        <f t="shared" si="1"/>
        <v>42889</v>
      </c>
      <c r="G1052" s="3" t="s">
        <v>1722</v>
      </c>
      <c r="H1052" s="3">
        <f>IFERROR(__xludf.DUMMYFUNCTION("split(G1052,""/"")"),7.0)</f>
        <v>7</v>
      </c>
      <c r="I1052" s="3">
        <f>IFERROR(__xludf.DUMMYFUNCTION("""COMPUTED_VALUE"""),21.0)</f>
        <v>21</v>
      </c>
      <c r="J1052" s="3">
        <f>IFERROR(__xludf.DUMMYFUNCTION("""COMPUTED_VALUE"""),2017.0)</f>
        <v>2017</v>
      </c>
      <c r="K1052" s="12">
        <f t="shared" si="2"/>
        <v>42937</v>
      </c>
      <c r="L1052" s="3" t="s">
        <v>825</v>
      </c>
      <c r="M1052" s="3" t="s">
        <v>482</v>
      </c>
      <c r="N1052" s="3">
        <v>2103.0</v>
      </c>
      <c r="O1052" s="3" t="s">
        <v>815</v>
      </c>
      <c r="P1052" s="10">
        <v>2197.0</v>
      </c>
      <c r="Q1052" s="13">
        <v>205.7</v>
      </c>
      <c r="R1052" s="13">
        <v>117.11</v>
      </c>
      <c r="S1052" s="13">
        <f t="shared" si="3"/>
        <v>451922.9</v>
      </c>
      <c r="T1052" s="13">
        <f t="shared" si="4"/>
        <v>257290.67</v>
      </c>
      <c r="U1052" s="13">
        <f t="shared" si="5"/>
        <v>194632.23</v>
      </c>
      <c r="V1052" s="3" t="str">
        <f>VLOOKUP(N1052,products!A:B,2,0)</f>
        <v>Cereal</v>
      </c>
      <c r="W1052" s="3" t="s">
        <v>28</v>
      </c>
      <c r="X1052" s="3" t="s">
        <v>79</v>
      </c>
      <c r="Y1052" s="14">
        <f t="shared" si="10"/>
        <v>0.4306757414</v>
      </c>
      <c r="Z1052" s="3">
        <f t="shared" si="7"/>
        <v>48</v>
      </c>
      <c r="AA1052" s="15">
        <f t="shared" si="8"/>
        <v>7</v>
      </c>
    </row>
    <row r="1053" ht="15.75" customHeight="1">
      <c r="A1053" s="3">
        <v>7.92792594E8</v>
      </c>
      <c r="B1053" s="3" t="s">
        <v>1723</v>
      </c>
      <c r="C1053" s="3">
        <f>IFERROR(__xludf.DUMMYFUNCTION("split(B1053,""/"")"),11.0)</f>
        <v>11</v>
      </c>
      <c r="D1053" s="10">
        <f>IFERROR(__xludf.DUMMYFUNCTION("""COMPUTED_VALUE"""),25.0)</f>
        <v>25</v>
      </c>
      <c r="E1053" s="11">
        <f>IFERROR(__xludf.DUMMYFUNCTION("""COMPUTED_VALUE"""),2015.0)</f>
        <v>2015</v>
      </c>
      <c r="F1053" s="12">
        <f t="shared" si="1"/>
        <v>42333</v>
      </c>
      <c r="G1053" s="9">
        <v>42401.0</v>
      </c>
      <c r="H1053" s="3">
        <f>IFERROR(__xludf.DUMMYFUNCTION("split(G1053,""/"")"),1.0)</f>
        <v>1</v>
      </c>
      <c r="I1053" s="3">
        <f>IFERROR(__xludf.DUMMYFUNCTION("""COMPUTED_VALUE"""),2.0)</f>
        <v>2</v>
      </c>
      <c r="J1053" s="3">
        <f>IFERROR(__xludf.DUMMYFUNCTION("""COMPUTED_VALUE"""),2016.0)</f>
        <v>2016</v>
      </c>
      <c r="K1053" s="12">
        <f t="shared" si="2"/>
        <v>42371</v>
      </c>
      <c r="L1053" s="3" t="s">
        <v>814</v>
      </c>
      <c r="M1053" s="3" t="s">
        <v>821</v>
      </c>
      <c r="N1053" s="3">
        <v>7940.0</v>
      </c>
      <c r="O1053" s="3" t="s">
        <v>818</v>
      </c>
      <c r="P1053" s="10">
        <v>3801.0</v>
      </c>
      <c r="Q1053" s="13">
        <v>668.27</v>
      </c>
      <c r="R1053" s="13">
        <v>502.54</v>
      </c>
      <c r="S1053" s="13">
        <f t="shared" si="3"/>
        <v>2540094.27</v>
      </c>
      <c r="T1053" s="13">
        <f t="shared" si="4"/>
        <v>1910154.54</v>
      </c>
      <c r="U1053" s="13">
        <f t="shared" si="5"/>
        <v>629939.73</v>
      </c>
      <c r="V1053" s="3" t="str">
        <f>VLOOKUP(N1053,products!A:B,2,0)</f>
        <v>Household</v>
      </c>
      <c r="W1053" s="3" t="s">
        <v>821</v>
      </c>
      <c r="X1053" s="3" t="s">
        <v>821</v>
      </c>
      <c r="Y1053" s="14">
        <f t="shared" si="10"/>
        <v>0.2479985635</v>
      </c>
      <c r="Z1053" s="3">
        <f t="shared" si="7"/>
        <v>38</v>
      </c>
      <c r="AA1053" s="15">
        <f t="shared" si="8"/>
        <v>4</v>
      </c>
    </row>
    <row r="1054" ht="15.75" customHeight="1">
      <c r="A1054" s="3">
        <v>7.95141351E8</v>
      </c>
      <c r="B1054" s="3" t="s">
        <v>1516</v>
      </c>
      <c r="C1054" s="3">
        <f>IFERROR(__xludf.DUMMYFUNCTION("split(B1054,""/"")"),2.0)</f>
        <v>2</v>
      </c>
      <c r="D1054" s="10">
        <f>IFERROR(__xludf.DUMMYFUNCTION("""COMPUTED_VALUE"""),20.0)</f>
        <v>20</v>
      </c>
      <c r="E1054" s="11">
        <f>IFERROR(__xludf.DUMMYFUNCTION("""COMPUTED_VALUE"""),2010.0)</f>
        <v>2010</v>
      </c>
      <c r="F1054" s="12">
        <f t="shared" si="1"/>
        <v>40229</v>
      </c>
      <c r="G1054" s="3" t="s">
        <v>1724</v>
      </c>
      <c r="H1054" s="3">
        <f>IFERROR(__xludf.DUMMYFUNCTION("split(G1054,""/"")"),2.0)</f>
        <v>2</v>
      </c>
      <c r="I1054" s="3">
        <f>IFERROR(__xludf.DUMMYFUNCTION("""COMPUTED_VALUE"""),24.0)</f>
        <v>24</v>
      </c>
      <c r="J1054" s="3">
        <f>IFERROR(__xludf.DUMMYFUNCTION("""COMPUTED_VALUE"""),2010.0)</f>
        <v>2010</v>
      </c>
      <c r="K1054" s="12">
        <f t="shared" si="2"/>
        <v>40233</v>
      </c>
      <c r="L1054" s="3" t="s">
        <v>827</v>
      </c>
      <c r="M1054" s="3" t="s">
        <v>300</v>
      </c>
      <c r="N1054" s="3">
        <v>1270.0</v>
      </c>
      <c r="O1054" s="3" t="s">
        <v>818</v>
      </c>
      <c r="P1054" s="10">
        <v>8850.0</v>
      </c>
      <c r="Q1054" s="13">
        <v>47.45</v>
      </c>
      <c r="R1054" s="13">
        <v>31.79</v>
      </c>
      <c r="S1054" s="13">
        <f t="shared" si="3"/>
        <v>419932.5</v>
      </c>
      <c r="T1054" s="13">
        <f t="shared" si="4"/>
        <v>281341.5</v>
      </c>
      <c r="U1054" s="13">
        <f t="shared" si="5"/>
        <v>138591</v>
      </c>
      <c r="V1054" s="3" t="str">
        <f>VLOOKUP(N1054,products!A:B,2,0)</f>
        <v>Beverages</v>
      </c>
      <c r="W1054" s="3" t="s">
        <v>28</v>
      </c>
      <c r="X1054" s="3" t="s">
        <v>33</v>
      </c>
      <c r="Y1054" s="14">
        <f t="shared" si="10"/>
        <v>0.3300316122</v>
      </c>
      <c r="Z1054" s="3">
        <f t="shared" si="7"/>
        <v>4</v>
      </c>
      <c r="AA1054" s="15">
        <f t="shared" si="8"/>
        <v>7</v>
      </c>
    </row>
    <row r="1055" ht="15.75" customHeight="1">
      <c r="A1055" s="3">
        <v>7.96418511E8</v>
      </c>
      <c r="B1055" s="9">
        <v>43071.0</v>
      </c>
      <c r="C1055" s="3">
        <f>IFERROR(__xludf.DUMMYFUNCTION("split(B1055,""/"")"),2.0)</f>
        <v>2</v>
      </c>
      <c r="D1055" s="10">
        <f>IFERROR(__xludf.DUMMYFUNCTION("""COMPUTED_VALUE"""),12.0)</f>
        <v>12</v>
      </c>
      <c r="E1055" s="11">
        <f>IFERROR(__xludf.DUMMYFUNCTION("""COMPUTED_VALUE"""),2017.0)</f>
        <v>2017</v>
      </c>
      <c r="F1055" s="12">
        <f t="shared" si="1"/>
        <v>42778</v>
      </c>
      <c r="G1055" s="3" t="s">
        <v>1386</v>
      </c>
      <c r="H1055" s="3">
        <f>IFERROR(__xludf.DUMMYFUNCTION("split(G1055,""/"")"),3.0)</f>
        <v>3</v>
      </c>
      <c r="I1055" s="3">
        <f>IFERROR(__xludf.DUMMYFUNCTION("""COMPUTED_VALUE"""),23.0)</f>
        <v>23</v>
      </c>
      <c r="J1055" s="3">
        <f>IFERROR(__xludf.DUMMYFUNCTION("""COMPUTED_VALUE"""),2017.0)</f>
        <v>2017</v>
      </c>
      <c r="K1055" s="12">
        <f t="shared" si="2"/>
        <v>42817</v>
      </c>
      <c r="L1055" s="3" t="s">
        <v>825</v>
      </c>
      <c r="M1055" s="3" t="s">
        <v>536</v>
      </c>
      <c r="N1055" s="3">
        <v>8875.0</v>
      </c>
      <c r="O1055" s="3" t="s">
        <v>815</v>
      </c>
      <c r="P1055" s="10">
        <v>6791.0</v>
      </c>
      <c r="Q1055" s="13">
        <v>421.89</v>
      </c>
      <c r="R1055" s="13">
        <v>364.69</v>
      </c>
      <c r="S1055" s="13">
        <f t="shared" si="3"/>
        <v>2865054.99</v>
      </c>
      <c r="T1055" s="13">
        <f t="shared" si="4"/>
        <v>2476609.79</v>
      </c>
      <c r="U1055" s="13">
        <f t="shared" si="5"/>
        <v>388445.2</v>
      </c>
      <c r="V1055" s="3" t="str">
        <f>VLOOKUP(N1055,products!A:B,2,0)</f>
        <v>Meat</v>
      </c>
      <c r="W1055" s="3" t="s">
        <v>28</v>
      </c>
      <c r="X1055" s="3" t="s">
        <v>33</v>
      </c>
      <c r="Y1055" s="14">
        <f t="shared" si="10"/>
        <v>0.1355803646</v>
      </c>
      <c r="Z1055" s="3">
        <f t="shared" si="7"/>
        <v>39</v>
      </c>
      <c r="AA1055" s="15">
        <f t="shared" si="8"/>
        <v>1</v>
      </c>
    </row>
    <row r="1056" ht="15.75" customHeight="1">
      <c r="A1056" s="3">
        <v>7.97202146E8</v>
      </c>
      <c r="B1056" s="9">
        <v>41557.0</v>
      </c>
      <c r="C1056" s="3">
        <f>IFERROR(__xludf.DUMMYFUNCTION("split(B1056,""/"")"),10.0)</f>
        <v>10</v>
      </c>
      <c r="D1056" s="10">
        <f>IFERROR(__xludf.DUMMYFUNCTION("""COMPUTED_VALUE"""),10.0)</f>
        <v>10</v>
      </c>
      <c r="E1056" s="11">
        <f>IFERROR(__xludf.DUMMYFUNCTION("""COMPUTED_VALUE"""),2013.0)</f>
        <v>2013</v>
      </c>
      <c r="F1056" s="12">
        <f t="shared" si="1"/>
        <v>41557</v>
      </c>
      <c r="G1056" s="3" t="s">
        <v>1725</v>
      </c>
      <c r="H1056" s="3">
        <f>IFERROR(__xludf.DUMMYFUNCTION("split(G1056,""/"")"),11.0)</f>
        <v>11</v>
      </c>
      <c r="I1056" s="3">
        <f>IFERROR(__xludf.DUMMYFUNCTION("""COMPUTED_VALUE"""),17.0)</f>
        <v>17</v>
      </c>
      <c r="J1056" s="3">
        <f>IFERROR(__xludf.DUMMYFUNCTION("""COMPUTED_VALUE"""),2013.0)</f>
        <v>2013</v>
      </c>
      <c r="K1056" s="12">
        <f t="shared" si="2"/>
        <v>41595</v>
      </c>
      <c r="L1056" s="3" t="s">
        <v>814</v>
      </c>
      <c r="M1056" s="3" t="s">
        <v>593</v>
      </c>
      <c r="N1056" s="3">
        <v>1270.0</v>
      </c>
      <c r="O1056" s="3" t="s">
        <v>815</v>
      </c>
      <c r="P1056" s="10">
        <v>8685.0</v>
      </c>
      <c r="Q1056" s="13">
        <v>47.45</v>
      </c>
      <c r="R1056" s="13">
        <v>31.79</v>
      </c>
      <c r="S1056" s="13">
        <f t="shared" si="3"/>
        <v>412103.25</v>
      </c>
      <c r="T1056" s="13">
        <f t="shared" si="4"/>
        <v>276096.15</v>
      </c>
      <c r="U1056" s="13">
        <f t="shared" si="5"/>
        <v>136007.1</v>
      </c>
      <c r="V1056" s="3" t="str">
        <f>VLOOKUP(N1056,products!A:B,2,0)</f>
        <v>Beverages</v>
      </c>
      <c r="W1056" s="3" t="s">
        <v>28</v>
      </c>
      <c r="X1056" s="3" t="s">
        <v>98</v>
      </c>
      <c r="Y1056" s="14">
        <f t="shared" si="10"/>
        <v>0.3300316122</v>
      </c>
      <c r="Z1056" s="3">
        <f t="shared" si="7"/>
        <v>38</v>
      </c>
      <c r="AA1056" s="15">
        <f t="shared" si="8"/>
        <v>5</v>
      </c>
    </row>
    <row r="1057" ht="15.75" customHeight="1">
      <c r="A1057" s="3">
        <v>7.973163E8</v>
      </c>
      <c r="B1057" s="3" t="s">
        <v>1726</v>
      </c>
      <c r="C1057" s="3">
        <f>IFERROR(__xludf.DUMMYFUNCTION("split(B1057,""/"")"),11.0)</f>
        <v>11</v>
      </c>
      <c r="D1057" s="10">
        <f>IFERROR(__xludf.DUMMYFUNCTION("""COMPUTED_VALUE"""),29.0)</f>
        <v>29</v>
      </c>
      <c r="E1057" s="11">
        <f>IFERROR(__xludf.DUMMYFUNCTION("""COMPUTED_VALUE"""),2016.0)</f>
        <v>2016</v>
      </c>
      <c r="F1057" s="12">
        <f t="shared" si="1"/>
        <v>42703</v>
      </c>
      <c r="G1057" s="3" t="s">
        <v>1726</v>
      </c>
      <c r="H1057" s="3">
        <f>IFERROR(__xludf.DUMMYFUNCTION("split(G1057,""/"")"),11.0)</f>
        <v>11</v>
      </c>
      <c r="I1057" s="3">
        <f>IFERROR(__xludf.DUMMYFUNCTION("""COMPUTED_VALUE"""),29.0)</f>
        <v>29</v>
      </c>
      <c r="J1057" s="3">
        <f>IFERROR(__xludf.DUMMYFUNCTION("""COMPUTED_VALUE"""),2016.0)</f>
        <v>2016</v>
      </c>
      <c r="K1057" s="12">
        <f t="shared" si="2"/>
        <v>42703</v>
      </c>
      <c r="L1057" s="3" t="s">
        <v>827</v>
      </c>
      <c r="M1057" s="3" t="s">
        <v>635</v>
      </c>
      <c r="N1057" s="3">
        <v>1270.0</v>
      </c>
      <c r="O1057" s="3" t="s">
        <v>818</v>
      </c>
      <c r="P1057" s="10">
        <v>2466.0</v>
      </c>
      <c r="Q1057" s="13">
        <v>47.45</v>
      </c>
      <c r="R1057" s="13">
        <v>31.79</v>
      </c>
      <c r="S1057" s="13">
        <f t="shared" si="3"/>
        <v>117011.7</v>
      </c>
      <c r="T1057" s="13">
        <f t="shared" si="4"/>
        <v>78394.14</v>
      </c>
      <c r="U1057" s="13">
        <f t="shared" si="5"/>
        <v>38617.56</v>
      </c>
      <c r="V1057" s="3" t="str">
        <f>VLOOKUP(N1057,products!A:B,2,0)</f>
        <v>Beverages</v>
      </c>
      <c r="W1057" s="3" t="s">
        <v>28</v>
      </c>
      <c r="X1057" s="3" t="s">
        <v>33</v>
      </c>
      <c r="Y1057" s="14">
        <f t="shared" si="10"/>
        <v>0.3300316122</v>
      </c>
      <c r="Z1057" s="3">
        <f t="shared" si="7"/>
        <v>0</v>
      </c>
      <c r="AA1057" s="15">
        <f t="shared" si="8"/>
        <v>3</v>
      </c>
    </row>
    <row r="1058" ht="15.75" customHeight="1">
      <c r="A1058" s="3">
        <v>7.97461354E8</v>
      </c>
      <c r="B1058" s="3" t="s">
        <v>1727</v>
      </c>
      <c r="C1058" s="3">
        <f>IFERROR(__xludf.DUMMYFUNCTION("split(B1058,""/"")"),1.0)</f>
        <v>1</v>
      </c>
      <c r="D1058" s="10">
        <f>IFERROR(__xludf.DUMMYFUNCTION("""COMPUTED_VALUE"""),30.0)</f>
        <v>30</v>
      </c>
      <c r="E1058" s="11">
        <f>IFERROR(__xludf.DUMMYFUNCTION("""COMPUTED_VALUE"""),2010.0)</f>
        <v>2010</v>
      </c>
      <c r="F1058" s="12">
        <f t="shared" si="1"/>
        <v>40208</v>
      </c>
      <c r="G1058" s="9">
        <v>40300.0</v>
      </c>
      <c r="H1058" s="3">
        <f>IFERROR(__xludf.DUMMYFUNCTION("split(G1058,""/"")"),2.0)</f>
        <v>2</v>
      </c>
      <c r="I1058" s="3">
        <f>IFERROR(__xludf.DUMMYFUNCTION("""COMPUTED_VALUE"""),5.0)</f>
        <v>5</v>
      </c>
      <c r="J1058" s="3">
        <f>IFERROR(__xludf.DUMMYFUNCTION("""COMPUTED_VALUE"""),2010.0)</f>
        <v>2010</v>
      </c>
      <c r="K1058" s="12">
        <f t="shared" si="2"/>
        <v>40214</v>
      </c>
      <c r="L1058" s="3" t="s">
        <v>827</v>
      </c>
      <c r="M1058" s="3" t="s">
        <v>689</v>
      </c>
      <c r="N1058" s="3">
        <v>1270.0</v>
      </c>
      <c r="O1058" s="3" t="s">
        <v>815</v>
      </c>
      <c r="P1058" s="10">
        <v>5391.0</v>
      </c>
      <c r="Q1058" s="13">
        <v>47.45</v>
      </c>
      <c r="R1058" s="13">
        <v>31.79</v>
      </c>
      <c r="S1058" s="13">
        <f t="shared" si="3"/>
        <v>255802.95</v>
      </c>
      <c r="T1058" s="13">
        <f t="shared" si="4"/>
        <v>171379.89</v>
      </c>
      <c r="U1058" s="13">
        <f t="shared" si="5"/>
        <v>84423.06</v>
      </c>
      <c r="V1058" s="3" t="str">
        <f>VLOOKUP(N1058,products!A:B,2,0)</f>
        <v>Beverages</v>
      </c>
      <c r="W1058" s="3" t="s">
        <v>28</v>
      </c>
      <c r="X1058" s="3" t="s">
        <v>79</v>
      </c>
      <c r="Y1058" s="14">
        <f t="shared" si="10"/>
        <v>0.3300316122</v>
      </c>
      <c r="Z1058" s="3">
        <f t="shared" si="7"/>
        <v>6</v>
      </c>
      <c r="AA1058" s="15">
        <f t="shared" si="8"/>
        <v>7</v>
      </c>
    </row>
    <row r="1059" ht="15.75" customHeight="1">
      <c r="A1059" s="3">
        <v>7.97718417E8</v>
      </c>
      <c r="B1059" s="3" t="s">
        <v>1728</v>
      </c>
      <c r="C1059" s="3">
        <f>IFERROR(__xludf.DUMMYFUNCTION("split(B1059,""/"")"),8.0)</f>
        <v>8</v>
      </c>
      <c r="D1059" s="10">
        <f>IFERROR(__xludf.DUMMYFUNCTION("""COMPUTED_VALUE"""),28.0)</f>
        <v>28</v>
      </c>
      <c r="E1059" s="11">
        <f>IFERROR(__xludf.DUMMYFUNCTION("""COMPUTED_VALUE"""),2010.0)</f>
        <v>2010</v>
      </c>
      <c r="F1059" s="12">
        <f t="shared" si="1"/>
        <v>40418</v>
      </c>
      <c r="G1059" s="3" t="s">
        <v>1729</v>
      </c>
      <c r="H1059" s="3">
        <f>IFERROR(__xludf.DUMMYFUNCTION("split(G1059,""/"")"),10.0)</f>
        <v>10</v>
      </c>
      <c r="I1059" s="3">
        <f>IFERROR(__xludf.DUMMYFUNCTION("""COMPUTED_VALUE"""),15.0)</f>
        <v>15</v>
      </c>
      <c r="J1059" s="3">
        <f>IFERROR(__xludf.DUMMYFUNCTION("""COMPUTED_VALUE"""),2010.0)</f>
        <v>2010</v>
      </c>
      <c r="K1059" s="12">
        <f t="shared" si="2"/>
        <v>40466</v>
      </c>
      <c r="L1059" s="3" t="s">
        <v>825</v>
      </c>
      <c r="M1059" s="3" t="s">
        <v>270</v>
      </c>
      <c r="N1059" s="3">
        <v>2103.0</v>
      </c>
      <c r="O1059" s="3" t="s">
        <v>818</v>
      </c>
      <c r="P1059" s="10">
        <v>1462.0</v>
      </c>
      <c r="Q1059" s="13">
        <v>205.7</v>
      </c>
      <c r="R1059" s="13">
        <v>117.11</v>
      </c>
      <c r="S1059" s="13">
        <f t="shared" si="3"/>
        <v>300733.4</v>
      </c>
      <c r="T1059" s="13">
        <f t="shared" si="4"/>
        <v>171214.82</v>
      </c>
      <c r="U1059" s="13">
        <f t="shared" si="5"/>
        <v>129518.58</v>
      </c>
      <c r="V1059" s="3" t="str">
        <f>VLOOKUP(N1059,products!A:B,2,0)</f>
        <v>Cereal</v>
      </c>
      <c r="W1059" s="3" t="s">
        <v>28</v>
      </c>
      <c r="X1059" s="3" t="s">
        <v>79</v>
      </c>
      <c r="Y1059" s="14">
        <f t="shared" si="10"/>
        <v>0.4306757414</v>
      </c>
      <c r="Z1059" s="3">
        <f t="shared" si="7"/>
        <v>48</v>
      </c>
      <c r="AA1059" s="15">
        <f t="shared" si="8"/>
        <v>7</v>
      </c>
    </row>
    <row r="1060" ht="15.75" customHeight="1">
      <c r="A1060" s="3">
        <v>7.97788369E8</v>
      </c>
      <c r="B1060" s="3" t="s">
        <v>973</v>
      </c>
      <c r="C1060" s="3">
        <f>IFERROR(__xludf.DUMMYFUNCTION("split(B1060,""/"")"),11.0)</f>
        <v>11</v>
      </c>
      <c r="D1060" s="10">
        <f>IFERROR(__xludf.DUMMYFUNCTION("""COMPUTED_VALUE"""),27.0)</f>
        <v>27</v>
      </c>
      <c r="E1060" s="11">
        <f>IFERROR(__xludf.DUMMYFUNCTION("""COMPUTED_VALUE"""),2016.0)</f>
        <v>2016</v>
      </c>
      <c r="F1060" s="12">
        <f t="shared" si="1"/>
        <v>42701</v>
      </c>
      <c r="G1060" s="3" t="s">
        <v>1730</v>
      </c>
      <c r="H1060" s="3">
        <f>IFERROR(__xludf.DUMMYFUNCTION("split(G1060,""/"")"),11.0)</f>
        <v>11</v>
      </c>
      <c r="I1060" s="3">
        <f>IFERROR(__xludf.DUMMYFUNCTION("""COMPUTED_VALUE"""),28.0)</f>
        <v>28</v>
      </c>
      <c r="J1060" s="3">
        <f>IFERROR(__xludf.DUMMYFUNCTION("""COMPUTED_VALUE"""),2016.0)</f>
        <v>2016</v>
      </c>
      <c r="K1060" s="12">
        <f t="shared" si="2"/>
        <v>42702</v>
      </c>
      <c r="L1060" s="3" t="s">
        <v>825</v>
      </c>
      <c r="M1060" s="3" t="s">
        <v>821</v>
      </c>
      <c r="N1060" s="3">
        <v>8681.0</v>
      </c>
      <c r="O1060" s="3" t="s">
        <v>815</v>
      </c>
      <c r="P1060" s="10">
        <v>2162.0</v>
      </c>
      <c r="Q1060" s="13">
        <v>651.21</v>
      </c>
      <c r="R1060" s="13">
        <v>524.96</v>
      </c>
      <c r="S1060" s="13">
        <f t="shared" si="3"/>
        <v>1407916.02</v>
      </c>
      <c r="T1060" s="13">
        <f t="shared" si="4"/>
        <v>1134963.52</v>
      </c>
      <c r="U1060" s="13">
        <f t="shared" si="5"/>
        <v>272952.5</v>
      </c>
      <c r="V1060" s="3" t="str">
        <f>VLOOKUP(N1060,products!A:B,2,0)</f>
        <v>Office Supplies</v>
      </c>
      <c r="W1060" s="3" t="s">
        <v>821</v>
      </c>
      <c r="X1060" s="3" t="s">
        <v>821</v>
      </c>
      <c r="Y1060" s="14">
        <f t="shared" si="10"/>
        <v>0.193869873</v>
      </c>
      <c r="Z1060" s="3">
        <f t="shared" si="7"/>
        <v>1</v>
      </c>
      <c r="AA1060" s="15">
        <f t="shared" si="8"/>
        <v>1</v>
      </c>
    </row>
    <row r="1061" ht="15.75" customHeight="1">
      <c r="A1061" s="3">
        <v>7.99109733E8</v>
      </c>
      <c r="B1061" s="3" t="s">
        <v>1695</v>
      </c>
      <c r="C1061" s="3">
        <f>IFERROR(__xludf.DUMMYFUNCTION("split(B1061,""/"")"),3.0)</f>
        <v>3</v>
      </c>
      <c r="D1061" s="10">
        <f>IFERROR(__xludf.DUMMYFUNCTION("""COMPUTED_VALUE"""),14.0)</f>
        <v>14</v>
      </c>
      <c r="E1061" s="11">
        <f>IFERROR(__xludf.DUMMYFUNCTION("""COMPUTED_VALUE"""),2013.0)</f>
        <v>2013</v>
      </c>
      <c r="F1061" s="12">
        <f t="shared" si="1"/>
        <v>41347</v>
      </c>
      <c r="G1061" s="3" t="s">
        <v>918</v>
      </c>
      <c r="H1061" s="3">
        <f>IFERROR(__xludf.DUMMYFUNCTION("split(G1061,""/"")"),4.0)</f>
        <v>4</v>
      </c>
      <c r="I1061" s="3">
        <f>IFERROR(__xludf.DUMMYFUNCTION("""COMPUTED_VALUE"""),29.0)</f>
        <v>29</v>
      </c>
      <c r="J1061" s="3">
        <f>IFERROR(__xludf.DUMMYFUNCTION("""COMPUTED_VALUE"""),2013.0)</f>
        <v>2013</v>
      </c>
      <c r="K1061" s="12">
        <f t="shared" si="2"/>
        <v>41393</v>
      </c>
      <c r="L1061" s="3" t="s">
        <v>817</v>
      </c>
      <c r="M1061" s="3" t="s">
        <v>536</v>
      </c>
      <c r="N1061" s="3">
        <v>2455.0</v>
      </c>
      <c r="O1061" s="3" t="s">
        <v>815</v>
      </c>
      <c r="P1061" s="10">
        <v>3183.0</v>
      </c>
      <c r="Q1061" s="13">
        <v>109.28</v>
      </c>
      <c r="R1061" s="13">
        <v>35.84</v>
      </c>
      <c r="S1061" s="13">
        <f t="shared" si="3"/>
        <v>347838.24</v>
      </c>
      <c r="T1061" s="13">
        <f t="shared" si="4"/>
        <v>114078.72</v>
      </c>
      <c r="U1061" s="13">
        <f t="shared" si="5"/>
        <v>233759.52</v>
      </c>
      <c r="V1061" s="3" t="str">
        <f>VLOOKUP(N1061,products!A:B,2,0)</f>
        <v>Clothes</v>
      </c>
      <c r="W1061" s="3" t="s">
        <v>28</v>
      </c>
      <c r="X1061" s="3" t="s">
        <v>33</v>
      </c>
      <c r="Y1061" s="14">
        <f t="shared" si="10"/>
        <v>0.6720351391</v>
      </c>
      <c r="Z1061" s="3">
        <f t="shared" si="7"/>
        <v>46</v>
      </c>
      <c r="AA1061" s="15">
        <f t="shared" si="8"/>
        <v>5</v>
      </c>
    </row>
    <row r="1062" ht="15.75" customHeight="1">
      <c r="A1062" s="3">
        <v>7.99848306E8</v>
      </c>
      <c r="B1062" s="9">
        <v>42677.0</v>
      </c>
      <c r="C1062" s="3">
        <f>IFERROR(__xludf.DUMMYFUNCTION("split(B1062,""/"")"),3.0)</f>
        <v>3</v>
      </c>
      <c r="D1062" s="10">
        <f>IFERROR(__xludf.DUMMYFUNCTION("""COMPUTED_VALUE"""),11.0)</f>
        <v>11</v>
      </c>
      <c r="E1062" s="11">
        <f>IFERROR(__xludf.DUMMYFUNCTION("""COMPUTED_VALUE"""),2016.0)</f>
        <v>2016</v>
      </c>
      <c r="F1062" s="12">
        <f t="shared" si="1"/>
        <v>42440</v>
      </c>
      <c r="G1062" s="3" t="s">
        <v>1681</v>
      </c>
      <c r="H1062" s="3">
        <f>IFERROR(__xludf.DUMMYFUNCTION("split(G1062,""/"")"),4.0)</f>
        <v>4</v>
      </c>
      <c r="I1062" s="3">
        <f>IFERROR(__xludf.DUMMYFUNCTION("""COMPUTED_VALUE"""),23.0)</f>
        <v>23</v>
      </c>
      <c r="J1062" s="3">
        <f>IFERROR(__xludf.DUMMYFUNCTION("""COMPUTED_VALUE"""),2016.0)</f>
        <v>2016</v>
      </c>
      <c r="K1062" s="12">
        <f t="shared" si="2"/>
        <v>42483</v>
      </c>
      <c r="L1062" s="3" t="s">
        <v>817</v>
      </c>
      <c r="M1062" s="3" t="s">
        <v>300</v>
      </c>
      <c r="N1062" s="3">
        <v>7940.0</v>
      </c>
      <c r="O1062" s="3" t="s">
        <v>818</v>
      </c>
      <c r="P1062" s="10">
        <v>1743.0</v>
      </c>
      <c r="Q1062" s="13">
        <v>668.27</v>
      </c>
      <c r="R1062" s="13">
        <v>502.54</v>
      </c>
      <c r="S1062" s="13">
        <f t="shared" si="3"/>
        <v>1164794.61</v>
      </c>
      <c r="T1062" s="13">
        <f t="shared" si="4"/>
        <v>875927.22</v>
      </c>
      <c r="U1062" s="13">
        <f t="shared" si="5"/>
        <v>288867.39</v>
      </c>
      <c r="V1062" s="3" t="str">
        <f>VLOOKUP(N1062,products!A:B,2,0)</f>
        <v>Household</v>
      </c>
      <c r="W1062" s="3" t="s">
        <v>28</v>
      </c>
      <c r="X1062" s="3" t="s">
        <v>33</v>
      </c>
      <c r="Y1062" s="14">
        <f t="shared" si="10"/>
        <v>0.2479985635</v>
      </c>
      <c r="Z1062" s="3">
        <f t="shared" si="7"/>
        <v>43</v>
      </c>
      <c r="AA1062" s="15">
        <f t="shared" si="8"/>
        <v>6</v>
      </c>
    </row>
    <row r="1063" ht="15.75" customHeight="1">
      <c r="A1063" s="3">
        <v>8.00045716E8</v>
      </c>
      <c r="B1063" s="3" t="s">
        <v>982</v>
      </c>
      <c r="C1063" s="3">
        <f>IFERROR(__xludf.DUMMYFUNCTION("split(B1063,""/"")"),4.0)</f>
        <v>4</v>
      </c>
      <c r="D1063" s="10">
        <f>IFERROR(__xludf.DUMMYFUNCTION("""COMPUTED_VALUE"""),16.0)</f>
        <v>16</v>
      </c>
      <c r="E1063" s="11">
        <f>IFERROR(__xludf.DUMMYFUNCTION("""COMPUTED_VALUE"""),2017.0)</f>
        <v>2017</v>
      </c>
      <c r="F1063" s="12">
        <f t="shared" si="1"/>
        <v>42841</v>
      </c>
      <c r="G1063" s="3" t="s">
        <v>1731</v>
      </c>
      <c r="H1063" s="3">
        <f>IFERROR(__xludf.DUMMYFUNCTION("split(G1063,""/"")"),5.0)</f>
        <v>5</v>
      </c>
      <c r="I1063" s="3">
        <f>IFERROR(__xludf.DUMMYFUNCTION("""COMPUTED_VALUE"""),14.0)</f>
        <v>14</v>
      </c>
      <c r="J1063" s="3">
        <f>IFERROR(__xludf.DUMMYFUNCTION("""COMPUTED_VALUE"""),2017.0)</f>
        <v>2017</v>
      </c>
      <c r="K1063" s="12">
        <f t="shared" si="2"/>
        <v>42869</v>
      </c>
      <c r="L1063" s="3" t="s">
        <v>814</v>
      </c>
      <c r="M1063" s="3" t="s">
        <v>300</v>
      </c>
      <c r="N1063" s="3">
        <v>3127.0</v>
      </c>
      <c r="O1063" s="3" t="s">
        <v>815</v>
      </c>
      <c r="P1063" s="10">
        <v>161.0</v>
      </c>
      <c r="Q1063" s="13">
        <v>81.73</v>
      </c>
      <c r="R1063" s="13">
        <v>56.67</v>
      </c>
      <c r="S1063" s="13">
        <f t="shared" si="3"/>
        <v>13158.53</v>
      </c>
      <c r="T1063" s="13">
        <f t="shared" si="4"/>
        <v>9123.87</v>
      </c>
      <c r="U1063" s="13">
        <f t="shared" si="5"/>
        <v>4034.66</v>
      </c>
      <c r="V1063" s="3" t="str">
        <f>VLOOKUP(N1063,products!A:B,2,0)</f>
        <v>Personal Care</v>
      </c>
      <c r="W1063" s="3" t="s">
        <v>28</v>
      </c>
      <c r="X1063" s="3" t="s">
        <v>33</v>
      </c>
      <c r="Y1063" s="14">
        <f t="shared" si="10"/>
        <v>0.3066193564</v>
      </c>
      <c r="Z1063" s="3">
        <f t="shared" si="7"/>
        <v>28</v>
      </c>
      <c r="AA1063" s="15">
        <f t="shared" si="8"/>
        <v>1</v>
      </c>
    </row>
    <row r="1064" ht="15.75" customHeight="1">
      <c r="A1064" s="3">
        <v>8.00352561E8</v>
      </c>
      <c r="B1064" s="3" t="s">
        <v>1732</v>
      </c>
      <c r="C1064" s="3">
        <f>IFERROR(__xludf.DUMMYFUNCTION("split(B1064,""/"")"),9.0)</f>
        <v>9</v>
      </c>
      <c r="D1064" s="10">
        <f>IFERROR(__xludf.DUMMYFUNCTION("""COMPUTED_VALUE"""),28.0)</f>
        <v>28</v>
      </c>
      <c r="E1064" s="11">
        <f>IFERROR(__xludf.DUMMYFUNCTION("""COMPUTED_VALUE"""),2012.0)</f>
        <v>2012</v>
      </c>
      <c r="F1064" s="12">
        <f t="shared" si="1"/>
        <v>41180</v>
      </c>
      <c r="G1064" s="3" t="s">
        <v>1733</v>
      </c>
      <c r="H1064" s="3">
        <f>IFERROR(__xludf.DUMMYFUNCTION("split(G1064,""/"")"),10.0)</f>
        <v>10</v>
      </c>
      <c r="I1064" s="3">
        <f>IFERROR(__xludf.DUMMYFUNCTION("""COMPUTED_VALUE"""),21.0)</f>
        <v>21</v>
      </c>
      <c r="J1064" s="3">
        <f>IFERROR(__xludf.DUMMYFUNCTION("""COMPUTED_VALUE"""),2012.0)</f>
        <v>2012</v>
      </c>
      <c r="K1064" s="12">
        <f t="shared" si="2"/>
        <v>41203</v>
      </c>
      <c r="L1064" s="3" t="s">
        <v>827</v>
      </c>
      <c r="M1064" s="3" t="s">
        <v>267</v>
      </c>
      <c r="N1064" s="3">
        <v>5988.0</v>
      </c>
      <c r="O1064" s="3" t="s">
        <v>815</v>
      </c>
      <c r="P1064" s="10">
        <v>963.0</v>
      </c>
      <c r="Q1064" s="13">
        <v>154.06</v>
      </c>
      <c r="R1064" s="13">
        <v>90.93</v>
      </c>
      <c r="S1064" s="13">
        <f t="shared" si="3"/>
        <v>148359.78</v>
      </c>
      <c r="T1064" s="13">
        <f t="shared" si="4"/>
        <v>87565.59</v>
      </c>
      <c r="U1064" s="13">
        <f t="shared" si="5"/>
        <v>60794.19</v>
      </c>
      <c r="V1064" s="3" t="str">
        <f>VLOOKUP(N1064,products!A:B,2,0)</f>
        <v>Vegetables</v>
      </c>
      <c r="W1064" s="3" t="s">
        <v>28</v>
      </c>
      <c r="X1064" s="3" t="s">
        <v>29</v>
      </c>
      <c r="Y1064" s="14">
        <f t="shared" si="10"/>
        <v>0.4097754122</v>
      </c>
      <c r="Z1064" s="3">
        <f t="shared" si="7"/>
        <v>23</v>
      </c>
      <c r="AA1064" s="15">
        <f t="shared" si="8"/>
        <v>6</v>
      </c>
    </row>
    <row r="1065" ht="15.75" customHeight="1">
      <c r="A1065" s="3">
        <v>8.01352488E8</v>
      </c>
      <c r="B1065" s="9">
        <v>42160.0</v>
      </c>
      <c r="C1065" s="3">
        <f>IFERROR(__xludf.DUMMYFUNCTION("split(B1065,""/"")"),5.0)</f>
        <v>5</v>
      </c>
      <c r="D1065" s="10">
        <f>IFERROR(__xludf.DUMMYFUNCTION("""COMPUTED_VALUE"""),6.0)</f>
        <v>6</v>
      </c>
      <c r="E1065" s="11">
        <f>IFERROR(__xludf.DUMMYFUNCTION("""COMPUTED_VALUE"""),2015.0)</f>
        <v>2015</v>
      </c>
      <c r="F1065" s="12">
        <f t="shared" si="1"/>
        <v>42130</v>
      </c>
      <c r="G1065" s="3" t="s">
        <v>1734</v>
      </c>
      <c r="H1065" s="3">
        <f>IFERROR(__xludf.DUMMYFUNCTION("split(G1065,""/"")"),5.0)</f>
        <v>5</v>
      </c>
      <c r="I1065" s="3">
        <f>IFERROR(__xludf.DUMMYFUNCTION("""COMPUTED_VALUE"""),23.0)</f>
        <v>23</v>
      </c>
      <c r="J1065" s="3">
        <f>IFERROR(__xludf.DUMMYFUNCTION("""COMPUTED_VALUE"""),2015.0)</f>
        <v>2015</v>
      </c>
      <c r="K1065" s="12">
        <f t="shared" si="2"/>
        <v>42147</v>
      </c>
      <c r="L1065" s="3" t="s">
        <v>814</v>
      </c>
      <c r="M1065" s="3" t="s">
        <v>746</v>
      </c>
      <c r="N1065" s="3">
        <v>8293.0</v>
      </c>
      <c r="O1065" s="3" t="s">
        <v>818</v>
      </c>
      <c r="P1065" s="10">
        <v>6864.0</v>
      </c>
      <c r="Q1065" s="13">
        <v>437.2</v>
      </c>
      <c r="R1065" s="13">
        <v>263.33</v>
      </c>
      <c r="S1065" s="13">
        <f t="shared" si="3"/>
        <v>3000940.8</v>
      </c>
      <c r="T1065" s="13">
        <f t="shared" si="4"/>
        <v>1807497.12</v>
      </c>
      <c r="U1065" s="13">
        <f t="shared" si="5"/>
        <v>1193443.68</v>
      </c>
      <c r="V1065" s="3" t="str">
        <f>VLOOKUP(N1065,products!A:B,2,0)</f>
        <v>Cosmetics</v>
      </c>
      <c r="W1065" s="3" t="s">
        <v>28</v>
      </c>
      <c r="X1065" s="3" t="s">
        <v>29</v>
      </c>
      <c r="Y1065" s="14">
        <f t="shared" si="10"/>
        <v>0.3976898445</v>
      </c>
      <c r="Z1065" s="3">
        <f t="shared" si="7"/>
        <v>17</v>
      </c>
      <c r="AA1065" s="15">
        <f t="shared" si="8"/>
        <v>4</v>
      </c>
    </row>
    <row r="1066" ht="15.75" customHeight="1">
      <c r="A1066" s="3">
        <v>8.01925837E8</v>
      </c>
      <c r="B1066" s="3" t="s">
        <v>1041</v>
      </c>
      <c r="C1066" s="3">
        <f>IFERROR(__xludf.DUMMYFUNCTION("split(B1066,""/"")"),10.0)</f>
        <v>10</v>
      </c>
      <c r="D1066" s="10">
        <f>IFERROR(__xludf.DUMMYFUNCTION("""COMPUTED_VALUE"""),17.0)</f>
        <v>17</v>
      </c>
      <c r="E1066" s="11">
        <f>IFERROR(__xludf.DUMMYFUNCTION("""COMPUTED_VALUE"""),2013.0)</f>
        <v>2013</v>
      </c>
      <c r="F1066" s="12">
        <f t="shared" si="1"/>
        <v>41564</v>
      </c>
      <c r="G1066" s="3" t="s">
        <v>1143</v>
      </c>
      <c r="H1066" s="3">
        <f>IFERROR(__xludf.DUMMYFUNCTION("split(G1066,""/"")"),10.0)</f>
        <v>10</v>
      </c>
      <c r="I1066" s="3">
        <f>IFERROR(__xludf.DUMMYFUNCTION("""COMPUTED_VALUE"""),26.0)</f>
        <v>26</v>
      </c>
      <c r="J1066" s="3">
        <f>IFERROR(__xludf.DUMMYFUNCTION("""COMPUTED_VALUE"""),2013.0)</f>
        <v>2013</v>
      </c>
      <c r="K1066" s="12">
        <f t="shared" si="2"/>
        <v>41573</v>
      </c>
      <c r="L1066" s="3" t="s">
        <v>817</v>
      </c>
      <c r="M1066" s="3" t="s">
        <v>428</v>
      </c>
      <c r="N1066" s="3">
        <v>5988.0</v>
      </c>
      <c r="O1066" s="3" t="s">
        <v>818</v>
      </c>
      <c r="P1066" s="10">
        <v>6531.0</v>
      </c>
      <c r="Q1066" s="13">
        <v>154.06</v>
      </c>
      <c r="R1066" s="13">
        <v>90.93</v>
      </c>
      <c r="S1066" s="13">
        <f t="shared" si="3"/>
        <v>1006165.86</v>
      </c>
      <c r="T1066" s="13">
        <f t="shared" si="4"/>
        <v>593863.83</v>
      </c>
      <c r="U1066" s="13">
        <f t="shared" si="5"/>
        <v>412302.03</v>
      </c>
      <c r="V1066" s="3" t="str">
        <f>VLOOKUP(N1066,products!A:B,2,0)</f>
        <v>Vegetables</v>
      </c>
      <c r="W1066" s="3" t="s">
        <v>28</v>
      </c>
      <c r="X1066" s="3" t="s">
        <v>79</v>
      </c>
      <c r="Y1066" s="14">
        <f t="shared" si="10"/>
        <v>0.4097754122</v>
      </c>
      <c r="Z1066" s="3">
        <f t="shared" si="7"/>
        <v>9</v>
      </c>
      <c r="AA1066" s="15">
        <f t="shared" si="8"/>
        <v>5</v>
      </c>
    </row>
    <row r="1067" ht="15.75" customHeight="1">
      <c r="A1067" s="3">
        <v>8.05095136E8</v>
      </c>
      <c r="B1067" s="3" t="s">
        <v>1735</v>
      </c>
      <c r="C1067" s="3">
        <f>IFERROR(__xludf.DUMMYFUNCTION("split(B1067,""/"")"),1.0)</f>
        <v>1</v>
      </c>
      <c r="D1067" s="10">
        <f>IFERROR(__xludf.DUMMYFUNCTION("""COMPUTED_VALUE"""),13.0)</f>
        <v>13</v>
      </c>
      <c r="E1067" s="11">
        <f>IFERROR(__xludf.DUMMYFUNCTION("""COMPUTED_VALUE"""),2010.0)</f>
        <v>2010</v>
      </c>
      <c r="F1067" s="12">
        <f t="shared" si="1"/>
        <v>40191</v>
      </c>
      <c r="G1067" s="3" t="s">
        <v>1381</v>
      </c>
      <c r="H1067" s="3">
        <f>IFERROR(__xludf.DUMMYFUNCTION("split(G1067,""/"")"),1.0)</f>
        <v>1</v>
      </c>
      <c r="I1067" s="3">
        <f>IFERROR(__xludf.DUMMYFUNCTION("""COMPUTED_VALUE"""),20.0)</f>
        <v>20</v>
      </c>
      <c r="J1067" s="3">
        <f>IFERROR(__xludf.DUMMYFUNCTION("""COMPUTED_VALUE"""),2010.0)</f>
        <v>2010</v>
      </c>
      <c r="K1067" s="12">
        <f t="shared" si="2"/>
        <v>40198</v>
      </c>
      <c r="L1067" s="3" t="s">
        <v>825</v>
      </c>
      <c r="M1067" s="3" t="s">
        <v>821</v>
      </c>
      <c r="N1067" s="3">
        <v>5988.0</v>
      </c>
      <c r="O1067" s="3" t="s">
        <v>815</v>
      </c>
      <c r="P1067" s="10">
        <v>4396.0</v>
      </c>
      <c r="Q1067" s="13">
        <v>154.06</v>
      </c>
      <c r="R1067" s="13">
        <v>90.93</v>
      </c>
      <c r="S1067" s="13">
        <f t="shared" si="3"/>
        <v>677247.76</v>
      </c>
      <c r="T1067" s="13">
        <f t="shared" si="4"/>
        <v>399728.28</v>
      </c>
      <c r="U1067" s="13">
        <f t="shared" si="5"/>
        <v>277519.48</v>
      </c>
      <c r="V1067" s="3" t="str">
        <f>VLOOKUP(N1067,products!A:B,2,0)</f>
        <v>Vegetables</v>
      </c>
      <c r="W1067" s="3" t="s">
        <v>821</v>
      </c>
      <c r="X1067" s="3" t="s">
        <v>821</v>
      </c>
      <c r="Y1067" s="14">
        <f t="shared" si="10"/>
        <v>0.4097754122</v>
      </c>
      <c r="Z1067" s="3">
        <f t="shared" si="7"/>
        <v>7</v>
      </c>
      <c r="AA1067" s="15">
        <f t="shared" si="8"/>
        <v>4</v>
      </c>
    </row>
    <row r="1068" ht="15.75" customHeight="1">
      <c r="A1068" s="3">
        <v>8.05974042E8</v>
      </c>
      <c r="B1068" s="3" t="s">
        <v>1473</v>
      </c>
      <c r="C1068" s="3">
        <f>IFERROR(__xludf.DUMMYFUNCTION("split(B1068,""/"")"),7.0)</f>
        <v>7</v>
      </c>
      <c r="D1068" s="10">
        <f>IFERROR(__xludf.DUMMYFUNCTION("""COMPUTED_VALUE"""),22.0)</f>
        <v>22</v>
      </c>
      <c r="E1068" s="11">
        <f>IFERROR(__xludf.DUMMYFUNCTION("""COMPUTED_VALUE"""),2012.0)</f>
        <v>2012</v>
      </c>
      <c r="F1068" s="12">
        <f t="shared" si="1"/>
        <v>41112</v>
      </c>
      <c r="G1068" s="3" t="s">
        <v>988</v>
      </c>
      <c r="H1068" s="3">
        <f>IFERROR(__xludf.DUMMYFUNCTION("split(G1068,""/"")"),7.0)</f>
        <v>7</v>
      </c>
      <c r="I1068" s="3">
        <f>IFERROR(__xludf.DUMMYFUNCTION("""COMPUTED_VALUE"""),28.0)</f>
        <v>28</v>
      </c>
      <c r="J1068" s="3">
        <f>IFERROR(__xludf.DUMMYFUNCTION("""COMPUTED_VALUE"""),2012.0)</f>
        <v>2012</v>
      </c>
      <c r="K1068" s="12">
        <f t="shared" si="2"/>
        <v>41118</v>
      </c>
      <c r="L1068" s="3" t="s">
        <v>814</v>
      </c>
      <c r="M1068" s="3" t="s">
        <v>221</v>
      </c>
      <c r="N1068" s="3">
        <v>8293.0</v>
      </c>
      <c r="O1068" s="3" t="s">
        <v>818</v>
      </c>
      <c r="P1068" s="10">
        <v>4484.0</v>
      </c>
      <c r="Q1068" s="13">
        <v>437.2</v>
      </c>
      <c r="R1068" s="13">
        <v>263.33</v>
      </c>
      <c r="S1068" s="13">
        <f t="shared" si="3"/>
        <v>1960404.8</v>
      </c>
      <c r="T1068" s="13">
        <f t="shared" si="4"/>
        <v>1180771.72</v>
      </c>
      <c r="U1068" s="13">
        <f t="shared" si="5"/>
        <v>779633.08</v>
      </c>
      <c r="V1068" s="3" t="str">
        <f>VLOOKUP(N1068,products!A:B,2,0)</f>
        <v>Cosmetics</v>
      </c>
      <c r="W1068" s="3" t="s">
        <v>28</v>
      </c>
      <c r="X1068" s="3" t="s">
        <v>29</v>
      </c>
      <c r="Y1068" s="14">
        <f t="shared" si="10"/>
        <v>0.3976898445</v>
      </c>
      <c r="Z1068" s="3">
        <f t="shared" si="7"/>
        <v>6</v>
      </c>
      <c r="AA1068" s="15">
        <f t="shared" si="8"/>
        <v>1</v>
      </c>
    </row>
    <row r="1069" ht="15.75" customHeight="1">
      <c r="A1069" s="3">
        <v>8.06197631E8</v>
      </c>
      <c r="B1069" s="3" t="s">
        <v>1228</v>
      </c>
      <c r="C1069" s="3">
        <f>IFERROR(__xludf.DUMMYFUNCTION("split(B1069,""/"")"),1.0)</f>
        <v>1</v>
      </c>
      <c r="D1069" s="10">
        <f>IFERROR(__xludf.DUMMYFUNCTION("""COMPUTED_VALUE"""),18.0)</f>
        <v>18</v>
      </c>
      <c r="E1069" s="11">
        <f>IFERROR(__xludf.DUMMYFUNCTION("""COMPUTED_VALUE"""),2010.0)</f>
        <v>2010</v>
      </c>
      <c r="F1069" s="12">
        <f t="shared" si="1"/>
        <v>40196</v>
      </c>
      <c r="G1069" s="3" t="s">
        <v>1736</v>
      </c>
      <c r="H1069" s="3">
        <f>IFERROR(__xludf.DUMMYFUNCTION("split(G1069,""/"")"),2.0)</f>
        <v>2</v>
      </c>
      <c r="I1069" s="3">
        <f>IFERROR(__xludf.DUMMYFUNCTION("""COMPUTED_VALUE"""),18.0)</f>
        <v>18</v>
      </c>
      <c r="J1069" s="3">
        <f>IFERROR(__xludf.DUMMYFUNCTION("""COMPUTED_VALUE"""),2010.0)</f>
        <v>2010</v>
      </c>
      <c r="K1069" s="12">
        <f t="shared" si="2"/>
        <v>40227</v>
      </c>
      <c r="L1069" s="3" t="s">
        <v>814</v>
      </c>
      <c r="M1069" s="3" t="s">
        <v>215</v>
      </c>
      <c r="N1069" s="3">
        <v>7331.0</v>
      </c>
      <c r="O1069" s="3" t="s">
        <v>815</v>
      </c>
      <c r="P1069" s="10">
        <v>649.0</v>
      </c>
      <c r="Q1069" s="13">
        <v>255.28</v>
      </c>
      <c r="R1069" s="13">
        <v>159.42</v>
      </c>
      <c r="S1069" s="13">
        <f t="shared" si="3"/>
        <v>165676.72</v>
      </c>
      <c r="T1069" s="13">
        <f t="shared" si="4"/>
        <v>103463.58</v>
      </c>
      <c r="U1069" s="13">
        <f t="shared" si="5"/>
        <v>62213.14</v>
      </c>
      <c r="V1069" s="3" t="str">
        <f>VLOOKUP(N1069,products!A:B,2,0)</f>
        <v>Baby Food</v>
      </c>
      <c r="W1069" s="3" t="s">
        <v>23</v>
      </c>
      <c r="X1069" s="3" t="s">
        <v>68</v>
      </c>
      <c r="Y1069" s="14">
        <f t="shared" si="10"/>
        <v>0.3755092448</v>
      </c>
      <c r="Z1069" s="3">
        <f t="shared" si="7"/>
        <v>31</v>
      </c>
      <c r="AA1069" s="15">
        <f t="shared" si="8"/>
        <v>2</v>
      </c>
    </row>
    <row r="1070" ht="15.75" customHeight="1">
      <c r="A1070" s="3">
        <v>8.06662404E8</v>
      </c>
      <c r="B1070" s="9">
        <v>40280.0</v>
      </c>
      <c r="C1070" s="3">
        <f>IFERROR(__xludf.DUMMYFUNCTION("split(B1070,""/"")"),12.0)</f>
        <v>12</v>
      </c>
      <c r="D1070" s="10">
        <f>IFERROR(__xludf.DUMMYFUNCTION("""COMPUTED_VALUE"""),4.0)</f>
        <v>4</v>
      </c>
      <c r="E1070" s="11">
        <f>IFERROR(__xludf.DUMMYFUNCTION("""COMPUTED_VALUE"""),2010.0)</f>
        <v>2010</v>
      </c>
      <c r="F1070" s="12">
        <f t="shared" si="1"/>
        <v>40516</v>
      </c>
      <c r="G1070" s="9">
        <v>40371.0</v>
      </c>
      <c r="H1070" s="3">
        <f>IFERROR(__xludf.DUMMYFUNCTION("split(G1070,""/"")"),12.0)</f>
        <v>12</v>
      </c>
      <c r="I1070" s="3">
        <f>IFERROR(__xludf.DUMMYFUNCTION("""COMPUTED_VALUE"""),7.0)</f>
        <v>7</v>
      </c>
      <c r="J1070" s="3">
        <f>IFERROR(__xludf.DUMMYFUNCTION("""COMPUTED_VALUE"""),2010.0)</f>
        <v>2010</v>
      </c>
      <c r="K1070" s="12">
        <f t="shared" si="2"/>
        <v>40519</v>
      </c>
      <c r="L1070" s="3" t="s">
        <v>827</v>
      </c>
      <c r="M1070" s="3" t="s">
        <v>671</v>
      </c>
      <c r="N1070" s="3">
        <v>2103.0</v>
      </c>
      <c r="O1070" s="3" t="s">
        <v>818</v>
      </c>
      <c r="P1070" s="10">
        <v>8186.0</v>
      </c>
      <c r="Q1070" s="13">
        <v>205.7</v>
      </c>
      <c r="R1070" s="13">
        <v>117.11</v>
      </c>
      <c r="S1070" s="13">
        <f t="shared" si="3"/>
        <v>1683860.2</v>
      </c>
      <c r="T1070" s="13">
        <f t="shared" si="4"/>
        <v>958662.46</v>
      </c>
      <c r="U1070" s="13">
        <f t="shared" si="5"/>
        <v>725197.74</v>
      </c>
      <c r="V1070" s="3" t="str">
        <f>VLOOKUP(N1070,products!A:B,2,0)</f>
        <v>Cereal</v>
      </c>
      <c r="W1070" s="3" t="s">
        <v>28</v>
      </c>
      <c r="X1070" s="3" t="s">
        <v>33</v>
      </c>
      <c r="Y1070" s="14">
        <f t="shared" si="10"/>
        <v>0.4306757414</v>
      </c>
      <c r="Z1070" s="3">
        <f t="shared" si="7"/>
        <v>3</v>
      </c>
      <c r="AA1070" s="15">
        <f t="shared" si="8"/>
        <v>7</v>
      </c>
    </row>
    <row r="1071" ht="15.75" customHeight="1">
      <c r="A1071" s="3">
        <v>8.10752236E8</v>
      </c>
      <c r="B1071" s="3" t="s">
        <v>1069</v>
      </c>
      <c r="C1071" s="3">
        <f>IFERROR(__xludf.DUMMYFUNCTION("split(B1071,""/"")"),3.0)</f>
        <v>3</v>
      </c>
      <c r="D1071" s="10">
        <f>IFERROR(__xludf.DUMMYFUNCTION("""COMPUTED_VALUE"""),28.0)</f>
        <v>28</v>
      </c>
      <c r="E1071" s="11">
        <f>IFERROR(__xludf.DUMMYFUNCTION("""COMPUTED_VALUE"""),2016.0)</f>
        <v>2016</v>
      </c>
      <c r="F1071" s="12">
        <f t="shared" si="1"/>
        <v>42457</v>
      </c>
      <c r="G1071" s="9">
        <v>42465.0</v>
      </c>
      <c r="H1071" s="3">
        <f>IFERROR(__xludf.DUMMYFUNCTION("split(G1071,""/"")"),5.0)</f>
        <v>5</v>
      </c>
      <c r="I1071" s="3">
        <f>IFERROR(__xludf.DUMMYFUNCTION("""COMPUTED_VALUE"""),4.0)</f>
        <v>4</v>
      </c>
      <c r="J1071" s="3">
        <f>IFERROR(__xludf.DUMMYFUNCTION("""COMPUTED_VALUE"""),2016.0)</f>
        <v>2016</v>
      </c>
      <c r="K1071" s="12">
        <f t="shared" si="2"/>
        <v>42494</v>
      </c>
      <c r="L1071" s="3" t="s">
        <v>825</v>
      </c>
      <c r="M1071" s="3" t="s">
        <v>821</v>
      </c>
      <c r="N1071" s="3">
        <v>5988.0</v>
      </c>
      <c r="O1071" s="3" t="s">
        <v>815</v>
      </c>
      <c r="P1071" s="10">
        <v>8458.0</v>
      </c>
      <c r="Q1071" s="13">
        <v>154.06</v>
      </c>
      <c r="R1071" s="13">
        <v>90.93</v>
      </c>
      <c r="S1071" s="13">
        <f t="shared" si="3"/>
        <v>1303039.48</v>
      </c>
      <c r="T1071" s="13">
        <f t="shared" si="4"/>
        <v>769085.94</v>
      </c>
      <c r="U1071" s="13">
        <f t="shared" si="5"/>
        <v>533953.54</v>
      </c>
      <c r="V1071" s="3" t="str">
        <f>VLOOKUP(N1071,products!A:B,2,0)</f>
        <v>Vegetables</v>
      </c>
      <c r="W1071" s="3" t="s">
        <v>821</v>
      </c>
      <c r="X1071" s="3" t="s">
        <v>821</v>
      </c>
      <c r="Y1071" s="14">
        <f t="shared" si="10"/>
        <v>0.4097754122</v>
      </c>
      <c r="Z1071" s="3">
        <f t="shared" si="7"/>
        <v>37</v>
      </c>
      <c r="AA1071" s="15">
        <f t="shared" si="8"/>
        <v>2</v>
      </c>
    </row>
    <row r="1072" ht="15.75" customHeight="1">
      <c r="A1072" s="3">
        <v>8.1197704E8</v>
      </c>
      <c r="B1072" s="3" t="s">
        <v>1118</v>
      </c>
      <c r="C1072" s="3">
        <f>IFERROR(__xludf.DUMMYFUNCTION("split(B1072,""/"")"),4.0)</f>
        <v>4</v>
      </c>
      <c r="D1072" s="10">
        <f>IFERROR(__xludf.DUMMYFUNCTION("""COMPUTED_VALUE"""),15.0)</f>
        <v>15</v>
      </c>
      <c r="E1072" s="11">
        <f>IFERROR(__xludf.DUMMYFUNCTION("""COMPUTED_VALUE"""),2015.0)</f>
        <v>2015</v>
      </c>
      <c r="F1072" s="12">
        <f t="shared" si="1"/>
        <v>42109</v>
      </c>
      <c r="G1072" s="3" t="s">
        <v>1737</v>
      </c>
      <c r="H1072" s="3">
        <f>IFERROR(__xludf.DUMMYFUNCTION("split(G1072,""/"")"),5.0)</f>
        <v>5</v>
      </c>
      <c r="I1072" s="3">
        <f>IFERROR(__xludf.DUMMYFUNCTION("""COMPUTED_VALUE"""),28.0)</f>
        <v>28</v>
      </c>
      <c r="J1072" s="3">
        <f>IFERROR(__xludf.DUMMYFUNCTION("""COMPUTED_VALUE"""),2015.0)</f>
        <v>2015</v>
      </c>
      <c r="K1072" s="12">
        <f t="shared" si="2"/>
        <v>42152</v>
      </c>
      <c r="L1072" s="3" t="s">
        <v>814</v>
      </c>
      <c r="M1072" s="3" t="s">
        <v>689</v>
      </c>
      <c r="N1072" s="3">
        <v>8293.0</v>
      </c>
      <c r="O1072" s="3" t="s">
        <v>815</v>
      </c>
      <c r="P1072" s="10">
        <v>905.0</v>
      </c>
      <c r="Q1072" s="13">
        <v>437.2</v>
      </c>
      <c r="R1072" s="13">
        <v>263.33</v>
      </c>
      <c r="S1072" s="13">
        <f t="shared" si="3"/>
        <v>395666</v>
      </c>
      <c r="T1072" s="13">
        <f t="shared" si="4"/>
        <v>238313.65</v>
      </c>
      <c r="U1072" s="13">
        <f t="shared" si="5"/>
        <v>157352.35</v>
      </c>
      <c r="V1072" s="3" t="str">
        <f>VLOOKUP(N1072,products!A:B,2,0)</f>
        <v>Cosmetics</v>
      </c>
      <c r="W1072" s="3" t="s">
        <v>28</v>
      </c>
      <c r="X1072" s="3" t="s">
        <v>79</v>
      </c>
      <c r="Y1072" s="14">
        <f t="shared" si="10"/>
        <v>0.3976898445</v>
      </c>
      <c r="Z1072" s="3">
        <f t="shared" si="7"/>
        <v>43</v>
      </c>
      <c r="AA1072" s="15">
        <f t="shared" si="8"/>
        <v>4</v>
      </c>
    </row>
    <row r="1073" ht="15.75" customHeight="1">
      <c r="A1073" s="3">
        <v>8.12632358E8</v>
      </c>
      <c r="B1073" s="3" t="s">
        <v>1738</v>
      </c>
      <c r="C1073" s="3">
        <f>IFERROR(__xludf.DUMMYFUNCTION("split(B1073,""/"")"),9.0)</f>
        <v>9</v>
      </c>
      <c r="D1073" s="10">
        <f>IFERROR(__xludf.DUMMYFUNCTION("""COMPUTED_VALUE"""),29.0)</f>
        <v>29</v>
      </c>
      <c r="E1073" s="11">
        <f>IFERROR(__xludf.DUMMYFUNCTION("""COMPUTED_VALUE"""),2012.0)</f>
        <v>2012</v>
      </c>
      <c r="F1073" s="12">
        <f t="shared" si="1"/>
        <v>41181</v>
      </c>
      <c r="G1073" s="3" t="s">
        <v>1739</v>
      </c>
      <c r="H1073" s="3">
        <f>IFERROR(__xludf.DUMMYFUNCTION("split(G1073,""/"")"),10.0)</f>
        <v>10</v>
      </c>
      <c r="I1073" s="3">
        <f>IFERROR(__xludf.DUMMYFUNCTION("""COMPUTED_VALUE"""),17.0)</f>
        <v>17</v>
      </c>
      <c r="J1073" s="3">
        <f>IFERROR(__xludf.DUMMYFUNCTION("""COMPUTED_VALUE"""),2012.0)</f>
        <v>2012</v>
      </c>
      <c r="K1073" s="12">
        <f t="shared" si="2"/>
        <v>41199</v>
      </c>
      <c r="L1073" s="3" t="s">
        <v>817</v>
      </c>
      <c r="M1073" s="3" t="s">
        <v>590</v>
      </c>
      <c r="N1073" s="3">
        <v>2103.0</v>
      </c>
      <c r="O1073" s="3" t="s">
        <v>818</v>
      </c>
      <c r="P1073" s="10">
        <v>4828.0</v>
      </c>
      <c r="Q1073" s="13">
        <v>205.7</v>
      </c>
      <c r="R1073" s="13">
        <v>117.11</v>
      </c>
      <c r="S1073" s="13">
        <f t="shared" si="3"/>
        <v>993119.6</v>
      </c>
      <c r="T1073" s="13">
        <f t="shared" si="4"/>
        <v>565407.08</v>
      </c>
      <c r="U1073" s="13">
        <f t="shared" si="5"/>
        <v>427712.52</v>
      </c>
      <c r="V1073" s="3" t="str">
        <f>VLOOKUP(N1073,products!A:B,2,0)</f>
        <v>Cereal</v>
      </c>
      <c r="W1073" s="3" t="s">
        <v>28</v>
      </c>
      <c r="X1073" s="3" t="s">
        <v>98</v>
      </c>
      <c r="Y1073" s="14">
        <f t="shared" si="10"/>
        <v>0.4306757414</v>
      </c>
      <c r="Z1073" s="3">
        <f t="shared" si="7"/>
        <v>18</v>
      </c>
      <c r="AA1073" s="15">
        <f t="shared" si="8"/>
        <v>7</v>
      </c>
    </row>
    <row r="1074" ht="15.75" customHeight="1">
      <c r="A1074" s="3">
        <v>8.12637078E8</v>
      </c>
      <c r="B1074" s="3" t="s">
        <v>1670</v>
      </c>
      <c r="C1074" s="3">
        <f>IFERROR(__xludf.DUMMYFUNCTION("split(B1074,""/"")"),12.0)</f>
        <v>12</v>
      </c>
      <c r="D1074" s="10">
        <f>IFERROR(__xludf.DUMMYFUNCTION("""COMPUTED_VALUE"""),15.0)</f>
        <v>15</v>
      </c>
      <c r="E1074" s="11">
        <f>IFERROR(__xludf.DUMMYFUNCTION("""COMPUTED_VALUE"""),2013.0)</f>
        <v>2013</v>
      </c>
      <c r="F1074" s="12">
        <f t="shared" si="1"/>
        <v>41623</v>
      </c>
      <c r="G1074" s="9">
        <v>41760.0</v>
      </c>
      <c r="H1074" s="3">
        <f>IFERROR(__xludf.DUMMYFUNCTION("split(G1074,""/"")"),1.0)</f>
        <v>1</v>
      </c>
      <c r="I1074" s="3">
        <f>IFERROR(__xludf.DUMMYFUNCTION("""COMPUTED_VALUE"""),5.0)</f>
        <v>5</v>
      </c>
      <c r="J1074" s="3">
        <f>IFERROR(__xludf.DUMMYFUNCTION("""COMPUTED_VALUE"""),2014.0)</f>
        <v>2014</v>
      </c>
      <c r="K1074" s="12">
        <f t="shared" si="2"/>
        <v>41644</v>
      </c>
      <c r="L1074" s="3" t="s">
        <v>814</v>
      </c>
      <c r="M1074" s="3" t="s">
        <v>653</v>
      </c>
      <c r="N1074" s="3">
        <v>4594.0</v>
      </c>
      <c r="O1074" s="3" t="s">
        <v>818</v>
      </c>
      <c r="P1074" s="10">
        <v>6225.0</v>
      </c>
      <c r="Q1074" s="13">
        <v>9.33</v>
      </c>
      <c r="R1074" s="13">
        <v>6.92</v>
      </c>
      <c r="S1074" s="13">
        <f t="shared" si="3"/>
        <v>58079.25</v>
      </c>
      <c r="T1074" s="13">
        <f t="shared" si="4"/>
        <v>43077</v>
      </c>
      <c r="U1074" s="13">
        <f t="shared" si="5"/>
        <v>15002.25</v>
      </c>
      <c r="V1074" s="3" t="str">
        <f>VLOOKUP(N1074,products!A:B,2,0)</f>
        <v>Fruits</v>
      </c>
      <c r="W1074" s="3" t="s">
        <v>28</v>
      </c>
      <c r="X1074" s="3" t="s">
        <v>33</v>
      </c>
      <c r="Y1074" s="14">
        <f t="shared" si="10"/>
        <v>0.258306538</v>
      </c>
      <c r="Z1074" s="3">
        <f t="shared" si="7"/>
        <v>21</v>
      </c>
      <c r="AA1074" s="15">
        <f t="shared" si="8"/>
        <v>1</v>
      </c>
    </row>
    <row r="1075" ht="15.75" customHeight="1">
      <c r="A1075" s="3">
        <v>8.13973891E8</v>
      </c>
      <c r="B1075" s="9">
        <v>40919.0</v>
      </c>
      <c r="C1075" s="3">
        <f>IFERROR(__xludf.DUMMYFUNCTION("split(B1075,""/"")"),11.0)</f>
        <v>11</v>
      </c>
      <c r="D1075" s="10">
        <f>IFERROR(__xludf.DUMMYFUNCTION("""COMPUTED_VALUE"""),1.0)</f>
        <v>1</v>
      </c>
      <c r="E1075" s="11">
        <f>IFERROR(__xludf.DUMMYFUNCTION("""COMPUTED_VALUE"""),2012.0)</f>
        <v>2012</v>
      </c>
      <c r="F1075" s="12">
        <f t="shared" si="1"/>
        <v>41214</v>
      </c>
      <c r="G1075" s="3" t="s">
        <v>1617</v>
      </c>
      <c r="H1075" s="3">
        <f>IFERROR(__xludf.DUMMYFUNCTION("split(G1075,""/"")"),11.0)</f>
        <v>11</v>
      </c>
      <c r="I1075" s="3">
        <f>IFERROR(__xludf.DUMMYFUNCTION("""COMPUTED_VALUE"""),13.0)</f>
        <v>13</v>
      </c>
      <c r="J1075" s="3">
        <f>IFERROR(__xludf.DUMMYFUNCTION("""COMPUTED_VALUE"""),2012.0)</f>
        <v>2012</v>
      </c>
      <c r="K1075" s="12">
        <f t="shared" si="2"/>
        <v>41226</v>
      </c>
      <c r="L1075" s="3" t="s">
        <v>817</v>
      </c>
      <c r="M1075" s="3" t="s">
        <v>821</v>
      </c>
      <c r="N1075" s="3">
        <v>8293.0</v>
      </c>
      <c r="O1075" s="3" t="s">
        <v>818</v>
      </c>
      <c r="P1075" s="10">
        <v>1818.0</v>
      </c>
      <c r="Q1075" s="13">
        <v>437.2</v>
      </c>
      <c r="R1075" s="13">
        <v>263.33</v>
      </c>
      <c r="S1075" s="13">
        <f t="shared" si="3"/>
        <v>794829.6</v>
      </c>
      <c r="T1075" s="13">
        <f t="shared" si="4"/>
        <v>478733.94</v>
      </c>
      <c r="U1075" s="13">
        <f t="shared" si="5"/>
        <v>316095.66</v>
      </c>
      <c r="V1075" s="3" t="str">
        <f>VLOOKUP(N1075,products!A:B,2,0)</f>
        <v>Cosmetics</v>
      </c>
      <c r="W1075" s="3" t="s">
        <v>821</v>
      </c>
      <c r="X1075" s="3" t="s">
        <v>821</v>
      </c>
      <c r="Y1075" s="14">
        <f t="shared" si="10"/>
        <v>0.3976898445</v>
      </c>
      <c r="Z1075" s="3">
        <f t="shared" si="7"/>
        <v>12</v>
      </c>
      <c r="AA1075" s="15">
        <f t="shared" si="8"/>
        <v>5</v>
      </c>
    </row>
    <row r="1076" ht="15.75" customHeight="1">
      <c r="A1076" s="3">
        <v>8.15755307E8</v>
      </c>
      <c r="B1076" s="3" t="s">
        <v>1560</v>
      </c>
      <c r="C1076" s="3">
        <f>IFERROR(__xludf.DUMMYFUNCTION("split(B1076,""/"")"),5.0)</f>
        <v>5</v>
      </c>
      <c r="D1076" s="10">
        <f>IFERROR(__xludf.DUMMYFUNCTION("""COMPUTED_VALUE"""),13.0)</f>
        <v>13</v>
      </c>
      <c r="E1076" s="11">
        <f>IFERROR(__xludf.DUMMYFUNCTION("""COMPUTED_VALUE"""),2016.0)</f>
        <v>2016</v>
      </c>
      <c r="F1076" s="12">
        <f t="shared" si="1"/>
        <v>42503</v>
      </c>
      <c r="G1076" s="9">
        <v>42619.0</v>
      </c>
      <c r="H1076" s="3">
        <f>IFERROR(__xludf.DUMMYFUNCTION("split(G1076,""/"")"),6.0)</f>
        <v>6</v>
      </c>
      <c r="I1076" s="3">
        <f>IFERROR(__xludf.DUMMYFUNCTION("""COMPUTED_VALUE"""),9.0)</f>
        <v>9</v>
      </c>
      <c r="J1076" s="3">
        <f>IFERROR(__xludf.DUMMYFUNCTION("""COMPUTED_VALUE"""),2016.0)</f>
        <v>2016</v>
      </c>
      <c r="K1076" s="12">
        <f t="shared" si="2"/>
        <v>42530</v>
      </c>
      <c r="L1076" s="3" t="s">
        <v>825</v>
      </c>
      <c r="M1076" s="3" t="s">
        <v>821</v>
      </c>
      <c r="N1076" s="3">
        <v>8875.0</v>
      </c>
      <c r="O1076" s="3" t="s">
        <v>818</v>
      </c>
      <c r="P1076" s="10">
        <v>8978.0</v>
      </c>
      <c r="Q1076" s="13">
        <v>421.89</v>
      </c>
      <c r="R1076" s="13">
        <v>364.69</v>
      </c>
      <c r="S1076" s="13">
        <f t="shared" si="3"/>
        <v>3787728.42</v>
      </c>
      <c r="T1076" s="13">
        <f t="shared" si="4"/>
        <v>3274186.82</v>
      </c>
      <c r="U1076" s="13">
        <f t="shared" si="5"/>
        <v>513541.6</v>
      </c>
      <c r="V1076" s="3" t="str">
        <f>VLOOKUP(N1076,products!A:B,2,0)</f>
        <v>Meat</v>
      </c>
      <c r="W1076" s="3" t="s">
        <v>821</v>
      </c>
      <c r="X1076" s="3" t="s">
        <v>821</v>
      </c>
      <c r="Y1076" s="14">
        <f t="shared" si="10"/>
        <v>0.1355803646</v>
      </c>
      <c r="Z1076" s="3">
        <f t="shared" si="7"/>
        <v>27</v>
      </c>
      <c r="AA1076" s="15">
        <f t="shared" si="8"/>
        <v>6</v>
      </c>
    </row>
    <row r="1077" ht="15.75" customHeight="1">
      <c r="A1077" s="3">
        <v>8.15917098E8</v>
      </c>
      <c r="B1077" s="3" t="s">
        <v>1706</v>
      </c>
      <c r="C1077" s="3">
        <f>IFERROR(__xludf.DUMMYFUNCTION("split(B1077,""/"")"),1.0)</f>
        <v>1</v>
      </c>
      <c r="D1077" s="10">
        <f>IFERROR(__xludf.DUMMYFUNCTION("""COMPUTED_VALUE"""),28.0)</f>
        <v>28</v>
      </c>
      <c r="E1077" s="11">
        <f>IFERROR(__xludf.DUMMYFUNCTION("""COMPUTED_VALUE"""),2011.0)</f>
        <v>2011</v>
      </c>
      <c r="F1077" s="12">
        <f t="shared" si="1"/>
        <v>40571</v>
      </c>
      <c r="G1077" s="3" t="s">
        <v>879</v>
      </c>
      <c r="H1077" s="3">
        <f>IFERROR(__xludf.DUMMYFUNCTION("split(G1077,""/"")"),2.0)</f>
        <v>2</v>
      </c>
      <c r="I1077" s="3">
        <f>IFERROR(__xludf.DUMMYFUNCTION("""COMPUTED_VALUE"""),13.0)</f>
        <v>13</v>
      </c>
      <c r="J1077" s="3">
        <f>IFERROR(__xludf.DUMMYFUNCTION("""COMPUTED_VALUE"""),2011.0)</f>
        <v>2011</v>
      </c>
      <c r="K1077" s="12">
        <f t="shared" si="2"/>
        <v>40587</v>
      </c>
      <c r="L1077" s="3" t="s">
        <v>814</v>
      </c>
      <c r="M1077" s="3" t="s">
        <v>364</v>
      </c>
      <c r="N1077" s="3">
        <v>8293.0</v>
      </c>
      <c r="O1077" s="3" t="s">
        <v>815</v>
      </c>
      <c r="P1077" s="10">
        <v>6856.0</v>
      </c>
      <c r="Q1077" s="13">
        <v>437.2</v>
      </c>
      <c r="R1077" s="13">
        <v>263.33</v>
      </c>
      <c r="S1077" s="13">
        <f t="shared" si="3"/>
        <v>2997443.2</v>
      </c>
      <c r="T1077" s="13">
        <f t="shared" si="4"/>
        <v>1805390.48</v>
      </c>
      <c r="U1077" s="13">
        <f t="shared" si="5"/>
        <v>1192052.72</v>
      </c>
      <c r="V1077" s="3" t="str">
        <f>VLOOKUP(N1077,products!A:B,2,0)</f>
        <v>Cosmetics</v>
      </c>
      <c r="W1077" s="3" t="s">
        <v>28</v>
      </c>
      <c r="X1077" s="3" t="s">
        <v>29</v>
      </c>
      <c r="Y1077" s="14">
        <f t="shared" si="10"/>
        <v>0.3976898445</v>
      </c>
      <c r="Z1077" s="3">
        <f t="shared" si="7"/>
        <v>16</v>
      </c>
      <c r="AA1077" s="15">
        <f t="shared" si="8"/>
        <v>6</v>
      </c>
    </row>
    <row r="1078" ht="15.75" customHeight="1">
      <c r="A1078" s="3">
        <v>8.17006289E8</v>
      </c>
      <c r="B1078" s="3" t="s">
        <v>1740</v>
      </c>
      <c r="C1078" s="3">
        <f>IFERROR(__xludf.DUMMYFUNCTION("split(B1078,""/"")"),10.0)</f>
        <v>10</v>
      </c>
      <c r="D1078" s="10">
        <f>IFERROR(__xludf.DUMMYFUNCTION("""COMPUTED_VALUE"""),22.0)</f>
        <v>22</v>
      </c>
      <c r="E1078" s="11">
        <f>IFERROR(__xludf.DUMMYFUNCTION("""COMPUTED_VALUE"""),2011.0)</f>
        <v>2011</v>
      </c>
      <c r="F1078" s="12">
        <f t="shared" si="1"/>
        <v>40838</v>
      </c>
      <c r="G1078" s="3" t="s">
        <v>1385</v>
      </c>
      <c r="H1078" s="3">
        <f>IFERROR(__xludf.DUMMYFUNCTION("split(G1078,""/"")"),11.0)</f>
        <v>11</v>
      </c>
      <c r="I1078" s="3">
        <f>IFERROR(__xludf.DUMMYFUNCTION("""COMPUTED_VALUE"""),14.0)</f>
        <v>14</v>
      </c>
      <c r="J1078" s="3">
        <f>IFERROR(__xludf.DUMMYFUNCTION("""COMPUTED_VALUE"""),2011.0)</f>
        <v>2011</v>
      </c>
      <c r="K1078" s="12">
        <f t="shared" si="2"/>
        <v>40861</v>
      </c>
      <c r="L1078" s="3" t="s">
        <v>827</v>
      </c>
      <c r="M1078" s="3" t="s">
        <v>671</v>
      </c>
      <c r="N1078" s="3">
        <v>4594.0</v>
      </c>
      <c r="O1078" s="3" t="s">
        <v>815</v>
      </c>
      <c r="P1078" s="10">
        <v>9172.0</v>
      </c>
      <c r="Q1078" s="13">
        <v>9.33</v>
      </c>
      <c r="R1078" s="13">
        <v>6.92</v>
      </c>
      <c r="S1078" s="13">
        <f t="shared" si="3"/>
        <v>85574.76</v>
      </c>
      <c r="T1078" s="13">
        <f t="shared" si="4"/>
        <v>63470.24</v>
      </c>
      <c r="U1078" s="13">
        <f t="shared" si="5"/>
        <v>22104.52</v>
      </c>
      <c r="V1078" s="3" t="str">
        <f>VLOOKUP(N1078,products!A:B,2,0)</f>
        <v>Fruits</v>
      </c>
      <c r="W1078" s="3" t="s">
        <v>28</v>
      </c>
      <c r="X1078" s="3" t="s">
        <v>33</v>
      </c>
      <c r="Y1078" s="14">
        <f t="shared" si="10"/>
        <v>0.258306538</v>
      </c>
      <c r="Z1078" s="3">
        <f t="shared" si="7"/>
        <v>23</v>
      </c>
      <c r="AA1078" s="15">
        <f t="shared" si="8"/>
        <v>7</v>
      </c>
    </row>
    <row r="1079" ht="15.75" customHeight="1">
      <c r="A1079" s="3">
        <v>8.17061221E8</v>
      </c>
      <c r="B1079" s="3" t="s">
        <v>1741</v>
      </c>
      <c r="C1079" s="3">
        <f>IFERROR(__xludf.DUMMYFUNCTION("split(B1079,""/"")"),1.0)</f>
        <v>1</v>
      </c>
      <c r="D1079" s="10">
        <f>IFERROR(__xludf.DUMMYFUNCTION("""COMPUTED_VALUE"""),26.0)</f>
        <v>26</v>
      </c>
      <c r="E1079" s="11">
        <f>IFERROR(__xludf.DUMMYFUNCTION("""COMPUTED_VALUE"""),2010.0)</f>
        <v>2010</v>
      </c>
      <c r="F1079" s="12">
        <f t="shared" si="1"/>
        <v>40204</v>
      </c>
      <c r="G1079" s="3" t="s">
        <v>1742</v>
      </c>
      <c r="H1079" s="3">
        <f>IFERROR(__xludf.DUMMYFUNCTION("split(G1079,""/"")"),2.0)</f>
        <v>2</v>
      </c>
      <c r="I1079" s="3">
        <f>IFERROR(__xludf.DUMMYFUNCTION("""COMPUTED_VALUE"""),21.0)</f>
        <v>21</v>
      </c>
      <c r="J1079" s="3">
        <f>IFERROR(__xludf.DUMMYFUNCTION("""COMPUTED_VALUE"""),2010.0)</f>
        <v>2010</v>
      </c>
      <c r="K1079" s="12">
        <f t="shared" si="2"/>
        <v>40230</v>
      </c>
      <c r="L1079" s="3" t="s">
        <v>817</v>
      </c>
      <c r="M1079" s="3" t="s">
        <v>142</v>
      </c>
      <c r="N1079" s="3">
        <v>5988.0</v>
      </c>
      <c r="O1079" s="3" t="s">
        <v>818</v>
      </c>
      <c r="P1079" s="10">
        <v>5427.0</v>
      </c>
      <c r="Q1079" s="13">
        <v>154.06</v>
      </c>
      <c r="R1079" s="13">
        <v>90.93</v>
      </c>
      <c r="S1079" s="13">
        <f t="shared" si="3"/>
        <v>836083.62</v>
      </c>
      <c r="T1079" s="13">
        <f t="shared" si="4"/>
        <v>493477.11</v>
      </c>
      <c r="U1079" s="13">
        <f t="shared" si="5"/>
        <v>342606.51</v>
      </c>
      <c r="V1079" s="3" t="str">
        <f>VLOOKUP(N1079,products!A:B,2,0)</f>
        <v>Vegetables</v>
      </c>
      <c r="W1079" s="3" t="s">
        <v>28</v>
      </c>
      <c r="X1079" s="3" t="s">
        <v>98</v>
      </c>
      <c r="Y1079" s="14">
        <f t="shared" si="10"/>
        <v>0.4097754122</v>
      </c>
      <c r="Z1079" s="3">
        <f t="shared" si="7"/>
        <v>26</v>
      </c>
      <c r="AA1079" s="15">
        <f t="shared" si="8"/>
        <v>3</v>
      </c>
    </row>
    <row r="1080" ht="15.75" customHeight="1">
      <c r="A1080" s="3">
        <v>8.18976962E8</v>
      </c>
      <c r="B1080" s="3" t="s">
        <v>1676</v>
      </c>
      <c r="C1080" s="3">
        <f>IFERROR(__xludf.DUMMYFUNCTION("split(B1080,""/"")"),12.0)</f>
        <v>12</v>
      </c>
      <c r="D1080" s="10">
        <f>IFERROR(__xludf.DUMMYFUNCTION("""COMPUTED_VALUE"""),18.0)</f>
        <v>18</v>
      </c>
      <c r="E1080" s="11">
        <f>IFERROR(__xludf.DUMMYFUNCTION("""COMPUTED_VALUE"""),2012.0)</f>
        <v>2012</v>
      </c>
      <c r="F1080" s="12">
        <f t="shared" si="1"/>
        <v>41261</v>
      </c>
      <c r="G1080" s="3" t="s">
        <v>1034</v>
      </c>
      <c r="H1080" s="3">
        <f>IFERROR(__xludf.DUMMYFUNCTION("split(G1080,""/"")"),12.0)</f>
        <v>12</v>
      </c>
      <c r="I1080" s="3">
        <f>IFERROR(__xludf.DUMMYFUNCTION("""COMPUTED_VALUE"""),21.0)</f>
        <v>21</v>
      </c>
      <c r="J1080" s="3">
        <f>IFERROR(__xludf.DUMMYFUNCTION("""COMPUTED_VALUE"""),2012.0)</f>
        <v>2012</v>
      </c>
      <c r="K1080" s="12">
        <f t="shared" si="2"/>
        <v>41264</v>
      </c>
      <c r="L1080" s="3" t="s">
        <v>817</v>
      </c>
      <c r="M1080" s="3" t="s">
        <v>821</v>
      </c>
      <c r="N1080" s="3">
        <v>5988.0</v>
      </c>
      <c r="O1080" s="3" t="s">
        <v>818</v>
      </c>
      <c r="P1080" s="10">
        <v>2337.0</v>
      </c>
      <c r="Q1080" s="13">
        <v>154.06</v>
      </c>
      <c r="R1080" s="13">
        <v>90.93</v>
      </c>
      <c r="S1080" s="13">
        <f t="shared" si="3"/>
        <v>360038.22</v>
      </c>
      <c r="T1080" s="13">
        <f t="shared" si="4"/>
        <v>212503.41</v>
      </c>
      <c r="U1080" s="13">
        <f t="shared" si="5"/>
        <v>147534.81</v>
      </c>
      <c r="V1080" s="3" t="str">
        <f>VLOOKUP(N1080,products!A:B,2,0)</f>
        <v>Vegetables</v>
      </c>
      <c r="W1080" s="3" t="s">
        <v>821</v>
      </c>
      <c r="X1080" s="3" t="s">
        <v>821</v>
      </c>
      <c r="Y1080" s="14">
        <f t="shared" si="10"/>
        <v>0.4097754122</v>
      </c>
      <c r="Z1080" s="3">
        <f t="shared" si="7"/>
        <v>3</v>
      </c>
      <c r="AA1080" s="15">
        <f t="shared" si="8"/>
        <v>3</v>
      </c>
    </row>
    <row r="1081" ht="15.75" customHeight="1">
      <c r="A1081" s="3">
        <v>8.19037473E8</v>
      </c>
      <c r="B1081" s="3" t="s">
        <v>1297</v>
      </c>
      <c r="C1081" s="3">
        <f>IFERROR(__xludf.DUMMYFUNCTION("split(B1081,""/"")"),10.0)</f>
        <v>10</v>
      </c>
      <c r="D1081" s="10">
        <f>IFERROR(__xludf.DUMMYFUNCTION("""COMPUTED_VALUE"""),15.0)</f>
        <v>15</v>
      </c>
      <c r="E1081" s="11">
        <f>IFERROR(__xludf.DUMMYFUNCTION("""COMPUTED_VALUE"""),2016.0)</f>
        <v>2016</v>
      </c>
      <c r="F1081" s="12">
        <f t="shared" si="1"/>
        <v>42658</v>
      </c>
      <c r="G1081" s="3" t="s">
        <v>1297</v>
      </c>
      <c r="H1081" s="3">
        <f>IFERROR(__xludf.DUMMYFUNCTION("split(G1081,""/"")"),10.0)</f>
        <v>10</v>
      </c>
      <c r="I1081" s="3">
        <f>IFERROR(__xludf.DUMMYFUNCTION("""COMPUTED_VALUE"""),15.0)</f>
        <v>15</v>
      </c>
      <c r="J1081" s="3">
        <f>IFERROR(__xludf.DUMMYFUNCTION("""COMPUTED_VALUE"""),2016.0)</f>
        <v>2016</v>
      </c>
      <c r="K1081" s="12">
        <f t="shared" si="2"/>
        <v>42658</v>
      </c>
      <c r="L1081" s="3" t="s">
        <v>825</v>
      </c>
      <c r="M1081" s="3" t="s">
        <v>689</v>
      </c>
      <c r="N1081" s="3">
        <v>5988.0</v>
      </c>
      <c r="O1081" s="3" t="s">
        <v>815</v>
      </c>
      <c r="P1081" s="10">
        <v>244.0</v>
      </c>
      <c r="Q1081" s="13">
        <v>154.06</v>
      </c>
      <c r="R1081" s="13">
        <v>90.93</v>
      </c>
      <c r="S1081" s="13">
        <f t="shared" si="3"/>
        <v>37590.64</v>
      </c>
      <c r="T1081" s="13">
        <f t="shared" si="4"/>
        <v>22186.92</v>
      </c>
      <c r="U1081" s="13">
        <f t="shared" si="5"/>
        <v>15403.72</v>
      </c>
      <c r="V1081" s="3" t="str">
        <f>VLOOKUP(N1081,products!A:B,2,0)</f>
        <v>Vegetables</v>
      </c>
      <c r="W1081" s="3" t="s">
        <v>28</v>
      </c>
      <c r="X1081" s="3" t="s">
        <v>79</v>
      </c>
      <c r="Y1081" s="14">
        <f t="shared" si="10"/>
        <v>0.4097754122</v>
      </c>
      <c r="Z1081" s="3">
        <f t="shared" si="7"/>
        <v>0</v>
      </c>
      <c r="AA1081" s="15">
        <f t="shared" si="8"/>
        <v>7</v>
      </c>
    </row>
    <row r="1082" ht="15.75" customHeight="1">
      <c r="A1082" s="3">
        <v>8.19152915E8</v>
      </c>
      <c r="B1082" s="3" t="s">
        <v>1743</v>
      </c>
      <c r="C1082" s="3">
        <f>IFERROR(__xludf.DUMMYFUNCTION("split(B1082,""/"")"),4.0)</f>
        <v>4</v>
      </c>
      <c r="D1082" s="10">
        <f>IFERROR(__xludf.DUMMYFUNCTION("""COMPUTED_VALUE"""),23.0)</f>
        <v>23</v>
      </c>
      <c r="E1082" s="11">
        <f>IFERROR(__xludf.DUMMYFUNCTION("""COMPUTED_VALUE"""),2011.0)</f>
        <v>2011</v>
      </c>
      <c r="F1082" s="12">
        <f t="shared" si="1"/>
        <v>40656</v>
      </c>
      <c r="G1082" s="3" t="s">
        <v>1510</v>
      </c>
      <c r="H1082" s="3">
        <f>IFERROR(__xludf.DUMMYFUNCTION("split(G1082,""/"")"),4.0)</f>
        <v>4</v>
      </c>
      <c r="I1082" s="3">
        <f>IFERROR(__xludf.DUMMYFUNCTION("""COMPUTED_VALUE"""),24.0)</f>
        <v>24</v>
      </c>
      <c r="J1082" s="3">
        <f>IFERROR(__xludf.DUMMYFUNCTION("""COMPUTED_VALUE"""),2011.0)</f>
        <v>2011</v>
      </c>
      <c r="K1082" s="12">
        <f t="shared" si="2"/>
        <v>40657</v>
      </c>
      <c r="L1082" s="3" t="s">
        <v>827</v>
      </c>
      <c r="M1082" s="3" t="s">
        <v>488</v>
      </c>
      <c r="N1082" s="3">
        <v>8681.0</v>
      </c>
      <c r="O1082" s="3" t="s">
        <v>818</v>
      </c>
      <c r="P1082" s="10">
        <v>4406.0</v>
      </c>
      <c r="Q1082" s="13">
        <v>651.21</v>
      </c>
      <c r="R1082" s="13">
        <v>524.96</v>
      </c>
      <c r="S1082" s="13">
        <f t="shared" si="3"/>
        <v>2869231.26</v>
      </c>
      <c r="T1082" s="13">
        <f t="shared" si="4"/>
        <v>2312973.76</v>
      </c>
      <c r="U1082" s="13">
        <f t="shared" si="5"/>
        <v>556257.5</v>
      </c>
      <c r="V1082" s="3" t="str">
        <f>VLOOKUP(N1082,products!A:B,2,0)</f>
        <v>Office Supplies</v>
      </c>
      <c r="W1082" s="3" t="s">
        <v>28</v>
      </c>
      <c r="X1082" s="3" t="s">
        <v>33</v>
      </c>
      <c r="Y1082" s="14">
        <f t="shared" si="10"/>
        <v>0.193869873</v>
      </c>
      <c r="Z1082" s="3">
        <f t="shared" si="7"/>
        <v>1</v>
      </c>
      <c r="AA1082" s="15">
        <f t="shared" si="8"/>
        <v>7</v>
      </c>
    </row>
    <row r="1083" ht="15.75" customHeight="1">
      <c r="A1083" s="3">
        <v>8.19516837E8</v>
      </c>
      <c r="B1083" s="3" t="s">
        <v>1626</v>
      </c>
      <c r="C1083" s="3">
        <f>IFERROR(__xludf.DUMMYFUNCTION("split(B1083,""/"")"),11.0)</f>
        <v>11</v>
      </c>
      <c r="D1083" s="10">
        <f>IFERROR(__xludf.DUMMYFUNCTION("""COMPUTED_VALUE"""),26.0)</f>
        <v>26</v>
      </c>
      <c r="E1083" s="11">
        <f>IFERROR(__xludf.DUMMYFUNCTION("""COMPUTED_VALUE"""),2015.0)</f>
        <v>2015</v>
      </c>
      <c r="F1083" s="12">
        <f t="shared" si="1"/>
        <v>42334</v>
      </c>
      <c r="G1083" s="3" t="s">
        <v>1561</v>
      </c>
      <c r="H1083" s="3">
        <f>IFERROR(__xludf.DUMMYFUNCTION("split(G1083,""/"")"),12.0)</f>
        <v>12</v>
      </c>
      <c r="I1083" s="3">
        <f>IFERROR(__xludf.DUMMYFUNCTION("""COMPUTED_VALUE"""),25.0)</f>
        <v>25</v>
      </c>
      <c r="J1083" s="3">
        <f>IFERROR(__xludf.DUMMYFUNCTION("""COMPUTED_VALUE"""),2015.0)</f>
        <v>2015</v>
      </c>
      <c r="K1083" s="12">
        <f t="shared" si="2"/>
        <v>42363</v>
      </c>
      <c r="L1083" s="3" t="s">
        <v>817</v>
      </c>
      <c r="M1083" s="3" t="s">
        <v>455</v>
      </c>
      <c r="N1083" s="3">
        <v>8293.0</v>
      </c>
      <c r="O1083" s="3" t="s">
        <v>818</v>
      </c>
      <c r="P1083" s="10">
        <v>2098.0</v>
      </c>
      <c r="Q1083" s="13">
        <v>437.2</v>
      </c>
      <c r="R1083" s="13">
        <v>263.33</v>
      </c>
      <c r="S1083" s="13">
        <f t="shared" si="3"/>
        <v>917245.6</v>
      </c>
      <c r="T1083" s="13">
        <f t="shared" si="4"/>
        <v>552466.34</v>
      </c>
      <c r="U1083" s="13">
        <f t="shared" si="5"/>
        <v>364779.26</v>
      </c>
      <c r="V1083" s="3" t="str">
        <f>VLOOKUP(N1083,products!A:B,2,0)</f>
        <v>Cosmetics</v>
      </c>
      <c r="W1083" s="3" t="s">
        <v>28</v>
      </c>
      <c r="X1083" s="3" t="s">
        <v>33</v>
      </c>
      <c r="Y1083" s="14">
        <f t="shared" si="10"/>
        <v>0.3976898445</v>
      </c>
      <c r="Z1083" s="3">
        <f t="shared" si="7"/>
        <v>29</v>
      </c>
      <c r="AA1083" s="15">
        <f t="shared" si="8"/>
        <v>5</v>
      </c>
    </row>
    <row r="1084" ht="15.75" customHeight="1">
      <c r="A1084" s="3">
        <v>8.20195758E8</v>
      </c>
      <c r="B1084" s="9">
        <v>40674.0</v>
      </c>
      <c r="C1084" s="3">
        <f>IFERROR(__xludf.DUMMYFUNCTION("split(B1084,""/"")"),11.0)</f>
        <v>11</v>
      </c>
      <c r="D1084" s="10">
        <f>IFERROR(__xludf.DUMMYFUNCTION("""COMPUTED_VALUE"""),5.0)</f>
        <v>5</v>
      </c>
      <c r="E1084" s="11">
        <f>IFERROR(__xludf.DUMMYFUNCTION("""COMPUTED_VALUE"""),2011.0)</f>
        <v>2011</v>
      </c>
      <c r="F1084" s="12">
        <f t="shared" si="1"/>
        <v>40852</v>
      </c>
      <c r="G1084" s="3" t="s">
        <v>1744</v>
      </c>
      <c r="H1084" s="3">
        <f>IFERROR(__xludf.DUMMYFUNCTION("split(G1084,""/"")"),11.0)</f>
        <v>11</v>
      </c>
      <c r="I1084" s="3">
        <f>IFERROR(__xludf.DUMMYFUNCTION("""COMPUTED_VALUE"""),24.0)</f>
        <v>24</v>
      </c>
      <c r="J1084" s="3">
        <f>IFERROR(__xludf.DUMMYFUNCTION("""COMPUTED_VALUE"""),2011.0)</f>
        <v>2011</v>
      </c>
      <c r="K1084" s="12">
        <f t="shared" si="2"/>
        <v>40871</v>
      </c>
      <c r="L1084" s="3" t="s">
        <v>825</v>
      </c>
      <c r="M1084" s="3" t="s">
        <v>821</v>
      </c>
      <c r="N1084" s="3">
        <v>8969.0</v>
      </c>
      <c r="O1084" s="3" t="s">
        <v>818</v>
      </c>
      <c r="P1084" s="10">
        <v>3006.0</v>
      </c>
      <c r="Q1084" s="13">
        <v>152.58</v>
      </c>
      <c r="R1084" s="13">
        <v>97.44</v>
      </c>
      <c r="S1084" s="13">
        <f t="shared" si="3"/>
        <v>458655.48</v>
      </c>
      <c r="T1084" s="13">
        <f t="shared" si="4"/>
        <v>292904.64</v>
      </c>
      <c r="U1084" s="13">
        <f t="shared" si="5"/>
        <v>165750.84</v>
      </c>
      <c r="V1084" s="3" t="str">
        <f>VLOOKUP(N1084,products!A:B,2,0)</f>
        <v>Snacks</v>
      </c>
      <c r="W1084" s="3" t="s">
        <v>821</v>
      </c>
      <c r="X1084" s="3" t="s">
        <v>821</v>
      </c>
      <c r="Y1084" s="14">
        <f t="shared" si="10"/>
        <v>0.3613841919</v>
      </c>
      <c r="Z1084" s="3">
        <f t="shared" si="7"/>
        <v>19</v>
      </c>
      <c r="AA1084" s="15">
        <f t="shared" si="8"/>
        <v>7</v>
      </c>
    </row>
    <row r="1085" ht="15.75" customHeight="1">
      <c r="A1085" s="3">
        <v>8.20437371E8</v>
      </c>
      <c r="B1085" s="3" t="s">
        <v>1204</v>
      </c>
      <c r="C1085" s="3">
        <f>IFERROR(__xludf.DUMMYFUNCTION("split(B1085,""/"")"),5.0)</f>
        <v>5</v>
      </c>
      <c r="D1085" s="10">
        <f>IFERROR(__xludf.DUMMYFUNCTION("""COMPUTED_VALUE"""),28.0)</f>
        <v>28</v>
      </c>
      <c r="E1085" s="11">
        <f>IFERROR(__xludf.DUMMYFUNCTION("""COMPUTED_VALUE"""),2017.0)</f>
        <v>2017</v>
      </c>
      <c r="F1085" s="12">
        <f t="shared" si="1"/>
        <v>42883</v>
      </c>
      <c r="G1085" s="9">
        <v>43045.0</v>
      </c>
      <c r="H1085" s="3">
        <f>IFERROR(__xludf.DUMMYFUNCTION("split(G1085,""/"")"),6.0)</f>
        <v>6</v>
      </c>
      <c r="I1085" s="3">
        <f>IFERROR(__xludf.DUMMYFUNCTION("""COMPUTED_VALUE"""),11.0)</f>
        <v>11</v>
      </c>
      <c r="J1085" s="3">
        <f>IFERROR(__xludf.DUMMYFUNCTION("""COMPUTED_VALUE"""),2017.0)</f>
        <v>2017</v>
      </c>
      <c r="K1085" s="12">
        <f t="shared" si="2"/>
        <v>42897</v>
      </c>
      <c r="L1085" s="3" t="s">
        <v>827</v>
      </c>
      <c r="M1085" s="3" t="s">
        <v>291</v>
      </c>
      <c r="N1085" s="3">
        <v>8875.0</v>
      </c>
      <c r="O1085" s="3" t="s">
        <v>815</v>
      </c>
      <c r="P1085" s="10">
        <v>4505.0</v>
      </c>
      <c r="Q1085" s="13">
        <v>421.89</v>
      </c>
      <c r="R1085" s="13">
        <v>364.69</v>
      </c>
      <c r="S1085" s="13">
        <f t="shared" si="3"/>
        <v>1900614.45</v>
      </c>
      <c r="T1085" s="13">
        <f t="shared" si="4"/>
        <v>1642928.45</v>
      </c>
      <c r="U1085" s="13">
        <f t="shared" si="5"/>
        <v>257686</v>
      </c>
      <c r="V1085" s="3" t="str">
        <f>VLOOKUP(N1085,products!A:B,2,0)</f>
        <v>Meat</v>
      </c>
      <c r="W1085" s="3" t="s">
        <v>28</v>
      </c>
      <c r="X1085" s="3" t="s">
        <v>79</v>
      </c>
      <c r="Y1085" s="14">
        <f t="shared" si="10"/>
        <v>0.1355803646</v>
      </c>
      <c r="Z1085" s="3">
        <f t="shared" si="7"/>
        <v>14</v>
      </c>
      <c r="AA1085" s="15">
        <f t="shared" si="8"/>
        <v>1</v>
      </c>
    </row>
    <row r="1086" ht="15.75" customHeight="1">
      <c r="A1086" s="3">
        <v>8.21131742E8</v>
      </c>
      <c r="B1086" s="9">
        <v>42259.0</v>
      </c>
      <c r="C1086" s="3">
        <f>IFERROR(__xludf.DUMMYFUNCTION("split(B1086,""/"")"),12.0)</f>
        <v>12</v>
      </c>
      <c r="D1086" s="10">
        <f>IFERROR(__xludf.DUMMYFUNCTION("""COMPUTED_VALUE"""),9.0)</f>
        <v>9</v>
      </c>
      <c r="E1086" s="11">
        <f>IFERROR(__xludf.DUMMYFUNCTION("""COMPUTED_VALUE"""),2015.0)</f>
        <v>2015</v>
      </c>
      <c r="F1086" s="12">
        <f t="shared" si="1"/>
        <v>42347</v>
      </c>
      <c r="G1086" s="9">
        <v>42259.0</v>
      </c>
      <c r="H1086" s="3">
        <f>IFERROR(__xludf.DUMMYFUNCTION("split(G1086,""/"")"),12.0)</f>
        <v>12</v>
      </c>
      <c r="I1086" s="3">
        <f>IFERROR(__xludf.DUMMYFUNCTION("""COMPUTED_VALUE"""),9.0)</f>
        <v>9</v>
      </c>
      <c r="J1086" s="3">
        <f>IFERROR(__xludf.DUMMYFUNCTION("""COMPUTED_VALUE"""),2015.0)</f>
        <v>2015</v>
      </c>
      <c r="K1086" s="12">
        <f t="shared" si="2"/>
        <v>42347</v>
      </c>
      <c r="L1086" s="3" t="s">
        <v>827</v>
      </c>
      <c r="M1086" s="3" t="s">
        <v>623</v>
      </c>
      <c r="N1086" s="3">
        <v>7940.0</v>
      </c>
      <c r="O1086" s="3" t="s">
        <v>818</v>
      </c>
      <c r="P1086" s="10">
        <v>9985.0</v>
      </c>
      <c r="Q1086" s="13">
        <v>668.27</v>
      </c>
      <c r="R1086" s="13">
        <v>502.54</v>
      </c>
      <c r="S1086" s="13">
        <f t="shared" si="3"/>
        <v>6672675.95</v>
      </c>
      <c r="T1086" s="13">
        <f t="shared" si="4"/>
        <v>5017861.9</v>
      </c>
      <c r="U1086" s="13">
        <f t="shared" si="5"/>
        <v>1654814.05</v>
      </c>
      <c r="V1086" s="3" t="str">
        <f>VLOOKUP(N1086,products!A:B,2,0)</f>
        <v>Household</v>
      </c>
      <c r="W1086" s="3" t="s">
        <v>28</v>
      </c>
      <c r="X1086" s="3" t="s">
        <v>33</v>
      </c>
      <c r="Y1086" s="14">
        <f t="shared" si="10"/>
        <v>0.2479985635</v>
      </c>
      <c r="Z1086" s="3">
        <f t="shared" si="7"/>
        <v>0</v>
      </c>
      <c r="AA1086" s="15">
        <f t="shared" si="8"/>
        <v>4</v>
      </c>
    </row>
    <row r="1087" ht="15.75" customHeight="1">
      <c r="A1087" s="3">
        <v>8.21916663E8</v>
      </c>
      <c r="B1087" s="3" t="s">
        <v>1745</v>
      </c>
      <c r="C1087" s="3">
        <f>IFERROR(__xludf.DUMMYFUNCTION("split(B1087,""/"")"),7.0)</f>
        <v>7</v>
      </c>
      <c r="D1087" s="10">
        <f>IFERROR(__xludf.DUMMYFUNCTION("""COMPUTED_VALUE"""),20.0)</f>
        <v>20</v>
      </c>
      <c r="E1087" s="11">
        <f>IFERROR(__xludf.DUMMYFUNCTION("""COMPUTED_VALUE"""),2011.0)</f>
        <v>2011</v>
      </c>
      <c r="F1087" s="12">
        <f t="shared" si="1"/>
        <v>40744</v>
      </c>
      <c r="G1087" s="3" t="s">
        <v>1746</v>
      </c>
      <c r="H1087" s="3">
        <f>IFERROR(__xludf.DUMMYFUNCTION("split(G1087,""/"")"),8.0)</f>
        <v>8</v>
      </c>
      <c r="I1087" s="3">
        <f>IFERROR(__xludf.DUMMYFUNCTION("""COMPUTED_VALUE"""),26.0)</f>
        <v>26</v>
      </c>
      <c r="J1087" s="3">
        <f>IFERROR(__xludf.DUMMYFUNCTION("""COMPUTED_VALUE"""),2011.0)</f>
        <v>2011</v>
      </c>
      <c r="K1087" s="12">
        <f t="shared" si="2"/>
        <v>40781</v>
      </c>
      <c r="L1087" s="3" t="s">
        <v>825</v>
      </c>
      <c r="M1087" s="3" t="s">
        <v>542</v>
      </c>
      <c r="N1087" s="3">
        <v>8293.0</v>
      </c>
      <c r="O1087" s="3" t="s">
        <v>815</v>
      </c>
      <c r="P1087" s="10">
        <v>2260.0</v>
      </c>
      <c r="Q1087" s="13">
        <v>437.2</v>
      </c>
      <c r="R1087" s="13">
        <v>263.33</v>
      </c>
      <c r="S1087" s="13">
        <f t="shared" si="3"/>
        <v>988072</v>
      </c>
      <c r="T1087" s="13">
        <f t="shared" si="4"/>
        <v>595125.8</v>
      </c>
      <c r="U1087" s="13">
        <f t="shared" si="5"/>
        <v>392946.2</v>
      </c>
      <c r="V1087" s="3" t="str">
        <f>VLOOKUP(N1087,products!A:B,2,0)</f>
        <v>Cosmetics</v>
      </c>
      <c r="W1087" s="3" t="s">
        <v>28</v>
      </c>
      <c r="X1087" s="3" t="s">
        <v>29</v>
      </c>
      <c r="Y1087" s="14">
        <f t="shared" si="10"/>
        <v>0.3976898445</v>
      </c>
      <c r="Z1087" s="3">
        <f t="shared" si="7"/>
        <v>37</v>
      </c>
      <c r="AA1087" s="15">
        <f t="shared" si="8"/>
        <v>4</v>
      </c>
    </row>
    <row r="1088" ht="15.75" customHeight="1">
      <c r="A1088" s="3">
        <v>8.23236739E8</v>
      </c>
      <c r="B1088" s="3" t="s">
        <v>1319</v>
      </c>
      <c r="C1088" s="3">
        <f>IFERROR(__xludf.DUMMYFUNCTION("split(B1088,""/"")"),6.0)</f>
        <v>6</v>
      </c>
      <c r="D1088" s="10">
        <f>IFERROR(__xludf.DUMMYFUNCTION("""COMPUTED_VALUE"""),17.0)</f>
        <v>17</v>
      </c>
      <c r="E1088" s="11">
        <f>IFERROR(__xludf.DUMMYFUNCTION("""COMPUTED_VALUE"""),2016.0)</f>
        <v>2016</v>
      </c>
      <c r="F1088" s="12">
        <f t="shared" si="1"/>
        <v>42538</v>
      </c>
      <c r="G1088" s="9">
        <v>42377.0</v>
      </c>
      <c r="H1088" s="3">
        <f>IFERROR(__xludf.DUMMYFUNCTION("split(G1088,""/"")"),8.0)</f>
        <v>8</v>
      </c>
      <c r="I1088" s="3">
        <f>IFERROR(__xludf.DUMMYFUNCTION("""COMPUTED_VALUE"""),1.0)</f>
        <v>1</v>
      </c>
      <c r="J1088" s="3">
        <f>IFERROR(__xludf.DUMMYFUNCTION("""COMPUTED_VALUE"""),2016.0)</f>
        <v>2016</v>
      </c>
      <c r="K1088" s="12">
        <f t="shared" si="2"/>
        <v>42583</v>
      </c>
      <c r="L1088" s="3" t="s">
        <v>814</v>
      </c>
      <c r="M1088" s="3" t="s">
        <v>536</v>
      </c>
      <c r="N1088" s="3">
        <v>8681.0</v>
      </c>
      <c r="O1088" s="3" t="s">
        <v>815</v>
      </c>
      <c r="P1088" s="10">
        <v>2900.0</v>
      </c>
      <c r="Q1088" s="13">
        <v>651.21</v>
      </c>
      <c r="R1088" s="13">
        <v>524.96</v>
      </c>
      <c r="S1088" s="13">
        <f t="shared" si="3"/>
        <v>1888509</v>
      </c>
      <c r="T1088" s="13">
        <f t="shared" si="4"/>
        <v>1522384</v>
      </c>
      <c r="U1088" s="13">
        <f t="shared" si="5"/>
        <v>366125</v>
      </c>
      <c r="V1088" s="3" t="str">
        <f>VLOOKUP(N1088,products!A:B,2,0)</f>
        <v>Office Supplies</v>
      </c>
      <c r="W1088" s="3" t="s">
        <v>28</v>
      </c>
      <c r="X1088" s="3" t="s">
        <v>33</v>
      </c>
      <c r="Y1088" s="14">
        <f t="shared" si="10"/>
        <v>0.193869873</v>
      </c>
      <c r="Z1088" s="3">
        <f t="shared" si="7"/>
        <v>45</v>
      </c>
      <c r="AA1088" s="15">
        <f t="shared" si="8"/>
        <v>6</v>
      </c>
    </row>
    <row r="1089" ht="15.75" customHeight="1">
      <c r="A1089" s="3">
        <v>8.23505389E8</v>
      </c>
      <c r="B1089" s="9">
        <v>42311.0</v>
      </c>
      <c r="C1089" s="3">
        <f>IFERROR(__xludf.DUMMYFUNCTION("split(B1089,""/"")"),3.0)</f>
        <v>3</v>
      </c>
      <c r="D1089" s="10">
        <f>IFERROR(__xludf.DUMMYFUNCTION("""COMPUTED_VALUE"""),11.0)</f>
        <v>11</v>
      </c>
      <c r="E1089" s="11">
        <f>IFERROR(__xludf.DUMMYFUNCTION("""COMPUTED_VALUE"""),2015.0)</f>
        <v>2015</v>
      </c>
      <c r="F1089" s="12">
        <f t="shared" si="1"/>
        <v>42074</v>
      </c>
      <c r="G1089" s="3" t="s">
        <v>1747</v>
      </c>
      <c r="H1089" s="3">
        <f>IFERROR(__xludf.DUMMYFUNCTION("split(G1089,""/"")"),3.0)</f>
        <v>3</v>
      </c>
      <c r="I1089" s="3">
        <f>IFERROR(__xludf.DUMMYFUNCTION("""COMPUTED_VALUE"""),30.0)</f>
        <v>30</v>
      </c>
      <c r="J1089" s="3">
        <f>IFERROR(__xludf.DUMMYFUNCTION("""COMPUTED_VALUE"""),2015.0)</f>
        <v>2015</v>
      </c>
      <c r="K1089" s="12">
        <f t="shared" si="2"/>
        <v>42093</v>
      </c>
      <c r="L1089" s="3" t="s">
        <v>827</v>
      </c>
      <c r="M1089" s="3" t="s">
        <v>740</v>
      </c>
      <c r="N1089" s="3">
        <v>2455.0</v>
      </c>
      <c r="O1089" s="3" t="s">
        <v>815</v>
      </c>
      <c r="P1089" s="10">
        <v>2400.0</v>
      </c>
      <c r="Q1089" s="13">
        <v>109.28</v>
      </c>
      <c r="R1089" s="13">
        <v>35.84</v>
      </c>
      <c r="S1089" s="13">
        <f t="shared" si="3"/>
        <v>262272</v>
      </c>
      <c r="T1089" s="13">
        <f t="shared" si="4"/>
        <v>86016</v>
      </c>
      <c r="U1089" s="13">
        <f t="shared" si="5"/>
        <v>176256</v>
      </c>
      <c r="V1089" s="3" t="str">
        <f>VLOOKUP(N1089,products!A:B,2,0)</f>
        <v>Clothes</v>
      </c>
      <c r="W1089" s="3" t="s">
        <v>28</v>
      </c>
      <c r="X1089" s="3" t="s">
        <v>98</v>
      </c>
      <c r="Y1089" s="14">
        <f t="shared" si="10"/>
        <v>0.6720351391</v>
      </c>
      <c r="Z1089" s="3">
        <f t="shared" si="7"/>
        <v>19</v>
      </c>
      <c r="AA1089" s="15">
        <f t="shared" si="8"/>
        <v>4</v>
      </c>
    </row>
    <row r="1090" ht="15.75" customHeight="1">
      <c r="A1090" s="3">
        <v>8.25065791E8</v>
      </c>
      <c r="B1090" s="3" t="s">
        <v>1424</v>
      </c>
      <c r="C1090" s="3">
        <f>IFERROR(__xludf.DUMMYFUNCTION("split(B1090,""/"")"),7.0)</f>
        <v>7</v>
      </c>
      <c r="D1090" s="10">
        <f>IFERROR(__xludf.DUMMYFUNCTION("""COMPUTED_VALUE"""),24.0)</f>
        <v>24</v>
      </c>
      <c r="E1090" s="11">
        <f>IFERROR(__xludf.DUMMYFUNCTION("""COMPUTED_VALUE"""),2011.0)</f>
        <v>2011</v>
      </c>
      <c r="F1090" s="12">
        <f t="shared" si="1"/>
        <v>40748</v>
      </c>
      <c r="G1090" s="3" t="s">
        <v>1124</v>
      </c>
      <c r="H1090" s="3">
        <f>IFERROR(__xludf.DUMMYFUNCTION("split(G1090,""/"")"),8.0)</f>
        <v>8</v>
      </c>
      <c r="I1090" s="3">
        <f>IFERROR(__xludf.DUMMYFUNCTION("""COMPUTED_VALUE"""),28.0)</f>
        <v>28</v>
      </c>
      <c r="J1090" s="3">
        <f>IFERROR(__xludf.DUMMYFUNCTION("""COMPUTED_VALUE"""),2011.0)</f>
        <v>2011</v>
      </c>
      <c r="K1090" s="12">
        <f t="shared" si="2"/>
        <v>40783</v>
      </c>
      <c r="L1090" s="3" t="s">
        <v>817</v>
      </c>
      <c r="M1090" s="3" t="s">
        <v>413</v>
      </c>
      <c r="N1090" s="3">
        <v>8875.0</v>
      </c>
      <c r="O1090" s="3" t="s">
        <v>818</v>
      </c>
      <c r="P1090" s="10">
        <v>4157.0</v>
      </c>
      <c r="Q1090" s="13">
        <v>421.89</v>
      </c>
      <c r="R1090" s="13">
        <v>364.69</v>
      </c>
      <c r="S1090" s="13">
        <f t="shared" si="3"/>
        <v>1753796.73</v>
      </c>
      <c r="T1090" s="13">
        <f t="shared" si="4"/>
        <v>1516016.33</v>
      </c>
      <c r="U1090" s="13">
        <f t="shared" si="5"/>
        <v>237780.4</v>
      </c>
      <c r="V1090" s="3" t="str">
        <f>VLOOKUP(N1090,products!A:B,2,0)</f>
        <v>Meat</v>
      </c>
      <c r="W1090" s="3" t="s">
        <v>28</v>
      </c>
      <c r="X1090" s="3" t="s">
        <v>29</v>
      </c>
      <c r="Y1090" s="14">
        <f t="shared" si="10"/>
        <v>0.1355803646</v>
      </c>
      <c r="Z1090" s="3">
        <f t="shared" si="7"/>
        <v>35</v>
      </c>
      <c r="AA1090" s="15">
        <f t="shared" si="8"/>
        <v>1</v>
      </c>
    </row>
    <row r="1091" ht="15.75" customHeight="1">
      <c r="A1091" s="3">
        <v>8.26677262E8</v>
      </c>
      <c r="B1091" s="3" t="s">
        <v>1730</v>
      </c>
      <c r="C1091" s="3">
        <f>IFERROR(__xludf.DUMMYFUNCTION("split(B1091,""/"")"),11.0)</f>
        <v>11</v>
      </c>
      <c r="D1091" s="10">
        <f>IFERROR(__xludf.DUMMYFUNCTION("""COMPUTED_VALUE"""),28.0)</f>
        <v>28</v>
      </c>
      <c r="E1091" s="11">
        <f>IFERROR(__xludf.DUMMYFUNCTION("""COMPUTED_VALUE"""),2016.0)</f>
        <v>2016</v>
      </c>
      <c r="F1091" s="12">
        <f t="shared" si="1"/>
        <v>42702</v>
      </c>
      <c r="G1091" s="9">
        <v>42979.0</v>
      </c>
      <c r="H1091" s="3">
        <f>IFERROR(__xludf.DUMMYFUNCTION("split(G1091,""/"")"),1.0)</f>
        <v>1</v>
      </c>
      <c r="I1091" s="3">
        <f>IFERROR(__xludf.DUMMYFUNCTION("""COMPUTED_VALUE"""),9.0)</f>
        <v>9</v>
      </c>
      <c r="J1091" s="3">
        <f>IFERROR(__xludf.DUMMYFUNCTION("""COMPUTED_VALUE"""),2017.0)</f>
        <v>2017</v>
      </c>
      <c r="K1091" s="12">
        <f t="shared" si="2"/>
        <v>42744</v>
      </c>
      <c r="L1091" s="3" t="s">
        <v>814</v>
      </c>
      <c r="M1091" s="3" t="s">
        <v>248</v>
      </c>
      <c r="N1091" s="3">
        <v>1270.0</v>
      </c>
      <c r="O1091" s="3" t="s">
        <v>815</v>
      </c>
      <c r="P1091" s="10">
        <v>1027.0</v>
      </c>
      <c r="Q1091" s="13">
        <v>47.45</v>
      </c>
      <c r="R1091" s="13">
        <v>31.79</v>
      </c>
      <c r="S1091" s="13">
        <f t="shared" si="3"/>
        <v>48731.15</v>
      </c>
      <c r="T1091" s="13">
        <f t="shared" si="4"/>
        <v>32648.33</v>
      </c>
      <c r="U1091" s="13">
        <f t="shared" si="5"/>
        <v>16082.82</v>
      </c>
      <c r="V1091" s="3" t="str">
        <f>VLOOKUP(N1091,products!A:B,2,0)</f>
        <v>Beverages</v>
      </c>
      <c r="W1091" s="3" t="s">
        <v>28</v>
      </c>
      <c r="X1091" s="3" t="s">
        <v>29</v>
      </c>
      <c r="Y1091" s="14">
        <f t="shared" si="10"/>
        <v>0.3300316122</v>
      </c>
      <c r="Z1091" s="3">
        <f t="shared" si="7"/>
        <v>42</v>
      </c>
      <c r="AA1091" s="15">
        <f t="shared" si="8"/>
        <v>2</v>
      </c>
    </row>
    <row r="1092" ht="15.75" customHeight="1">
      <c r="A1092" s="3">
        <v>8.26936471E8</v>
      </c>
      <c r="B1092" s="3" t="s">
        <v>1397</v>
      </c>
      <c r="C1092" s="3">
        <f>IFERROR(__xludf.DUMMYFUNCTION("split(B1092,""/"")"),3.0)</f>
        <v>3</v>
      </c>
      <c r="D1092" s="10">
        <f>IFERROR(__xludf.DUMMYFUNCTION("""COMPUTED_VALUE"""),20.0)</f>
        <v>20</v>
      </c>
      <c r="E1092" s="11">
        <f>IFERROR(__xludf.DUMMYFUNCTION("""COMPUTED_VALUE"""),2013.0)</f>
        <v>2013</v>
      </c>
      <c r="F1092" s="12">
        <f t="shared" si="1"/>
        <v>41353</v>
      </c>
      <c r="G1092" s="3" t="s">
        <v>1302</v>
      </c>
      <c r="H1092" s="3">
        <f>IFERROR(__xludf.DUMMYFUNCTION("split(G1092,""/"")"),3.0)</f>
        <v>3</v>
      </c>
      <c r="I1092" s="3">
        <f>IFERROR(__xludf.DUMMYFUNCTION("""COMPUTED_VALUE"""),30.0)</f>
        <v>30</v>
      </c>
      <c r="J1092" s="3">
        <f>IFERROR(__xludf.DUMMYFUNCTION("""COMPUTED_VALUE"""),2013.0)</f>
        <v>2013</v>
      </c>
      <c r="K1092" s="12">
        <f t="shared" si="2"/>
        <v>41363</v>
      </c>
      <c r="L1092" s="3" t="s">
        <v>827</v>
      </c>
      <c r="M1092" s="3" t="s">
        <v>349</v>
      </c>
      <c r="N1092" s="3">
        <v>7331.0</v>
      </c>
      <c r="O1092" s="3" t="s">
        <v>815</v>
      </c>
      <c r="P1092" s="10">
        <v>7733.0</v>
      </c>
      <c r="Q1092" s="13">
        <v>255.28</v>
      </c>
      <c r="R1092" s="13">
        <v>159.42</v>
      </c>
      <c r="S1092" s="13">
        <f t="shared" si="3"/>
        <v>1974080.24</v>
      </c>
      <c r="T1092" s="13">
        <f t="shared" si="4"/>
        <v>1232794.86</v>
      </c>
      <c r="U1092" s="13">
        <f t="shared" si="5"/>
        <v>741285.38</v>
      </c>
      <c r="V1092" s="3" t="str">
        <f>VLOOKUP(N1092,products!A:B,2,0)</f>
        <v>Baby Food</v>
      </c>
      <c r="W1092" s="3" t="s">
        <v>28</v>
      </c>
      <c r="X1092" s="3" t="s">
        <v>29</v>
      </c>
      <c r="Y1092" s="14">
        <f t="shared" si="10"/>
        <v>0.3755092448</v>
      </c>
      <c r="Z1092" s="3">
        <f t="shared" si="7"/>
        <v>10</v>
      </c>
      <c r="AA1092" s="15">
        <f t="shared" si="8"/>
        <v>4</v>
      </c>
    </row>
    <row r="1093" ht="15.75" customHeight="1">
      <c r="A1093" s="3">
        <v>8.26968657E8</v>
      </c>
      <c r="B1093" s="9">
        <v>42891.0</v>
      </c>
      <c r="C1093" s="3">
        <f>IFERROR(__xludf.DUMMYFUNCTION("split(B1093,""/"")"),5.0)</f>
        <v>5</v>
      </c>
      <c r="D1093" s="10">
        <f>IFERROR(__xludf.DUMMYFUNCTION("""COMPUTED_VALUE"""),6.0)</f>
        <v>6</v>
      </c>
      <c r="E1093" s="11">
        <f>IFERROR(__xludf.DUMMYFUNCTION("""COMPUTED_VALUE"""),2017.0)</f>
        <v>2017</v>
      </c>
      <c r="F1093" s="12">
        <f t="shared" si="1"/>
        <v>42861</v>
      </c>
      <c r="G1093" s="3" t="s">
        <v>1748</v>
      </c>
      <c r="H1093" s="3">
        <f>IFERROR(__xludf.DUMMYFUNCTION("split(G1093,""/"")"),6.0)</f>
        <v>6</v>
      </c>
      <c r="I1093" s="3">
        <f>IFERROR(__xludf.DUMMYFUNCTION("""COMPUTED_VALUE"""),15.0)</f>
        <v>15</v>
      </c>
      <c r="J1093" s="3">
        <f>IFERROR(__xludf.DUMMYFUNCTION("""COMPUTED_VALUE"""),2017.0)</f>
        <v>2017</v>
      </c>
      <c r="K1093" s="12">
        <f t="shared" si="2"/>
        <v>42901</v>
      </c>
      <c r="L1093" s="3" t="s">
        <v>827</v>
      </c>
      <c r="M1093" s="3" t="s">
        <v>142</v>
      </c>
      <c r="N1093" s="3">
        <v>8293.0</v>
      </c>
      <c r="O1093" s="3" t="s">
        <v>818</v>
      </c>
      <c r="P1093" s="10">
        <v>7258.0</v>
      </c>
      <c r="Q1093" s="13">
        <v>437.2</v>
      </c>
      <c r="R1093" s="13">
        <v>263.33</v>
      </c>
      <c r="S1093" s="13">
        <f t="shared" si="3"/>
        <v>3173197.6</v>
      </c>
      <c r="T1093" s="13">
        <f t="shared" si="4"/>
        <v>1911249.14</v>
      </c>
      <c r="U1093" s="13">
        <f t="shared" si="5"/>
        <v>1261948.46</v>
      </c>
      <c r="V1093" s="3" t="str">
        <f>VLOOKUP(N1093,products!A:B,2,0)</f>
        <v>Cosmetics</v>
      </c>
      <c r="W1093" s="3" t="s">
        <v>28</v>
      </c>
      <c r="X1093" s="3" t="s">
        <v>98</v>
      </c>
      <c r="Y1093" s="14">
        <f t="shared" si="10"/>
        <v>0.3976898445</v>
      </c>
      <c r="Z1093" s="3">
        <f t="shared" si="7"/>
        <v>40</v>
      </c>
      <c r="AA1093" s="15">
        <f t="shared" si="8"/>
        <v>7</v>
      </c>
    </row>
    <row r="1094" ht="15.75" customHeight="1">
      <c r="A1094" s="3">
        <v>8.28993833E8</v>
      </c>
      <c r="B1094" s="9">
        <v>41767.0</v>
      </c>
      <c r="C1094" s="3">
        <f>IFERROR(__xludf.DUMMYFUNCTION("split(B1094,""/"")"),8.0)</f>
        <v>8</v>
      </c>
      <c r="D1094" s="10">
        <f>IFERROR(__xludf.DUMMYFUNCTION("""COMPUTED_VALUE"""),5.0)</f>
        <v>5</v>
      </c>
      <c r="E1094" s="11">
        <f>IFERROR(__xludf.DUMMYFUNCTION("""COMPUTED_VALUE"""),2014.0)</f>
        <v>2014</v>
      </c>
      <c r="F1094" s="12">
        <f t="shared" si="1"/>
        <v>41856</v>
      </c>
      <c r="G1094" s="9">
        <v>41679.0</v>
      </c>
      <c r="H1094" s="3">
        <f>IFERROR(__xludf.DUMMYFUNCTION("split(G1094,""/"")"),9.0)</f>
        <v>9</v>
      </c>
      <c r="I1094" s="3">
        <f>IFERROR(__xludf.DUMMYFUNCTION("""COMPUTED_VALUE"""),2.0)</f>
        <v>2</v>
      </c>
      <c r="J1094" s="3">
        <f>IFERROR(__xludf.DUMMYFUNCTION("""COMPUTED_VALUE"""),2014.0)</f>
        <v>2014</v>
      </c>
      <c r="K1094" s="12">
        <f t="shared" si="2"/>
        <v>41884</v>
      </c>
      <c r="L1094" s="3" t="s">
        <v>814</v>
      </c>
      <c r="M1094" s="3" t="s">
        <v>349</v>
      </c>
      <c r="N1094" s="3">
        <v>7331.0</v>
      </c>
      <c r="O1094" s="3" t="s">
        <v>818</v>
      </c>
      <c r="P1094" s="10">
        <v>6552.0</v>
      </c>
      <c r="Q1094" s="13">
        <v>255.28</v>
      </c>
      <c r="R1094" s="13">
        <v>159.42</v>
      </c>
      <c r="S1094" s="13">
        <f t="shared" si="3"/>
        <v>1672594.56</v>
      </c>
      <c r="T1094" s="13">
        <f t="shared" si="4"/>
        <v>1044519.84</v>
      </c>
      <c r="U1094" s="13">
        <f t="shared" si="5"/>
        <v>628074.72</v>
      </c>
      <c r="V1094" s="3" t="str">
        <f>VLOOKUP(N1094,products!A:B,2,0)</f>
        <v>Baby Food</v>
      </c>
      <c r="W1094" s="3" t="s">
        <v>28</v>
      </c>
      <c r="X1094" s="3" t="s">
        <v>29</v>
      </c>
      <c r="Y1094" s="14">
        <f t="shared" si="10"/>
        <v>0.3755092448</v>
      </c>
      <c r="Z1094" s="3">
        <f t="shared" si="7"/>
        <v>28</v>
      </c>
      <c r="AA1094" s="15">
        <f t="shared" si="8"/>
        <v>3</v>
      </c>
    </row>
    <row r="1095" ht="15.75" customHeight="1">
      <c r="A1095" s="3">
        <v>8.29356467E8</v>
      </c>
      <c r="B1095" s="3" t="s">
        <v>1283</v>
      </c>
      <c r="C1095" s="3">
        <f>IFERROR(__xludf.DUMMYFUNCTION("split(B1095,""/"")"),8.0)</f>
        <v>8</v>
      </c>
      <c r="D1095" s="10">
        <f>IFERROR(__xludf.DUMMYFUNCTION("""COMPUTED_VALUE"""),29.0)</f>
        <v>29</v>
      </c>
      <c r="E1095" s="11">
        <f>IFERROR(__xludf.DUMMYFUNCTION("""COMPUTED_VALUE"""),2012.0)</f>
        <v>2012</v>
      </c>
      <c r="F1095" s="12">
        <f t="shared" si="1"/>
        <v>41150</v>
      </c>
      <c r="G1095" s="3" t="s">
        <v>963</v>
      </c>
      <c r="H1095" s="3">
        <f>IFERROR(__xludf.DUMMYFUNCTION("split(G1095,""/"")"),9.0)</f>
        <v>9</v>
      </c>
      <c r="I1095" s="3">
        <f>IFERROR(__xludf.DUMMYFUNCTION("""COMPUTED_VALUE"""),16.0)</f>
        <v>16</v>
      </c>
      <c r="J1095" s="3">
        <f>IFERROR(__xludf.DUMMYFUNCTION("""COMPUTED_VALUE"""),2012.0)</f>
        <v>2012</v>
      </c>
      <c r="K1095" s="12">
        <f t="shared" si="2"/>
        <v>41168</v>
      </c>
      <c r="L1095" s="3" t="s">
        <v>825</v>
      </c>
      <c r="M1095" s="3" t="s">
        <v>488</v>
      </c>
      <c r="N1095" s="3">
        <v>7940.0</v>
      </c>
      <c r="O1095" s="3" t="s">
        <v>815</v>
      </c>
      <c r="P1095" s="10">
        <v>3864.0</v>
      </c>
      <c r="Q1095" s="13">
        <v>668.27</v>
      </c>
      <c r="R1095" s="13">
        <v>502.54</v>
      </c>
      <c r="S1095" s="13">
        <f t="shared" si="3"/>
        <v>2582195.28</v>
      </c>
      <c r="T1095" s="13">
        <f t="shared" si="4"/>
        <v>1941814.56</v>
      </c>
      <c r="U1095" s="13">
        <f t="shared" si="5"/>
        <v>640380.72</v>
      </c>
      <c r="V1095" s="3" t="str">
        <f>VLOOKUP(N1095,products!A:B,2,0)</f>
        <v>Household</v>
      </c>
      <c r="W1095" s="3" t="s">
        <v>28</v>
      </c>
      <c r="X1095" s="3" t="s">
        <v>33</v>
      </c>
      <c r="Y1095" s="14">
        <f t="shared" si="10"/>
        <v>0.2479985635</v>
      </c>
      <c r="Z1095" s="3">
        <f t="shared" si="7"/>
        <v>18</v>
      </c>
      <c r="AA1095" s="15">
        <f t="shared" si="8"/>
        <v>4</v>
      </c>
    </row>
    <row r="1096" ht="15.75" customHeight="1">
      <c r="A1096" s="3">
        <v>8.30172288E8</v>
      </c>
      <c r="B1096" s="3" t="s">
        <v>1749</v>
      </c>
      <c r="C1096" s="3">
        <f>IFERROR(__xludf.DUMMYFUNCTION("split(B1096,""/"")"),6.0)</f>
        <v>6</v>
      </c>
      <c r="D1096" s="10">
        <f>IFERROR(__xludf.DUMMYFUNCTION("""COMPUTED_VALUE"""),13.0)</f>
        <v>13</v>
      </c>
      <c r="E1096" s="11">
        <f>IFERROR(__xludf.DUMMYFUNCTION("""COMPUTED_VALUE"""),2013.0)</f>
        <v>2013</v>
      </c>
      <c r="F1096" s="12">
        <f t="shared" si="1"/>
        <v>41438</v>
      </c>
      <c r="G1096" s="3" t="s">
        <v>1163</v>
      </c>
      <c r="H1096" s="3">
        <f>IFERROR(__xludf.DUMMYFUNCTION("split(G1096,""/"")"),7.0)</f>
        <v>7</v>
      </c>
      <c r="I1096" s="3">
        <f>IFERROR(__xludf.DUMMYFUNCTION("""COMPUTED_VALUE"""),29.0)</f>
        <v>29</v>
      </c>
      <c r="J1096" s="3">
        <f>IFERROR(__xludf.DUMMYFUNCTION("""COMPUTED_VALUE"""),2013.0)</f>
        <v>2013</v>
      </c>
      <c r="K1096" s="12">
        <f t="shared" si="2"/>
        <v>41484</v>
      </c>
      <c r="L1096" s="3" t="s">
        <v>827</v>
      </c>
      <c r="M1096" s="3" t="s">
        <v>821</v>
      </c>
      <c r="N1096" s="3">
        <v>8293.0</v>
      </c>
      <c r="O1096" s="3" t="s">
        <v>815</v>
      </c>
      <c r="P1096" s="10">
        <v>5283.0</v>
      </c>
      <c r="Q1096" s="13">
        <v>437.2</v>
      </c>
      <c r="R1096" s="13">
        <v>263.33</v>
      </c>
      <c r="S1096" s="13">
        <f t="shared" si="3"/>
        <v>2309727.6</v>
      </c>
      <c r="T1096" s="13">
        <f t="shared" si="4"/>
        <v>1391172.39</v>
      </c>
      <c r="U1096" s="13">
        <f t="shared" si="5"/>
        <v>918555.21</v>
      </c>
      <c r="V1096" s="3" t="str">
        <f>VLOOKUP(N1096,products!A:B,2,0)</f>
        <v>Cosmetics</v>
      </c>
      <c r="W1096" s="3" t="s">
        <v>821</v>
      </c>
      <c r="X1096" s="3" t="s">
        <v>821</v>
      </c>
      <c r="Y1096" s="14">
        <f t="shared" si="10"/>
        <v>0.3976898445</v>
      </c>
      <c r="Z1096" s="3">
        <f t="shared" si="7"/>
        <v>46</v>
      </c>
      <c r="AA1096" s="15">
        <f t="shared" si="8"/>
        <v>5</v>
      </c>
    </row>
    <row r="1097" ht="15.75" customHeight="1">
      <c r="A1097" s="3">
        <v>8.31143891E8</v>
      </c>
      <c r="B1097" s="9">
        <v>42618.0</v>
      </c>
      <c r="C1097" s="3">
        <f>IFERROR(__xludf.DUMMYFUNCTION("split(B1097,""/"")"),5.0)</f>
        <v>5</v>
      </c>
      <c r="D1097" s="10">
        <f>IFERROR(__xludf.DUMMYFUNCTION("""COMPUTED_VALUE"""),9.0)</f>
        <v>9</v>
      </c>
      <c r="E1097" s="11">
        <f>IFERROR(__xludf.DUMMYFUNCTION("""COMPUTED_VALUE"""),2016.0)</f>
        <v>2016</v>
      </c>
      <c r="F1097" s="12">
        <f t="shared" si="1"/>
        <v>42499</v>
      </c>
      <c r="G1097" s="9">
        <v>42375.0</v>
      </c>
      <c r="H1097" s="3">
        <f>IFERROR(__xludf.DUMMYFUNCTION("split(G1097,""/"")"),6.0)</f>
        <v>6</v>
      </c>
      <c r="I1097" s="3">
        <f>IFERROR(__xludf.DUMMYFUNCTION("""COMPUTED_VALUE"""),1.0)</f>
        <v>1</v>
      </c>
      <c r="J1097" s="3">
        <f>IFERROR(__xludf.DUMMYFUNCTION("""COMPUTED_VALUE"""),2016.0)</f>
        <v>2016</v>
      </c>
      <c r="K1097" s="12">
        <f t="shared" si="2"/>
        <v>42522</v>
      </c>
      <c r="L1097" s="3" t="s">
        <v>814</v>
      </c>
      <c r="M1097" s="3" t="s">
        <v>455</v>
      </c>
      <c r="N1097" s="3">
        <v>4594.0</v>
      </c>
      <c r="O1097" s="3" t="s">
        <v>815</v>
      </c>
      <c r="P1097" s="10">
        <v>2802.0</v>
      </c>
      <c r="Q1097" s="13">
        <v>9.33</v>
      </c>
      <c r="R1097" s="13">
        <v>6.92</v>
      </c>
      <c r="S1097" s="13">
        <f t="shared" si="3"/>
        <v>26142.66</v>
      </c>
      <c r="T1097" s="13">
        <f t="shared" si="4"/>
        <v>19389.84</v>
      </c>
      <c r="U1097" s="13">
        <f t="shared" si="5"/>
        <v>6752.82</v>
      </c>
      <c r="V1097" s="3" t="str">
        <f>VLOOKUP(N1097,products!A:B,2,0)</f>
        <v>Fruits</v>
      </c>
      <c r="W1097" s="3" t="s">
        <v>28</v>
      </c>
      <c r="X1097" s="3" t="s">
        <v>33</v>
      </c>
      <c r="Y1097" s="14">
        <f t="shared" si="10"/>
        <v>0.258306538</v>
      </c>
      <c r="Z1097" s="3">
        <f t="shared" si="7"/>
        <v>23</v>
      </c>
      <c r="AA1097" s="15">
        <f t="shared" si="8"/>
        <v>2</v>
      </c>
    </row>
    <row r="1098" ht="15.75" customHeight="1">
      <c r="A1098" s="3">
        <v>8.3205713E8</v>
      </c>
      <c r="B1098" s="9">
        <v>40577.0</v>
      </c>
      <c r="C1098" s="3">
        <f>IFERROR(__xludf.DUMMYFUNCTION("split(B1098,""/"")"),3.0)</f>
        <v>3</v>
      </c>
      <c r="D1098" s="10">
        <f>IFERROR(__xludf.DUMMYFUNCTION("""COMPUTED_VALUE"""),2.0)</f>
        <v>2</v>
      </c>
      <c r="E1098" s="11">
        <f>IFERROR(__xludf.DUMMYFUNCTION("""COMPUTED_VALUE"""),2011.0)</f>
        <v>2011</v>
      </c>
      <c r="F1098" s="12">
        <f t="shared" si="1"/>
        <v>40604</v>
      </c>
      <c r="G1098" s="9">
        <v>40578.0</v>
      </c>
      <c r="H1098" s="3">
        <f>IFERROR(__xludf.DUMMYFUNCTION("split(G1098,""/"")"),4.0)</f>
        <v>4</v>
      </c>
      <c r="I1098" s="3">
        <f>IFERROR(__xludf.DUMMYFUNCTION("""COMPUTED_VALUE"""),2.0)</f>
        <v>2</v>
      </c>
      <c r="J1098" s="3">
        <f>IFERROR(__xludf.DUMMYFUNCTION("""COMPUTED_VALUE"""),2011.0)</f>
        <v>2011</v>
      </c>
      <c r="K1098" s="12">
        <f t="shared" si="2"/>
        <v>40635</v>
      </c>
      <c r="L1098" s="3" t="s">
        <v>817</v>
      </c>
      <c r="M1098" s="3" t="s">
        <v>671</v>
      </c>
      <c r="N1098" s="3">
        <v>8293.0</v>
      </c>
      <c r="O1098" s="3" t="s">
        <v>815</v>
      </c>
      <c r="P1098" s="10">
        <v>3050.0</v>
      </c>
      <c r="Q1098" s="13">
        <v>437.2</v>
      </c>
      <c r="R1098" s="13">
        <v>263.33</v>
      </c>
      <c r="S1098" s="13">
        <f t="shared" si="3"/>
        <v>1333460</v>
      </c>
      <c r="T1098" s="13">
        <f t="shared" si="4"/>
        <v>803156.5</v>
      </c>
      <c r="U1098" s="13">
        <f t="shared" si="5"/>
        <v>530303.5</v>
      </c>
      <c r="V1098" s="3" t="str">
        <f>VLOOKUP(N1098,products!A:B,2,0)</f>
        <v>Cosmetics</v>
      </c>
      <c r="W1098" s="3" t="s">
        <v>28</v>
      </c>
      <c r="X1098" s="3" t="s">
        <v>33</v>
      </c>
      <c r="Y1098" s="14">
        <f t="shared" si="10"/>
        <v>0.3976898445</v>
      </c>
      <c r="Z1098" s="3">
        <f t="shared" si="7"/>
        <v>31</v>
      </c>
      <c r="AA1098" s="15">
        <f t="shared" si="8"/>
        <v>4</v>
      </c>
    </row>
    <row r="1099" ht="15.75" customHeight="1">
      <c r="A1099" s="3">
        <v>8.33473765E8</v>
      </c>
      <c r="B1099" s="3" t="s">
        <v>1750</v>
      </c>
      <c r="C1099" s="3">
        <f>IFERROR(__xludf.DUMMYFUNCTION("split(B1099,""/"")"),4.0)</f>
        <v>4</v>
      </c>
      <c r="D1099" s="10">
        <f>IFERROR(__xludf.DUMMYFUNCTION("""COMPUTED_VALUE"""),28.0)</f>
        <v>28</v>
      </c>
      <c r="E1099" s="11">
        <f>IFERROR(__xludf.DUMMYFUNCTION("""COMPUTED_VALUE"""),2013.0)</f>
        <v>2013</v>
      </c>
      <c r="F1099" s="12">
        <f t="shared" si="1"/>
        <v>41392</v>
      </c>
      <c r="G1099" s="3" t="s">
        <v>1751</v>
      </c>
      <c r="H1099" s="3">
        <f>IFERROR(__xludf.DUMMYFUNCTION("split(G1099,""/"")"),5.0)</f>
        <v>5</v>
      </c>
      <c r="I1099" s="3">
        <f>IFERROR(__xludf.DUMMYFUNCTION("""COMPUTED_VALUE"""),25.0)</f>
        <v>25</v>
      </c>
      <c r="J1099" s="3">
        <f>IFERROR(__xludf.DUMMYFUNCTION("""COMPUTED_VALUE"""),2013.0)</f>
        <v>2013</v>
      </c>
      <c r="K1099" s="12">
        <f t="shared" si="2"/>
        <v>41419</v>
      </c>
      <c r="L1099" s="3" t="s">
        <v>827</v>
      </c>
      <c r="M1099" s="3" t="s">
        <v>32</v>
      </c>
      <c r="N1099" s="3">
        <v>1270.0</v>
      </c>
      <c r="O1099" s="3" t="s">
        <v>818</v>
      </c>
      <c r="P1099" s="10">
        <v>2264.0</v>
      </c>
      <c r="Q1099" s="13">
        <v>47.45</v>
      </c>
      <c r="R1099" s="13">
        <v>31.79</v>
      </c>
      <c r="S1099" s="13">
        <f t="shared" si="3"/>
        <v>107426.8</v>
      </c>
      <c r="T1099" s="13">
        <f t="shared" si="4"/>
        <v>71972.56</v>
      </c>
      <c r="U1099" s="13">
        <f t="shared" si="5"/>
        <v>35454.24</v>
      </c>
      <c r="V1099" s="3" t="str">
        <f>VLOOKUP(N1099,products!A:B,2,0)</f>
        <v>Beverages</v>
      </c>
      <c r="W1099" s="3" t="s">
        <v>28</v>
      </c>
      <c r="X1099" s="3" t="s">
        <v>33</v>
      </c>
      <c r="Y1099" s="14">
        <f t="shared" si="10"/>
        <v>0.3300316122</v>
      </c>
      <c r="Z1099" s="3">
        <f t="shared" si="7"/>
        <v>27</v>
      </c>
      <c r="AA1099" s="15">
        <f t="shared" si="8"/>
        <v>1</v>
      </c>
    </row>
    <row r="1100" ht="15.75" customHeight="1">
      <c r="A1100" s="3">
        <v>8.33706796E8</v>
      </c>
      <c r="B1100" s="3" t="s">
        <v>838</v>
      </c>
      <c r="C1100" s="3">
        <f>IFERROR(__xludf.DUMMYFUNCTION("split(B1100,""/"")"),3.0)</f>
        <v>3</v>
      </c>
      <c r="D1100" s="10">
        <f>IFERROR(__xludf.DUMMYFUNCTION("""COMPUTED_VALUE"""),27.0)</f>
        <v>27</v>
      </c>
      <c r="E1100" s="11">
        <f>IFERROR(__xludf.DUMMYFUNCTION("""COMPUTED_VALUE"""),2013.0)</f>
        <v>2013</v>
      </c>
      <c r="F1100" s="12">
        <f t="shared" si="1"/>
        <v>41360</v>
      </c>
      <c r="G1100" s="9">
        <v>41337.0</v>
      </c>
      <c r="H1100" s="3">
        <f>IFERROR(__xludf.DUMMYFUNCTION("split(G1100,""/"")"),4.0)</f>
        <v>4</v>
      </c>
      <c r="I1100" s="3">
        <f>IFERROR(__xludf.DUMMYFUNCTION("""COMPUTED_VALUE"""),3.0)</f>
        <v>3</v>
      </c>
      <c r="J1100" s="3">
        <f>IFERROR(__xludf.DUMMYFUNCTION("""COMPUTED_VALUE"""),2013.0)</f>
        <v>2013</v>
      </c>
      <c r="K1100" s="12">
        <f t="shared" si="2"/>
        <v>41367</v>
      </c>
      <c r="L1100" s="3" t="s">
        <v>814</v>
      </c>
      <c r="M1100" s="3" t="s">
        <v>215</v>
      </c>
      <c r="N1100" s="3">
        <v>2103.0</v>
      </c>
      <c r="O1100" s="3" t="s">
        <v>815</v>
      </c>
      <c r="P1100" s="10">
        <v>1223.0</v>
      </c>
      <c r="Q1100" s="13">
        <v>205.7</v>
      </c>
      <c r="R1100" s="13">
        <v>117.11</v>
      </c>
      <c r="S1100" s="13">
        <f t="shared" si="3"/>
        <v>251571.1</v>
      </c>
      <c r="T1100" s="13">
        <f t="shared" si="4"/>
        <v>143225.53</v>
      </c>
      <c r="U1100" s="13">
        <f t="shared" si="5"/>
        <v>108345.57</v>
      </c>
      <c r="V1100" s="3" t="str">
        <f>VLOOKUP(N1100,products!A:B,2,0)</f>
        <v>Cereal</v>
      </c>
      <c r="W1100" s="3" t="s">
        <v>23</v>
      </c>
      <c r="X1100" s="3" t="s">
        <v>68</v>
      </c>
      <c r="Y1100" s="14">
        <f t="shared" si="10"/>
        <v>0.4306757414</v>
      </c>
      <c r="Z1100" s="3">
        <f t="shared" si="7"/>
        <v>7</v>
      </c>
      <c r="AA1100" s="15">
        <f t="shared" si="8"/>
        <v>4</v>
      </c>
    </row>
    <row r="1101" ht="15.75" customHeight="1">
      <c r="A1101" s="3">
        <v>8.34065997E8</v>
      </c>
      <c r="B1101" s="3" t="s">
        <v>1352</v>
      </c>
      <c r="C1101" s="3">
        <f>IFERROR(__xludf.DUMMYFUNCTION("split(B1101,""/"")"),8.0)</f>
        <v>8</v>
      </c>
      <c r="D1101" s="10">
        <f>IFERROR(__xludf.DUMMYFUNCTION("""COMPUTED_VALUE"""),14.0)</f>
        <v>14</v>
      </c>
      <c r="E1101" s="11">
        <f>IFERROR(__xludf.DUMMYFUNCTION("""COMPUTED_VALUE"""),2016.0)</f>
        <v>2016</v>
      </c>
      <c r="F1101" s="12">
        <f t="shared" si="1"/>
        <v>42596</v>
      </c>
      <c r="G1101" s="3" t="s">
        <v>1752</v>
      </c>
      <c r="H1101" s="3">
        <f>IFERROR(__xludf.DUMMYFUNCTION("split(G1101,""/"")"),9.0)</f>
        <v>9</v>
      </c>
      <c r="I1101" s="3">
        <f>IFERROR(__xludf.DUMMYFUNCTION("""COMPUTED_VALUE"""),14.0)</f>
        <v>14</v>
      </c>
      <c r="J1101" s="3">
        <f>IFERROR(__xludf.DUMMYFUNCTION("""COMPUTED_VALUE"""),2016.0)</f>
        <v>2016</v>
      </c>
      <c r="K1101" s="12">
        <f t="shared" si="2"/>
        <v>42627</v>
      </c>
      <c r="L1101" s="3" t="s">
        <v>825</v>
      </c>
      <c r="M1101" s="3" t="s">
        <v>46</v>
      </c>
      <c r="N1101" s="3">
        <v>7940.0</v>
      </c>
      <c r="O1101" s="3" t="s">
        <v>818</v>
      </c>
      <c r="P1101" s="10">
        <v>7518.0</v>
      </c>
      <c r="Q1101" s="13">
        <v>668.27</v>
      </c>
      <c r="R1101" s="13">
        <v>502.54</v>
      </c>
      <c r="S1101" s="13">
        <f t="shared" si="3"/>
        <v>5024053.86</v>
      </c>
      <c r="T1101" s="13">
        <f t="shared" si="4"/>
        <v>3778095.72</v>
      </c>
      <c r="U1101" s="13">
        <f t="shared" si="5"/>
        <v>1245958.14</v>
      </c>
      <c r="V1101" s="3" t="str">
        <f>VLOOKUP(N1101,products!A:B,2,0)</f>
        <v>Household</v>
      </c>
      <c r="W1101" s="3" t="s">
        <v>28</v>
      </c>
      <c r="X1101" s="3" t="s">
        <v>33</v>
      </c>
      <c r="Y1101" s="14">
        <f t="shared" si="10"/>
        <v>0.2479985635</v>
      </c>
      <c r="Z1101" s="3">
        <f t="shared" si="7"/>
        <v>31</v>
      </c>
      <c r="AA1101" s="15">
        <f t="shared" si="8"/>
        <v>1</v>
      </c>
    </row>
    <row r="1102" ht="15.75" customHeight="1">
      <c r="A1102" s="3">
        <v>8.3509339E8</v>
      </c>
      <c r="B1102" s="3" t="s">
        <v>1753</v>
      </c>
      <c r="C1102" s="3">
        <f>IFERROR(__xludf.DUMMYFUNCTION("split(B1102,""/"")"),7.0)</f>
        <v>7</v>
      </c>
      <c r="D1102" s="10">
        <f>IFERROR(__xludf.DUMMYFUNCTION("""COMPUTED_VALUE"""),27.0)</f>
        <v>27</v>
      </c>
      <c r="E1102" s="11">
        <f>IFERROR(__xludf.DUMMYFUNCTION("""COMPUTED_VALUE"""),2014.0)</f>
        <v>2014</v>
      </c>
      <c r="F1102" s="12">
        <f t="shared" si="1"/>
        <v>41847</v>
      </c>
      <c r="G1102" s="3" t="s">
        <v>1754</v>
      </c>
      <c r="H1102" s="3">
        <f>IFERROR(__xludf.DUMMYFUNCTION("split(G1102,""/"")"),7.0)</f>
        <v>7</v>
      </c>
      <c r="I1102" s="3">
        <f>IFERROR(__xludf.DUMMYFUNCTION("""COMPUTED_VALUE"""),29.0)</f>
        <v>29</v>
      </c>
      <c r="J1102" s="3">
        <f>IFERROR(__xludf.DUMMYFUNCTION("""COMPUTED_VALUE"""),2014.0)</f>
        <v>2014</v>
      </c>
      <c r="K1102" s="12">
        <f t="shared" si="2"/>
        <v>41849</v>
      </c>
      <c r="L1102" s="3" t="s">
        <v>827</v>
      </c>
      <c r="M1102" s="3" t="s">
        <v>291</v>
      </c>
      <c r="N1102" s="3">
        <v>3127.0</v>
      </c>
      <c r="O1102" s="3" t="s">
        <v>818</v>
      </c>
      <c r="P1102" s="10">
        <v>1547.0</v>
      </c>
      <c r="Q1102" s="13">
        <v>81.73</v>
      </c>
      <c r="R1102" s="13">
        <v>56.67</v>
      </c>
      <c r="S1102" s="13">
        <f t="shared" si="3"/>
        <v>126436.31</v>
      </c>
      <c r="T1102" s="13">
        <f t="shared" si="4"/>
        <v>87668.49</v>
      </c>
      <c r="U1102" s="13">
        <f t="shared" si="5"/>
        <v>38767.82</v>
      </c>
      <c r="V1102" s="3" t="str">
        <f>VLOOKUP(N1102,products!A:B,2,0)</f>
        <v>Personal Care</v>
      </c>
      <c r="W1102" s="3" t="s">
        <v>28</v>
      </c>
      <c r="X1102" s="3" t="s">
        <v>79</v>
      </c>
      <c r="Y1102" s="14">
        <f t="shared" si="10"/>
        <v>0.3066193564</v>
      </c>
      <c r="Z1102" s="3">
        <f t="shared" si="7"/>
        <v>2</v>
      </c>
      <c r="AA1102" s="15">
        <f t="shared" si="8"/>
        <v>1</v>
      </c>
    </row>
    <row r="1103" ht="15.75" customHeight="1">
      <c r="A1103" s="3">
        <v>8.3526591E8</v>
      </c>
      <c r="B1103" s="3" t="s">
        <v>1755</v>
      </c>
      <c r="C1103" s="3">
        <f>IFERROR(__xludf.DUMMYFUNCTION("split(B1103,""/"")"),8.0)</f>
        <v>8</v>
      </c>
      <c r="D1103" s="10">
        <f>IFERROR(__xludf.DUMMYFUNCTION("""COMPUTED_VALUE"""),27.0)</f>
        <v>27</v>
      </c>
      <c r="E1103" s="11">
        <f>IFERROR(__xludf.DUMMYFUNCTION("""COMPUTED_VALUE"""),2010.0)</f>
        <v>2010</v>
      </c>
      <c r="F1103" s="12">
        <f t="shared" si="1"/>
        <v>40417</v>
      </c>
      <c r="G1103" s="9">
        <v>40188.0</v>
      </c>
      <c r="H1103" s="3">
        <f>IFERROR(__xludf.DUMMYFUNCTION("split(G1103,""/"")"),10.0)</f>
        <v>10</v>
      </c>
      <c r="I1103" s="3">
        <f>IFERROR(__xludf.DUMMYFUNCTION("""COMPUTED_VALUE"""),1.0)</f>
        <v>1</v>
      </c>
      <c r="J1103" s="3">
        <f>IFERROR(__xludf.DUMMYFUNCTION("""COMPUTED_VALUE"""),2010.0)</f>
        <v>2010</v>
      </c>
      <c r="K1103" s="12">
        <f t="shared" si="2"/>
        <v>40452</v>
      </c>
      <c r="L1103" s="3" t="s">
        <v>814</v>
      </c>
      <c r="M1103" s="3" t="s">
        <v>78</v>
      </c>
      <c r="N1103" s="3">
        <v>7940.0</v>
      </c>
      <c r="O1103" s="3" t="s">
        <v>818</v>
      </c>
      <c r="P1103" s="10">
        <v>2599.0</v>
      </c>
      <c r="Q1103" s="13">
        <v>668.27</v>
      </c>
      <c r="R1103" s="13">
        <v>502.54</v>
      </c>
      <c r="S1103" s="13">
        <f t="shared" si="3"/>
        <v>1736833.73</v>
      </c>
      <c r="T1103" s="13">
        <f t="shared" si="4"/>
        <v>1306101.46</v>
      </c>
      <c r="U1103" s="13">
        <f t="shared" si="5"/>
        <v>430732.27</v>
      </c>
      <c r="V1103" s="3" t="str">
        <f>VLOOKUP(N1103,products!A:B,2,0)</f>
        <v>Household</v>
      </c>
      <c r="W1103" s="3" t="s">
        <v>28</v>
      </c>
      <c r="X1103" s="3" t="s">
        <v>79</v>
      </c>
      <c r="Y1103" s="14">
        <f t="shared" si="10"/>
        <v>0.2479985635</v>
      </c>
      <c r="Z1103" s="3">
        <f t="shared" si="7"/>
        <v>35</v>
      </c>
      <c r="AA1103" s="15">
        <f t="shared" si="8"/>
        <v>6</v>
      </c>
    </row>
    <row r="1104" ht="15.75" customHeight="1">
      <c r="A1104" s="3">
        <v>8.3534187E8</v>
      </c>
      <c r="B1104" s="3" t="s">
        <v>1654</v>
      </c>
      <c r="C1104" s="3">
        <f>IFERROR(__xludf.DUMMYFUNCTION("split(B1104,""/"")"),1.0)</f>
        <v>1</v>
      </c>
      <c r="D1104" s="10">
        <f>IFERROR(__xludf.DUMMYFUNCTION("""COMPUTED_VALUE"""),26.0)</f>
        <v>26</v>
      </c>
      <c r="E1104" s="11">
        <f>IFERROR(__xludf.DUMMYFUNCTION("""COMPUTED_VALUE"""),2017.0)</f>
        <v>2017</v>
      </c>
      <c r="F1104" s="12">
        <f t="shared" si="1"/>
        <v>42761</v>
      </c>
      <c r="G1104" s="3" t="s">
        <v>1756</v>
      </c>
      <c r="H1104" s="3">
        <f>IFERROR(__xludf.DUMMYFUNCTION("split(G1104,""/"")"),2.0)</f>
        <v>2</v>
      </c>
      <c r="I1104" s="3">
        <f>IFERROR(__xludf.DUMMYFUNCTION("""COMPUTED_VALUE"""),24.0)</f>
        <v>24</v>
      </c>
      <c r="J1104" s="3">
        <f>IFERROR(__xludf.DUMMYFUNCTION("""COMPUTED_VALUE"""),2017.0)</f>
        <v>2017</v>
      </c>
      <c r="K1104" s="12">
        <f t="shared" si="2"/>
        <v>42790</v>
      </c>
      <c r="L1104" s="3" t="s">
        <v>814</v>
      </c>
      <c r="M1104" s="3" t="s">
        <v>434</v>
      </c>
      <c r="N1104" s="3">
        <v>8293.0</v>
      </c>
      <c r="O1104" s="3" t="s">
        <v>815</v>
      </c>
      <c r="P1104" s="10">
        <v>5077.0</v>
      </c>
      <c r="Q1104" s="13">
        <v>437.2</v>
      </c>
      <c r="R1104" s="13">
        <v>263.33</v>
      </c>
      <c r="S1104" s="13">
        <f t="shared" si="3"/>
        <v>2219664.4</v>
      </c>
      <c r="T1104" s="13">
        <f t="shared" si="4"/>
        <v>1336926.41</v>
      </c>
      <c r="U1104" s="13">
        <f t="shared" si="5"/>
        <v>882737.99</v>
      </c>
      <c r="V1104" s="3" t="str">
        <f>VLOOKUP(N1104,products!A:B,2,0)</f>
        <v>Cosmetics</v>
      </c>
      <c r="W1104" s="3" t="s">
        <v>28</v>
      </c>
      <c r="X1104" s="3" t="s">
        <v>79</v>
      </c>
      <c r="Y1104" s="14">
        <f t="shared" si="10"/>
        <v>0.3976898445</v>
      </c>
      <c r="Z1104" s="3">
        <f t="shared" si="7"/>
        <v>29</v>
      </c>
      <c r="AA1104" s="15">
        <f t="shared" si="8"/>
        <v>5</v>
      </c>
    </row>
    <row r="1105" ht="15.75" customHeight="1">
      <c r="A1105" s="3">
        <v>8.37608659E8</v>
      </c>
      <c r="B1105" s="3" t="s">
        <v>1757</v>
      </c>
      <c r="C1105" s="3">
        <f>IFERROR(__xludf.DUMMYFUNCTION("split(B1105,""/"")"),4.0)</f>
        <v>4</v>
      </c>
      <c r="D1105" s="10">
        <f>IFERROR(__xludf.DUMMYFUNCTION("""COMPUTED_VALUE"""),21.0)</f>
        <v>21</v>
      </c>
      <c r="E1105" s="11">
        <f>IFERROR(__xludf.DUMMYFUNCTION("""COMPUTED_VALUE"""),2012.0)</f>
        <v>2012</v>
      </c>
      <c r="F1105" s="12">
        <f t="shared" si="1"/>
        <v>41020</v>
      </c>
      <c r="G1105" s="9">
        <v>40944.0</v>
      </c>
      <c r="H1105" s="3">
        <f>IFERROR(__xludf.DUMMYFUNCTION("split(G1105,""/"")"),5.0)</f>
        <v>5</v>
      </c>
      <c r="I1105" s="3">
        <f>IFERROR(__xludf.DUMMYFUNCTION("""COMPUTED_VALUE"""),2.0)</f>
        <v>2</v>
      </c>
      <c r="J1105" s="3">
        <f>IFERROR(__xludf.DUMMYFUNCTION("""COMPUTED_VALUE"""),2012.0)</f>
        <v>2012</v>
      </c>
      <c r="K1105" s="12">
        <f t="shared" si="2"/>
        <v>41031</v>
      </c>
      <c r="L1105" s="3" t="s">
        <v>827</v>
      </c>
      <c r="M1105" s="3" t="s">
        <v>142</v>
      </c>
      <c r="N1105" s="3">
        <v>7940.0</v>
      </c>
      <c r="O1105" s="3" t="s">
        <v>815</v>
      </c>
      <c r="P1105" s="10">
        <v>5871.0</v>
      </c>
      <c r="Q1105" s="13">
        <v>668.27</v>
      </c>
      <c r="R1105" s="13">
        <v>502.54</v>
      </c>
      <c r="S1105" s="13">
        <f t="shared" si="3"/>
        <v>3923413.17</v>
      </c>
      <c r="T1105" s="13">
        <f t="shared" si="4"/>
        <v>2950412.34</v>
      </c>
      <c r="U1105" s="13">
        <f t="shared" si="5"/>
        <v>973000.83</v>
      </c>
      <c r="V1105" s="3" t="str">
        <f>VLOOKUP(N1105,products!A:B,2,0)</f>
        <v>Household</v>
      </c>
      <c r="W1105" s="3" t="s">
        <v>28</v>
      </c>
      <c r="X1105" s="3" t="s">
        <v>98</v>
      </c>
      <c r="Y1105" s="14">
        <f t="shared" si="10"/>
        <v>0.2479985635</v>
      </c>
      <c r="Z1105" s="3">
        <f t="shared" si="7"/>
        <v>11</v>
      </c>
      <c r="AA1105" s="15">
        <f t="shared" si="8"/>
        <v>7</v>
      </c>
    </row>
    <row r="1106" ht="15.75" customHeight="1">
      <c r="A1106" s="3">
        <v>8.3790692E8</v>
      </c>
      <c r="B1106" s="9">
        <v>42829.0</v>
      </c>
      <c r="C1106" s="3">
        <f>IFERROR(__xludf.DUMMYFUNCTION("split(B1106,""/"")"),4.0)</f>
        <v>4</v>
      </c>
      <c r="D1106" s="10">
        <f>IFERROR(__xludf.DUMMYFUNCTION("""COMPUTED_VALUE"""),4.0)</f>
        <v>4</v>
      </c>
      <c r="E1106" s="11">
        <f>IFERROR(__xludf.DUMMYFUNCTION("""COMPUTED_VALUE"""),2017.0)</f>
        <v>2017</v>
      </c>
      <c r="F1106" s="12">
        <f t="shared" si="1"/>
        <v>42829</v>
      </c>
      <c r="G1106" s="3" t="s">
        <v>1758</v>
      </c>
      <c r="H1106" s="3">
        <f>IFERROR(__xludf.DUMMYFUNCTION("split(G1106,""/"")"),5.0)</f>
        <v>5</v>
      </c>
      <c r="I1106" s="3">
        <f>IFERROR(__xludf.DUMMYFUNCTION("""COMPUTED_VALUE"""),16.0)</f>
        <v>16</v>
      </c>
      <c r="J1106" s="3">
        <f>IFERROR(__xludf.DUMMYFUNCTION("""COMPUTED_VALUE"""),2017.0)</f>
        <v>2017</v>
      </c>
      <c r="K1106" s="12">
        <f t="shared" si="2"/>
        <v>42871</v>
      </c>
      <c r="L1106" s="3" t="s">
        <v>825</v>
      </c>
      <c r="M1106" s="3" t="s">
        <v>689</v>
      </c>
      <c r="N1106" s="3">
        <v>1270.0</v>
      </c>
      <c r="O1106" s="3" t="s">
        <v>815</v>
      </c>
      <c r="P1106" s="10">
        <v>4133.0</v>
      </c>
      <c r="Q1106" s="13">
        <v>47.45</v>
      </c>
      <c r="R1106" s="13">
        <v>31.79</v>
      </c>
      <c r="S1106" s="13">
        <f t="shared" si="3"/>
        <v>196110.85</v>
      </c>
      <c r="T1106" s="13">
        <f t="shared" si="4"/>
        <v>131388.07</v>
      </c>
      <c r="U1106" s="13">
        <f t="shared" si="5"/>
        <v>64722.78</v>
      </c>
      <c r="V1106" s="3" t="str">
        <f>VLOOKUP(N1106,products!A:B,2,0)</f>
        <v>Beverages</v>
      </c>
      <c r="W1106" s="3" t="s">
        <v>28</v>
      </c>
      <c r="X1106" s="3" t="s">
        <v>79</v>
      </c>
      <c r="Y1106" s="14">
        <f t="shared" si="10"/>
        <v>0.3300316122</v>
      </c>
      <c r="Z1106" s="3">
        <f t="shared" si="7"/>
        <v>42</v>
      </c>
      <c r="AA1106" s="15">
        <f t="shared" si="8"/>
        <v>3</v>
      </c>
    </row>
    <row r="1107" ht="15.75" customHeight="1">
      <c r="A1107" s="3">
        <v>8.38788402E8</v>
      </c>
      <c r="B1107" s="9">
        <v>40453.0</v>
      </c>
      <c r="C1107" s="3">
        <f>IFERROR(__xludf.DUMMYFUNCTION("split(B1107,""/"")"),2.0)</f>
        <v>2</v>
      </c>
      <c r="D1107" s="10">
        <f>IFERROR(__xludf.DUMMYFUNCTION("""COMPUTED_VALUE"""),10.0)</f>
        <v>10</v>
      </c>
      <c r="E1107" s="11">
        <f>IFERROR(__xludf.DUMMYFUNCTION("""COMPUTED_VALUE"""),2010.0)</f>
        <v>2010</v>
      </c>
      <c r="F1107" s="12">
        <f t="shared" si="1"/>
        <v>40219</v>
      </c>
      <c r="G1107" s="3" t="s">
        <v>1632</v>
      </c>
      <c r="H1107" s="3">
        <f>IFERROR(__xludf.DUMMYFUNCTION("split(G1107,""/"")"),2.0)</f>
        <v>2</v>
      </c>
      <c r="I1107" s="3">
        <f>IFERROR(__xludf.DUMMYFUNCTION("""COMPUTED_VALUE"""),26.0)</f>
        <v>26</v>
      </c>
      <c r="J1107" s="3">
        <f>IFERROR(__xludf.DUMMYFUNCTION("""COMPUTED_VALUE"""),2010.0)</f>
        <v>2010</v>
      </c>
      <c r="K1107" s="12">
        <f t="shared" si="2"/>
        <v>40235</v>
      </c>
      <c r="L1107" s="3" t="s">
        <v>814</v>
      </c>
      <c r="M1107" s="3" t="s">
        <v>67</v>
      </c>
      <c r="N1107" s="3">
        <v>7331.0</v>
      </c>
      <c r="O1107" s="3" t="s">
        <v>818</v>
      </c>
      <c r="P1107" s="10">
        <v>4983.0</v>
      </c>
      <c r="Q1107" s="13">
        <v>255.28</v>
      </c>
      <c r="R1107" s="13">
        <v>159.42</v>
      </c>
      <c r="S1107" s="13">
        <f t="shared" si="3"/>
        <v>1272060.24</v>
      </c>
      <c r="T1107" s="13">
        <f t="shared" si="4"/>
        <v>794389.86</v>
      </c>
      <c r="U1107" s="13">
        <f t="shared" si="5"/>
        <v>477670.38</v>
      </c>
      <c r="V1107" s="3" t="str">
        <f>VLOOKUP(N1107,products!A:B,2,0)</f>
        <v>Baby Food</v>
      </c>
      <c r="W1107" s="3" t="s">
        <v>23</v>
      </c>
      <c r="X1107" s="3" t="s">
        <v>68</v>
      </c>
      <c r="Y1107" s="14">
        <f t="shared" si="10"/>
        <v>0.3755092448</v>
      </c>
      <c r="Z1107" s="3">
        <f t="shared" si="7"/>
        <v>16</v>
      </c>
      <c r="AA1107" s="15">
        <f t="shared" si="8"/>
        <v>4</v>
      </c>
    </row>
    <row r="1108" ht="15.75" customHeight="1">
      <c r="A1108" s="3">
        <v>8.38895261E8</v>
      </c>
      <c r="B1108" s="3" t="s">
        <v>1664</v>
      </c>
      <c r="C1108" s="3">
        <f>IFERROR(__xludf.DUMMYFUNCTION("split(B1108,""/"")"),2.0)</f>
        <v>2</v>
      </c>
      <c r="D1108" s="10">
        <f>IFERROR(__xludf.DUMMYFUNCTION("""COMPUTED_VALUE"""),17.0)</f>
        <v>17</v>
      </c>
      <c r="E1108" s="11">
        <f>IFERROR(__xludf.DUMMYFUNCTION("""COMPUTED_VALUE"""),2014.0)</f>
        <v>2014</v>
      </c>
      <c r="F1108" s="12">
        <f t="shared" si="1"/>
        <v>41687</v>
      </c>
      <c r="G1108" s="3" t="s">
        <v>910</v>
      </c>
      <c r="H1108" s="3">
        <f>IFERROR(__xludf.DUMMYFUNCTION("split(G1108,""/"")"),2.0)</f>
        <v>2</v>
      </c>
      <c r="I1108" s="3">
        <f>IFERROR(__xludf.DUMMYFUNCTION("""COMPUTED_VALUE"""),19.0)</f>
        <v>19</v>
      </c>
      <c r="J1108" s="3">
        <f>IFERROR(__xludf.DUMMYFUNCTION("""COMPUTED_VALUE"""),2014.0)</f>
        <v>2014</v>
      </c>
      <c r="K1108" s="12">
        <f t="shared" si="2"/>
        <v>41689</v>
      </c>
      <c r="L1108" s="3" t="s">
        <v>825</v>
      </c>
      <c r="M1108" s="3" t="s">
        <v>821</v>
      </c>
      <c r="N1108" s="3">
        <v>3127.0</v>
      </c>
      <c r="O1108" s="3" t="s">
        <v>818</v>
      </c>
      <c r="P1108" s="10">
        <v>6605.0</v>
      </c>
      <c r="Q1108" s="13">
        <v>81.73</v>
      </c>
      <c r="R1108" s="13">
        <v>56.67</v>
      </c>
      <c r="S1108" s="13">
        <f t="shared" si="3"/>
        <v>539826.65</v>
      </c>
      <c r="T1108" s="13">
        <f t="shared" si="4"/>
        <v>374305.35</v>
      </c>
      <c r="U1108" s="13">
        <f t="shared" si="5"/>
        <v>165521.3</v>
      </c>
      <c r="V1108" s="3" t="str">
        <f>VLOOKUP(N1108,products!A:B,2,0)</f>
        <v>Personal Care</v>
      </c>
      <c r="W1108" s="3" t="s">
        <v>821</v>
      </c>
      <c r="X1108" s="3" t="s">
        <v>821</v>
      </c>
      <c r="Y1108" s="14">
        <f t="shared" si="10"/>
        <v>0.3066193564</v>
      </c>
      <c r="Z1108" s="3">
        <f t="shared" si="7"/>
        <v>2</v>
      </c>
      <c r="AA1108" s="15">
        <f t="shared" si="8"/>
        <v>2</v>
      </c>
    </row>
    <row r="1109" ht="15.75" customHeight="1">
      <c r="A1109" s="3">
        <v>8.39437711E8</v>
      </c>
      <c r="B1109" s="3" t="s">
        <v>1759</v>
      </c>
      <c r="C1109" s="3">
        <f>IFERROR(__xludf.DUMMYFUNCTION("split(B1109,""/"")"),12.0)</f>
        <v>12</v>
      </c>
      <c r="D1109" s="10">
        <f>IFERROR(__xludf.DUMMYFUNCTION("""COMPUTED_VALUE"""),23.0)</f>
        <v>23</v>
      </c>
      <c r="E1109" s="11">
        <f>IFERROR(__xludf.DUMMYFUNCTION("""COMPUTED_VALUE"""),2014.0)</f>
        <v>2014</v>
      </c>
      <c r="F1109" s="12">
        <f t="shared" si="1"/>
        <v>41996</v>
      </c>
      <c r="G1109" s="3" t="s">
        <v>1760</v>
      </c>
      <c r="H1109" s="3">
        <f>IFERROR(__xludf.DUMMYFUNCTION("split(G1109,""/"")"),12.0)</f>
        <v>12</v>
      </c>
      <c r="I1109" s="3">
        <f>IFERROR(__xludf.DUMMYFUNCTION("""COMPUTED_VALUE"""),24.0)</f>
        <v>24</v>
      </c>
      <c r="J1109" s="3">
        <f>IFERROR(__xludf.DUMMYFUNCTION("""COMPUTED_VALUE"""),2014.0)</f>
        <v>2014</v>
      </c>
      <c r="K1109" s="12">
        <f t="shared" si="2"/>
        <v>41997</v>
      </c>
      <c r="L1109" s="3" t="s">
        <v>825</v>
      </c>
      <c r="M1109" s="3" t="s">
        <v>97</v>
      </c>
      <c r="N1109" s="3">
        <v>2455.0</v>
      </c>
      <c r="O1109" s="3" t="s">
        <v>818</v>
      </c>
      <c r="P1109" s="10">
        <v>7128.0</v>
      </c>
      <c r="Q1109" s="13">
        <v>109.28</v>
      </c>
      <c r="R1109" s="13">
        <v>35.84</v>
      </c>
      <c r="S1109" s="13">
        <f t="shared" si="3"/>
        <v>778947.84</v>
      </c>
      <c r="T1109" s="13">
        <f t="shared" si="4"/>
        <v>255467.52</v>
      </c>
      <c r="U1109" s="13">
        <f t="shared" si="5"/>
        <v>523480.32</v>
      </c>
      <c r="V1109" s="3" t="str">
        <f>VLOOKUP(N1109,products!A:B,2,0)</f>
        <v>Clothes</v>
      </c>
      <c r="W1109" s="3" t="s">
        <v>28</v>
      </c>
      <c r="X1109" s="3" t="s">
        <v>98</v>
      </c>
      <c r="Y1109" s="14">
        <f t="shared" si="10"/>
        <v>0.6720351391</v>
      </c>
      <c r="Z1109" s="3">
        <f t="shared" si="7"/>
        <v>1</v>
      </c>
      <c r="AA1109" s="15">
        <f t="shared" si="8"/>
        <v>3</v>
      </c>
    </row>
    <row r="1110" ht="15.75" customHeight="1">
      <c r="A1110" s="3">
        <v>8.40747058E8</v>
      </c>
      <c r="B1110" s="9">
        <v>40463.0</v>
      </c>
      <c r="C1110" s="3">
        <f>IFERROR(__xludf.DUMMYFUNCTION("split(B1110,""/"")"),12.0)</f>
        <v>12</v>
      </c>
      <c r="D1110" s="10">
        <f>IFERROR(__xludf.DUMMYFUNCTION("""COMPUTED_VALUE"""),10.0)</f>
        <v>10</v>
      </c>
      <c r="E1110" s="11">
        <f>IFERROR(__xludf.DUMMYFUNCTION("""COMPUTED_VALUE"""),2010.0)</f>
        <v>2010</v>
      </c>
      <c r="F1110" s="12">
        <f t="shared" si="1"/>
        <v>40522</v>
      </c>
      <c r="G1110" s="3" t="s">
        <v>1213</v>
      </c>
      <c r="H1110" s="3">
        <f>IFERROR(__xludf.DUMMYFUNCTION("split(G1110,""/"")"),12.0)</f>
        <v>12</v>
      </c>
      <c r="I1110" s="3">
        <f>IFERROR(__xludf.DUMMYFUNCTION("""COMPUTED_VALUE"""),26.0)</f>
        <v>26</v>
      </c>
      <c r="J1110" s="3">
        <f>IFERROR(__xludf.DUMMYFUNCTION("""COMPUTED_VALUE"""),2010.0)</f>
        <v>2010</v>
      </c>
      <c r="K1110" s="12">
        <f t="shared" si="2"/>
        <v>40538</v>
      </c>
      <c r="L1110" s="3" t="s">
        <v>817</v>
      </c>
      <c r="M1110" s="3" t="s">
        <v>67</v>
      </c>
      <c r="N1110" s="3">
        <v>3127.0</v>
      </c>
      <c r="O1110" s="3" t="s">
        <v>815</v>
      </c>
      <c r="P1110" s="10">
        <v>4593.0</v>
      </c>
      <c r="Q1110" s="13">
        <v>81.73</v>
      </c>
      <c r="R1110" s="13">
        <v>56.67</v>
      </c>
      <c r="S1110" s="13">
        <f t="shared" si="3"/>
        <v>375385.89</v>
      </c>
      <c r="T1110" s="13">
        <f t="shared" si="4"/>
        <v>260285.31</v>
      </c>
      <c r="U1110" s="13">
        <f t="shared" si="5"/>
        <v>115100.58</v>
      </c>
      <c r="V1110" s="3" t="str">
        <f>VLOOKUP(N1110,products!A:B,2,0)</f>
        <v>Personal Care</v>
      </c>
      <c r="W1110" s="3" t="s">
        <v>23</v>
      </c>
      <c r="X1110" s="3" t="s">
        <v>68</v>
      </c>
      <c r="Y1110" s="14">
        <f t="shared" si="10"/>
        <v>0.3066193564</v>
      </c>
      <c r="Z1110" s="3">
        <f t="shared" si="7"/>
        <v>16</v>
      </c>
      <c r="AA1110" s="15">
        <f t="shared" si="8"/>
        <v>6</v>
      </c>
    </row>
    <row r="1111" ht="15.75" customHeight="1">
      <c r="A1111" s="3">
        <v>8.4078139E8</v>
      </c>
      <c r="B1111" s="3" t="s">
        <v>1761</v>
      </c>
      <c r="C1111" s="3">
        <f>IFERROR(__xludf.DUMMYFUNCTION("split(B1111,""/"")"),10.0)</f>
        <v>10</v>
      </c>
      <c r="D1111" s="10">
        <f>IFERROR(__xludf.DUMMYFUNCTION("""COMPUTED_VALUE"""),20.0)</f>
        <v>20</v>
      </c>
      <c r="E1111" s="11">
        <f>IFERROR(__xludf.DUMMYFUNCTION("""COMPUTED_VALUE"""),2010.0)</f>
        <v>2010</v>
      </c>
      <c r="F1111" s="12">
        <f t="shared" si="1"/>
        <v>40471</v>
      </c>
      <c r="G1111" s="3" t="s">
        <v>1762</v>
      </c>
      <c r="H1111" s="3">
        <f>IFERROR(__xludf.DUMMYFUNCTION("split(G1111,""/"")"),11.0)</f>
        <v>11</v>
      </c>
      <c r="I1111" s="3">
        <f>IFERROR(__xludf.DUMMYFUNCTION("""COMPUTED_VALUE"""),13.0)</f>
        <v>13</v>
      </c>
      <c r="J1111" s="3">
        <f>IFERROR(__xludf.DUMMYFUNCTION("""COMPUTED_VALUE"""),2010.0)</f>
        <v>2010</v>
      </c>
      <c r="K1111" s="12">
        <f t="shared" si="2"/>
        <v>40495</v>
      </c>
      <c r="L1111" s="3" t="s">
        <v>827</v>
      </c>
      <c r="M1111" s="3" t="s">
        <v>434</v>
      </c>
      <c r="N1111" s="3">
        <v>7940.0</v>
      </c>
      <c r="O1111" s="3" t="s">
        <v>815</v>
      </c>
      <c r="P1111" s="10">
        <v>4752.0</v>
      </c>
      <c r="Q1111" s="13">
        <v>668.27</v>
      </c>
      <c r="R1111" s="13">
        <v>502.54</v>
      </c>
      <c r="S1111" s="13">
        <f t="shared" si="3"/>
        <v>3175619.04</v>
      </c>
      <c r="T1111" s="13">
        <f t="shared" si="4"/>
        <v>2388070.08</v>
      </c>
      <c r="U1111" s="13">
        <f t="shared" si="5"/>
        <v>787548.96</v>
      </c>
      <c r="V1111" s="3" t="str">
        <f>VLOOKUP(N1111,products!A:B,2,0)</f>
        <v>Household</v>
      </c>
      <c r="W1111" s="3" t="s">
        <v>28</v>
      </c>
      <c r="X1111" s="3" t="s">
        <v>79</v>
      </c>
      <c r="Y1111" s="14">
        <f t="shared" si="10"/>
        <v>0.2479985635</v>
      </c>
      <c r="Z1111" s="3">
        <f t="shared" si="7"/>
        <v>24</v>
      </c>
      <c r="AA1111" s="15">
        <f t="shared" si="8"/>
        <v>4</v>
      </c>
    </row>
    <row r="1112" ht="15.75" customHeight="1">
      <c r="A1112" s="3">
        <v>8.4268769E8</v>
      </c>
      <c r="B1112" s="9">
        <v>40820.0</v>
      </c>
      <c r="C1112" s="3">
        <f>IFERROR(__xludf.DUMMYFUNCTION("split(B1112,""/"")"),4.0)</f>
        <v>4</v>
      </c>
      <c r="D1112" s="10">
        <f>IFERROR(__xludf.DUMMYFUNCTION("""COMPUTED_VALUE"""),10.0)</f>
        <v>10</v>
      </c>
      <c r="E1112" s="11">
        <f>IFERROR(__xludf.DUMMYFUNCTION("""COMPUTED_VALUE"""),2011.0)</f>
        <v>2011</v>
      </c>
      <c r="F1112" s="12">
        <f t="shared" si="1"/>
        <v>40643</v>
      </c>
      <c r="G1112" s="3" t="s">
        <v>1379</v>
      </c>
      <c r="H1112" s="3">
        <f>IFERROR(__xludf.DUMMYFUNCTION("split(G1112,""/"")"),5.0)</f>
        <v>5</v>
      </c>
      <c r="I1112" s="3">
        <f>IFERROR(__xludf.DUMMYFUNCTION("""COMPUTED_VALUE"""),26.0)</f>
        <v>26</v>
      </c>
      <c r="J1112" s="3">
        <f>IFERROR(__xludf.DUMMYFUNCTION("""COMPUTED_VALUE"""),2011.0)</f>
        <v>2011</v>
      </c>
      <c r="K1112" s="12">
        <f t="shared" si="2"/>
        <v>40689</v>
      </c>
      <c r="L1112" s="3" t="s">
        <v>827</v>
      </c>
      <c r="M1112" s="3" t="s">
        <v>488</v>
      </c>
      <c r="N1112" s="3">
        <v>5988.0</v>
      </c>
      <c r="O1112" s="3" t="s">
        <v>818</v>
      </c>
      <c r="P1112" s="10">
        <v>8869.0</v>
      </c>
      <c r="Q1112" s="13">
        <v>154.06</v>
      </c>
      <c r="R1112" s="13">
        <v>90.93</v>
      </c>
      <c r="S1112" s="13">
        <f t="shared" si="3"/>
        <v>1366358.14</v>
      </c>
      <c r="T1112" s="13">
        <f t="shared" si="4"/>
        <v>806458.17</v>
      </c>
      <c r="U1112" s="13">
        <f t="shared" si="5"/>
        <v>559899.97</v>
      </c>
      <c r="V1112" s="3" t="str">
        <f>VLOOKUP(N1112,products!A:B,2,0)</f>
        <v>Vegetables</v>
      </c>
      <c r="W1112" s="3" t="s">
        <v>28</v>
      </c>
      <c r="X1112" s="3" t="s">
        <v>33</v>
      </c>
      <c r="Y1112" s="14">
        <f t="shared" si="10"/>
        <v>0.4097754122</v>
      </c>
      <c r="Z1112" s="3">
        <f t="shared" si="7"/>
        <v>46</v>
      </c>
      <c r="AA1112" s="15">
        <f t="shared" si="8"/>
        <v>1</v>
      </c>
    </row>
    <row r="1113" ht="15.75" customHeight="1">
      <c r="A1113" s="3">
        <v>8.42725884E8</v>
      </c>
      <c r="B1113" s="3" t="s">
        <v>1763</v>
      </c>
      <c r="C1113" s="3">
        <f>IFERROR(__xludf.DUMMYFUNCTION("split(B1113,""/"")"),7.0)</f>
        <v>7</v>
      </c>
      <c r="D1113" s="10">
        <f>IFERROR(__xludf.DUMMYFUNCTION("""COMPUTED_VALUE"""),27.0)</f>
        <v>27</v>
      </c>
      <c r="E1113" s="11">
        <f>IFERROR(__xludf.DUMMYFUNCTION("""COMPUTED_VALUE"""),2015.0)</f>
        <v>2015</v>
      </c>
      <c r="F1113" s="12">
        <f t="shared" si="1"/>
        <v>42212</v>
      </c>
      <c r="G1113" s="9">
        <v>42316.0</v>
      </c>
      <c r="H1113" s="3">
        <f>IFERROR(__xludf.DUMMYFUNCTION("split(G1113,""/"")"),8.0)</f>
        <v>8</v>
      </c>
      <c r="I1113" s="3">
        <f>IFERROR(__xludf.DUMMYFUNCTION("""COMPUTED_VALUE"""),11.0)</f>
        <v>11</v>
      </c>
      <c r="J1113" s="3">
        <f>IFERROR(__xludf.DUMMYFUNCTION("""COMPUTED_VALUE"""),2015.0)</f>
        <v>2015</v>
      </c>
      <c r="K1113" s="12">
        <f t="shared" si="2"/>
        <v>42227</v>
      </c>
      <c r="L1113" s="3" t="s">
        <v>827</v>
      </c>
      <c r="M1113" s="3" t="s">
        <v>215</v>
      </c>
      <c r="N1113" s="3">
        <v>8969.0</v>
      </c>
      <c r="O1113" s="3" t="s">
        <v>818</v>
      </c>
      <c r="P1113" s="10">
        <v>171.0</v>
      </c>
      <c r="Q1113" s="13">
        <v>152.58</v>
      </c>
      <c r="R1113" s="13">
        <v>97.44</v>
      </c>
      <c r="S1113" s="13">
        <f t="shared" si="3"/>
        <v>26091.18</v>
      </c>
      <c r="T1113" s="13">
        <f t="shared" si="4"/>
        <v>16662.24</v>
      </c>
      <c r="U1113" s="13">
        <f t="shared" si="5"/>
        <v>9428.94</v>
      </c>
      <c r="V1113" s="3" t="str">
        <f>VLOOKUP(N1113,products!A:B,2,0)</f>
        <v>Snacks</v>
      </c>
      <c r="W1113" s="3" t="s">
        <v>23</v>
      </c>
      <c r="X1113" s="3" t="s">
        <v>68</v>
      </c>
      <c r="Y1113" s="14">
        <f t="shared" si="10"/>
        <v>0.3613841919</v>
      </c>
      <c r="Z1113" s="3">
        <f t="shared" si="7"/>
        <v>15</v>
      </c>
      <c r="AA1113" s="15">
        <f t="shared" si="8"/>
        <v>2</v>
      </c>
    </row>
    <row r="1114" ht="15.75" customHeight="1">
      <c r="A1114" s="3">
        <v>8.44105184E8</v>
      </c>
      <c r="B1114" s="3" t="s">
        <v>1764</v>
      </c>
      <c r="C1114" s="3">
        <f>IFERROR(__xludf.DUMMYFUNCTION("split(B1114,""/"")"),3.0)</f>
        <v>3</v>
      </c>
      <c r="D1114" s="10">
        <f>IFERROR(__xludf.DUMMYFUNCTION("""COMPUTED_VALUE"""),17.0)</f>
        <v>17</v>
      </c>
      <c r="E1114" s="11">
        <f>IFERROR(__xludf.DUMMYFUNCTION("""COMPUTED_VALUE"""),2010.0)</f>
        <v>2010</v>
      </c>
      <c r="F1114" s="12">
        <f t="shared" si="1"/>
        <v>40254</v>
      </c>
      <c r="G1114" s="3" t="s">
        <v>1765</v>
      </c>
      <c r="H1114" s="3">
        <f>IFERROR(__xludf.DUMMYFUNCTION("split(G1114,""/"")"),4.0)</f>
        <v>4</v>
      </c>
      <c r="I1114" s="3">
        <f>IFERROR(__xludf.DUMMYFUNCTION("""COMPUTED_VALUE"""),20.0)</f>
        <v>20</v>
      </c>
      <c r="J1114" s="3">
        <f>IFERROR(__xludf.DUMMYFUNCTION("""COMPUTED_VALUE"""),2010.0)</f>
        <v>2010</v>
      </c>
      <c r="K1114" s="12">
        <f t="shared" si="2"/>
        <v>40288</v>
      </c>
      <c r="L1114" s="3" t="s">
        <v>827</v>
      </c>
      <c r="M1114" s="3" t="s">
        <v>653</v>
      </c>
      <c r="N1114" s="3">
        <v>1270.0</v>
      </c>
      <c r="O1114" s="3" t="s">
        <v>818</v>
      </c>
      <c r="P1114" s="10">
        <v>8337.0</v>
      </c>
      <c r="Q1114" s="13">
        <v>47.45</v>
      </c>
      <c r="R1114" s="13">
        <v>31.79</v>
      </c>
      <c r="S1114" s="13">
        <f t="shared" si="3"/>
        <v>395590.65</v>
      </c>
      <c r="T1114" s="13">
        <f t="shared" si="4"/>
        <v>265033.23</v>
      </c>
      <c r="U1114" s="13">
        <f t="shared" si="5"/>
        <v>130557.42</v>
      </c>
      <c r="V1114" s="3" t="str">
        <f>VLOOKUP(N1114,products!A:B,2,0)</f>
        <v>Beverages</v>
      </c>
      <c r="W1114" s="3" t="s">
        <v>28</v>
      </c>
      <c r="X1114" s="3" t="s">
        <v>33</v>
      </c>
      <c r="Y1114" s="14">
        <f t="shared" si="10"/>
        <v>0.3300316122</v>
      </c>
      <c r="Z1114" s="3">
        <f t="shared" si="7"/>
        <v>34</v>
      </c>
      <c r="AA1114" s="15">
        <f t="shared" si="8"/>
        <v>4</v>
      </c>
    </row>
    <row r="1115" ht="15.75" customHeight="1">
      <c r="A1115" s="3">
        <v>8.44307315E8</v>
      </c>
      <c r="B1115" s="9">
        <v>41128.0</v>
      </c>
      <c r="C1115" s="3">
        <f>IFERROR(__xludf.DUMMYFUNCTION("split(B1115,""/"")"),7.0)</f>
        <v>7</v>
      </c>
      <c r="D1115" s="10">
        <f>IFERROR(__xludf.DUMMYFUNCTION("""COMPUTED_VALUE"""),8.0)</f>
        <v>8</v>
      </c>
      <c r="E1115" s="11">
        <f>IFERROR(__xludf.DUMMYFUNCTION("""COMPUTED_VALUE"""),2012.0)</f>
        <v>2012</v>
      </c>
      <c r="F1115" s="12">
        <f t="shared" si="1"/>
        <v>41098</v>
      </c>
      <c r="G1115" s="3" t="s">
        <v>1766</v>
      </c>
      <c r="H1115" s="3">
        <f>IFERROR(__xludf.DUMMYFUNCTION("split(G1115,""/"")"),7.0)</f>
        <v>7</v>
      </c>
      <c r="I1115" s="3">
        <f>IFERROR(__xludf.DUMMYFUNCTION("""COMPUTED_VALUE"""),29.0)</f>
        <v>29</v>
      </c>
      <c r="J1115" s="3">
        <f>IFERROR(__xludf.DUMMYFUNCTION("""COMPUTED_VALUE"""),2012.0)</f>
        <v>2012</v>
      </c>
      <c r="K1115" s="12">
        <f t="shared" si="2"/>
        <v>41119</v>
      </c>
      <c r="L1115" s="3" t="s">
        <v>827</v>
      </c>
      <c r="M1115" s="3" t="s">
        <v>746</v>
      </c>
      <c r="N1115" s="3">
        <v>7331.0</v>
      </c>
      <c r="O1115" s="3" t="s">
        <v>815</v>
      </c>
      <c r="P1115" s="10">
        <v>8152.0</v>
      </c>
      <c r="Q1115" s="13">
        <v>255.28</v>
      </c>
      <c r="R1115" s="13">
        <v>159.42</v>
      </c>
      <c r="S1115" s="13">
        <f t="shared" si="3"/>
        <v>2081042.56</v>
      </c>
      <c r="T1115" s="13">
        <f t="shared" si="4"/>
        <v>1299591.84</v>
      </c>
      <c r="U1115" s="13">
        <f t="shared" si="5"/>
        <v>781450.72</v>
      </c>
      <c r="V1115" s="3" t="str">
        <f>VLOOKUP(N1115,products!A:B,2,0)</f>
        <v>Baby Food</v>
      </c>
      <c r="W1115" s="3" t="s">
        <v>28</v>
      </c>
      <c r="X1115" s="3" t="s">
        <v>29</v>
      </c>
      <c r="Y1115" s="14">
        <f t="shared" si="10"/>
        <v>0.3755092448</v>
      </c>
      <c r="Z1115" s="3">
        <f t="shared" si="7"/>
        <v>21</v>
      </c>
      <c r="AA1115" s="15">
        <f t="shared" si="8"/>
        <v>1</v>
      </c>
    </row>
    <row r="1116" ht="15.75" customHeight="1">
      <c r="A1116" s="3">
        <v>8.44575107E8</v>
      </c>
      <c r="B1116" s="3" t="s">
        <v>1767</v>
      </c>
      <c r="C1116" s="3">
        <f>IFERROR(__xludf.DUMMYFUNCTION("split(B1116,""/"")"),6.0)</f>
        <v>6</v>
      </c>
      <c r="D1116" s="10">
        <f>IFERROR(__xludf.DUMMYFUNCTION("""COMPUTED_VALUE"""),21.0)</f>
        <v>21</v>
      </c>
      <c r="E1116" s="11">
        <f>IFERROR(__xludf.DUMMYFUNCTION("""COMPUTED_VALUE"""),2014.0)</f>
        <v>2014</v>
      </c>
      <c r="F1116" s="12">
        <f t="shared" si="1"/>
        <v>41811</v>
      </c>
      <c r="G1116" s="3" t="s">
        <v>1610</v>
      </c>
      <c r="H1116" s="3">
        <f>IFERROR(__xludf.DUMMYFUNCTION("split(G1116,""/"")"),6.0)</f>
        <v>6</v>
      </c>
      <c r="I1116" s="3">
        <f>IFERROR(__xludf.DUMMYFUNCTION("""COMPUTED_VALUE"""),26.0)</f>
        <v>26</v>
      </c>
      <c r="J1116" s="3">
        <f>IFERROR(__xludf.DUMMYFUNCTION("""COMPUTED_VALUE"""),2014.0)</f>
        <v>2014</v>
      </c>
      <c r="K1116" s="12">
        <f t="shared" si="2"/>
        <v>41816</v>
      </c>
      <c r="L1116" s="3" t="s">
        <v>827</v>
      </c>
      <c r="M1116" s="3" t="s">
        <v>267</v>
      </c>
      <c r="N1116" s="3">
        <v>8875.0</v>
      </c>
      <c r="O1116" s="3" t="s">
        <v>815</v>
      </c>
      <c r="P1116" s="10">
        <v>7397.0</v>
      </c>
      <c r="Q1116" s="13">
        <v>421.89</v>
      </c>
      <c r="R1116" s="13">
        <v>364.69</v>
      </c>
      <c r="S1116" s="13">
        <f t="shared" si="3"/>
        <v>3120720.33</v>
      </c>
      <c r="T1116" s="13">
        <f t="shared" si="4"/>
        <v>2697611.93</v>
      </c>
      <c r="U1116" s="13">
        <f t="shared" si="5"/>
        <v>423108.4</v>
      </c>
      <c r="V1116" s="3" t="str">
        <f>VLOOKUP(N1116,products!A:B,2,0)</f>
        <v>Meat</v>
      </c>
      <c r="W1116" s="3" t="s">
        <v>28</v>
      </c>
      <c r="X1116" s="3" t="s">
        <v>29</v>
      </c>
      <c r="Y1116" s="14">
        <f t="shared" si="10"/>
        <v>0.1355803646</v>
      </c>
      <c r="Z1116" s="3">
        <f t="shared" si="7"/>
        <v>5</v>
      </c>
      <c r="AA1116" s="15">
        <f t="shared" si="8"/>
        <v>7</v>
      </c>
    </row>
    <row r="1117" ht="15.75" customHeight="1">
      <c r="A1117" s="3">
        <v>8.45067346E8</v>
      </c>
      <c r="B1117" s="9">
        <v>40430.0</v>
      </c>
      <c r="C1117" s="3">
        <f>IFERROR(__xludf.DUMMYFUNCTION("split(B1117,""/"")"),9.0)</f>
        <v>9</v>
      </c>
      <c r="D1117" s="10">
        <f>IFERROR(__xludf.DUMMYFUNCTION("""COMPUTED_VALUE"""),9.0)</f>
        <v>9</v>
      </c>
      <c r="E1117" s="11">
        <f>IFERROR(__xludf.DUMMYFUNCTION("""COMPUTED_VALUE"""),2010.0)</f>
        <v>2010</v>
      </c>
      <c r="F1117" s="12">
        <f t="shared" si="1"/>
        <v>40430</v>
      </c>
      <c r="G1117" s="3" t="s">
        <v>1683</v>
      </c>
      <c r="H1117" s="3">
        <f>IFERROR(__xludf.DUMMYFUNCTION("split(G1117,""/"")"),9.0)</f>
        <v>9</v>
      </c>
      <c r="I1117" s="3">
        <f>IFERROR(__xludf.DUMMYFUNCTION("""COMPUTED_VALUE"""),13.0)</f>
        <v>13</v>
      </c>
      <c r="J1117" s="3">
        <f>IFERROR(__xludf.DUMMYFUNCTION("""COMPUTED_VALUE"""),2010.0)</f>
        <v>2010</v>
      </c>
      <c r="K1117" s="12">
        <f t="shared" si="2"/>
        <v>40434</v>
      </c>
      <c r="L1117" s="3" t="s">
        <v>827</v>
      </c>
      <c r="M1117" s="3" t="s">
        <v>455</v>
      </c>
      <c r="N1117" s="3">
        <v>7940.0</v>
      </c>
      <c r="O1117" s="3" t="s">
        <v>815</v>
      </c>
      <c r="P1117" s="10">
        <v>3062.0</v>
      </c>
      <c r="Q1117" s="13">
        <v>668.27</v>
      </c>
      <c r="R1117" s="13">
        <v>502.54</v>
      </c>
      <c r="S1117" s="13">
        <f t="shared" si="3"/>
        <v>2046242.74</v>
      </c>
      <c r="T1117" s="13">
        <f t="shared" si="4"/>
        <v>1538777.48</v>
      </c>
      <c r="U1117" s="13">
        <f t="shared" si="5"/>
        <v>507465.26</v>
      </c>
      <c r="V1117" s="3" t="str">
        <f>VLOOKUP(N1117,products!A:B,2,0)</f>
        <v>Household</v>
      </c>
      <c r="W1117" s="3" t="s">
        <v>28</v>
      </c>
      <c r="X1117" s="3" t="s">
        <v>33</v>
      </c>
      <c r="Y1117" s="14">
        <f t="shared" si="10"/>
        <v>0.2479985635</v>
      </c>
      <c r="Z1117" s="3">
        <f t="shared" si="7"/>
        <v>4</v>
      </c>
      <c r="AA1117" s="15">
        <f t="shared" si="8"/>
        <v>5</v>
      </c>
    </row>
    <row r="1118" ht="15.75" customHeight="1">
      <c r="A1118" s="3">
        <v>8.45738112E8</v>
      </c>
      <c r="B1118" s="3" t="s">
        <v>1410</v>
      </c>
      <c r="C1118" s="3">
        <f>IFERROR(__xludf.DUMMYFUNCTION("split(B1118,""/"")"),9.0)</f>
        <v>9</v>
      </c>
      <c r="D1118" s="10">
        <f>IFERROR(__xludf.DUMMYFUNCTION("""COMPUTED_VALUE"""),26.0)</f>
        <v>26</v>
      </c>
      <c r="E1118" s="11">
        <f>IFERROR(__xludf.DUMMYFUNCTION("""COMPUTED_VALUE"""),2010.0)</f>
        <v>2010</v>
      </c>
      <c r="F1118" s="12">
        <f t="shared" si="1"/>
        <v>40447</v>
      </c>
      <c r="G1118" s="3" t="s">
        <v>876</v>
      </c>
      <c r="H1118" s="3">
        <f>IFERROR(__xludf.DUMMYFUNCTION("split(G1118,""/"")"),10.0)</f>
        <v>10</v>
      </c>
      <c r="I1118" s="3">
        <f>IFERROR(__xludf.DUMMYFUNCTION("""COMPUTED_VALUE"""),23.0)</f>
        <v>23</v>
      </c>
      <c r="J1118" s="3">
        <f>IFERROR(__xludf.DUMMYFUNCTION("""COMPUTED_VALUE"""),2010.0)</f>
        <v>2010</v>
      </c>
      <c r="K1118" s="12">
        <f t="shared" si="2"/>
        <v>40474</v>
      </c>
      <c r="L1118" s="3" t="s">
        <v>825</v>
      </c>
      <c r="M1118" s="3" t="s">
        <v>821</v>
      </c>
      <c r="N1118" s="3">
        <v>8293.0</v>
      </c>
      <c r="O1118" s="3" t="s">
        <v>815</v>
      </c>
      <c r="P1118" s="10">
        <v>1557.0</v>
      </c>
      <c r="Q1118" s="13">
        <v>437.2</v>
      </c>
      <c r="R1118" s="13">
        <v>263.33</v>
      </c>
      <c r="S1118" s="13">
        <f t="shared" si="3"/>
        <v>680720.4</v>
      </c>
      <c r="T1118" s="13">
        <f t="shared" si="4"/>
        <v>410004.81</v>
      </c>
      <c r="U1118" s="13">
        <f t="shared" si="5"/>
        <v>270715.59</v>
      </c>
      <c r="V1118" s="3" t="str">
        <f>VLOOKUP(N1118,products!A:B,2,0)</f>
        <v>Cosmetics</v>
      </c>
      <c r="W1118" s="3" t="s">
        <v>821</v>
      </c>
      <c r="X1118" s="3" t="s">
        <v>821</v>
      </c>
      <c r="Y1118" s="14">
        <f t="shared" si="10"/>
        <v>0.3976898445</v>
      </c>
      <c r="Z1118" s="3">
        <f t="shared" si="7"/>
        <v>27</v>
      </c>
      <c r="AA1118" s="15">
        <f t="shared" si="8"/>
        <v>1</v>
      </c>
    </row>
    <row r="1119" ht="15.75" customHeight="1">
      <c r="A1119" s="3">
        <v>8.464136E8</v>
      </c>
      <c r="B1119" s="3" t="s">
        <v>1768</v>
      </c>
      <c r="C1119" s="3">
        <f>IFERROR(__xludf.DUMMYFUNCTION("split(B1119,""/"")"),12.0)</f>
        <v>12</v>
      </c>
      <c r="D1119" s="10">
        <f>IFERROR(__xludf.DUMMYFUNCTION("""COMPUTED_VALUE"""),30.0)</f>
        <v>30</v>
      </c>
      <c r="E1119" s="11">
        <f>IFERROR(__xludf.DUMMYFUNCTION("""COMPUTED_VALUE"""),2011.0)</f>
        <v>2011</v>
      </c>
      <c r="F1119" s="12">
        <f t="shared" si="1"/>
        <v>40907</v>
      </c>
      <c r="G1119" s="3" t="s">
        <v>1769</v>
      </c>
      <c r="H1119" s="3">
        <f>IFERROR(__xludf.DUMMYFUNCTION("split(G1119,""/"")"),12.0)</f>
        <v>12</v>
      </c>
      <c r="I1119" s="3">
        <f>IFERROR(__xludf.DUMMYFUNCTION("""COMPUTED_VALUE"""),31.0)</f>
        <v>31</v>
      </c>
      <c r="J1119" s="3">
        <f>IFERROR(__xludf.DUMMYFUNCTION("""COMPUTED_VALUE"""),2011.0)</f>
        <v>2011</v>
      </c>
      <c r="K1119" s="12">
        <f t="shared" si="2"/>
        <v>40908</v>
      </c>
      <c r="L1119" s="3" t="s">
        <v>825</v>
      </c>
      <c r="M1119" s="3" t="s">
        <v>364</v>
      </c>
      <c r="N1119" s="3">
        <v>8969.0</v>
      </c>
      <c r="O1119" s="3" t="s">
        <v>815</v>
      </c>
      <c r="P1119" s="10">
        <v>1448.0</v>
      </c>
      <c r="Q1119" s="13">
        <v>152.58</v>
      </c>
      <c r="R1119" s="13">
        <v>97.44</v>
      </c>
      <c r="S1119" s="13">
        <f t="shared" si="3"/>
        <v>220935.84</v>
      </c>
      <c r="T1119" s="13">
        <f t="shared" si="4"/>
        <v>141093.12</v>
      </c>
      <c r="U1119" s="13">
        <f t="shared" si="5"/>
        <v>79842.72</v>
      </c>
      <c r="V1119" s="3" t="str">
        <f>VLOOKUP(N1119,products!A:B,2,0)</f>
        <v>Snacks</v>
      </c>
      <c r="W1119" s="3" t="s">
        <v>28</v>
      </c>
      <c r="X1119" s="3" t="s">
        <v>29</v>
      </c>
      <c r="Y1119" s="14">
        <f t="shared" si="10"/>
        <v>0.3613841919</v>
      </c>
      <c r="Z1119" s="3">
        <f t="shared" si="7"/>
        <v>1</v>
      </c>
      <c r="AA1119" s="15">
        <f t="shared" si="8"/>
        <v>6</v>
      </c>
    </row>
    <row r="1120" ht="15.75" customHeight="1">
      <c r="A1120" s="3">
        <v>8.47317397E8</v>
      </c>
      <c r="B1120" s="3" t="s">
        <v>1770</v>
      </c>
      <c r="C1120" s="3">
        <f>IFERROR(__xludf.DUMMYFUNCTION("split(B1120,""/"")"),12.0)</f>
        <v>12</v>
      </c>
      <c r="D1120" s="10">
        <f>IFERROR(__xludf.DUMMYFUNCTION("""COMPUTED_VALUE"""),15.0)</f>
        <v>15</v>
      </c>
      <c r="E1120" s="11">
        <f>IFERROR(__xludf.DUMMYFUNCTION("""COMPUTED_VALUE"""),2011.0)</f>
        <v>2011</v>
      </c>
      <c r="F1120" s="12">
        <f t="shared" si="1"/>
        <v>40892</v>
      </c>
      <c r="G1120" s="3" t="s">
        <v>1771</v>
      </c>
      <c r="H1120" s="3">
        <f>IFERROR(__xludf.DUMMYFUNCTION("split(G1120,""/"")"),12.0)</f>
        <v>12</v>
      </c>
      <c r="I1120" s="3">
        <f>IFERROR(__xludf.DUMMYFUNCTION("""COMPUTED_VALUE"""),18.0)</f>
        <v>18</v>
      </c>
      <c r="J1120" s="3">
        <f>IFERROR(__xludf.DUMMYFUNCTION("""COMPUTED_VALUE"""),2011.0)</f>
        <v>2011</v>
      </c>
      <c r="K1120" s="12">
        <f t="shared" si="2"/>
        <v>40895</v>
      </c>
      <c r="L1120" s="3" t="s">
        <v>814</v>
      </c>
      <c r="M1120" s="3" t="s">
        <v>413</v>
      </c>
      <c r="N1120" s="3">
        <v>8875.0</v>
      </c>
      <c r="O1120" s="3" t="s">
        <v>818</v>
      </c>
      <c r="P1120" s="10">
        <v>8902.0</v>
      </c>
      <c r="Q1120" s="13">
        <v>421.89</v>
      </c>
      <c r="R1120" s="13">
        <v>364.69</v>
      </c>
      <c r="S1120" s="13">
        <f t="shared" si="3"/>
        <v>3755664.78</v>
      </c>
      <c r="T1120" s="13">
        <f t="shared" si="4"/>
        <v>3246470.38</v>
      </c>
      <c r="U1120" s="13">
        <f t="shared" si="5"/>
        <v>509194.4</v>
      </c>
      <c r="V1120" s="3" t="str">
        <f>VLOOKUP(N1120,products!A:B,2,0)</f>
        <v>Meat</v>
      </c>
      <c r="W1120" s="3" t="s">
        <v>28</v>
      </c>
      <c r="X1120" s="3" t="s">
        <v>29</v>
      </c>
      <c r="Y1120" s="14">
        <f t="shared" si="10"/>
        <v>0.1355803646</v>
      </c>
      <c r="Z1120" s="3">
        <f t="shared" si="7"/>
        <v>3</v>
      </c>
      <c r="AA1120" s="15">
        <f t="shared" si="8"/>
        <v>5</v>
      </c>
    </row>
    <row r="1121" ht="15.75" customHeight="1">
      <c r="A1121" s="3">
        <v>8.48737466E8</v>
      </c>
      <c r="B1121" s="3" t="s">
        <v>1318</v>
      </c>
      <c r="C1121" s="3">
        <f>IFERROR(__xludf.DUMMYFUNCTION("split(B1121,""/"")"),5.0)</f>
        <v>5</v>
      </c>
      <c r="D1121" s="10">
        <f>IFERROR(__xludf.DUMMYFUNCTION("""COMPUTED_VALUE"""),15.0)</f>
        <v>15</v>
      </c>
      <c r="E1121" s="11">
        <f>IFERROR(__xludf.DUMMYFUNCTION("""COMPUTED_VALUE"""),2016.0)</f>
        <v>2016</v>
      </c>
      <c r="F1121" s="12">
        <f t="shared" si="1"/>
        <v>42505</v>
      </c>
      <c r="G1121" s="3" t="s">
        <v>1087</v>
      </c>
      <c r="H1121" s="3">
        <f>IFERROR(__xludf.DUMMYFUNCTION("split(G1121,""/"")"),5.0)</f>
        <v>5</v>
      </c>
      <c r="I1121" s="3">
        <f>IFERROR(__xludf.DUMMYFUNCTION("""COMPUTED_VALUE"""),31.0)</f>
        <v>31</v>
      </c>
      <c r="J1121" s="3">
        <f>IFERROR(__xludf.DUMMYFUNCTION("""COMPUTED_VALUE"""),2016.0)</f>
        <v>2016</v>
      </c>
      <c r="K1121" s="12">
        <f t="shared" si="2"/>
        <v>42521</v>
      </c>
      <c r="L1121" s="3" t="s">
        <v>825</v>
      </c>
      <c r="M1121" s="3" t="s">
        <v>67</v>
      </c>
      <c r="N1121" s="3">
        <v>5988.0</v>
      </c>
      <c r="O1121" s="3" t="s">
        <v>815</v>
      </c>
      <c r="P1121" s="10">
        <v>9132.0</v>
      </c>
      <c r="Q1121" s="13">
        <v>154.06</v>
      </c>
      <c r="R1121" s="13">
        <v>90.93</v>
      </c>
      <c r="S1121" s="13">
        <f t="shared" si="3"/>
        <v>1406875.92</v>
      </c>
      <c r="T1121" s="13">
        <f t="shared" si="4"/>
        <v>830372.76</v>
      </c>
      <c r="U1121" s="13">
        <f t="shared" si="5"/>
        <v>576503.16</v>
      </c>
      <c r="V1121" s="3" t="str">
        <f>VLOOKUP(N1121,products!A:B,2,0)</f>
        <v>Vegetables</v>
      </c>
      <c r="W1121" s="3" t="s">
        <v>23</v>
      </c>
      <c r="X1121" s="3" t="s">
        <v>68</v>
      </c>
      <c r="Y1121" s="14">
        <f t="shared" si="10"/>
        <v>0.4097754122</v>
      </c>
      <c r="Z1121" s="3">
        <f t="shared" si="7"/>
        <v>16</v>
      </c>
      <c r="AA1121" s="15">
        <f t="shared" si="8"/>
        <v>1</v>
      </c>
    </row>
    <row r="1122" ht="15.75" customHeight="1">
      <c r="A1122" s="3">
        <v>8.49431836E8</v>
      </c>
      <c r="B1122" s="3" t="s">
        <v>1772</v>
      </c>
      <c r="C1122" s="3">
        <f>IFERROR(__xludf.DUMMYFUNCTION("split(B1122,""/"")"),11.0)</f>
        <v>11</v>
      </c>
      <c r="D1122" s="10">
        <f>IFERROR(__xludf.DUMMYFUNCTION("""COMPUTED_VALUE"""),25.0)</f>
        <v>25</v>
      </c>
      <c r="E1122" s="11">
        <f>IFERROR(__xludf.DUMMYFUNCTION("""COMPUTED_VALUE"""),2014.0)</f>
        <v>2014</v>
      </c>
      <c r="F1122" s="12">
        <f t="shared" si="1"/>
        <v>41968</v>
      </c>
      <c r="G1122" s="3" t="s">
        <v>1773</v>
      </c>
      <c r="H1122" s="3">
        <f>IFERROR(__xludf.DUMMYFUNCTION("split(G1122,""/"")"),11.0)</f>
        <v>11</v>
      </c>
      <c r="I1122" s="3">
        <f>IFERROR(__xludf.DUMMYFUNCTION("""COMPUTED_VALUE"""),28.0)</f>
        <v>28</v>
      </c>
      <c r="J1122" s="3">
        <f>IFERROR(__xludf.DUMMYFUNCTION("""COMPUTED_VALUE"""),2014.0)</f>
        <v>2014</v>
      </c>
      <c r="K1122" s="12">
        <f t="shared" si="2"/>
        <v>41971</v>
      </c>
      <c r="L1122" s="3" t="s">
        <v>825</v>
      </c>
      <c r="M1122" s="3" t="s">
        <v>413</v>
      </c>
      <c r="N1122" s="3">
        <v>8875.0</v>
      </c>
      <c r="O1122" s="3" t="s">
        <v>815</v>
      </c>
      <c r="P1122" s="10">
        <v>4611.0</v>
      </c>
      <c r="Q1122" s="13">
        <v>421.89</v>
      </c>
      <c r="R1122" s="13">
        <v>364.69</v>
      </c>
      <c r="S1122" s="13">
        <f t="shared" si="3"/>
        <v>1945334.79</v>
      </c>
      <c r="T1122" s="13">
        <f t="shared" si="4"/>
        <v>1681585.59</v>
      </c>
      <c r="U1122" s="13">
        <f t="shared" si="5"/>
        <v>263749.2</v>
      </c>
      <c r="V1122" s="3" t="str">
        <f>VLOOKUP(N1122,products!A:B,2,0)</f>
        <v>Meat</v>
      </c>
      <c r="W1122" s="3" t="s">
        <v>28</v>
      </c>
      <c r="X1122" s="3" t="s">
        <v>29</v>
      </c>
      <c r="Y1122" s="14">
        <f t="shared" si="10"/>
        <v>0.1355803646</v>
      </c>
      <c r="Z1122" s="3">
        <f t="shared" si="7"/>
        <v>3</v>
      </c>
      <c r="AA1122" s="15">
        <f t="shared" si="8"/>
        <v>3</v>
      </c>
    </row>
    <row r="1123" ht="15.75" customHeight="1">
      <c r="A1123" s="3">
        <v>8.49454581E8</v>
      </c>
      <c r="B1123" s="9">
        <v>42651.0</v>
      </c>
      <c r="C1123" s="3">
        <f>IFERROR(__xludf.DUMMYFUNCTION("split(B1123,""/"")"),8.0)</f>
        <v>8</v>
      </c>
      <c r="D1123" s="10">
        <f>IFERROR(__xludf.DUMMYFUNCTION("""COMPUTED_VALUE"""),10.0)</f>
        <v>10</v>
      </c>
      <c r="E1123" s="11">
        <f>IFERROR(__xludf.DUMMYFUNCTION("""COMPUTED_VALUE"""),2016.0)</f>
        <v>2016</v>
      </c>
      <c r="F1123" s="12">
        <f t="shared" si="1"/>
        <v>42592</v>
      </c>
      <c r="G1123" s="9">
        <v>42530.0</v>
      </c>
      <c r="H1123" s="3">
        <f>IFERROR(__xludf.DUMMYFUNCTION("split(G1123,""/"")"),9.0)</f>
        <v>9</v>
      </c>
      <c r="I1123" s="3">
        <f>IFERROR(__xludf.DUMMYFUNCTION("""COMPUTED_VALUE"""),6.0)</f>
        <v>6</v>
      </c>
      <c r="J1123" s="3">
        <f>IFERROR(__xludf.DUMMYFUNCTION("""COMPUTED_VALUE"""),2016.0)</f>
        <v>2016</v>
      </c>
      <c r="K1123" s="12">
        <f t="shared" si="2"/>
        <v>42619</v>
      </c>
      <c r="L1123" s="3" t="s">
        <v>814</v>
      </c>
      <c r="M1123" s="3" t="s">
        <v>32</v>
      </c>
      <c r="N1123" s="3">
        <v>8681.0</v>
      </c>
      <c r="O1123" s="3" t="s">
        <v>815</v>
      </c>
      <c r="P1123" s="10">
        <v>1342.0</v>
      </c>
      <c r="Q1123" s="13">
        <v>651.21</v>
      </c>
      <c r="R1123" s="13">
        <v>524.96</v>
      </c>
      <c r="S1123" s="13">
        <f t="shared" si="3"/>
        <v>873923.82</v>
      </c>
      <c r="T1123" s="13">
        <f t="shared" si="4"/>
        <v>704496.32</v>
      </c>
      <c r="U1123" s="13">
        <f t="shared" si="5"/>
        <v>169427.5</v>
      </c>
      <c r="V1123" s="3" t="str">
        <f>VLOOKUP(N1123,products!A:B,2,0)</f>
        <v>Office Supplies</v>
      </c>
      <c r="W1123" s="3" t="s">
        <v>28</v>
      </c>
      <c r="X1123" s="3" t="s">
        <v>33</v>
      </c>
      <c r="Y1123" s="14">
        <f t="shared" si="10"/>
        <v>0.193869873</v>
      </c>
      <c r="Z1123" s="3">
        <f t="shared" si="7"/>
        <v>27</v>
      </c>
      <c r="AA1123" s="15">
        <f t="shared" si="8"/>
        <v>4</v>
      </c>
    </row>
    <row r="1124" ht="15.75" customHeight="1">
      <c r="A1124" s="3">
        <v>8.50279843E8</v>
      </c>
      <c r="B1124" s="3" t="s">
        <v>1278</v>
      </c>
      <c r="C1124" s="3">
        <f>IFERROR(__xludf.DUMMYFUNCTION("split(B1124,""/"")"),3.0)</f>
        <v>3</v>
      </c>
      <c r="D1124" s="10">
        <f>IFERROR(__xludf.DUMMYFUNCTION("""COMPUTED_VALUE"""),31.0)</f>
        <v>31</v>
      </c>
      <c r="E1124" s="11">
        <f>IFERROR(__xludf.DUMMYFUNCTION("""COMPUTED_VALUE"""),2012.0)</f>
        <v>2012</v>
      </c>
      <c r="F1124" s="12">
        <f t="shared" si="1"/>
        <v>40999</v>
      </c>
      <c r="G1124" s="9">
        <v>41186.0</v>
      </c>
      <c r="H1124" s="3">
        <f>IFERROR(__xludf.DUMMYFUNCTION("split(G1124,""/"")"),4.0)</f>
        <v>4</v>
      </c>
      <c r="I1124" s="3">
        <f>IFERROR(__xludf.DUMMYFUNCTION("""COMPUTED_VALUE"""),10.0)</f>
        <v>10</v>
      </c>
      <c r="J1124" s="3">
        <f>IFERROR(__xludf.DUMMYFUNCTION("""COMPUTED_VALUE"""),2012.0)</f>
        <v>2012</v>
      </c>
      <c r="K1124" s="12">
        <f t="shared" si="2"/>
        <v>41009</v>
      </c>
      <c r="L1124" s="3" t="s">
        <v>817</v>
      </c>
      <c r="M1124" s="3" t="s">
        <v>215</v>
      </c>
      <c r="N1124" s="3">
        <v>4594.0</v>
      </c>
      <c r="O1124" s="3" t="s">
        <v>818</v>
      </c>
      <c r="P1124" s="10">
        <v>5556.0</v>
      </c>
      <c r="Q1124" s="13">
        <v>9.33</v>
      </c>
      <c r="R1124" s="13">
        <v>6.92</v>
      </c>
      <c r="S1124" s="13">
        <f t="shared" si="3"/>
        <v>51837.48</v>
      </c>
      <c r="T1124" s="13">
        <f t="shared" si="4"/>
        <v>38447.52</v>
      </c>
      <c r="U1124" s="13">
        <f t="shared" si="5"/>
        <v>13389.96</v>
      </c>
      <c r="V1124" s="3" t="str">
        <f>VLOOKUP(N1124,products!A:B,2,0)</f>
        <v>Fruits</v>
      </c>
      <c r="W1124" s="3" t="s">
        <v>23</v>
      </c>
      <c r="X1124" s="3" t="s">
        <v>68</v>
      </c>
      <c r="Y1124" s="14">
        <f t="shared" si="10"/>
        <v>0.258306538</v>
      </c>
      <c r="Z1124" s="3">
        <f t="shared" si="7"/>
        <v>10</v>
      </c>
      <c r="AA1124" s="15">
        <f t="shared" si="8"/>
        <v>7</v>
      </c>
    </row>
    <row r="1125" ht="15.75" customHeight="1">
      <c r="A1125" s="3">
        <v>8.50562655E8</v>
      </c>
      <c r="B1125" s="9">
        <v>41951.0</v>
      </c>
      <c r="C1125" s="3">
        <f>IFERROR(__xludf.DUMMYFUNCTION("split(B1125,""/"")"),8.0)</f>
        <v>8</v>
      </c>
      <c r="D1125" s="10">
        <f>IFERROR(__xludf.DUMMYFUNCTION("""COMPUTED_VALUE"""),11.0)</f>
        <v>11</v>
      </c>
      <c r="E1125" s="11">
        <f>IFERROR(__xludf.DUMMYFUNCTION("""COMPUTED_VALUE"""),2014.0)</f>
        <v>2014</v>
      </c>
      <c r="F1125" s="12">
        <f t="shared" si="1"/>
        <v>41862</v>
      </c>
      <c r="G1125" s="3" t="s">
        <v>1568</v>
      </c>
      <c r="H1125" s="3">
        <f>IFERROR(__xludf.DUMMYFUNCTION("split(G1125,""/"")"),9.0)</f>
        <v>9</v>
      </c>
      <c r="I1125" s="3">
        <f>IFERROR(__xludf.DUMMYFUNCTION("""COMPUTED_VALUE"""),25.0)</f>
        <v>25</v>
      </c>
      <c r="J1125" s="3">
        <f>IFERROR(__xludf.DUMMYFUNCTION("""COMPUTED_VALUE"""),2014.0)</f>
        <v>2014</v>
      </c>
      <c r="K1125" s="12">
        <f t="shared" si="2"/>
        <v>41907</v>
      </c>
      <c r="L1125" s="3" t="s">
        <v>814</v>
      </c>
      <c r="M1125" s="3" t="s">
        <v>689</v>
      </c>
      <c r="N1125" s="3">
        <v>7331.0</v>
      </c>
      <c r="O1125" s="3" t="s">
        <v>818</v>
      </c>
      <c r="P1125" s="10">
        <v>9246.0</v>
      </c>
      <c r="Q1125" s="13">
        <v>255.28</v>
      </c>
      <c r="R1125" s="13">
        <v>159.42</v>
      </c>
      <c r="S1125" s="13">
        <f t="shared" si="3"/>
        <v>2360318.88</v>
      </c>
      <c r="T1125" s="13">
        <f t="shared" si="4"/>
        <v>1473997.32</v>
      </c>
      <c r="U1125" s="13">
        <f t="shared" si="5"/>
        <v>886321.56</v>
      </c>
      <c r="V1125" s="3" t="str">
        <f>VLOOKUP(N1125,products!A:B,2,0)</f>
        <v>Baby Food</v>
      </c>
      <c r="W1125" s="3" t="s">
        <v>28</v>
      </c>
      <c r="X1125" s="3" t="s">
        <v>79</v>
      </c>
      <c r="Y1125" s="14">
        <f t="shared" si="10"/>
        <v>0.3755092448</v>
      </c>
      <c r="Z1125" s="3">
        <f t="shared" si="7"/>
        <v>45</v>
      </c>
      <c r="AA1125" s="15">
        <f t="shared" si="8"/>
        <v>2</v>
      </c>
    </row>
    <row r="1126" ht="15.75" customHeight="1">
      <c r="A1126" s="3">
        <v>8.50872075E8</v>
      </c>
      <c r="B1126" s="3" t="s">
        <v>1774</v>
      </c>
      <c r="C1126" s="3">
        <f>IFERROR(__xludf.DUMMYFUNCTION("split(B1126,""/"")"),7.0)</f>
        <v>7</v>
      </c>
      <c r="D1126" s="10">
        <f>IFERROR(__xludf.DUMMYFUNCTION("""COMPUTED_VALUE"""),18.0)</f>
        <v>18</v>
      </c>
      <c r="E1126" s="11">
        <f>IFERROR(__xludf.DUMMYFUNCTION("""COMPUTED_VALUE"""),2015.0)</f>
        <v>2015</v>
      </c>
      <c r="F1126" s="12">
        <f t="shared" si="1"/>
        <v>42203</v>
      </c>
      <c r="G1126" s="9">
        <v>42012.0</v>
      </c>
      <c r="H1126" s="3">
        <f>IFERROR(__xludf.DUMMYFUNCTION("split(G1126,""/"")"),8.0)</f>
        <v>8</v>
      </c>
      <c r="I1126" s="3">
        <f>IFERROR(__xludf.DUMMYFUNCTION("""COMPUTED_VALUE"""),1.0)</f>
        <v>1</v>
      </c>
      <c r="J1126" s="3">
        <f>IFERROR(__xludf.DUMMYFUNCTION("""COMPUTED_VALUE"""),2015.0)</f>
        <v>2015</v>
      </c>
      <c r="K1126" s="12">
        <f t="shared" si="2"/>
        <v>42217</v>
      </c>
      <c r="L1126" s="3" t="s">
        <v>827</v>
      </c>
      <c r="M1126" s="3" t="s">
        <v>218</v>
      </c>
      <c r="N1126" s="3">
        <v>7331.0</v>
      </c>
      <c r="O1126" s="3" t="s">
        <v>818</v>
      </c>
      <c r="P1126" s="10">
        <v>810.0</v>
      </c>
      <c r="Q1126" s="13">
        <v>255.28</v>
      </c>
      <c r="R1126" s="13">
        <v>159.42</v>
      </c>
      <c r="S1126" s="13">
        <f t="shared" si="3"/>
        <v>206776.8</v>
      </c>
      <c r="T1126" s="13">
        <f t="shared" si="4"/>
        <v>129130.2</v>
      </c>
      <c r="U1126" s="13">
        <f t="shared" si="5"/>
        <v>77646.6</v>
      </c>
      <c r="V1126" s="3" t="str">
        <f>VLOOKUP(N1126,products!A:B,2,0)</f>
        <v>Baby Food</v>
      </c>
      <c r="W1126" s="3" t="s">
        <v>28</v>
      </c>
      <c r="X1126" s="3" t="s">
        <v>98</v>
      </c>
      <c r="Y1126" s="14">
        <f t="shared" si="10"/>
        <v>0.3755092448</v>
      </c>
      <c r="Z1126" s="3">
        <f t="shared" si="7"/>
        <v>14</v>
      </c>
      <c r="AA1126" s="15">
        <f t="shared" si="8"/>
        <v>7</v>
      </c>
    </row>
    <row r="1127" ht="15.75" customHeight="1">
      <c r="A1127" s="3">
        <v>8.52392995E8</v>
      </c>
      <c r="B1127" s="3" t="s">
        <v>1069</v>
      </c>
      <c r="C1127" s="3">
        <f>IFERROR(__xludf.DUMMYFUNCTION("split(B1127,""/"")"),3.0)</f>
        <v>3</v>
      </c>
      <c r="D1127" s="10">
        <f>IFERROR(__xludf.DUMMYFUNCTION("""COMPUTED_VALUE"""),28.0)</f>
        <v>28</v>
      </c>
      <c r="E1127" s="11">
        <f>IFERROR(__xludf.DUMMYFUNCTION("""COMPUTED_VALUE"""),2016.0)</f>
        <v>2016</v>
      </c>
      <c r="F1127" s="12">
        <f t="shared" si="1"/>
        <v>42457</v>
      </c>
      <c r="G1127" s="3" t="s">
        <v>944</v>
      </c>
      <c r="H1127" s="3">
        <f>IFERROR(__xludf.DUMMYFUNCTION("split(G1127,""/"")"),4.0)</f>
        <v>4</v>
      </c>
      <c r="I1127" s="3">
        <f>IFERROR(__xludf.DUMMYFUNCTION("""COMPUTED_VALUE"""),19.0)</f>
        <v>19</v>
      </c>
      <c r="J1127" s="3">
        <f>IFERROR(__xludf.DUMMYFUNCTION("""COMPUTED_VALUE"""),2016.0)</f>
        <v>2016</v>
      </c>
      <c r="K1127" s="12">
        <f t="shared" si="2"/>
        <v>42479</v>
      </c>
      <c r="L1127" s="3" t="s">
        <v>814</v>
      </c>
      <c r="M1127" s="3" t="s">
        <v>431</v>
      </c>
      <c r="N1127" s="3">
        <v>8293.0</v>
      </c>
      <c r="O1127" s="3" t="s">
        <v>815</v>
      </c>
      <c r="P1127" s="10">
        <v>884.0</v>
      </c>
      <c r="Q1127" s="13">
        <v>437.2</v>
      </c>
      <c r="R1127" s="13">
        <v>263.33</v>
      </c>
      <c r="S1127" s="13">
        <f t="shared" si="3"/>
        <v>386484.8</v>
      </c>
      <c r="T1127" s="13">
        <f t="shared" si="4"/>
        <v>232783.72</v>
      </c>
      <c r="U1127" s="13">
        <f t="shared" si="5"/>
        <v>153701.08</v>
      </c>
      <c r="V1127" s="3" t="str">
        <f>VLOOKUP(N1127,products!A:B,2,0)</f>
        <v>Cosmetics</v>
      </c>
      <c r="W1127" s="3" t="s">
        <v>28</v>
      </c>
      <c r="X1127" s="3" t="s">
        <v>29</v>
      </c>
      <c r="Y1127" s="14">
        <f t="shared" si="10"/>
        <v>0.3976898445</v>
      </c>
      <c r="Z1127" s="3">
        <f t="shared" si="7"/>
        <v>22</v>
      </c>
      <c r="AA1127" s="15">
        <f t="shared" si="8"/>
        <v>2</v>
      </c>
    </row>
    <row r="1128" ht="15.75" customHeight="1">
      <c r="A1128" s="3">
        <v>8.53036296E8</v>
      </c>
      <c r="B1128" s="3" t="s">
        <v>1775</v>
      </c>
      <c r="C1128" s="3">
        <f>IFERROR(__xludf.DUMMYFUNCTION("split(B1128,""/"")"),5.0)</f>
        <v>5</v>
      </c>
      <c r="D1128" s="10">
        <f>IFERROR(__xludf.DUMMYFUNCTION("""COMPUTED_VALUE"""),14.0)</f>
        <v>14</v>
      </c>
      <c r="E1128" s="11">
        <f>IFERROR(__xludf.DUMMYFUNCTION("""COMPUTED_VALUE"""),2013.0)</f>
        <v>2013</v>
      </c>
      <c r="F1128" s="12">
        <f t="shared" si="1"/>
        <v>41408</v>
      </c>
      <c r="G1128" s="9">
        <v>41280.0</v>
      </c>
      <c r="H1128" s="3">
        <f>IFERROR(__xludf.DUMMYFUNCTION("split(G1128,""/"")"),6.0)</f>
        <v>6</v>
      </c>
      <c r="I1128" s="3">
        <f>IFERROR(__xludf.DUMMYFUNCTION("""COMPUTED_VALUE"""),1.0)</f>
        <v>1</v>
      </c>
      <c r="J1128" s="3">
        <f>IFERROR(__xludf.DUMMYFUNCTION("""COMPUTED_VALUE"""),2013.0)</f>
        <v>2013</v>
      </c>
      <c r="K1128" s="12">
        <f t="shared" si="2"/>
        <v>41426</v>
      </c>
      <c r="L1128" s="3" t="s">
        <v>825</v>
      </c>
      <c r="M1128" s="3" t="s">
        <v>590</v>
      </c>
      <c r="N1128" s="3">
        <v>3127.0</v>
      </c>
      <c r="O1128" s="3" t="s">
        <v>818</v>
      </c>
      <c r="P1128" s="10">
        <v>1251.0</v>
      </c>
      <c r="Q1128" s="13">
        <v>81.73</v>
      </c>
      <c r="R1128" s="13">
        <v>56.67</v>
      </c>
      <c r="S1128" s="13">
        <f t="shared" si="3"/>
        <v>102244.23</v>
      </c>
      <c r="T1128" s="13">
        <f t="shared" si="4"/>
        <v>70894.17</v>
      </c>
      <c r="U1128" s="13">
        <f t="shared" si="5"/>
        <v>31350.06</v>
      </c>
      <c r="V1128" s="3" t="str">
        <f>VLOOKUP(N1128,products!A:B,2,0)</f>
        <v>Personal Care</v>
      </c>
      <c r="W1128" s="3" t="s">
        <v>28</v>
      </c>
      <c r="X1128" s="3" t="s">
        <v>98</v>
      </c>
      <c r="Y1128" s="14">
        <f t="shared" si="10"/>
        <v>0.3066193564</v>
      </c>
      <c r="Z1128" s="3">
        <f t="shared" si="7"/>
        <v>18</v>
      </c>
      <c r="AA1128" s="15">
        <f t="shared" si="8"/>
        <v>3</v>
      </c>
    </row>
    <row r="1129" ht="15.75" customHeight="1">
      <c r="A1129" s="3">
        <v>8.56648051E8</v>
      </c>
      <c r="B1129" s="3" t="s">
        <v>1776</v>
      </c>
      <c r="C1129" s="3">
        <f>IFERROR(__xludf.DUMMYFUNCTION("split(B1129,""/"")"),12.0)</f>
        <v>12</v>
      </c>
      <c r="D1129" s="10">
        <f>IFERROR(__xludf.DUMMYFUNCTION("""COMPUTED_VALUE"""),13.0)</f>
        <v>13</v>
      </c>
      <c r="E1129" s="11">
        <f>IFERROR(__xludf.DUMMYFUNCTION("""COMPUTED_VALUE"""),2010.0)</f>
        <v>2010</v>
      </c>
      <c r="F1129" s="12">
        <f t="shared" si="1"/>
        <v>40525</v>
      </c>
      <c r="G1129" s="3" t="s">
        <v>1777</v>
      </c>
      <c r="H1129" s="3">
        <f>IFERROR(__xludf.DUMMYFUNCTION("split(G1129,""/"")"),12.0)</f>
        <v>12</v>
      </c>
      <c r="I1129" s="3">
        <f>IFERROR(__xludf.DUMMYFUNCTION("""COMPUTED_VALUE"""),23.0)</f>
        <v>23</v>
      </c>
      <c r="J1129" s="3">
        <f>IFERROR(__xludf.DUMMYFUNCTION("""COMPUTED_VALUE"""),2010.0)</f>
        <v>2010</v>
      </c>
      <c r="K1129" s="12">
        <f t="shared" si="2"/>
        <v>40535</v>
      </c>
      <c r="L1129" s="3" t="s">
        <v>814</v>
      </c>
      <c r="M1129" s="3" t="s">
        <v>428</v>
      </c>
      <c r="N1129" s="3">
        <v>2103.0</v>
      </c>
      <c r="O1129" s="3" t="s">
        <v>815</v>
      </c>
      <c r="P1129" s="10">
        <v>50.0</v>
      </c>
      <c r="Q1129" s="13">
        <v>205.7</v>
      </c>
      <c r="R1129" s="13">
        <v>117.11</v>
      </c>
      <c r="S1129" s="13">
        <f t="shared" si="3"/>
        <v>10285</v>
      </c>
      <c r="T1129" s="13">
        <f t="shared" si="4"/>
        <v>5855.5</v>
      </c>
      <c r="U1129" s="13">
        <f t="shared" si="5"/>
        <v>4429.5</v>
      </c>
      <c r="V1129" s="3" t="str">
        <f>VLOOKUP(N1129,products!A:B,2,0)</f>
        <v>Cereal</v>
      </c>
      <c r="W1129" s="3" t="s">
        <v>28</v>
      </c>
      <c r="X1129" s="3" t="s">
        <v>79</v>
      </c>
      <c r="Y1129" s="14">
        <f t="shared" si="10"/>
        <v>0.4306757414</v>
      </c>
      <c r="Z1129" s="3">
        <f t="shared" si="7"/>
        <v>10</v>
      </c>
      <c r="AA1129" s="15">
        <f t="shared" si="8"/>
        <v>2</v>
      </c>
    </row>
    <row r="1130" ht="15.75" customHeight="1">
      <c r="A1130" s="3">
        <v>8.57457864E8</v>
      </c>
      <c r="B1130" s="3" t="s">
        <v>1335</v>
      </c>
      <c r="C1130" s="3">
        <f>IFERROR(__xludf.DUMMYFUNCTION("split(B1130,""/"")"),7.0)</f>
        <v>7</v>
      </c>
      <c r="D1130" s="10">
        <f>IFERROR(__xludf.DUMMYFUNCTION("""COMPUTED_VALUE"""),29.0)</f>
        <v>29</v>
      </c>
      <c r="E1130" s="11">
        <f>IFERROR(__xludf.DUMMYFUNCTION("""COMPUTED_VALUE"""),2011.0)</f>
        <v>2011</v>
      </c>
      <c r="F1130" s="12">
        <f t="shared" si="1"/>
        <v>40753</v>
      </c>
      <c r="G1130" s="3" t="s">
        <v>1778</v>
      </c>
      <c r="H1130" s="3">
        <f>IFERROR(__xludf.DUMMYFUNCTION("split(G1130,""/"")"),9.0)</f>
        <v>9</v>
      </c>
      <c r="I1130" s="3">
        <f>IFERROR(__xludf.DUMMYFUNCTION("""COMPUTED_VALUE"""),16.0)</f>
        <v>16</v>
      </c>
      <c r="J1130" s="3">
        <f>IFERROR(__xludf.DUMMYFUNCTION("""COMPUTED_VALUE"""),2011.0)</f>
        <v>2011</v>
      </c>
      <c r="K1130" s="12">
        <f t="shared" si="2"/>
        <v>40802</v>
      </c>
      <c r="L1130" s="3" t="s">
        <v>817</v>
      </c>
      <c r="M1130" s="3" t="s">
        <v>512</v>
      </c>
      <c r="N1130" s="3">
        <v>8681.0</v>
      </c>
      <c r="O1130" s="3" t="s">
        <v>815</v>
      </c>
      <c r="P1130" s="10">
        <v>9691.0</v>
      </c>
      <c r="Q1130" s="13">
        <v>651.21</v>
      </c>
      <c r="R1130" s="13">
        <v>524.96</v>
      </c>
      <c r="S1130" s="13">
        <f t="shared" si="3"/>
        <v>6310876.11</v>
      </c>
      <c r="T1130" s="13">
        <f t="shared" si="4"/>
        <v>5087387.36</v>
      </c>
      <c r="U1130" s="13">
        <f t="shared" si="5"/>
        <v>1223488.75</v>
      </c>
      <c r="V1130" s="3" t="str">
        <f>VLOOKUP(N1130,products!A:B,2,0)</f>
        <v>Office Supplies</v>
      </c>
      <c r="W1130" s="3" t="s">
        <v>28</v>
      </c>
      <c r="X1130" s="3" t="s">
        <v>79</v>
      </c>
      <c r="Y1130" s="14">
        <f t="shared" si="10"/>
        <v>0.193869873</v>
      </c>
      <c r="Z1130" s="3">
        <f t="shared" si="7"/>
        <v>49</v>
      </c>
      <c r="AA1130" s="15">
        <f t="shared" si="8"/>
        <v>6</v>
      </c>
    </row>
    <row r="1131" ht="15.75" customHeight="1">
      <c r="A1131" s="3">
        <v>8.59914767E8</v>
      </c>
      <c r="B1131" s="9">
        <v>42679.0</v>
      </c>
      <c r="C1131" s="3">
        <f>IFERROR(__xludf.DUMMYFUNCTION("split(B1131,""/"")"),5.0)</f>
        <v>5</v>
      </c>
      <c r="D1131" s="10">
        <f>IFERROR(__xludf.DUMMYFUNCTION("""COMPUTED_VALUE"""),11.0)</f>
        <v>11</v>
      </c>
      <c r="E1131" s="11">
        <f>IFERROR(__xludf.DUMMYFUNCTION("""COMPUTED_VALUE"""),2016.0)</f>
        <v>2016</v>
      </c>
      <c r="F1131" s="12">
        <f t="shared" si="1"/>
        <v>42501</v>
      </c>
      <c r="G1131" s="3" t="s">
        <v>1713</v>
      </c>
      <c r="H1131" s="3">
        <f>IFERROR(__xludf.DUMMYFUNCTION("split(G1131,""/"")"),6.0)</f>
        <v>6</v>
      </c>
      <c r="I1131" s="3">
        <f>IFERROR(__xludf.DUMMYFUNCTION("""COMPUTED_VALUE"""),18.0)</f>
        <v>18</v>
      </c>
      <c r="J1131" s="3">
        <f>IFERROR(__xludf.DUMMYFUNCTION("""COMPUTED_VALUE"""),2016.0)</f>
        <v>2016</v>
      </c>
      <c r="K1131" s="12">
        <f t="shared" si="2"/>
        <v>42539</v>
      </c>
      <c r="L1131" s="3" t="s">
        <v>814</v>
      </c>
      <c r="M1131" s="3" t="s">
        <v>623</v>
      </c>
      <c r="N1131" s="3">
        <v>8681.0</v>
      </c>
      <c r="O1131" s="3" t="s">
        <v>818</v>
      </c>
      <c r="P1131" s="10">
        <v>6744.0</v>
      </c>
      <c r="Q1131" s="13">
        <v>651.21</v>
      </c>
      <c r="R1131" s="13">
        <v>524.96</v>
      </c>
      <c r="S1131" s="13">
        <f t="shared" si="3"/>
        <v>4391760.24</v>
      </c>
      <c r="T1131" s="13">
        <f t="shared" si="4"/>
        <v>3540330.24</v>
      </c>
      <c r="U1131" s="13">
        <f t="shared" si="5"/>
        <v>851430</v>
      </c>
      <c r="V1131" s="3" t="str">
        <f>VLOOKUP(N1131,products!A:B,2,0)</f>
        <v>Office Supplies</v>
      </c>
      <c r="W1131" s="3" t="s">
        <v>28</v>
      </c>
      <c r="X1131" s="3" t="s">
        <v>33</v>
      </c>
      <c r="Y1131" s="14">
        <f t="shared" si="10"/>
        <v>0.193869873</v>
      </c>
      <c r="Z1131" s="3">
        <f t="shared" si="7"/>
        <v>38</v>
      </c>
      <c r="AA1131" s="15">
        <f t="shared" si="8"/>
        <v>4</v>
      </c>
    </row>
    <row r="1132" ht="15.75" customHeight="1">
      <c r="A1132" s="3">
        <v>8.60104024E8</v>
      </c>
      <c r="B1132" s="3" t="s">
        <v>1779</v>
      </c>
      <c r="C1132" s="3">
        <f>IFERROR(__xludf.DUMMYFUNCTION("split(B1132,""/"")"),12.0)</f>
        <v>12</v>
      </c>
      <c r="D1132" s="10">
        <f>IFERROR(__xludf.DUMMYFUNCTION("""COMPUTED_VALUE"""),27.0)</f>
        <v>27</v>
      </c>
      <c r="E1132" s="11">
        <f>IFERROR(__xludf.DUMMYFUNCTION("""COMPUTED_VALUE"""),2013.0)</f>
        <v>2013</v>
      </c>
      <c r="F1132" s="12">
        <f t="shared" si="1"/>
        <v>41635</v>
      </c>
      <c r="G1132" s="3" t="s">
        <v>1780</v>
      </c>
      <c r="H1132" s="3">
        <f>IFERROR(__xludf.DUMMYFUNCTION("split(G1132,""/"")"),12.0)</f>
        <v>12</v>
      </c>
      <c r="I1132" s="3">
        <f>IFERROR(__xludf.DUMMYFUNCTION("""COMPUTED_VALUE"""),30.0)</f>
        <v>30</v>
      </c>
      <c r="J1132" s="3">
        <f>IFERROR(__xludf.DUMMYFUNCTION("""COMPUTED_VALUE"""),2013.0)</f>
        <v>2013</v>
      </c>
      <c r="K1132" s="12">
        <f t="shared" si="2"/>
        <v>41638</v>
      </c>
      <c r="L1132" s="3" t="s">
        <v>814</v>
      </c>
      <c r="M1132" s="3" t="s">
        <v>221</v>
      </c>
      <c r="N1132" s="3">
        <v>8293.0</v>
      </c>
      <c r="O1132" s="3" t="s">
        <v>818</v>
      </c>
      <c r="P1132" s="10">
        <v>2749.0</v>
      </c>
      <c r="Q1132" s="13">
        <v>437.2</v>
      </c>
      <c r="R1132" s="13">
        <v>263.33</v>
      </c>
      <c r="S1132" s="13">
        <f t="shared" si="3"/>
        <v>1201862.8</v>
      </c>
      <c r="T1132" s="13">
        <f t="shared" si="4"/>
        <v>723894.17</v>
      </c>
      <c r="U1132" s="13">
        <f t="shared" si="5"/>
        <v>477968.63</v>
      </c>
      <c r="V1132" s="3" t="str">
        <f>VLOOKUP(N1132,products!A:B,2,0)</f>
        <v>Cosmetics</v>
      </c>
      <c r="W1132" s="3" t="s">
        <v>28</v>
      </c>
      <c r="X1132" s="3" t="s">
        <v>29</v>
      </c>
      <c r="Y1132" s="14">
        <f t="shared" si="10"/>
        <v>0.3976898445</v>
      </c>
      <c r="Z1132" s="3">
        <f t="shared" si="7"/>
        <v>3</v>
      </c>
      <c r="AA1132" s="15">
        <f t="shared" si="8"/>
        <v>6</v>
      </c>
    </row>
    <row r="1133" ht="15.75" customHeight="1">
      <c r="A1133" s="3">
        <v>8.61180341E8</v>
      </c>
      <c r="B1133" s="3" t="s">
        <v>1735</v>
      </c>
      <c r="C1133" s="3">
        <f>IFERROR(__xludf.DUMMYFUNCTION("split(B1133,""/"")"),1.0)</f>
        <v>1</v>
      </c>
      <c r="D1133" s="10">
        <f>IFERROR(__xludf.DUMMYFUNCTION("""COMPUTED_VALUE"""),13.0)</f>
        <v>13</v>
      </c>
      <c r="E1133" s="11">
        <f>IFERROR(__xludf.DUMMYFUNCTION("""COMPUTED_VALUE"""),2010.0)</f>
        <v>2010</v>
      </c>
      <c r="F1133" s="12">
        <f t="shared" si="1"/>
        <v>40191</v>
      </c>
      <c r="G1133" s="3" t="s">
        <v>1516</v>
      </c>
      <c r="H1133" s="3">
        <f>IFERROR(__xludf.DUMMYFUNCTION("split(G1133,""/"")"),2.0)</f>
        <v>2</v>
      </c>
      <c r="I1133" s="3">
        <f>IFERROR(__xludf.DUMMYFUNCTION("""COMPUTED_VALUE"""),20.0)</f>
        <v>20</v>
      </c>
      <c r="J1133" s="3">
        <f>IFERROR(__xludf.DUMMYFUNCTION("""COMPUTED_VALUE"""),2010.0)</f>
        <v>2010</v>
      </c>
      <c r="K1133" s="12">
        <f t="shared" si="2"/>
        <v>40229</v>
      </c>
      <c r="L1133" s="3" t="s">
        <v>825</v>
      </c>
      <c r="M1133" s="3" t="s">
        <v>46</v>
      </c>
      <c r="N1133" s="3">
        <v>1270.0</v>
      </c>
      <c r="O1133" s="3" t="s">
        <v>818</v>
      </c>
      <c r="P1133" s="10">
        <v>1255.0</v>
      </c>
      <c r="Q1133" s="13">
        <v>47.45</v>
      </c>
      <c r="R1133" s="13">
        <v>31.79</v>
      </c>
      <c r="S1133" s="13">
        <f t="shared" si="3"/>
        <v>59549.75</v>
      </c>
      <c r="T1133" s="13">
        <f t="shared" si="4"/>
        <v>39896.45</v>
      </c>
      <c r="U1133" s="13">
        <f t="shared" si="5"/>
        <v>19653.3</v>
      </c>
      <c r="V1133" s="3" t="str">
        <f>VLOOKUP(N1133,products!A:B,2,0)</f>
        <v>Beverages</v>
      </c>
      <c r="W1133" s="3" t="s">
        <v>28</v>
      </c>
      <c r="X1133" s="3" t="s">
        <v>33</v>
      </c>
      <c r="Y1133" s="14">
        <f t="shared" si="10"/>
        <v>0.3300316122</v>
      </c>
      <c r="Z1133" s="3">
        <f t="shared" si="7"/>
        <v>38</v>
      </c>
      <c r="AA1133" s="15">
        <f t="shared" si="8"/>
        <v>4</v>
      </c>
    </row>
    <row r="1134" ht="15.75" customHeight="1">
      <c r="A1134" s="3">
        <v>8.61252868E8</v>
      </c>
      <c r="B1134" s="9">
        <v>41976.0</v>
      </c>
      <c r="C1134" s="3">
        <f>IFERROR(__xludf.DUMMYFUNCTION("split(B1134,""/"")"),3.0)</f>
        <v>3</v>
      </c>
      <c r="D1134" s="10">
        <f>IFERROR(__xludf.DUMMYFUNCTION("""COMPUTED_VALUE"""),12.0)</f>
        <v>12</v>
      </c>
      <c r="E1134" s="11">
        <f>IFERROR(__xludf.DUMMYFUNCTION("""COMPUTED_VALUE"""),2014.0)</f>
        <v>2014</v>
      </c>
      <c r="F1134" s="12">
        <f t="shared" si="1"/>
        <v>41710</v>
      </c>
      <c r="G1134" s="3" t="s">
        <v>1781</v>
      </c>
      <c r="H1134" s="3">
        <f>IFERROR(__xludf.DUMMYFUNCTION("split(G1134,""/"")"),3.0)</f>
        <v>3</v>
      </c>
      <c r="I1134" s="3">
        <f>IFERROR(__xludf.DUMMYFUNCTION("""COMPUTED_VALUE"""),28.0)</f>
        <v>28</v>
      </c>
      <c r="J1134" s="3">
        <f>IFERROR(__xludf.DUMMYFUNCTION("""COMPUTED_VALUE"""),2014.0)</f>
        <v>2014</v>
      </c>
      <c r="K1134" s="12">
        <f t="shared" si="2"/>
        <v>41726</v>
      </c>
      <c r="L1134" s="3" t="s">
        <v>825</v>
      </c>
      <c r="M1134" s="3" t="s">
        <v>78</v>
      </c>
      <c r="N1134" s="3">
        <v>8681.0</v>
      </c>
      <c r="O1134" s="3" t="s">
        <v>815</v>
      </c>
      <c r="P1134" s="10">
        <v>2717.0</v>
      </c>
      <c r="Q1134" s="13">
        <v>651.21</v>
      </c>
      <c r="R1134" s="13">
        <v>524.96</v>
      </c>
      <c r="S1134" s="13">
        <f t="shared" si="3"/>
        <v>1769337.57</v>
      </c>
      <c r="T1134" s="13">
        <f t="shared" si="4"/>
        <v>1426316.32</v>
      </c>
      <c r="U1134" s="13">
        <f t="shared" si="5"/>
        <v>343021.25</v>
      </c>
      <c r="V1134" s="3" t="str">
        <f>VLOOKUP(N1134,products!A:B,2,0)</f>
        <v>Office Supplies</v>
      </c>
      <c r="W1134" s="3" t="s">
        <v>28</v>
      </c>
      <c r="X1134" s="3" t="s">
        <v>79</v>
      </c>
      <c r="Y1134" s="14">
        <f t="shared" si="10"/>
        <v>0.193869873</v>
      </c>
      <c r="Z1134" s="3">
        <f t="shared" si="7"/>
        <v>16</v>
      </c>
      <c r="AA1134" s="15">
        <f t="shared" si="8"/>
        <v>4</v>
      </c>
    </row>
    <row r="1135" ht="15.75" customHeight="1">
      <c r="A1135" s="3">
        <v>8.6197685E8</v>
      </c>
      <c r="B1135" s="3" t="s">
        <v>999</v>
      </c>
      <c r="C1135" s="3">
        <f>IFERROR(__xludf.DUMMYFUNCTION("split(B1135,""/"")"),5.0)</f>
        <v>5</v>
      </c>
      <c r="D1135" s="10">
        <f>IFERROR(__xludf.DUMMYFUNCTION("""COMPUTED_VALUE"""),17.0)</f>
        <v>17</v>
      </c>
      <c r="E1135" s="11">
        <f>IFERROR(__xludf.DUMMYFUNCTION("""COMPUTED_VALUE"""),2011.0)</f>
        <v>2011</v>
      </c>
      <c r="F1135" s="12">
        <f t="shared" si="1"/>
        <v>40680</v>
      </c>
      <c r="G1135" s="3" t="s">
        <v>1586</v>
      </c>
      <c r="H1135" s="3">
        <f>IFERROR(__xludf.DUMMYFUNCTION("split(G1135,""/"")"),5.0)</f>
        <v>5</v>
      </c>
      <c r="I1135" s="3">
        <f>IFERROR(__xludf.DUMMYFUNCTION("""COMPUTED_VALUE"""),25.0)</f>
        <v>25</v>
      </c>
      <c r="J1135" s="3">
        <f>IFERROR(__xludf.DUMMYFUNCTION("""COMPUTED_VALUE"""),2011.0)</f>
        <v>2011</v>
      </c>
      <c r="K1135" s="12">
        <f t="shared" si="2"/>
        <v>40688</v>
      </c>
      <c r="L1135" s="3" t="s">
        <v>827</v>
      </c>
      <c r="M1135" s="3" t="s">
        <v>686</v>
      </c>
      <c r="N1135" s="3">
        <v>3127.0</v>
      </c>
      <c r="O1135" s="3" t="s">
        <v>818</v>
      </c>
      <c r="P1135" s="10">
        <v>6960.0</v>
      </c>
      <c r="Q1135" s="13">
        <v>81.73</v>
      </c>
      <c r="R1135" s="13">
        <v>56.67</v>
      </c>
      <c r="S1135" s="13">
        <f t="shared" si="3"/>
        <v>568840.8</v>
      </c>
      <c r="T1135" s="13">
        <f t="shared" si="4"/>
        <v>394423.2</v>
      </c>
      <c r="U1135" s="13">
        <f t="shared" si="5"/>
        <v>174417.6</v>
      </c>
      <c r="V1135" s="3" t="str">
        <f>VLOOKUP(N1135,products!A:B,2,0)</f>
        <v>Personal Care</v>
      </c>
      <c r="W1135" s="3" t="s">
        <v>28</v>
      </c>
      <c r="X1135" s="3" t="s">
        <v>29</v>
      </c>
      <c r="Y1135" s="14">
        <f t="shared" si="10"/>
        <v>0.3066193564</v>
      </c>
      <c r="Z1135" s="3">
        <f t="shared" si="7"/>
        <v>8</v>
      </c>
      <c r="AA1135" s="15">
        <f t="shared" si="8"/>
        <v>3</v>
      </c>
    </row>
    <row r="1136" ht="15.75" customHeight="1">
      <c r="A1136" s="3">
        <v>8.61982858E8</v>
      </c>
      <c r="B1136" s="3" t="s">
        <v>1571</v>
      </c>
      <c r="C1136" s="3">
        <f>IFERROR(__xludf.DUMMYFUNCTION("split(B1136,""/"")"),7.0)</f>
        <v>7</v>
      </c>
      <c r="D1136" s="10">
        <f>IFERROR(__xludf.DUMMYFUNCTION("""COMPUTED_VALUE"""),17.0)</f>
        <v>17</v>
      </c>
      <c r="E1136" s="11">
        <f>IFERROR(__xludf.DUMMYFUNCTION("""COMPUTED_VALUE"""),2011.0)</f>
        <v>2011</v>
      </c>
      <c r="F1136" s="12">
        <f t="shared" si="1"/>
        <v>40741</v>
      </c>
      <c r="G1136" s="9">
        <v>40642.0</v>
      </c>
      <c r="H1136" s="3">
        <f>IFERROR(__xludf.DUMMYFUNCTION("split(G1136,""/"")"),9.0)</f>
        <v>9</v>
      </c>
      <c r="I1136" s="3">
        <f>IFERROR(__xludf.DUMMYFUNCTION("""COMPUTED_VALUE"""),4.0)</f>
        <v>4</v>
      </c>
      <c r="J1136" s="3">
        <f>IFERROR(__xludf.DUMMYFUNCTION("""COMPUTED_VALUE"""),2011.0)</f>
        <v>2011</v>
      </c>
      <c r="K1136" s="12">
        <f t="shared" si="2"/>
        <v>40790</v>
      </c>
      <c r="L1136" s="3" t="s">
        <v>814</v>
      </c>
      <c r="M1136" s="3" t="s">
        <v>542</v>
      </c>
      <c r="N1136" s="3">
        <v>8969.0</v>
      </c>
      <c r="O1136" s="3" t="s">
        <v>818</v>
      </c>
      <c r="P1136" s="10">
        <v>8738.0</v>
      </c>
      <c r="Q1136" s="13">
        <v>152.58</v>
      </c>
      <c r="R1136" s="13">
        <v>97.44</v>
      </c>
      <c r="S1136" s="13">
        <f t="shared" si="3"/>
        <v>1333244.04</v>
      </c>
      <c r="T1136" s="13">
        <f t="shared" si="4"/>
        <v>851430.72</v>
      </c>
      <c r="U1136" s="13">
        <f t="shared" si="5"/>
        <v>481813.32</v>
      </c>
      <c r="V1136" s="3" t="str">
        <f>VLOOKUP(N1136,products!A:B,2,0)</f>
        <v>Snacks</v>
      </c>
      <c r="W1136" s="3" t="s">
        <v>28</v>
      </c>
      <c r="X1136" s="3" t="s">
        <v>29</v>
      </c>
      <c r="Y1136" s="14">
        <f t="shared" si="10"/>
        <v>0.3613841919</v>
      </c>
      <c r="Z1136" s="3">
        <f t="shared" si="7"/>
        <v>49</v>
      </c>
      <c r="AA1136" s="15">
        <f t="shared" si="8"/>
        <v>1</v>
      </c>
    </row>
    <row r="1137" ht="15.75" customHeight="1">
      <c r="A1137" s="3">
        <v>8.6232661E8</v>
      </c>
      <c r="B1137" s="9">
        <v>40944.0</v>
      </c>
      <c r="C1137" s="3">
        <f>IFERROR(__xludf.DUMMYFUNCTION("split(B1137,""/"")"),5.0)</f>
        <v>5</v>
      </c>
      <c r="D1137" s="10">
        <f>IFERROR(__xludf.DUMMYFUNCTION("""COMPUTED_VALUE"""),2.0)</f>
        <v>2</v>
      </c>
      <c r="E1137" s="11">
        <f>IFERROR(__xludf.DUMMYFUNCTION("""COMPUTED_VALUE"""),2012.0)</f>
        <v>2012</v>
      </c>
      <c r="F1137" s="12">
        <f t="shared" si="1"/>
        <v>41031</v>
      </c>
      <c r="G1137" s="3" t="s">
        <v>1116</v>
      </c>
      <c r="H1137" s="3">
        <f>IFERROR(__xludf.DUMMYFUNCTION("split(G1137,""/"")"),5.0)</f>
        <v>5</v>
      </c>
      <c r="I1137" s="3">
        <f>IFERROR(__xludf.DUMMYFUNCTION("""COMPUTED_VALUE"""),28.0)</f>
        <v>28</v>
      </c>
      <c r="J1137" s="3">
        <f>IFERROR(__xludf.DUMMYFUNCTION("""COMPUTED_VALUE"""),2012.0)</f>
        <v>2012</v>
      </c>
      <c r="K1137" s="12">
        <f t="shared" si="2"/>
        <v>41057</v>
      </c>
      <c r="L1137" s="3" t="s">
        <v>814</v>
      </c>
      <c r="M1137" s="3" t="s">
        <v>413</v>
      </c>
      <c r="N1137" s="3">
        <v>1270.0</v>
      </c>
      <c r="O1137" s="3" t="s">
        <v>815</v>
      </c>
      <c r="P1137" s="10">
        <v>461.0</v>
      </c>
      <c r="Q1137" s="13">
        <v>47.45</v>
      </c>
      <c r="R1137" s="13">
        <v>31.79</v>
      </c>
      <c r="S1137" s="13">
        <f t="shared" si="3"/>
        <v>21874.45</v>
      </c>
      <c r="T1137" s="13">
        <f t="shared" si="4"/>
        <v>14655.19</v>
      </c>
      <c r="U1137" s="13">
        <f t="shared" si="5"/>
        <v>7219.26</v>
      </c>
      <c r="V1137" s="3" t="str">
        <f>VLOOKUP(N1137,products!A:B,2,0)</f>
        <v>Beverages</v>
      </c>
      <c r="W1137" s="3" t="s">
        <v>28</v>
      </c>
      <c r="X1137" s="3" t="s">
        <v>29</v>
      </c>
      <c r="Y1137" s="14">
        <f t="shared" si="10"/>
        <v>0.3300316122</v>
      </c>
      <c r="Z1137" s="3">
        <f t="shared" si="7"/>
        <v>26</v>
      </c>
      <c r="AA1137" s="15">
        <f t="shared" si="8"/>
        <v>4</v>
      </c>
    </row>
    <row r="1138" ht="15.75" customHeight="1">
      <c r="A1138" s="3">
        <v>8.62485826E8</v>
      </c>
      <c r="B1138" s="3" t="s">
        <v>1209</v>
      </c>
      <c r="C1138" s="3">
        <f>IFERROR(__xludf.DUMMYFUNCTION("split(B1138,""/"")"),9.0)</f>
        <v>9</v>
      </c>
      <c r="D1138" s="10">
        <f>IFERROR(__xludf.DUMMYFUNCTION("""COMPUTED_VALUE"""),16.0)</f>
        <v>16</v>
      </c>
      <c r="E1138" s="11">
        <f>IFERROR(__xludf.DUMMYFUNCTION("""COMPUTED_VALUE"""),2016.0)</f>
        <v>2016</v>
      </c>
      <c r="F1138" s="12">
        <f t="shared" si="1"/>
        <v>42629</v>
      </c>
      <c r="G1138" s="3" t="s">
        <v>1132</v>
      </c>
      <c r="H1138" s="3">
        <f>IFERROR(__xludf.DUMMYFUNCTION("split(G1138,""/"")"),10.0)</f>
        <v>10</v>
      </c>
      <c r="I1138" s="3">
        <f>IFERROR(__xludf.DUMMYFUNCTION("""COMPUTED_VALUE"""),27.0)</f>
        <v>27</v>
      </c>
      <c r="J1138" s="3">
        <f>IFERROR(__xludf.DUMMYFUNCTION("""COMPUTED_VALUE"""),2016.0)</f>
        <v>2016</v>
      </c>
      <c r="K1138" s="12">
        <f t="shared" si="2"/>
        <v>42670</v>
      </c>
      <c r="L1138" s="3" t="s">
        <v>817</v>
      </c>
      <c r="M1138" s="3" t="s">
        <v>740</v>
      </c>
      <c r="N1138" s="3">
        <v>8681.0</v>
      </c>
      <c r="O1138" s="3" t="s">
        <v>818</v>
      </c>
      <c r="P1138" s="10">
        <v>7577.0</v>
      </c>
      <c r="Q1138" s="13">
        <v>651.21</v>
      </c>
      <c r="R1138" s="13">
        <v>524.96</v>
      </c>
      <c r="S1138" s="13">
        <f t="shared" si="3"/>
        <v>4934218.17</v>
      </c>
      <c r="T1138" s="13">
        <f t="shared" si="4"/>
        <v>3977621.92</v>
      </c>
      <c r="U1138" s="13">
        <f t="shared" si="5"/>
        <v>956596.25</v>
      </c>
      <c r="V1138" s="3" t="str">
        <f>VLOOKUP(N1138,products!A:B,2,0)</f>
        <v>Office Supplies</v>
      </c>
      <c r="W1138" s="3" t="s">
        <v>28</v>
      </c>
      <c r="X1138" s="3" t="s">
        <v>98</v>
      </c>
      <c r="Y1138" s="14">
        <f t="shared" si="10"/>
        <v>0.193869873</v>
      </c>
      <c r="Z1138" s="3">
        <f t="shared" si="7"/>
        <v>41</v>
      </c>
      <c r="AA1138" s="15">
        <f t="shared" si="8"/>
        <v>6</v>
      </c>
    </row>
    <row r="1139" ht="15.75" customHeight="1">
      <c r="A1139" s="3">
        <v>8.63138997E8</v>
      </c>
      <c r="B1139" s="9">
        <v>40523.0</v>
      </c>
      <c r="C1139" s="3">
        <f>IFERROR(__xludf.DUMMYFUNCTION("split(B1139,""/"")"),11.0)</f>
        <v>11</v>
      </c>
      <c r="D1139" s="10">
        <f>IFERROR(__xludf.DUMMYFUNCTION("""COMPUTED_VALUE"""),12.0)</f>
        <v>12</v>
      </c>
      <c r="E1139" s="11">
        <f>IFERROR(__xludf.DUMMYFUNCTION("""COMPUTED_VALUE"""),2010.0)</f>
        <v>2010</v>
      </c>
      <c r="F1139" s="12">
        <f t="shared" si="1"/>
        <v>40494</v>
      </c>
      <c r="G1139" s="3" t="s">
        <v>1445</v>
      </c>
      <c r="H1139" s="3">
        <f>IFERROR(__xludf.DUMMYFUNCTION("split(G1139,""/"")"),12.0)</f>
        <v>12</v>
      </c>
      <c r="I1139" s="3">
        <f>IFERROR(__xludf.DUMMYFUNCTION("""COMPUTED_VALUE"""),21.0)</f>
        <v>21</v>
      </c>
      <c r="J1139" s="3">
        <f>IFERROR(__xludf.DUMMYFUNCTION("""COMPUTED_VALUE"""),2010.0)</f>
        <v>2010</v>
      </c>
      <c r="K1139" s="12">
        <f t="shared" si="2"/>
        <v>40533</v>
      </c>
      <c r="L1139" s="3" t="s">
        <v>817</v>
      </c>
      <c r="M1139" s="3" t="s">
        <v>32</v>
      </c>
      <c r="N1139" s="3">
        <v>8875.0</v>
      </c>
      <c r="O1139" s="3" t="s">
        <v>815</v>
      </c>
      <c r="P1139" s="10">
        <v>865.0</v>
      </c>
      <c r="Q1139" s="13">
        <v>421.89</v>
      </c>
      <c r="R1139" s="13">
        <v>364.69</v>
      </c>
      <c r="S1139" s="13">
        <f t="shared" si="3"/>
        <v>364934.85</v>
      </c>
      <c r="T1139" s="13">
        <f t="shared" si="4"/>
        <v>315456.85</v>
      </c>
      <c r="U1139" s="13">
        <f t="shared" si="5"/>
        <v>49478</v>
      </c>
      <c r="V1139" s="3" t="str">
        <f>VLOOKUP(N1139,products!A:B,2,0)</f>
        <v>Meat</v>
      </c>
      <c r="W1139" s="3" t="s">
        <v>28</v>
      </c>
      <c r="X1139" s="3" t="s">
        <v>33</v>
      </c>
      <c r="Y1139" s="14">
        <f t="shared" si="10"/>
        <v>0.1355803646</v>
      </c>
      <c r="Z1139" s="3">
        <f t="shared" si="7"/>
        <v>39</v>
      </c>
      <c r="AA1139" s="15">
        <f t="shared" si="8"/>
        <v>6</v>
      </c>
    </row>
    <row r="1140" ht="15.75" customHeight="1">
      <c r="A1140" s="3">
        <v>8.63202941E8</v>
      </c>
      <c r="B1140" s="9">
        <v>42716.0</v>
      </c>
      <c r="C1140" s="3">
        <f>IFERROR(__xludf.DUMMYFUNCTION("split(B1140,""/"")"),12.0)</f>
        <v>12</v>
      </c>
      <c r="D1140" s="10">
        <f>IFERROR(__xludf.DUMMYFUNCTION("""COMPUTED_VALUE"""),12.0)</f>
        <v>12</v>
      </c>
      <c r="E1140" s="11">
        <f>IFERROR(__xludf.DUMMYFUNCTION("""COMPUTED_VALUE"""),2016.0)</f>
        <v>2016</v>
      </c>
      <c r="F1140" s="12">
        <f t="shared" si="1"/>
        <v>42716</v>
      </c>
      <c r="G1140" s="3" t="s">
        <v>1595</v>
      </c>
      <c r="H1140" s="3">
        <f>IFERROR(__xludf.DUMMYFUNCTION("split(G1140,""/"")"),12.0)</f>
        <v>12</v>
      </c>
      <c r="I1140" s="3">
        <f>IFERROR(__xludf.DUMMYFUNCTION("""COMPUTED_VALUE"""),13.0)</f>
        <v>13</v>
      </c>
      <c r="J1140" s="3">
        <f>IFERROR(__xludf.DUMMYFUNCTION("""COMPUTED_VALUE"""),2016.0)</f>
        <v>2016</v>
      </c>
      <c r="K1140" s="12">
        <f t="shared" si="2"/>
        <v>42717</v>
      </c>
      <c r="L1140" s="3" t="s">
        <v>825</v>
      </c>
      <c r="M1140" s="3" t="s">
        <v>686</v>
      </c>
      <c r="N1140" s="3">
        <v>8875.0</v>
      </c>
      <c r="O1140" s="3" t="s">
        <v>818</v>
      </c>
      <c r="P1140" s="10">
        <v>9787.0</v>
      </c>
      <c r="Q1140" s="13">
        <v>421.89</v>
      </c>
      <c r="R1140" s="13">
        <v>364.69</v>
      </c>
      <c r="S1140" s="13">
        <f t="shared" si="3"/>
        <v>4129037.43</v>
      </c>
      <c r="T1140" s="13">
        <f t="shared" si="4"/>
        <v>3569221.03</v>
      </c>
      <c r="U1140" s="13">
        <f t="shared" si="5"/>
        <v>559816.4</v>
      </c>
      <c r="V1140" s="3" t="str">
        <f>VLOOKUP(N1140,products!A:B,2,0)</f>
        <v>Meat</v>
      </c>
      <c r="W1140" s="3" t="s">
        <v>28</v>
      </c>
      <c r="X1140" s="3" t="s">
        <v>29</v>
      </c>
      <c r="Y1140" s="14">
        <f t="shared" si="10"/>
        <v>0.1355803646</v>
      </c>
      <c r="Z1140" s="3">
        <f t="shared" si="7"/>
        <v>1</v>
      </c>
      <c r="AA1140" s="15">
        <f t="shared" si="8"/>
        <v>2</v>
      </c>
    </row>
    <row r="1141" ht="15.75" customHeight="1">
      <c r="A1141" s="3">
        <v>8.63890445E8</v>
      </c>
      <c r="B1141" s="3" t="s">
        <v>1370</v>
      </c>
      <c r="C1141" s="3">
        <f>IFERROR(__xludf.DUMMYFUNCTION("split(B1141,""/"")"),12.0)</f>
        <v>12</v>
      </c>
      <c r="D1141" s="10">
        <f>IFERROR(__xludf.DUMMYFUNCTION("""COMPUTED_VALUE"""),18.0)</f>
        <v>18</v>
      </c>
      <c r="E1141" s="11">
        <f>IFERROR(__xludf.DUMMYFUNCTION("""COMPUTED_VALUE"""),2010.0)</f>
        <v>2010</v>
      </c>
      <c r="F1141" s="12">
        <f t="shared" si="1"/>
        <v>40530</v>
      </c>
      <c r="G1141" s="3" t="s">
        <v>1782</v>
      </c>
      <c r="H1141" s="3">
        <f>IFERROR(__xludf.DUMMYFUNCTION("split(G1141,""/"")"),12.0)</f>
        <v>12</v>
      </c>
      <c r="I1141" s="3">
        <f>IFERROR(__xludf.DUMMYFUNCTION("""COMPUTED_VALUE"""),25.0)</f>
        <v>25</v>
      </c>
      <c r="J1141" s="3">
        <f>IFERROR(__xludf.DUMMYFUNCTION("""COMPUTED_VALUE"""),2010.0)</f>
        <v>2010</v>
      </c>
      <c r="K1141" s="12">
        <f t="shared" si="2"/>
        <v>40537</v>
      </c>
      <c r="L1141" s="3" t="s">
        <v>817</v>
      </c>
      <c r="M1141" s="3" t="s">
        <v>413</v>
      </c>
      <c r="N1141" s="3">
        <v>7940.0</v>
      </c>
      <c r="O1141" s="3" t="s">
        <v>818</v>
      </c>
      <c r="P1141" s="10">
        <v>3235.0</v>
      </c>
      <c r="Q1141" s="13">
        <v>668.27</v>
      </c>
      <c r="R1141" s="13">
        <v>502.54</v>
      </c>
      <c r="S1141" s="13">
        <f t="shared" si="3"/>
        <v>2161853.45</v>
      </c>
      <c r="T1141" s="13">
        <f t="shared" si="4"/>
        <v>1625716.9</v>
      </c>
      <c r="U1141" s="13">
        <f t="shared" si="5"/>
        <v>536136.55</v>
      </c>
      <c r="V1141" s="3" t="str">
        <f>VLOOKUP(N1141,products!A:B,2,0)</f>
        <v>Household</v>
      </c>
      <c r="W1141" s="3" t="s">
        <v>28</v>
      </c>
      <c r="X1141" s="3" t="s">
        <v>29</v>
      </c>
      <c r="Y1141" s="14">
        <f t="shared" si="10"/>
        <v>0.2479985635</v>
      </c>
      <c r="Z1141" s="3">
        <f t="shared" si="7"/>
        <v>7</v>
      </c>
      <c r="AA1141" s="15">
        <f t="shared" si="8"/>
        <v>7</v>
      </c>
    </row>
    <row r="1142" ht="15.75" customHeight="1">
      <c r="A1142" s="3">
        <v>8.64071118E8</v>
      </c>
      <c r="B1142" s="9">
        <v>40458.0</v>
      </c>
      <c r="C1142" s="3">
        <f>IFERROR(__xludf.DUMMYFUNCTION("split(B1142,""/"")"),7.0)</f>
        <v>7</v>
      </c>
      <c r="D1142" s="10">
        <f>IFERROR(__xludf.DUMMYFUNCTION("""COMPUTED_VALUE"""),10.0)</f>
        <v>10</v>
      </c>
      <c r="E1142" s="11">
        <f>IFERROR(__xludf.DUMMYFUNCTION("""COMPUTED_VALUE"""),2010.0)</f>
        <v>2010</v>
      </c>
      <c r="F1142" s="12">
        <f t="shared" si="1"/>
        <v>40369</v>
      </c>
      <c r="G1142" s="3" t="s">
        <v>1015</v>
      </c>
      <c r="H1142" s="3">
        <f>IFERROR(__xludf.DUMMYFUNCTION("split(G1142,""/"")"),7.0)</f>
        <v>7</v>
      </c>
      <c r="I1142" s="3">
        <f>IFERROR(__xludf.DUMMYFUNCTION("""COMPUTED_VALUE"""),18.0)</f>
        <v>18</v>
      </c>
      <c r="J1142" s="3">
        <f>IFERROR(__xludf.DUMMYFUNCTION("""COMPUTED_VALUE"""),2010.0)</f>
        <v>2010</v>
      </c>
      <c r="K1142" s="12">
        <f t="shared" si="2"/>
        <v>40377</v>
      </c>
      <c r="L1142" s="3" t="s">
        <v>825</v>
      </c>
      <c r="M1142" s="3" t="s">
        <v>590</v>
      </c>
      <c r="N1142" s="3">
        <v>1270.0</v>
      </c>
      <c r="O1142" s="3" t="s">
        <v>815</v>
      </c>
      <c r="P1142" s="10">
        <v>6700.0</v>
      </c>
      <c r="Q1142" s="13">
        <v>47.45</v>
      </c>
      <c r="R1142" s="13">
        <v>31.79</v>
      </c>
      <c r="S1142" s="13">
        <f t="shared" si="3"/>
        <v>317915</v>
      </c>
      <c r="T1142" s="13">
        <f t="shared" si="4"/>
        <v>212993</v>
      </c>
      <c r="U1142" s="13">
        <f t="shared" si="5"/>
        <v>104922</v>
      </c>
      <c r="V1142" s="3" t="str">
        <f>VLOOKUP(N1142,products!A:B,2,0)</f>
        <v>Beverages</v>
      </c>
      <c r="W1142" s="3" t="s">
        <v>28</v>
      </c>
      <c r="X1142" s="3" t="s">
        <v>98</v>
      </c>
      <c r="Y1142" s="14">
        <f t="shared" si="10"/>
        <v>0.3300316122</v>
      </c>
      <c r="Z1142" s="3">
        <f t="shared" si="7"/>
        <v>8</v>
      </c>
      <c r="AA1142" s="15">
        <f t="shared" si="8"/>
        <v>7</v>
      </c>
    </row>
    <row r="1143" ht="15.75" customHeight="1">
      <c r="A1143" s="3">
        <v>8.6582421E8</v>
      </c>
      <c r="B1143" s="9">
        <v>41887.0</v>
      </c>
      <c r="C1143" s="3">
        <f>IFERROR(__xludf.DUMMYFUNCTION("split(B1143,""/"")"),5.0)</f>
        <v>5</v>
      </c>
      <c r="D1143" s="10">
        <f>IFERROR(__xludf.DUMMYFUNCTION("""COMPUTED_VALUE"""),9.0)</f>
        <v>9</v>
      </c>
      <c r="E1143" s="11">
        <f>IFERROR(__xludf.DUMMYFUNCTION("""COMPUTED_VALUE"""),2014.0)</f>
        <v>2014</v>
      </c>
      <c r="F1143" s="12">
        <f t="shared" si="1"/>
        <v>41768</v>
      </c>
      <c r="G1143" s="3" t="s">
        <v>1546</v>
      </c>
      <c r="H1143" s="3">
        <f>IFERROR(__xludf.DUMMYFUNCTION("split(G1143,""/"")"),5.0)</f>
        <v>5</v>
      </c>
      <c r="I1143" s="3">
        <f>IFERROR(__xludf.DUMMYFUNCTION("""COMPUTED_VALUE"""),14.0)</f>
        <v>14</v>
      </c>
      <c r="J1143" s="3">
        <f>IFERROR(__xludf.DUMMYFUNCTION("""COMPUTED_VALUE"""),2014.0)</f>
        <v>2014</v>
      </c>
      <c r="K1143" s="12">
        <f t="shared" si="2"/>
        <v>41773</v>
      </c>
      <c r="L1143" s="3" t="s">
        <v>814</v>
      </c>
      <c r="M1143" s="3" t="s">
        <v>218</v>
      </c>
      <c r="N1143" s="3">
        <v>8681.0</v>
      </c>
      <c r="O1143" s="3" t="s">
        <v>815</v>
      </c>
      <c r="P1143" s="10">
        <v>5479.0</v>
      </c>
      <c r="Q1143" s="13">
        <v>651.21</v>
      </c>
      <c r="R1143" s="13">
        <v>524.96</v>
      </c>
      <c r="S1143" s="13">
        <f t="shared" si="3"/>
        <v>3567979.59</v>
      </c>
      <c r="T1143" s="13">
        <f t="shared" si="4"/>
        <v>2876255.84</v>
      </c>
      <c r="U1143" s="13">
        <f t="shared" si="5"/>
        <v>691723.75</v>
      </c>
      <c r="V1143" s="3" t="str">
        <f>VLOOKUP(N1143,products!A:B,2,0)</f>
        <v>Office Supplies</v>
      </c>
      <c r="W1143" s="3" t="s">
        <v>28</v>
      </c>
      <c r="X1143" s="3" t="s">
        <v>98</v>
      </c>
      <c r="Y1143" s="14">
        <f t="shared" si="10"/>
        <v>0.193869873</v>
      </c>
      <c r="Z1143" s="3">
        <f t="shared" si="7"/>
        <v>5</v>
      </c>
      <c r="AA1143" s="15">
        <f t="shared" si="8"/>
        <v>6</v>
      </c>
    </row>
    <row r="1144" ht="15.75" customHeight="1">
      <c r="A1144" s="3">
        <v>8.66396272E8</v>
      </c>
      <c r="B1144" s="9">
        <v>41436.0</v>
      </c>
      <c r="C1144" s="3">
        <f>IFERROR(__xludf.DUMMYFUNCTION("split(B1144,""/"")"),11.0)</f>
        <v>11</v>
      </c>
      <c r="D1144" s="10">
        <f>IFERROR(__xludf.DUMMYFUNCTION("""COMPUTED_VALUE"""),6.0)</f>
        <v>6</v>
      </c>
      <c r="E1144" s="11">
        <f>IFERROR(__xludf.DUMMYFUNCTION("""COMPUTED_VALUE"""),2013.0)</f>
        <v>2013</v>
      </c>
      <c r="F1144" s="12">
        <f t="shared" si="1"/>
        <v>41584</v>
      </c>
      <c r="G1144" s="3" t="s">
        <v>1184</v>
      </c>
      <c r="H1144" s="3">
        <f>IFERROR(__xludf.DUMMYFUNCTION("split(G1144,""/"")"),11.0)</f>
        <v>11</v>
      </c>
      <c r="I1144" s="3">
        <f>IFERROR(__xludf.DUMMYFUNCTION("""COMPUTED_VALUE"""),16.0)</f>
        <v>16</v>
      </c>
      <c r="J1144" s="3">
        <f>IFERROR(__xludf.DUMMYFUNCTION("""COMPUTED_VALUE"""),2013.0)</f>
        <v>2013</v>
      </c>
      <c r="K1144" s="12">
        <f t="shared" si="2"/>
        <v>41594</v>
      </c>
      <c r="L1144" s="3" t="s">
        <v>827</v>
      </c>
      <c r="M1144" s="3" t="s">
        <v>78</v>
      </c>
      <c r="N1144" s="3">
        <v>8875.0</v>
      </c>
      <c r="O1144" s="3" t="s">
        <v>815</v>
      </c>
      <c r="P1144" s="10">
        <v>4765.0</v>
      </c>
      <c r="Q1144" s="13">
        <v>421.89</v>
      </c>
      <c r="R1144" s="13">
        <v>364.69</v>
      </c>
      <c r="S1144" s="13">
        <f t="shared" si="3"/>
        <v>2010305.85</v>
      </c>
      <c r="T1144" s="13">
        <f t="shared" si="4"/>
        <v>1737747.85</v>
      </c>
      <c r="U1144" s="13">
        <f t="shared" si="5"/>
        <v>272558</v>
      </c>
      <c r="V1144" s="3" t="str">
        <f>VLOOKUP(N1144,products!A:B,2,0)</f>
        <v>Meat</v>
      </c>
      <c r="W1144" s="3" t="s">
        <v>28</v>
      </c>
      <c r="X1144" s="3" t="s">
        <v>79</v>
      </c>
      <c r="Y1144" s="14">
        <f t="shared" si="10"/>
        <v>0.1355803646</v>
      </c>
      <c r="Z1144" s="3">
        <f t="shared" si="7"/>
        <v>10</v>
      </c>
      <c r="AA1144" s="15">
        <f t="shared" si="8"/>
        <v>4</v>
      </c>
    </row>
    <row r="1145" ht="15.75" customHeight="1">
      <c r="A1145" s="3">
        <v>8.67138278E8</v>
      </c>
      <c r="B1145" s="9">
        <v>40884.0</v>
      </c>
      <c r="C1145" s="3">
        <f>IFERROR(__xludf.DUMMYFUNCTION("split(B1145,""/"")"),7.0)</f>
        <v>7</v>
      </c>
      <c r="D1145" s="10">
        <f>IFERROR(__xludf.DUMMYFUNCTION("""COMPUTED_VALUE"""),12.0)</f>
        <v>12</v>
      </c>
      <c r="E1145" s="11">
        <f>IFERROR(__xludf.DUMMYFUNCTION("""COMPUTED_VALUE"""),2011.0)</f>
        <v>2011</v>
      </c>
      <c r="F1145" s="12">
        <f t="shared" si="1"/>
        <v>40736</v>
      </c>
      <c r="G1145" s="9">
        <v>40641.0</v>
      </c>
      <c r="H1145" s="3">
        <f>IFERROR(__xludf.DUMMYFUNCTION("split(G1145,""/"")"),8.0)</f>
        <v>8</v>
      </c>
      <c r="I1145" s="3">
        <f>IFERROR(__xludf.DUMMYFUNCTION("""COMPUTED_VALUE"""),4.0)</f>
        <v>4</v>
      </c>
      <c r="J1145" s="3">
        <f>IFERROR(__xludf.DUMMYFUNCTION("""COMPUTED_VALUE"""),2011.0)</f>
        <v>2011</v>
      </c>
      <c r="K1145" s="12">
        <f t="shared" si="2"/>
        <v>40759</v>
      </c>
      <c r="L1145" s="3" t="s">
        <v>817</v>
      </c>
      <c r="M1145" s="3" t="s">
        <v>270</v>
      </c>
      <c r="N1145" s="3">
        <v>8681.0</v>
      </c>
      <c r="O1145" s="3" t="s">
        <v>818</v>
      </c>
      <c r="P1145" s="10">
        <v>4341.0</v>
      </c>
      <c r="Q1145" s="13">
        <v>651.21</v>
      </c>
      <c r="R1145" s="13">
        <v>524.96</v>
      </c>
      <c r="S1145" s="13">
        <f t="shared" si="3"/>
        <v>2826902.61</v>
      </c>
      <c r="T1145" s="13">
        <f t="shared" si="4"/>
        <v>2278851.36</v>
      </c>
      <c r="U1145" s="13">
        <f t="shared" si="5"/>
        <v>548051.25</v>
      </c>
      <c r="V1145" s="3" t="str">
        <f>VLOOKUP(N1145,products!A:B,2,0)</f>
        <v>Office Supplies</v>
      </c>
      <c r="W1145" s="3" t="s">
        <v>28</v>
      </c>
      <c r="X1145" s="3" t="s">
        <v>79</v>
      </c>
      <c r="Y1145" s="14">
        <f t="shared" si="10"/>
        <v>0.193869873</v>
      </c>
      <c r="Z1145" s="3">
        <f t="shared" si="7"/>
        <v>23</v>
      </c>
      <c r="AA1145" s="15">
        <f t="shared" si="8"/>
        <v>3</v>
      </c>
    </row>
    <row r="1146" ht="15.75" customHeight="1">
      <c r="A1146" s="3">
        <v>8.6929177E8</v>
      </c>
      <c r="B1146" s="3" t="s">
        <v>1086</v>
      </c>
      <c r="C1146" s="3">
        <f>IFERROR(__xludf.DUMMYFUNCTION("split(B1146,""/"")"),7.0)</f>
        <v>7</v>
      </c>
      <c r="D1146" s="10">
        <f>IFERROR(__xludf.DUMMYFUNCTION("""COMPUTED_VALUE"""),19.0)</f>
        <v>19</v>
      </c>
      <c r="E1146" s="11">
        <f>IFERROR(__xludf.DUMMYFUNCTION("""COMPUTED_VALUE"""),2015.0)</f>
        <v>2015</v>
      </c>
      <c r="F1146" s="12">
        <f t="shared" si="1"/>
        <v>42204</v>
      </c>
      <c r="G1146" s="3" t="s">
        <v>974</v>
      </c>
      <c r="H1146" s="3">
        <f>IFERROR(__xludf.DUMMYFUNCTION("split(G1146,""/"")"),8.0)</f>
        <v>8</v>
      </c>
      <c r="I1146" s="3">
        <f>IFERROR(__xludf.DUMMYFUNCTION("""COMPUTED_VALUE"""),21.0)</f>
        <v>21</v>
      </c>
      <c r="J1146" s="3">
        <f>IFERROR(__xludf.DUMMYFUNCTION("""COMPUTED_VALUE"""),2015.0)</f>
        <v>2015</v>
      </c>
      <c r="K1146" s="12">
        <f t="shared" si="2"/>
        <v>42237</v>
      </c>
      <c r="L1146" s="3" t="s">
        <v>825</v>
      </c>
      <c r="M1146" s="3" t="s">
        <v>689</v>
      </c>
      <c r="N1146" s="3">
        <v>7940.0</v>
      </c>
      <c r="O1146" s="3" t="s">
        <v>818</v>
      </c>
      <c r="P1146" s="10">
        <v>1607.0</v>
      </c>
      <c r="Q1146" s="13">
        <v>668.27</v>
      </c>
      <c r="R1146" s="13">
        <v>502.54</v>
      </c>
      <c r="S1146" s="13">
        <f t="shared" si="3"/>
        <v>1073909.89</v>
      </c>
      <c r="T1146" s="13">
        <f t="shared" si="4"/>
        <v>807581.78</v>
      </c>
      <c r="U1146" s="13">
        <f t="shared" si="5"/>
        <v>266328.11</v>
      </c>
      <c r="V1146" s="3" t="str">
        <f>VLOOKUP(N1146,products!A:B,2,0)</f>
        <v>Household</v>
      </c>
      <c r="W1146" s="3" t="s">
        <v>28</v>
      </c>
      <c r="X1146" s="3" t="s">
        <v>79</v>
      </c>
      <c r="Y1146" s="14">
        <f t="shared" si="10"/>
        <v>0.2479985635</v>
      </c>
      <c r="Z1146" s="3">
        <f t="shared" si="7"/>
        <v>33</v>
      </c>
      <c r="AA1146" s="15">
        <f t="shared" si="8"/>
        <v>1</v>
      </c>
    </row>
    <row r="1147" ht="15.75" customHeight="1">
      <c r="A1147" s="3">
        <v>8.70173251E8</v>
      </c>
      <c r="B1147" s="3" t="s">
        <v>1714</v>
      </c>
      <c r="C1147" s="3">
        <f>IFERROR(__xludf.DUMMYFUNCTION("split(B1147,""/"")"),12.0)</f>
        <v>12</v>
      </c>
      <c r="D1147" s="10">
        <f>IFERROR(__xludf.DUMMYFUNCTION("""COMPUTED_VALUE"""),23.0)</f>
        <v>23</v>
      </c>
      <c r="E1147" s="11">
        <f>IFERROR(__xludf.DUMMYFUNCTION("""COMPUTED_VALUE"""),2015.0)</f>
        <v>2015</v>
      </c>
      <c r="F1147" s="12">
        <f t="shared" si="1"/>
        <v>42361</v>
      </c>
      <c r="G1147" s="3" t="s">
        <v>1138</v>
      </c>
      <c r="H1147" s="3">
        <f>IFERROR(__xludf.DUMMYFUNCTION("split(G1147,""/"")"),12.0)</f>
        <v>12</v>
      </c>
      <c r="I1147" s="3">
        <f>IFERROR(__xludf.DUMMYFUNCTION("""COMPUTED_VALUE"""),30.0)</f>
        <v>30</v>
      </c>
      <c r="J1147" s="3">
        <f>IFERROR(__xludf.DUMMYFUNCTION("""COMPUTED_VALUE"""),2015.0)</f>
        <v>2015</v>
      </c>
      <c r="K1147" s="12">
        <f t="shared" si="2"/>
        <v>42368</v>
      </c>
      <c r="L1147" s="3" t="s">
        <v>814</v>
      </c>
      <c r="M1147" s="3" t="s">
        <v>78</v>
      </c>
      <c r="N1147" s="3">
        <v>2455.0</v>
      </c>
      <c r="O1147" s="3" t="s">
        <v>815</v>
      </c>
      <c r="P1147" s="10">
        <v>2457.0</v>
      </c>
      <c r="Q1147" s="13">
        <v>109.28</v>
      </c>
      <c r="R1147" s="13">
        <v>35.84</v>
      </c>
      <c r="S1147" s="13">
        <f t="shared" si="3"/>
        <v>268500.96</v>
      </c>
      <c r="T1147" s="13">
        <f t="shared" si="4"/>
        <v>88058.88</v>
      </c>
      <c r="U1147" s="13">
        <f t="shared" si="5"/>
        <v>180442.08</v>
      </c>
      <c r="V1147" s="3" t="str">
        <f>VLOOKUP(N1147,products!A:B,2,0)</f>
        <v>Clothes</v>
      </c>
      <c r="W1147" s="3" t="s">
        <v>28</v>
      </c>
      <c r="X1147" s="3" t="s">
        <v>79</v>
      </c>
      <c r="Y1147" s="14">
        <f t="shared" si="10"/>
        <v>0.6720351391</v>
      </c>
      <c r="Z1147" s="3">
        <f t="shared" si="7"/>
        <v>7</v>
      </c>
      <c r="AA1147" s="15">
        <f t="shared" si="8"/>
        <v>4</v>
      </c>
    </row>
    <row r="1148" ht="15.75" customHeight="1">
      <c r="A1148" s="3">
        <v>8.70218312E8</v>
      </c>
      <c r="B1148" s="3" t="s">
        <v>1783</v>
      </c>
      <c r="C1148" s="3">
        <f>IFERROR(__xludf.DUMMYFUNCTION("split(B1148,""/"")"),3.0)</f>
        <v>3</v>
      </c>
      <c r="D1148" s="10">
        <f>IFERROR(__xludf.DUMMYFUNCTION("""COMPUTED_VALUE"""),19.0)</f>
        <v>19</v>
      </c>
      <c r="E1148" s="11">
        <f>IFERROR(__xludf.DUMMYFUNCTION("""COMPUTED_VALUE"""),2017.0)</f>
        <v>2017</v>
      </c>
      <c r="F1148" s="12">
        <f t="shared" si="1"/>
        <v>42813</v>
      </c>
      <c r="G1148" s="3" t="s">
        <v>1217</v>
      </c>
      <c r="H1148" s="3">
        <f>IFERROR(__xludf.DUMMYFUNCTION("split(G1148,""/"")"),3.0)</f>
        <v>3</v>
      </c>
      <c r="I1148" s="3">
        <f>IFERROR(__xludf.DUMMYFUNCTION("""COMPUTED_VALUE"""),27.0)</f>
        <v>27</v>
      </c>
      <c r="J1148" s="3">
        <f>IFERROR(__xludf.DUMMYFUNCTION("""COMPUTED_VALUE"""),2017.0)</f>
        <v>2017</v>
      </c>
      <c r="K1148" s="12">
        <f t="shared" si="2"/>
        <v>42821</v>
      </c>
      <c r="L1148" s="3" t="s">
        <v>827</v>
      </c>
      <c r="M1148" s="3" t="s">
        <v>413</v>
      </c>
      <c r="N1148" s="3">
        <v>4594.0</v>
      </c>
      <c r="O1148" s="3" t="s">
        <v>818</v>
      </c>
      <c r="P1148" s="10">
        <v>5792.0</v>
      </c>
      <c r="Q1148" s="13">
        <v>9.33</v>
      </c>
      <c r="R1148" s="13">
        <v>6.92</v>
      </c>
      <c r="S1148" s="13">
        <f t="shared" si="3"/>
        <v>54039.36</v>
      </c>
      <c r="T1148" s="13">
        <f t="shared" si="4"/>
        <v>40080.64</v>
      </c>
      <c r="U1148" s="13">
        <f t="shared" si="5"/>
        <v>13958.72</v>
      </c>
      <c r="V1148" s="3" t="str">
        <f>VLOOKUP(N1148,products!A:B,2,0)</f>
        <v>Fruits</v>
      </c>
      <c r="W1148" s="3" t="s">
        <v>28</v>
      </c>
      <c r="X1148" s="3" t="s">
        <v>29</v>
      </c>
      <c r="Y1148" s="14">
        <f t="shared" si="10"/>
        <v>0.258306538</v>
      </c>
      <c r="Z1148" s="3">
        <f t="shared" si="7"/>
        <v>8</v>
      </c>
      <c r="AA1148" s="15">
        <f t="shared" si="8"/>
        <v>1</v>
      </c>
    </row>
    <row r="1149" ht="15.75" customHeight="1">
      <c r="A1149" s="3">
        <v>8.71147E8</v>
      </c>
      <c r="B1149" s="9">
        <v>41981.0</v>
      </c>
      <c r="C1149" s="3">
        <f>IFERROR(__xludf.DUMMYFUNCTION("split(B1149,""/"")"),8.0)</f>
        <v>8</v>
      </c>
      <c r="D1149" s="10">
        <f>IFERROR(__xludf.DUMMYFUNCTION("""COMPUTED_VALUE"""),12.0)</f>
        <v>12</v>
      </c>
      <c r="E1149" s="11">
        <f>IFERROR(__xludf.DUMMYFUNCTION("""COMPUTED_VALUE"""),2014.0)</f>
        <v>2014</v>
      </c>
      <c r="F1149" s="12">
        <f t="shared" si="1"/>
        <v>41863</v>
      </c>
      <c r="G1149" s="3" t="s">
        <v>1299</v>
      </c>
      <c r="H1149" s="3">
        <f>IFERROR(__xludf.DUMMYFUNCTION("split(G1149,""/"")"),8.0)</f>
        <v>8</v>
      </c>
      <c r="I1149" s="3">
        <f>IFERROR(__xludf.DUMMYFUNCTION("""COMPUTED_VALUE"""),25.0)</f>
        <v>25</v>
      </c>
      <c r="J1149" s="3">
        <f>IFERROR(__xludf.DUMMYFUNCTION("""COMPUTED_VALUE"""),2014.0)</f>
        <v>2014</v>
      </c>
      <c r="K1149" s="12">
        <f t="shared" si="2"/>
        <v>41876</v>
      </c>
      <c r="L1149" s="3" t="s">
        <v>817</v>
      </c>
      <c r="M1149" s="3" t="s">
        <v>623</v>
      </c>
      <c r="N1149" s="3">
        <v>7940.0</v>
      </c>
      <c r="O1149" s="3" t="s">
        <v>815</v>
      </c>
      <c r="P1149" s="10">
        <v>611.0</v>
      </c>
      <c r="Q1149" s="13">
        <v>668.27</v>
      </c>
      <c r="R1149" s="13">
        <v>502.54</v>
      </c>
      <c r="S1149" s="13">
        <f t="shared" si="3"/>
        <v>408312.97</v>
      </c>
      <c r="T1149" s="13">
        <f t="shared" si="4"/>
        <v>307051.94</v>
      </c>
      <c r="U1149" s="13">
        <f t="shared" si="5"/>
        <v>101261.03</v>
      </c>
      <c r="V1149" s="3" t="str">
        <f>VLOOKUP(N1149,products!A:B,2,0)</f>
        <v>Household</v>
      </c>
      <c r="W1149" s="3" t="s">
        <v>28</v>
      </c>
      <c r="X1149" s="3" t="s">
        <v>33</v>
      </c>
      <c r="Y1149" s="14">
        <f t="shared" si="10"/>
        <v>0.2479985635</v>
      </c>
      <c r="Z1149" s="3">
        <f t="shared" si="7"/>
        <v>13</v>
      </c>
      <c r="AA1149" s="15">
        <f t="shared" si="8"/>
        <v>3</v>
      </c>
    </row>
    <row r="1150" ht="15.75" customHeight="1">
      <c r="A1150" s="3">
        <v>8.71923768E8</v>
      </c>
      <c r="B1150" s="3" t="s">
        <v>1784</v>
      </c>
      <c r="C1150" s="3">
        <f>IFERROR(__xludf.DUMMYFUNCTION("split(B1150,""/"")"),4.0)</f>
        <v>4</v>
      </c>
      <c r="D1150" s="10">
        <f>IFERROR(__xludf.DUMMYFUNCTION("""COMPUTED_VALUE"""),30.0)</f>
        <v>30</v>
      </c>
      <c r="E1150" s="11">
        <f>IFERROR(__xludf.DUMMYFUNCTION("""COMPUTED_VALUE"""),2014.0)</f>
        <v>2014</v>
      </c>
      <c r="F1150" s="12">
        <f t="shared" si="1"/>
        <v>41759</v>
      </c>
      <c r="G1150" s="3" t="s">
        <v>1522</v>
      </c>
      <c r="H1150" s="3">
        <f>IFERROR(__xludf.DUMMYFUNCTION("split(G1150,""/"")"),5.0)</f>
        <v>5</v>
      </c>
      <c r="I1150" s="3">
        <f>IFERROR(__xludf.DUMMYFUNCTION("""COMPUTED_VALUE"""),30.0)</f>
        <v>30</v>
      </c>
      <c r="J1150" s="3">
        <f>IFERROR(__xludf.DUMMYFUNCTION("""COMPUTED_VALUE"""),2014.0)</f>
        <v>2014</v>
      </c>
      <c r="K1150" s="12">
        <f t="shared" si="2"/>
        <v>41789</v>
      </c>
      <c r="L1150" s="3" t="s">
        <v>817</v>
      </c>
      <c r="M1150" s="3" t="s">
        <v>123</v>
      </c>
      <c r="N1150" s="3">
        <v>7331.0</v>
      </c>
      <c r="O1150" s="3" t="s">
        <v>815</v>
      </c>
      <c r="P1150" s="10">
        <v>474.0</v>
      </c>
      <c r="Q1150" s="13">
        <v>255.28</v>
      </c>
      <c r="R1150" s="13">
        <v>159.42</v>
      </c>
      <c r="S1150" s="13">
        <f t="shared" si="3"/>
        <v>121002.72</v>
      </c>
      <c r="T1150" s="13">
        <f t="shared" si="4"/>
        <v>75565.08</v>
      </c>
      <c r="U1150" s="13">
        <f t="shared" si="5"/>
        <v>45437.64</v>
      </c>
      <c r="V1150" s="3" t="str">
        <f>VLOOKUP(N1150,products!A:B,2,0)</f>
        <v>Baby Food</v>
      </c>
      <c r="W1150" s="3" t="s">
        <v>28</v>
      </c>
      <c r="X1150" s="3" t="s">
        <v>33</v>
      </c>
      <c r="Y1150" s="14">
        <f t="shared" si="10"/>
        <v>0.3755092448</v>
      </c>
      <c r="Z1150" s="3">
        <f t="shared" si="7"/>
        <v>30</v>
      </c>
      <c r="AA1150" s="15">
        <f t="shared" si="8"/>
        <v>4</v>
      </c>
    </row>
    <row r="1151" ht="15.75" customHeight="1">
      <c r="A1151" s="3">
        <v>8.73432672E8</v>
      </c>
      <c r="B1151" s="9">
        <v>41921.0</v>
      </c>
      <c r="C1151" s="3">
        <f>IFERROR(__xludf.DUMMYFUNCTION("split(B1151,""/"")"),9.0)</f>
        <v>9</v>
      </c>
      <c r="D1151" s="10">
        <f>IFERROR(__xludf.DUMMYFUNCTION("""COMPUTED_VALUE"""),10.0)</f>
        <v>10</v>
      </c>
      <c r="E1151" s="11">
        <f>IFERROR(__xludf.DUMMYFUNCTION("""COMPUTED_VALUE"""),2014.0)</f>
        <v>2014</v>
      </c>
      <c r="F1151" s="12">
        <f t="shared" si="1"/>
        <v>41892</v>
      </c>
      <c r="G1151" s="3" t="s">
        <v>1207</v>
      </c>
      <c r="H1151" s="3">
        <f>IFERROR(__xludf.DUMMYFUNCTION("split(G1151,""/"")"),9.0)</f>
        <v>9</v>
      </c>
      <c r="I1151" s="3">
        <f>IFERROR(__xludf.DUMMYFUNCTION("""COMPUTED_VALUE"""),17.0)</f>
        <v>17</v>
      </c>
      <c r="J1151" s="3">
        <f>IFERROR(__xludf.DUMMYFUNCTION("""COMPUTED_VALUE"""),2014.0)</f>
        <v>2014</v>
      </c>
      <c r="K1151" s="12">
        <f t="shared" si="2"/>
        <v>41899</v>
      </c>
      <c r="L1151" s="3" t="s">
        <v>817</v>
      </c>
      <c r="M1151" s="3" t="s">
        <v>653</v>
      </c>
      <c r="N1151" s="3">
        <v>7940.0</v>
      </c>
      <c r="O1151" s="3" t="s">
        <v>815</v>
      </c>
      <c r="P1151" s="10">
        <v>6992.0</v>
      </c>
      <c r="Q1151" s="13">
        <v>668.27</v>
      </c>
      <c r="R1151" s="13">
        <v>502.54</v>
      </c>
      <c r="S1151" s="13">
        <f t="shared" si="3"/>
        <v>4672543.84</v>
      </c>
      <c r="T1151" s="13">
        <f t="shared" si="4"/>
        <v>3513759.68</v>
      </c>
      <c r="U1151" s="13">
        <f t="shared" si="5"/>
        <v>1158784.16</v>
      </c>
      <c r="V1151" s="3" t="str">
        <f>VLOOKUP(N1151,products!A:B,2,0)</f>
        <v>Household</v>
      </c>
      <c r="W1151" s="3" t="s">
        <v>28</v>
      </c>
      <c r="X1151" s="3" t="s">
        <v>33</v>
      </c>
      <c r="Y1151" s="14">
        <f t="shared" si="10"/>
        <v>0.2479985635</v>
      </c>
      <c r="Z1151" s="3">
        <f t="shared" si="7"/>
        <v>7</v>
      </c>
      <c r="AA1151" s="15">
        <f t="shared" si="8"/>
        <v>4</v>
      </c>
    </row>
    <row r="1152" ht="15.75" customHeight="1">
      <c r="A1152" s="3">
        <v>8.74172532E8</v>
      </c>
      <c r="B1152" s="3" t="s">
        <v>1785</v>
      </c>
      <c r="C1152" s="3">
        <f>IFERROR(__xludf.DUMMYFUNCTION("split(B1152,""/"")"),8.0)</f>
        <v>8</v>
      </c>
      <c r="D1152" s="10">
        <f>IFERROR(__xludf.DUMMYFUNCTION("""COMPUTED_VALUE"""),21.0)</f>
        <v>21</v>
      </c>
      <c r="E1152" s="11">
        <f>IFERROR(__xludf.DUMMYFUNCTION("""COMPUTED_VALUE"""),2016.0)</f>
        <v>2016</v>
      </c>
      <c r="F1152" s="12">
        <f t="shared" si="1"/>
        <v>42603</v>
      </c>
      <c r="G1152" s="9">
        <v>42410.0</v>
      </c>
      <c r="H1152" s="3">
        <f>IFERROR(__xludf.DUMMYFUNCTION("split(G1152,""/"")"),10.0)</f>
        <v>10</v>
      </c>
      <c r="I1152" s="3">
        <f>IFERROR(__xludf.DUMMYFUNCTION("""COMPUTED_VALUE"""),2.0)</f>
        <v>2</v>
      </c>
      <c r="J1152" s="3">
        <f>IFERROR(__xludf.DUMMYFUNCTION("""COMPUTED_VALUE"""),2016.0)</f>
        <v>2016</v>
      </c>
      <c r="K1152" s="12">
        <f t="shared" si="2"/>
        <v>42645</v>
      </c>
      <c r="L1152" s="3" t="s">
        <v>814</v>
      </c>
      <c r="M1152" s="3" t="s">
        <v>291</v>
      </c>
      <c r="N1152" s="3">
        <v>7940.0</v>
      </c>
      <c r="O1152" s="3" t="s">
        <v>818</v>
      </c>
      <c r="P1152" s="10">
        <v>5933.0</v>
      </c>
      <c r="Q1152" s="13">
        <v>668.27</v>
      </c>
      <c r="R1152" s="13">
        <v>502.54</v>
      </c>
      <c r="S1152" s="13">
        <f t="shared" si="3"/>
        <v>3964845.91</v>
      </c>
      <c r="T1152" s="13">
        <f t="shared" si="4"/>
        <v>2981569.82</v>
      </c>
      <c r="U1152" s="13">
        <f t="shared" si="5"/>
        <v>983276.09</v>
      </c>
      <c r="V1152" s="3" t="str">
        <f>VLOOKUP(N1152,products!A:B,2,0)</f>
        <v>Household</v>
      </c>
      <c r="W1152" s="3" t="s">
        <v>28</v>
      </c>
      <c r="X1152" s="3" t="s">
        <v>79</v>
      </c>
      <c r="Y1152" s="14">
        <f t="shared" si="10"/>
        <v>0.2479985635</v>
      </c>
      <c r="Z1152" s="3">
        <f t="shared" si="7"/>
        <v>42</v>
      </c>
      <c r="AA1152" s="15">
        <f t="shared" si="8"/>
        <v>1</v>
      </c>
    </row>
    <row r="1153" ht="15.75" customHeight="1">
      <c r="A1153" s="3">
        <v>8.74349772E8</v>
      </c>
      <c r="B1153" s="9">
        <v>41498.0</v>
      </c>
      <c r="C1153" s="3">
        <f>IFERROR(__xludf.DUMMYFUNCTION("split(B1153,""/"")"),12.0)</f>
        <v>12</v>
      </c>
      <c r="D1153" s="10">
        <f>IFERROR(__xludf.DUMMYFUNCTION("""COMPUTED_VALUE"""),8.0)</f>
        <v>8</v>
      </c>
      <c r="E1153" s="11">
        <f>IFERROR(__xludf.DUMMYFUNCTION("""COMPUTED_VALUE"""),2013.0)</f>
        <v>2013</v>
      </c>
      <c r="F1153" s="12">
        <f t="shared" si="1"/>
        <v>41616</v>
      </c>
      <c r="G1153" s="9">
        <v>41730.0</v>
      </c>
      <c r="H1153" s="3">
        <f>IFERROR(__xludf.DUMMYFUNCTION("split(G1153,""/"")"),1.0)</f>
        <v>1</v>
      </c>
      <c r="I1153" s="3">
        <f>IFERROR(__xludf.DUMMYFUNCTION("""COMPUTED_VALUE"""),4.0)</f>
        <v>4</v>
      </c>
      <c r="J1153" s="3">
        <f>IFERROR(__xludf.DUMMYFUNCTION("""COMPUTED_VALUE"""),2014.0)</f>
        <v>2014</v>
      </c>
      <c r="K1153" s="12">
        <f t="shared" si="2"/>
        <v>41643</v>
      </c>
      <c r="L1153" s="3" t="s">
        <v>814</v>
      </c>
      <c r="M1153" s="3" t="s">
        <v>215</v>
      </c>
      <c r="N1153" s="3">
        <v>1270.0</v>
      </c>
      <c r="O1153" s="3" t="s">
        <v>815</v>
      </c>
      <c r="P1153" s="10">
        <v>8383.0</v>
      </c>
      <c r="Q1153" s="13">
        <v>47.45</v>
      </c>
      <c r="R1153" s="13">
        <v>31.79</v>
      </c>
      <c r="S1153" s="13">
        <f t="shared" si="3"/>
        <v>397773.35</v>
      </c>
      <c r="T1153" s="13">
        <f t="shared" si="4"/>
        <v>266495.57</v>
      </c>
      <c r="U1153" s="13">
        <f t="shared" si="5"/>
        <v>131277.78</v>
      </c>
      <c r="V1153" s="3" t="str">
        <f>VLOOKUP(N1153,products!A:B,2,0)</f>
        <v>Beverages</v>
      </c>
      <c r="W1153" s="3" t="s">
        <v>23</v>
      </c>
      <c r="X1153" s="3" t="s">
        <v>68</v>
      </c>
      <c r="Y1153" s="14">
        <f t="shared" si="10"/>
        <v>0.3300316122</v>
      </c>
      <c r="Z1153" s="3">
        <f t="shared" si="7"/>
        <v>27</v>
      </c>
      <c r="AA1153" s="15">
        <f t="shared" si="8"/>
        <v>1</v>
      </c>
    </row>
    <row r="1154" ht="15.75" customHeight="1">
      <c r="A1154" s="3">
        <v>8.75220096E8</v>
      </c>
      <c r="B1154" s="3" t="s">
        <v>1120</v>
      </c>
      <c r="C1154" s="3">
        <f>IFERROR(__xludf.DUMMYFUNCTION("split(B1154,""/"")"),10.0)</f>
        <v>10</v>
      </c>
      <c r="D1154" s="10">
        <f>IFERROR(__xludf.DUMMYFUNCTION("""COMPUTED_VALUE"""),25.0)</f>
        <v>25</v>
      </c>
      <c r="E1154" s="11">
        <f>IFERROR(__xludf.DUMMYFUNCTION("""COMPUTED_VALUE"""),2010.0)</f>
        <v>2010</v>
      </c>
      <c r="F1154" s="12">
        <f t="shared" si="1"/>
        <v>40476</v>
      </c>
      <c r="G1154" s="9">
        <v>40340.0</v>
      </c>
      <c r="H1154" s="3">
        <f>IFERROR(__xludf.DUMMYFUNCTION("split(G1154,""/"")"),11.0)</f>
        <v>11</v>
      </c>
      <c r="I1154" s="3">
        <f>IFERROR(__xludf.DUMMYFUNCTION("""COMPUTED_VALUE"""),6.0)</f>
        <v>6</v>
      </c>
      <c r="J1154" s="3">
        <f>IFERROR(__xludf.DUMMYFUNCTION("""COMPUTED_VALUE"""),2010.0)</f>
        <v>2010</v>
      </c>
      <c r="K1154" s="12">
        <f t="shared" si="2"/>
        <v>40488</v>
      </c>
      <c r="L1154" s="3" t="s">
        <v>825</v>
      </c>
      <c r="M1154" s="3" t="s">
        <v>623</v>
      </c>
      <c r="N1154" s="3">
        <v>4594.0</v>
      </c>
      <c r="O1154" s="3" t="s">
        <v>815</v>
      </c>
      <c r="P1154" s="10">
        <v>5930.0</v>
      </c>
      <c r="Q1154" s="13">
        <v>9.33</v>
      </c>
      <c r="R1154" s="13">
        <v>6.92</v>
      </c>
      <c r="S1154" s="13">
        <f t="shared" si="3"/>
        <v>55326.9</v>
      </c>
      <c r="T1154" s="13">
        <f t="shared" si="4"/>
        <v>41035.6</v>
      </c>
      <c r="U1154" s="13">
        <f t="shared" si="5"/>
        <v>14291.3</v>
      </c>
      <c r="V1154" s="3" t="str">
        <f>VLOOKUP(N1154,products!A:B,2,0)</f>
        <v>Fruits</v>
      </c>
      <c r="W1154" s="3" t="s">
        <v>28</v>
      </c>
      <c r="X1154" s="3" t="s">
        <v>33</v>
      </c>
      <c r="Y1154" s="14">
        <f t="shared" si="10"/>
        <v>0.258306538</v>
      </c>
      <c r="Z1154" s="3">
        <f t="shared" si="7"/>
        <v>12</v>
      </c>
      <c r="AA1154" s="15">
        <f t="shared" si="8"/>
        <v>2</v>
      </c>
    </row>
    <row r="1155" ht="15.75" customHeight="1">
      <c r="A1155" s="3">
        <v>8.76856458E8</v>
      </c>
      <c r="B1155" s="9">
        <v>41494.0</v>
      </c>
      <c r="C1155" s="3">
        <f>IFERROR(__xludf.DUMMYFUNCTION("split(B1155,""/"")"),8.0)</f>
        <v>8</v>
      </c>
      <c r="D1155" s="10">
        <f>IFERROR(__xludf.DUMMYFUNCTION("""COMPUTED_VALUE"""),8.0)</f>
        <v>8</v>
      </c>
      <c r="E1155" s="11">
        <f>IFERROR(__xludf.DUMMYFUNCTION("""COMPUTED_VALUE"""),2013.0)</f>
        <v>2013</v>
      </c>
      <c r="F1155" s="12">
        <f t="shared" si="1"/>
        <v>41494</v>
      </c>
      <c r="G1155" s="3" t="s">
        <v>907</v>
      </c>
      <c r="H1155" s="3">
        <f>IFERROR(__xludf.DUMMYFUNCTION("split(G1155,""/"")"),8.0)</f>
        <v>8</v>
      </c>
      <c r="I1155" s="3">
        <f>IFERROR(__xludf.DUMMYFUNCTION("""COMPUTED_VALUE"""),29.0)</f>
        <v>29</v>
      </c>
      <c r="J1155" s="3">
        <f>IFERROR(__xludf.DUMMYFUNCTION("""COMPUTED_VALUE"""),2013.0)</f>
        <v>2013</v>
      </c>
      <c r="K1155" s="12">
        <f t="shared" si="2"/>
        <v>41515</v>
      </c>
      <c r="L1155" s="3" t="s">
        <v>827</v>
      </c>
      <c r="M1155" s="3" t="s">
        <v>650</v>
      </c>
      <c r="N1155" s="3">
        <v>8875.0</v>
      </c>
      <c r="O1155" s="3" t="s">
        <v>818</v>
      </c>
      <c r="P1155" s="10">
        <v>166.0</v>
      </c>
      <c r="Q1155" s="13">
        <v>421.89</v>
      </c>
      <c r="R1155" s="13">
        <v>364.69</v>
      </c>
      <c r="S1155" s="13">
        <f t="shared" si="3"/>
        <v>70033.74</v>
      </c>
      <c r="T1155" s="13">
        <f t="shared" si="4"/>
        <v>60538.54</v>
      </c>
      <c r="U1155" s="13">
        <f t="shared" si="5"/>
        <v>9495.2</v>
      </c>
      <c r="V1155" s="3" t="str">
        <f>VLOOKUP(N1155,products!A:B,2,0)</f>
        <v>Meat</v>
      </c>
      <c r="W1155" s="3" t="s">
        <v>28</v>
      </c>
      <c r="X1155" s="3" t="s">
        <v>98</v>
      </c>
      <c r="Y1155" s="14">
        <f t="shared" si="10"/>
        <v>0.1355803646</v>
      </c>
      <c r="Z1155" s="3">
        <f t="shared" si="7"/>
        <v>21</v>
      </c>
      <c r="AA1155" s="15">
        <f t="shared" si="8"/>
        <v>5</v>
      </c>
    </row>
    <row r="1156" ht="15.75" customHeight="1">
      <c r="A1156" s="3">
        <v>8.77062451E8</v>
      </c>
      <c r="B1156" s="9">
        <v>41162.0</v>
      </c>
      <c r="C1156" s="3">
        <f>IFERROR(__xludf.DUMMYFUNCTION("split(B1156,""/"")"),10.0)</f>
        <v>10</v>
      </c>
      <c r="D1156" s="10">
        <f>IFERROR(__xludf.DUMMYFUNCTION("""COMPUTED_VALUE"""),9.0)</f>
        <v>9</v>
      </c>
      <c r="E1156" s="11">
        <f>IFERROR(__xludf.DUMMYFUNCTION("""COMPUTED_VALUE"""),2012.0)</f>
        <v>2012</v>
      </c>
      <c r="F1156" s="12">
        <f t="shared" si="1"/>
        <v>41191</v>
      </c>
      <c r="G1156" s="3" t="s">
        <v>1477</v>
      </c>
      <c r="H1156" s="3">
        <f>IFERROR(__xludf.DUMMYFUNCTION("split(G1156,""/"")"),10.0)</f>
        <v>10</v>
      </c>
      <c r="I1156" s="3">
        <f>IFERROR(__xludf.DUMMYFUNCTION("""COMPUTED_VALUE"""),29.0)</f>
        <v>29</v>
      </c>
      <c r="J1156" s="3">
        <f>IFERROR(__xludf.DUMMYFUNCTION("""COMPUTED_VALUE"""),2012.0)</f>
        <v>2012</v>
      </c>
      <c r="K1156" s="12">
        <f t="shared" si="2"/>
        <v>41211</v>
      </c>
      <c r="L1156" s="3" t="s">
        <v>817</v>
      </c>
      <c r="M1156" s="3" t="s">
        <v>32</v>
      </c>
      <c r="N1156" s="3">
        <v>1270.0</v>
      </c>
      <c r="O1156" s="3" t="s">
        <v>815</v>
      </c>
      <c r="P1156" s="10">
        <v>1124.0</v>
      </c>
      <c r="Q1156" s="13">
        <v>47.45</v>
      </c>
      <c r="R1156" s="13">
        <v>31.79</v>
      </c>
      <c r="S1156" s="13">
        <f t="shared" si="3"/>
        <v>53333.8</v>
      </c>
      <c r="T1156" s="13">
        <f t="shared" si="4"/>
        <v>35731.96</v>
      </c>
      <c r="U1156" s="13">
        <f t="shared" si="5"/>
        <v>17601.84</v>
      </c>
      <c r="V1156" s="3" t="str">
        <f>VLOOKUP(N1156,products!A:B,2,0)</f>
        <v>Beverages</v>
      </c>
      <c r="W1156" s="3" t="s">
        <v>28</v>
      </c>
      <c r="X1156" s="3" t="s">
        <v>33</v>
      </c>
      <c r="Y1156" s="14">
        <f t="shared" si="10"/>
        <v>0.3300316122</v>
      </c>
      <c r="Z1156" s="3">
        <f t="shared" si="7"/>
        <v>20</v>
      </c>
      <c r="AA1156" s="15">
        <f t="shared" si="8"/>
        <v>3</v>
      </c>
    </row>
    <row r="1157" ht="15.75" customHeight="1">
      <c r="A1157" s="3">
        <v>8.77084767E8</v>
      </c>
      <c r="B1157" s="3" t="s">
        <v>1757</v>
      </c>
      <c r="C1157" s="3">
        <f>IFERROR(__xludf.DUMMYFUNCTION("split(B1157,""/"")"),4.0)</f>
        <v>4</v>
      </c>
      <c r="D1157" s="10">
        <f>IFERROR(__xludf.DUMMYFUNCTION("""COMPUTED_VALUE"""),21.0)</f>
        <v>21</v>
      </c>
      <c r="E1157" s="11">
        <f>IFERROR(__xludf.DUMMYFUNCTION("""COMPUTED_VALUE"""),2012.0)</f>
        <v>2012</v>
      </c>
      <c r="F1157" s="12">
        <f t="shared" si="1"/>
        <v>41020</v>
      </c>
      <c r="G1157" s="9">
        <v>41158.0</v>
      </c>
      <c r="H1157" s="3">
        <f>IFERROR(__xludf.DUMMYFUNCTION("split(G1157,""/"")"),6.0)</f>
        <v>6</v>
      </c>
      <c r="I1157" s="3">
        <f>IFERROR(__xludf.DUMMYFUNCTION("""COMPUTED_VALUE"""),9.0)</f>
        <v>9</v>
      </c>
      <c r="J1157" s="3">
        <f>IFERROR(__xludf.DUMMYFUNCTION("""COMPUTED_VALUE"""),2012.0)</f>
        <v>2012</v>
      </c>
      <c r="K1157" s="12">
        <f t="shared" si="2"/>
        <v>41069</v>
      </c>
      <c r="L1157" s="3" t="s">
        <v>817</v>
      </c>
      <c r="M1157" s="3" t="s">
        <v>689</v>
      </c>
      <c r="N1157" s="3">
        <v>8875.0</v>
      </c>
      <c r="O1157" s="3" t="s">
        <v>815</v>
      </c>
      <c r="P1157" s="10">
        <v>7728.0</v>
      </c>
      <c r="Q1157" s="13">
        <v>421.89</v>
      </c>
      <c r="R1157" s="13">
        <v>364.69</v>
      </c>
      <c r="S1157" s="13">
        <f t="shared" si="3"/>
        <v>3260365.92</v>
      </c>
      <c r="T1157" s="13">
        <f t="shared" si="4"/>
        <v>2818324.32</v>
      </c>
      <c r="U1157" s="13">
        <f t="shared" si="5"/>
        <v>442041.6</v>
      </c>
      <c r="V1157" s="3" t="str">
        <f>VLOOKUP(N1157,products!A:B,2,0)</f>
        <v>Meat</v>
      </c>
      <c r="W1157" s="3" t="s">
        <v>28</v>
      </c>
      <c r="X1157" s="3" t="s">
        <v>79</v>
      </c>
      <c r="Y1157" s="14">
        <f t="shared" si="10"/>
        <v>0.1355803646</v>
      </c>
      <c r="Z1157" s="3">
        <f t="shared" si="7"/>
        <v>49</v>
      </c>
      <c r="AA1157" s="15">
        <f t="shared" si="8"/>
        <v>7</v>
      </c>
    </row>
    <row r="1158" ht="15.75" customHeight="1">
      <c r="A1158" s="3">
        <v>8.77687728E8</v>
      </c>
      <c r="B1158" s="3" t="s">
        <v>1637</v>
      </c>
      <c r="C1158" s="3">
        <f>IFERROR(__xludf.DUMMYFUNCTION("split(B1158,""/"")"),12.0)</f>
        <v>12</v>
      </c>
      <c r="D1158" s="10">
        <f>IFERROR(__xludf.DUMMYFUNCTION("""COMPUTED_VALUE"""),23.0)</f>
        <v>23</v>
      </c>
      <c r="E1158" s="11">
        <f>IFERROR(__xludf.DUMMYFUNCTION("""COMPUTED_VALUE"""),2016.0)</f>
        <v>2016</v>
      </c>
      <c r="F1158" s="12">
        <f t="shared" si="1"/>
        <v>42727</v>
      </c>
      <c r="G1158" s="9">
        <v>42918.0</v>
      </c>
      <c r="H1158" s="3">
        <f>IFERROR(__xludf.DUMMYFUNCTION("split(G1158,""/"")"),2.0)</f>
        <v>2</v>
      </c>
      <c r="I1158" s="3">
        <f>IFERROR(__xludf.DUMMYFUNCTION("""COMPUTED_VALUE"""),7.0)</f>
        <v>7</v>
      </c>
      <c r="J1158" s="3">
        <f>IFERROR(__xludf.DUMMYFUNCTION("""COMPUTED_VALUE"""),2017.0)</f>
        <v>2017</v>
      </c>
      <c r="K1158" s="12">
        <f t="shared" si="2"/>
        <v>42773</v>
      </c>
      <c r="L1158" s="3" t="s">
        <v>817</v>
      </c>
      <c r="M1158" s="3" t="s">
        <v>650</v>
      </c>
      <c r="N1158" s="3">
        <v>3127.0</v>
      </c>
      <c r="O1158" s="3" t="s">
        <v>818</v>
      </c>
      <c r="P1158" s="10">
        <v>6158.0</v>
      </c>
      <c r="Q1158" s="13">
        <v>81.73</v>
      </c>
      <c r="R1158" s="13">
        <v>56.67</v>
      </c>
      <c r="S1158" s="13">
        <f t="shared" si="3"/>
        <v>503293.34</v>
      </c>
      <c r="T1158" s="13">
        <f t="shared" si="4"/>
        <v>348973.86</v>
      </c>
      <c r="U1158" s="13">
        <f t="shared" si="5"/>
        <v>154319.48</v>
      </c>
      <c r="V1158" s="3" t="str">
        <f>VLOOKUP(N1158,products!A:B,2,0)</f>
        <v>Personal Care</v>
      </c>
      <c r="W1158" s="3" t="s">
        <v>28</v>
      </c>
      <c r="X1158" s="3" t="s">
        <v>98</v>
      </c>
      <c r="Y1158" s="14">
        <f t="shared" si="10"/>
        <v>0.3066193564</v>
      </c>
      <c r="Z1158" s="3">
        <f t="shared" si="7"/>
        <v>46</v>
      </c>
      <c r="AA1158" s="15">
        <f t="shared" si="8"/>
        <v>6</v>
      </c>
    </row>
    <row r="1159" ht="15.75" customHeight="1">
      <c r="A1159" s="3">
        <v>8.7861427E8</v>
      </c>
      <c r="B1159" s="3" t="s">
        <v>1786</v>
      </c>
      <c r="C1159" s="3">
        <f>IFERROR(__xludf.DUMMYFUNCTION("split(B1159,""/"")"),1.0)</f>
        <v>1</v>
      </c>
      <c r="D1159" s="10">
        <f>IFERROR(__xludf.DUMMYFUNCTION("""COMPUTED_VALUE"""),27.0)</f>
        <v>27</v>
      </c>
      <c r="E1159" s="11">
        <f>IFERROR(__xludf.DUMMYFUNCTION("""COMPUTED_VALUE"""),2011.0)</f>
        <v>2011</v>
      </c>
      <c r="F1159" s="12">
        <f t="shared" si="1"/>
        <v>40570</v>
      </c>
      <c r="G1159" s="3" t="s">
        <v>1414</v>
      </c>
      <c r="H1159" s="3">
        <f>IFERROR(__xludf.DUMMYFUNCTION("split(G1159,""/"")"),2.0)</f>
        <v>2</v>
      </c>
      <c r="I1159" s="3">
        <f>IFERROR(__xludf.DUMMYFUNCTION("""COMPUTED_VALUE"""),17.0)</f>
        <v>17</v>
      </c>
      <c r="J1159" s="3">
        <f>IFERROR(__xludf.DUMMYFUNCTION("""COMPUTED_VALUE"""),2011.0)</f>
        <v>2011</v>
      </c>
      <c r="K1159" s="12">
        <f t="shared" si="2"/>
        <v>40591</v>
      </c>
      <c r="L1159" s="3" t="s">
        <v>814</v>
      </c>
      <c r="M1159" s="3" t="s">
        <v>349</v>
      </c>
      <c r="N1159" s="3">
        <v>8293.0</v>
      </c>
      <c r="O1159" s="3" t="s">
        <v>815</v>
      </c>
      <c r="P1159" s="10">
        <v>342.0</v>
      </c>
      <c r="Q1159" s="13">
        <v>437.2</v>
      </c>
      <c r="R1159" s="13">
        <v>263.33</v>
      </c>
      <c r="S1159" s="13">
        <f t="shared" si="3"/>
        <v>149522.4</v>
      </c>
      <c r="T1159" s="13">
        <f t="shared" si="4"/>
        <v>90058.86</v>
      </c>
      <c r="U1159" s="13">
        <f t="shared" si="5"/>
        <v>59463.54</v>
      </c>
      <c r="V1159" s="3" t="str">
        <f>VLOOKUP(N1159,products!A:B,2,0)</f>
        <v>Cosmetics</v>
      </c>
      <c r="W1159" s="3" t="s">
        <v>28</v>
      </c>
      <c r="X1159" s="3" t="s">
        <v>29</v>
      </c>
      <c r="Y1159" s="14">
        <f t="shared" si="10"/>
        <v>0.3976898445</v>
      </c>
      <c r="Z1159" s="3">
        <f t="shared" si="7"/>
        <v>21</v>
      </c>
      <c r="AA1159" s="15">
        <f t="shared" si="8"/>
        <v>5</v>
      </c>
    </row>
    <row r="1160" ht="15.75" customHeight="1">
      <c r="A1160" s="3">
        <v>8.794052E8</v>
      </c>
      <c r="B1160" s="9">
        <v>41704.0</v>
      </c>
      <c r="C1160" s="3">
        <f>IFERROR(__xludf.DUMMYFUNCTION("split(B1160,""/"")"),6.0)</f>
        <v>6</v>
      </c>
      <c r="D1160" s="10">
        <f>IFERROR(__xludf.DUMMYFUNCTION("""COMPUTED_VALUE"""),3.0)</f>
        <v>3</v>
      </c>
      <c r="E1160" s="11">
        <f>IFERROR(__xludf.DUMMYFUNCTION("""COMPUTED_VALUE"""),2014.0)</f>
        <v>2014</v>
      </c>
      <c r="F1160" s="12">
        <f t="shared" si="1"/>
        <v>41793</v>
      </c>
      <c r="G1160" s="3" t="s">
        <v>903</v>
      </c>
      <c r="H1160" s="3">
        <f>IFERROR(__xludf.DUMMYFUNCTION("split(G1160,""/"")"),7.0)</f>
        <v>7</v>
      </c>
      <c r="I1160" s="3">
        <f>IFERROR(__xludf.DUMMYFUNCTION("""COMPUTED_VALUE"""),20.0)</f>
        <v>20</v>
      </c>
      <c r="J1160" s="3">
        <f>IFERROR(__xludf.DUMMYFUNCTION("""COMPUTED_VALUE"""),2014.0)</f>
        <v>2014</v>
      </c>
      <c r="K1160" s="12">
        <f t="shared" si="2"/>
        <v>41840</v>
      </c>
      <c r="L1160" s="3" t="s">
        <v>825</v>
      </c>
      <c r="M1160" s="3" t="s">
        <v>97</v>
      </c>
      <c r="N1160" s="3">
        <v>1270.0</v>
      </c>
      <c r="O1160" s="3" t="s">
        <v>815</v>
      </c>
      <c r="P1160" s="10">
        <v>4396.0</v>
      </c>
      <c r="Q1160" s="13">
        <v>47.45</v>
      </c>
      <c r="R1160" s="13">
        <v>31.79</v>
      </c>
      <c r="S1160" s="13">
        <f t="shared" si="3"/>
        <v>208590.2</v>
      </c>
      <c r="T1160" s="13">
        <f t="shared" si="4"/>
        <v>139748.84</v>
      </c>
      <c r="U1160" s="13">
        <f t="shared" si="5"/>
        <v>68841.36</v>
      </c>
      <c r="V1160" s="3" t="str">
        <f>VLOOKUP(N1160,products!A:B,2,0)</f>
        <v>Beverages</v>
      </c>
      <c r="W1160" s="3" t="s">
        <v>28</v>
      </c>
      <c r="X1160" s="3" t="s">
        <v>98</v>
      </c>
      <c r="Y1160" s="14">
        <f t="shared" si="10"/>
        <v>0.3300316122</v>
      </c>
      <c r="Z1160" s="3">
        <f t="shared" si="7"/>
        <v>47</v>
      </c>
      <c r="AA1160" s="15">
        <f t="shared" si="8"/>
        <v>3</v>
      </c>
    </row>
    <row r="1161" ht="15.75" customHeight="1">
      <c r="A1161" s="3">
        <v>8.79845082E8</v>
      </c>
      <c r="B1161" s="3" t="s">
        <v>1350</v>
      </c>
      <c r="C1161" s="3">
        <f>IFERROR(__xludf.DUMMYFUNCTION("split(B1161,""/"")"),4.0)</f>
        <v>4</v>
      </c>
      <c r="D1161" s="10">
        <f>IFERROR(__xludf.DUMMYFUNCTION("""COMPUTED_VALUE"""),14.0)</f>
        <v>14</v>
      </c>
      <c r="E1161" s="11">
        <f>IFERROR(__xludf.DUMMYFUNCTION("""COMPUTED_VALUE"""),2010.0)</f>
        <v>2010</v>
      </c>
      <c r="F1161" s="12">
        <f t="shared" si="1"/>
        <v>40282</v>
      </c>
      <c r="G1161" s="9">
        <v>40183.0</v>
      </c>
      <c r="H1161" s="3">
        <f>IFERROR(__xludf.DUMMYFUNCTION("split(G1161,""/"")"),5.0)</f>
        <v>5</v>
      </c>
      <c r="I1161" s="3">
        <f>IFERROR(__xludf.DUMMYFUNCTION("""COMPUTED_VALUE"""),1.0)</f>
        <v>1</v>
      </c>
      <c r="J1161" s="3">
        <f>IFERROR(__xludf.DUMMYFUNCTION("""COMPUTED_VALUE"""),2010.0)</f>
        <v>2010</v>
      </c>
      <c r="K1161" s="12">
        <f t="shared" si="2"/>
        <v>40299</v>
      </c>
      <c r="L1161" s="3" t="s">
        <v>814</v>
      </c>
      <c r="M1161" s="3" t="s">
        <v>431</v>
      </c>
      <c r="N1161" s="3">
        <v>4594.0</v>
      </c>
      <c r="O1161" s="3" t="s">
        <v>818</v>
      </c>
      <c r="P1161" s="10">
        <v>4567.0</v>
      </c>
      <c r="Q1161" s="13">
        <v>9.33</v>
      </c>
      <c r="R1161" s="13">
        <v>6.92</v>
      </c>
      <c r="S1161" s="13">
        <f t="shared" si="3"/>
        <v>42610.11</v>
      </c>
      <c r="T1161" s="13">
        <f t="shared" si="4"/>
        <v>31603.64</v>
      </c>
      <c r="U1161" s="13">
        <f t="shared" si="5"/>
        <v>11006.47</v>
      </c>
      <c r="V1161" s="3" t="str">
        <f>VLOOKUP(N1161,products!A:B,2,0)</f>
        <v>Fruits</v>
      </c>
      <c r="W1161" s="3" t="s">
        <v>28</v>
      </c>
      <c r="X1161" s="3" t="s">
        <v>29</v>
      </c>
      <c r="Y1161" s="14">
        <f t="shared" si="10"/>
        <v>0.258306538</v>
      </c>
      <c r="Z1161" s="3">
        <f t="shared" si="7"/>
        <v>17</v>
      </c>
      <c r="AA1161" s="15">
        <f t="shared" si="8"/>
        <v>4</v>
      </c>
    </row>
    <row r="1162" ht="15.75" customHeight="1">
      <c r="A1162" s="3">
        <v>8.79923617E8</v>
      </c>
      <c r="B1162" s="9">
        <v>41920.0</v>
      </c>
      <c r="C1162" s="3">
        <f>IFERROR(__xludf.DUMMYFUNCTION("split(B1162,""/"")"),8.0)</f>
        <v>8</v>
      </c>
      <c r="D1162" s="10">
        <f>IFERROR(__xludf.DUMMYFUNCTION("""COMPUTED_VALUE"""),10.0)</f>
        <v>10</v>
      </c>
      <c r="E1162" s="11">
        <f>IFERROR(__xludf.DUMMYFUNCTION("""COMPUTED_VALUE"""),2014.0)</f>
        <v>2014</v>
      </c>
      <c r="F1162" s="12">
        <f t="shared" si="1"/>
        <v>41861</v>
      </c>
      <c r="G1162" s="3" t="s">
        <v>1689</v>
      </c>
      <c r="H1162" s="3">
        <f>IFERROR(__xludf.DUMMYFUNCTION("split(G1162,""/"")"),9.0)</f>
        <v>9</v>
      </c>
      <c r="I1162" s="3">
        <f>IFERROR(__xludf.DUMMYFUNCTION("""COMPUTED_VALUE"""),15.0)</f>
        <v>15</v>
      </c>
      <c r="J1162" s="3">
        <f>IFERROR(__xludf.DUMMYFUNCTION("""COMPUTED_VALUE"""),2014.0)</f>
        <v>2014</v>
      </c>
      <c r="K1162" s="12">
        <f t="shared" si="2"/>
        <v>41897</v>
      </c>
      <c r="L1162" s="3" t="s">
        <v>814</v>
      </c>
      <c r="M1162" s="3" t="s">
        <v>346</v>
      </c>
      <c r="N1162" s="3">
        <v>7331.0</v>
      </c>
      <c r="O1162" s="3" t="s">
        <v>815</v>
      </c>
      <c r="P1162" s="10">
        <v>7807.0</v>
      </c>
      <c r="Q1162" s="13">
        <v>255.28</v>
      </c>
      <c r="R1162" s="13">
        <v>159.42</v>
      </c>
      <c r="S1162" s="13">
        <f t="shared" si="3"/>
        <v>1992970.96</v>
      </c>
      <c r="T1162" s="13">
        <f t="shared" si="4"/>
        <v>1244591.94</v>
      </c>
      <c r="U1162" s="13">
        <f t="shared" si="5"/>
        <v>748379.02</v>
      </c>
      <c r="V1162" s="3" t="str">
        <f>VLOOKUP(N1162,products!A:B,2,0)</f>
        <v>Baby Food</v>
      </c>
      <c r="W1162" s="3" t="s">
        <v>28</v>
      </c>
      <c r="X1162" s="3" t="s">
        <v>98</v>
      </c>
      <c r="Y1162" s="14">
        <f t="shared" si="10"/>
        <v>0.3755092448</v>
      </c>
      <c r="Z1162" s="3">
        <f t="shared" si="7"/>
        <v>36</v>
      </c>
      <c r="AA1162" s="15">
        <f t="shared" si="8"/>
        <v>1</v>
      </c>
    </row>
    <row r="1163" ht="15.75" customHeight="1">
      <c r="A1163" s="3">
        <v>8.80176818E8</v>
      </c>
      <c r="B1163" s="9">
        <v>40188.0</v>
      </c>
      <c r="C1163" s="3">
        <f>IFERROR(__xludf.DUMMYFUNCTION("split(B1163,""/"")"),10.0)</f>
        <v>10</v>
      </c>
      <c r="D1163" s="10">
        <f>IFERROR(__xludf.DUMMYFUNCTION("""COMPUTED_VALUE"""),1.0)</f>
        <v>1</v>
      </c>
      <c r="E1163" s="11">
        <f>IFERROR(__xludf.DUMMYFUNCTION("""COMPUTED_VALUE"""),2010.0)</f>
        <v>2010</v>
      </c>
      <c r="F1163" s="12">
        <f t="shared" si="1"/>
        <v>40452</v>
      </c>
      <c r="G1163" s="3" t="s">
        <v>1729</v>
      </c>
      <c r="H1163" s="3">
        <f>IFERROR(__xludf.DUMMYFUNCTION("split(G1163,""/"")"),10.0)</f>
        <v>10</v>
      </c>
      <c r="I1163" s="3">
        <f>IFERROR(__xludf.DUMMYFUNCTION("""COMPUTED_VALUE"""),15.0)</f>
        <v>15</v>
      </c>
      <c r="J1163" s="3">
        <f>IFERROR(__xludf.DUMMYFUNCTION("""COMPUTED_VALUE"""),2010.0)</f>
        <v>2010</v>
      </c>
      <c r="K1163" s="12">
        <f t="shared" si="2"/>
        <v>40466</v>
      </c>
      <c r="L1163" s="3" t="s">
        <v>814</v>
      </c>
      <c r="M1163" s="3" t="s">
        <v>575</v>
      </c>
      <c r="N1163" s="3">
        <v>2455.0</v>
      </c>
      <c r="O1163" s="3" t="s">
        <v>815</v>
      </c>
      <c r="P1163" s="10">
        <v>2735.0</v>
      </c>
      <c r="Q1163" s="13">
        <v>109.28</v>
      </c>
      <c r="R1163" s="13">
        <v>35.84</v>
      </c>
      <c r="S1163" s="13">
        <f t="shared" si="3"/>
        <v>298880.8</v>
      </c>
      <c r="T1163" s="13">
        <f t="shared" si="4"/>
        <v>98022.4</v>
      </c>
      <c r="U1163" s="13">
        <f t="shared" si="5"/>
        <v>200858.4</v>
      </c>
      <c r="V1163" s="3" t="str">
        <f>VLOOKUP(N1163,products!A:B,2,0)</f>
        <v>Clothes</v>
      </c>
      <c r="W1163" s="3" t="s">
        <v>28</v>
      </c>
      <c r="X1163" s="3" t="s">
        <v>98</v>
      </c>
      <c r="Y1163" s="14">
        <f t="shared" si="10"/>
        <v>0.6720351391</v>
      </c>
      <c r="Z1163" s="3">
        <f t="shared" si="7"/>
        <v>14</v>
      </c>
      <c r="AA1163" s="15">
        <f t="shared" si="8"/>
        <v>6</v>
      </c>
    </row>
    <row r="1164" ht="15.75" customHeight="1">
      <c r="A1164" s="3">
        <v>8.8119477E8</v>
      </c>
      <c r="B1164" s="9">
        <v>41405.0</v>
      </c>
      <c r="C1164" s="3">
        <f>IFERROR(__xludf.DUMMYFUNCTION("split(B1164,""/"")"),11.0)</f>
        <v>11</v>
      </c>
      <c r="D1164" s="10">
        <f>IFERROR(__xludf.DUMMYFUNCTION("""COMPUTED_VALUE"""),5.0)</f>
        <v>5</v>
      </c>
      <c r="E1164" s="11">
        <f>IFERROR(__xludf.DUMMYFUNCTION("""COMPUTED_VALUE"""),2013.0)</f>
        <v>2013</v>
      </c>
      <c r="F1164" s="12">
        <f t="shared" si="1"/>
        <v>41583</v>
      </c>
      <c r="G1164" s="9">
        <v>41406.0</v>
      </c>
      <c r="H1164" s="3">
        <f>IFERROR(__xludf.DUMMYFUNCTION("split(G1164,""/"")"),12.0)</f>
        <v>12</v>
      </c>
      <c r="I1164" s="3">
        <f>IFERROR(__xludf.DUMMYFUNCTION("""COMPUTED_VALUE"""),5.0)</f>
        <v>5</v>
      </c>
      <c r="J1164" s="3">
        <f>IFERROR(__xludf.DUMMYFUNCTION("""COMPUTED_VALUE"""),2013.0)</f>
        <v>2013</v>
      </c>
      <c r="K1164" s="12">
        <f t="shared" si="2"/>
        <v>41613</v>
      </c>
      <c r="L1164" s="3" t="s">
        <v>817</v>
      </c>
      <c r="M1164" s="3" t="s">
        <v>623</v>
      </c>
      <c r="N1164" s="3">
        <v>8681.0</v>
      </c>
      <c r="O1164" s="3" t="s">
        <v>818</v>
      </c>
      <c r="P1164" s="10">
        <v>3969.0</v>
      </c>
      <c r="Q1164" s="13">
        <v>651.21</v>
      </c>
      <c r="R1164" s="13">
        <v>524.96</v>
      </c>
      <c r="S1164" s="13">
        <f t="shared" si="3"/>
        <v>2584652.49</v>
      </c>
      <c r="T1164" s="13">
        <f t="shared" si="4"/>
        <v>2083566.24</v>
      </c>
      <c r="U1164" s="13">
        <f t="shared" si="5"/>
        <v>501086.25</v>
      </c>
      <c r="V1164" s="3" t="str">
        <f>VLOOKUP(N1164,products!A:B,2,0)</f>
        <v>Office Supplies</v>
      </c>
      <c r="W1164" s="3" t="s">
        <v>28</v>
      </c>
      <c r="X1164" s="3" t="s">
        <v>33</v>
      </c>
      <c r="Y1164" s="14">
        <f t="shared" si="10"/>
        <v>0.193869873</v>
      </c>
      <c r="Z1164" s="3">
        <f t="shared" si="7"/>
        <v>30</v>
      </c>
      <c r="AA1164" s="15">
        <f t="shared" si="8"/>
        <v>3</v>
      </c>
    </row>
    <row r="1165" ht="15.75" customHeight="1">
      <c r="A1165" s="3">
        <v>8.8171705E8</v>
      </c>
      <c r="B1165" s="3" t="s">
        <v>1191</v>
      </c>
      <c r="C1165" s="3">
        <f>IFERROR(__xludf.DUMMYFUNCTION("split(B1165,""/"")"),11.0)</f>
        <v>11</v>
      </c>
      <c r="D1165" s="10">
        <f>IFERROR(__xludf.DUMMYFUNCTION("""COMPUTED_VALUE"""),22.0)</f>
        <v>22</v>
      </c>
      <c r="E1165" s="11">
        <f>IFERROR(__xludf.DUMMYFUNCTION("""COMPUTED_VALUE"""),2010.0)</f>
        <v>2010</v>
      </c>
      <c r="F1165" s="12">
        <f t="shared" si="1"/>
        <v>40504</v>
      </c>
      <c r="G1165" s="3" t="s">
        <v>1777</v>
      </c>
      <c r="H1165" s="3">
        <f>IFERROR(__xludf.DUMMYFUNCTION("split(G1165,""/"")"),12.0)</f>
        <v>12</v>
      </c>
      <c r="I1165" s="3">
        <f>IFERROR(__xludf.DUMMYFUNCTION("""COMPUTED_VALUE"""),23.0)</f>
        <v>23</v>
      </c>
      <c r="J1165" s="3">
        <f>IFERROR(__xludf.DUMMYFUNCTION("""COMPUTED_VALUE"""),2010.0)</f>
        <v>2010</v>
      </c>
      <c r="K1165" s="12">
        <f t="shared" si="2"/>
        <v>40535</v>
      </c>
      <c r="L1165" s="3" t="s">
        <v>814</v>
      </c>
      <c r="M1165" s="3" t="s">
        <v>101</v>
      </c>
      <c r="N1165" s="3">
        <v>8969.0</v>
      </c>
      <c r="O1165" s="3" t="s">
        <v>815</v>
      </c>
      <c r="P1165" s="10">
        <v>8524.0</v>
      </c>
      <c r="Q1165" s="13">
        <v>152.58</v>
      </c>
      <c r="R1165" s="13">
        <v>97.44</v>
      </c>
      <c r="S1165" s="13">
        <f t="shared" si="3"/>
        <v>1300591.92</v>
      </c>
      <c r="T1165" s="13">
        <f t="shared" si="4"/>
        <v>830578.56</v>
      </c>
      <c r="U1165" s="13">
        <f t="shared" si="5"/>
        <v>470013.36</v>
      </c>
      <c r="V1165" s="3" t="str">
        <f>VLOOKUP(N1165,products!A:B,2,0)</f>
        <v>Snacks</v>
      </c>
      <c r="W1165" s="3" t="s">
        <v>28</v>
      </c>
      <c r="X1165" s="3" t="s">
        <v>79</v>
      </c>
      <c r="Y1165" s="14">
        <f t="shared" si="10"/>
        <v>0.3613841919</v>
      </c>
      <c r="Z1165" s="3">
        <f t="shared" si="7"/>
        <v>31</v>
      </c>
      <c r="AA1165" s="15">
        <f t="shared" si="8"/>
        <v>2</v>
      </c>
    </row>
    <row r="1166" ht="15.75" customHeight="1">
      <c r="A1166" s="3">
        <v>8.83504474E8</v>
      </c>
      <c r="B1166" s="9">
        <v>41706.0</v>
      </c>
      <c r="C1166" s="3">
        <f>IFERROR(__xludf.DUMMYFUNCTION("split(B1166,""/"")"),8.0)</f>
        <v>8</v>
      </c>
      <c r="D1166" s="10">
        <f>IFERROR(__xludf.DUMMYFUNCTION("""COMPUTED_VALUE"""),3.0)</f>
        <v>3</v>
      </c>
      <c r="E1166" s="11">
        <f>IFERROR(__xludf.DUMMYFUNCTION("""COMPUTED_VALUE"""),2014.0)</f>
        <v>2014</v>
      </c>
      <c r="F1166" s="12">
        <f t="shared" si="1"/>
        <v>41854</v>
      </c>
      <c r="G1166" s="9">
        <v>41860.0</v>
      </c>
      <c r="H1166" s="3">
        <f>IFERROR(__xludf.DUMMYFUNCTION("split(G1166,""/"")"),9.0)</f>
        <v>9</v>
      </c>
      <c r="I1166" s="3">
        <f>IFERROR(__xludf.DUMMYFUNCTION("""COMPUTED_VALUE"""),8.0)</f>
        <v>8</v>
      </c>
      <c r="J1166" s="3">
        <f>IFERROR(__xludf.DUMMYFUNCTION("""COMPUTED_VALUE"""),2014.0)</f>
        <v>2014</v>
      </c>
      <c r="K1166" s="12">
        <f t="shared" si="2"/>
        <v>41890</v>
      </c>
      <c r="L1166" s="3" t="s">
        <v>827</v>
      </c>
      <c r="M1166" s="3" t="s">
        <v>67</v>
      </c>
      <c r="N1166" s="3">
        <v>8681.0</v>
      </c>
      <c r="O1166" s="3" t="s">
        <v>818</v>
      </c>
      <c r="P1166" s="10">
        <v>7462.0</v>
      </c>
      <c r="Q1166" s="13">
        <v>651.21</v>
      </c>
      <c r="R1166" s="13">
        <v>524.96</v>
      </c>
      <c r="S1166" s="13">
        <f t="shared" si="3"/>
        <v>4859329.02</v>
      </c>
      <c r="T1166" s="13">
        <f t="shared" si="4"/>
        <v>3917251.52</v>
      </c>
      <c r="U1166" s="13">
        <f t="shared" si="5"/>
        <v>942077.5</v>
      </c>
      <c r="V1166" s="3" t="str">
        <f>VLOOKUP(N1166,products!A:B,2,0)</f>
        <v>Office Supplies</v>
      </c>
      <c r="W1166" s="3" t="s">
        <v>23</v>
      </c>
      <c r="X1166" s="3" t="s">
        <v>68</v>
      </c>
      <c r="Y1166" s="14">
        <f t="shared" si="10"/>
        <v>0.193869873</v>
      </c>
      <c r="Z1166" s="3">
        <f t="shared" si="7"/>
        <v>36</v>
      </c>
      <c r="AA1166" s="15">
        <f t="shared" si="8"/>
        <v>1</v>
      </c>
    </row>
    <row r="1167" ht="15.75" customHeight="1">
      <c r="A1167" s="3">
        <v>8.84147775E8</v>
      </c>
      <c r="B1167" s="3" t="s">
        <v>1787</v>
      </c>
      <c r="C1167" s="3">
        <f>IFERROR(__xludf.DUMMYFUNCTION("split(B1167,""/"")"),9.0)</f>
        <v>9</v>
      </c>
      <c r="D1167" s="10">
        <f>IFERROR(__xludf.DUMMYFUNCTION("""COMPUTED_VALUE"""),18.0)</f>
        <v>18</v>
      </c>
      <c r="E1167" s="11">
        <f>IFERROR(__xludf.DUMMYFUNCTION("""COMPUTED_VALUE"""),2011.0)</f>
        <v>2011</v>
      </c>
      <c r="F1167" s="12">
        <f t="shared" si="1"/>
        <v>40804</v>
      </c>
      <c r="G1167" s="3" t="s">
        <v>942</v>
      </c>
      <c r="H1167" s="3">
        <f>IFERROR(__xludf.DUMMYFUNCTION("split(G1167,""/"")"),10.0)</f>
        <v>10</v>
      </c>
      <c r="I1167" s="3">
        <f>IFERROR(__xludf.DUMMYFUNCTION("""COMPUTED_VALUE"""),19.0)</f>
        <v>19</v>
      </c>
      <c r="J1167" s="3">
        <f>IFERROR(__xludf.DUMMYFUNCTION("""COMPUTED_VALUE"""),2011.0)</f>
        <v>2011</v>
      </c>
      <c r="K1167" s="12">
        <f t="shared" si="2"/>
        <v>40835</v>
      </c>
      <c r="L1167" s="3" t="s">
        <v>827</v>
      </c>
      <c r="M1167" s="3" t="s">
        <v>267</v>
      </c>
      <c r="N1167" s="3">
        <v>1270.0</v>
      </c>
      <c r="O1167" s="3" t="s">
        <v>815</v>
      </c>
      <c r="P1167" s="10">
        <v>7829.0</v>
      </c>
      <c r="Q1167" s="13">
        <v>47.45</v>
      </c>
      <c r="R1167" s="13">
        <v>31.79</v>
      </c>
      <c r="S1167" s="13">
        <f t="shared" si="3"/>
        <v>371486.05</v>
      </c>
      <c r="T1167" s="13">
        <f t="shared" si="4"/>
        <v>248883.91</v>
      </c>
      <c r="U1167" s="13">
        <f t="shared" si="5"/>
        <v>122602.14</v>
      </c>
      <c r="V1167" s="3" t="str">
        <f>VLOOKUP(N1167,products!A:B,2,0)</f>
        <v>Beverages</v>
      </c>
      <c r="W1167" s="3" t="s">
        <v>28</v>
      </c>
      <c r="X1167" s="3" t="s">
        <v>29</v>
      </c>
      <c r="Y1167" s="14">
        <f t="shared" si="10"/>
        <v>0.3300316122</v>
      </c>
      <c r="Z1167" s="3">
        <f t="shared" si="7"/>
        <v>31</v>
      </c>
      <c r="AA1167" s="15">
        <f t="shared" si="8"/>
        <v>1</v>
      </c>
    </row>
    <row r="1168" ht="15.75" customHeight="1">
      <c r="A1168" s="3">
        <v>8.84192836E8</v>
      </c>
      <c r="B1168" s="3" t="s">
        <v>1170</v>
      </c>
      <c r="C1168" s="3">
        <f>IFERROR(__xludf.DUMMYFUNCTION("split(B1168,""/"")"),12.0)</f>
        <v>12</v>
      </c>
      <c r="D1168" s="10">
        <f>IFERROR(__xludf.DUMMYFUNCTION("""COMPUTED_VALUE"""),14.0)</f>
        <v>14</v>
      </c>
      <c r="E1168" s="11">
        <f>IFERROR(__xludf.DUMMYFUNCTION("""COMPUTED_VALUE"""),2012.0)</f>
        <v>2012</v>
      </c>
      <c r="F1168" s="12">
        <f t="shared" si="1"/>
        <v>41257</v>
      </c>
      <c r="G1168" s="3" t="s">
        <v>1788</v>
      </c>
      <c r="H1168" s="3">
        <f>IFERROR(__xludf.DUMMYFUNCTION("split(G1168,""/"")"),1.0)</f>
        <v>1</v>
      </c>
      <c r="I1168" s="3">
        <f>IFERROR(__xludf.DUMMYFUNCTION("""COMPUTED_VALUE"""),15.0)</f>
        <v>15</v>
      </c>
      <c r="J1168" s="3">
        <f>IFERROR(__xludf.DUMMYFUNCTION("""COMPUTED_VALUE"""),2013.0)</f>
        <v>2013</v>
      </c>
      <c r="K1168" s="12">
        <f t="shared" si="2"/>
        <v>41289</v>
      </c>
      <c r="L1168" s="3" t="s">
        <v>817</v>
      </c>
      <c r="M1168" s="3" t="s">
        <v>542</v>
      </c>
      <c r="N1168" s="3">
        <v>8681.0</v>
      </c>
      <c r="O1168" s="3" t="s">
        <v>818</v>
      </c>
      <c r="P1168" s="10">
        <v>1164.0</v>
      </c>
      <c r="Q1168" s="13">
        <v>651.21</v>
      </c>
      <c r="R1168" s="13">
        <v>524.96</v>
      </c>
      <c r="S1168" s="13">
        <f t="shared" si="3"/>
        <v>758008.44</v>
      </c>
      <c r="T1168" s="13">
        <f t="shared" si="4"/>
        <v>611053.44</v>
      </c>
      <c r="U1168" s="13">
        <f t="shared" si="5"/>
        <v>146955</v>
      </c>
      <c r="V1168" s="3" t="str">
        <f>VLOOKUP(N1168,products!A:B,2,0)</f>
        <v>Office Supplies</v>
      </c>
      <c r="W1168" s="3" t="s">
        <v>28</v>
      </c>
      <c r="X1168" s="3" t="s">
        <v>29</v>
      </c>
      <c r="Y1168" s="14">
        <f t="shared" si="10"/>
        <v>0.193869873</v>
      </c>
      <c r="Z1168" s="3">
        <f t="shared" si="7"/>
        <v>32</v>
      </c>
      <c r="AA1168" s="15">
        <f t="shared" si="8"/>
        <v>6</v>
      </c>
    </row>
    <row r="1169" ht="15.75" customHeight="1">
      <c r="A1169" s="3">
        <v>8.84462773E8</v>
      </c>
      <c r="B1169" s="3" t="s">
        <v>1789</v>
      </c>
      <c r="C1169" s="3">
        <f>IFERROR(__xludf.DUMMYFUNCTION("split(B1169,""/"")"),8.0)</f>
        <v>8</v>
      </c>
      <c r="D1169" s="10">
        <f>IFERROR(__xludf.DUMMYFUNCTION("""COMPUTED_VALUE"""),21.0)</f>
        <v>21</v>
      </c>
      <c r="E1169" s="11">
        <f>IFERROR(__xludf.DUMMYFUNCTION("""COMPUTED_VALUE"""),2010.0)</f>
        <v>2010</v>
      </c>
      <c r="F1169" s="12">
        <f t="shared" si="1"/>
        <v>40411</v>
      </c>
      <c r="G1169" s="9">
        <v>40308.0</v>
      </c>
      <c r="H1169" s="3">
        <f>IFERROR(__xludf.DUMMYFUNCTION("split(G1169,""/"")"),10.0)</f>
        <v>10</v>
      </c>
      <c r="I1169" s="3">
        <f>IFERROR(__xludf.DUMMYFUNCTION("""COMPUTED_VALUE"""),5.0)</f>
        <v>5</v>
      </c>
      <c r="J1169" s="3">
        <f>IFERROR(__xludf.DUMMYFUNCTION("""COMPUTED_VALUE"""),2010.0)</f>
        <v>2010</v>
      </c>
      <c r="K1169" s="12">
        <f t="shared" si="2"/>
        <v>40456</v>
      </c>
      <c r="L1169" s="3" t="s">
        <v>814</v>
      </c>
      <c r="M1169" s="3" t="s">
        <v>590</v>
      </c>
      <c r="N1169" s="3">
        <v>8969.0</v>
      </c>
      <c r="O1169" s="3" t="s">
        <v>818</v>
      </c>
      <c r="P1169" s="10">
        <v>1044.0</v>
      </c>
      <c r="Q1169" s="13">
        <v>152.58</v>
      </c>
      <c r="R1169" s="13">
        <v>97.44</v>
      </c>
      <c r="S1169" s="13">
        <f t="shared" si="3"/>
        <v>159293.52</v>
      </c>
      <c r="T1169" s="13">
        <f t="shared" si="4"/>
        <v>101727.36</v>
      </c>
      <c r="U1169" s="13">
        <f t="shared" si="5"/>
        <v>57566.16</v>
      </c>
      <c r="V1169" s="3" t="str">
        <f>VLOOKUP(N1169,products!A:B,2,0)</f>
        <v>Snacks</v>
      </c>
      <c r="W1169" s="3" t="s">
        <v>28</v>
      </c>
      <c r="X1169" s="3" t="s">
        <v>98</v>
      </c>
      <c r="Y1169" s="14">
        <f t="shared" si="10"/>
        <v>0.3613841919</v>
      </c>
      <c r="Z1169" s="3">
        <f t="shared" si="7"/>
        <v>45</v>
      </c>
      <c r="AA1169" s="15">
        <f t="shared" si="8"/>
        <v>7</v>
      </c>
    </row>
    <row r="1170" ht="15.75" customHeight="1">
      <c r="A1170" s="3">
        <v>8.85046851E8</v>
      </c>
      <c r="B1170" s="3" t="s">
        <v>1790</v>
      </c>
      <c r="C1170" s="3">
        <f>IFERROR(__xludf.DUMMYFUNCTION("split(B1170,""/"")"),6.0)</f>
        <v>6</v>
      </c>
      <c r="D1170" s="10">
        <f>IFERROR(__xludf.DUMMYFUNCTION("""COMPUTED_VALUE"""),19.0)</f>
        <v>19</v>
      </c>
      <c r="E1170" s="11">
        <f>IFERROR(__xludf.DUMMYFUNCTION("""COMPUTED_VALUE"""),2010.0)</f>
        <v>2010</v>
      </c>
      <c r="F1170" s="12">
        <f t="shared" si="1"/>
        <v>40348</v>
      </c>
      <c r="G1170" s="3" t="s">
        <v>1562</v>
      </c>
      <c r="H1170" s="3">
        <f>IFERROR(__xludf.DUMMYFUNCTION("split(G1170,""/"")"),7.0)</f>
        <v>7</v>
      </c>
      <c r="I1170" s="3">
        <f>IFERROR(__xludf.DUMMYFUNCTION("""COMPUTED_VALUE"""),19.0)</f>
        <v>19</v>
      </c>
      <c r="J1170" s="3">
        <f>IFERROR(__xludf.DUMMYFUNCTION("""COMPUTED_VALUE"""),2010.0)</f>
        <v>2010</v>
      </c>
      <c r="K1170" s="12">
        <f t="shared" si="2"/>
        <v>40378</v>
      </c>
      <c r="L1170" s="3" t="s">
        <v>814</v>
      </c>
      <c r="M1170" s="3" t="s">
        <v>218</v>
      </c>
      <c r="N1170" s="3">
        <v>8681.0</v>
      </c>
      <c r="O1170" s="3" t="s">
        <v>818</v>
      </c>
      <c r="P1170" s="10">
        <v>3886.0</v>
      </c>
      <c r="Q1170" s="13">
        <v>651.21</v>
      </c>
      <c r="R1170" s="13">
        <v>524.96</v>
      </c>
      <c r="S1170" s="13">
        <f t="shared" si="3"/>
        <v>2530602.06</v>
      </c>
      <c r="T1170" s="13">
        <f t="shared" si="4"/>
        <v>2039994.56</v>
      </c>
      <c r="U1170" s="13">
        <f t="shared" si="5"/>
        <v>490607.5</v>
      </c>
      <c r="V1170" s="3" t="str">
        <f>VLOOKUP(N1170,products!A:B,2,0)</f>
        <v>Office Supplies</v>
      </c>
      <c r="W1170" s="3" t="s">
        <v>28</v>
      </c>
      <c r="X1170" s="3" t="s">
        <v>98</v>
      </c>
      <c r="Y1170" s="14">
        <f t="shared" si="10"/>
        <v>0.193869873</v>
      </c>
      <c r="Z1170" s="3">
        <f t="shared" si="7"/>
        <v>30</v>
      </c>
      <c r="AA1170" s="15">
        <f t="shared" si="8"/>
        <v>7</v>
      </c>
    </row>
    <row r="1171" ht="15.75" customHeight="1">
      <c r="A1171" s="3">
        <v>8.85397469E8</v>
      </c>
      <c r="B1171" s="9">
        <v>42287.0</v>
      </c>
      <c r="C1171" s="3">
        <f>IFERROR(__xludf.DUMMYFUNCTION("split(B1171,""/"")"),10.0)</f>
        <v>10</v>
      </c>
      <c r="D1171" s="10">
        <f>IFERROR(__xludf.DUMMYFUNCTION("""COMPUTED_VALUE"""),10.0)</f>
        <v>10</v>
      </c>
      <c r="E1171" s="11">
        <f>IFERROR(__xludf.DUMMYFUNCTION("""COMPUTED_VALUE"""),2015.0)</f>
        <v>2015</v>
      </c>
      <c r="F1171" s="12">
        <f t="shared" si="1"/>
        <v>42287</v>
      </c>
      <c r="G1171" s="3" t="s">
        <v>1394</v>
      </c>
      <c r="H1171" s="3">
        <f>IFERROR(__xludf.DUMMYFUNCTION("split(G1171,""/"")"),11.0)</f>
        <v>11</v>
      </c>
      <c r="I1171" s="3">
        <f>IFERROR(__xludf.DUMMYFUNCTION("""COMPUTED_VALUE"""),18.0)</f>
        <v>18</v>
      </c>
      <c r="J1171" s="3">
        <f>IFERROR(__xludf.DUMMYFUNCTION("""COMPUTED_VALUE"""),2015.0)</f>
        <v>2015</v>
      </c>
      <c r="K1171" s="12">
        <f t="shared" si="2"/>
        <v>42326</v>
      </c>
      <c r="L1171" s="3" t="s">
        <v>814</v>
      </c>
      <c r="M1171" s="3" t="s">
        <v>653</v>
      </c>
      <c r="N1171" s="3">
        <v>8875.0</v>
      </c>
      <c r="O1171" s="3" t="s">
        <v>815</v>
      </c>
      <c r="P1171" s="10">
        <v>7642.0</v>
      </c>
      <c r="Q1171" s="13">
        <v>421.89</v>
      </c>
      <c r="R1171" s="13">
        <v>364.69</v>
      </c>
      <c r="S1171" s="13">
        <f t="shared" si="3"/>
        <v>3224083.38</v>
      </c>
      <c r="T1171" s="13">
        <f t="shared" si="4"/>
        <v>2786960.98</v>
      </c>
      <c r="U1171" s="13">
        <f t="shared" si="5"/>
        <v>437122.4</v>
      </c>
      <c r="V1171" s="3" t="str">
        <f>VLOOKUP(N1171,products!A:B,2,0)</f>
        <v>Meat</v>
      </c>
      <c r="W1171" s="3" t="s">
        <v>28</v>
      </c>
      <c r="X1171" s="3" t="s">
        <v>33</v>
      </c>
      <c r="Y1171" s="14">
        <f t="shared" si="10"/>
        <v>0.1355803646</v>
      </c>
      <c r="Z1171" s="3">
        <f t="shared" si="7"/>
        <v>39</v>
      </c>
      <c r="AA1171" s="15">
        <f t="shared" si="8"/>
        <v>7</v>
      </c>
    </row>
    <row r="1172" ht="15.75" customHeight="1">
      <c r="A1172" s="3">
        <v>8.85998284E8</v>
      </c>
      <c r="B1172" s="3" t="s">
        <v>1602</v>
      </c>
      <c r="C1172" s="3">
        <f>IFERROR(__xludf.DUMMYFUNCTION("split(B1172,""/"")"),2.0)</f>
        <v>2</v>
      </c>
      <c r="D1172" s="10">
        <f>IFERROR(__xludf.DUMMYFUNCTION("""COMPUTED_VALUE"""),21.0)</f>
        <v>21</v>
      </c>
      <c r="E1172" s="11">
        <f>IFERROR(__xludf.DUMMYFUNCTION("""COMPUTED_VALUE"""),2017.0)</f>
        <v>2017</v>
      </c>
      <c r="F1172" s="12">
        <f t="shared" si="1"/>
        <v>42787</v>
      </c>
      <c r="G1172" s="3" t="s">
        <v>1791</v>
      </c>
      <c r="H1172" s="3">
        <f>IFERROR(__xludf.DUMMYFUNCTION("split(G1172,""/"")"),2.0)</f>
        <v>2</v>
      </c>
      <c r="I1172" s="3">
        <f>IFERROR(__xludf.DUMMYFUNCTION("""COMPUTED_VALUE"""),28.0)</f>
        <v>28</v>
      </c>
      <c r="J1172" s="3">
        <f>IFERROR(__xludf.DUMMYFUNCTION("""COMPUTED_VALUE"""),2017.0)</f>
        <v>2017</v>
      </c>
      <c r="K1172" s="12">
        <f t="shared" si="2"/>
        <v>42794</v>
      </c>
      <c r="L1172" s="3" t="s">
        <v>817</v>
      </c>
      <c r="M1172" s="3" t="s">
        <v>67</v>
      </c>
      <c r="N1172" s="3">
        <v>2455.0</v>
      </c>
      <c r="O1172" s="3" t="s">
        <v>818</v>
      </c>
      <c r="P1172" s="10">
        <v>5436.0</v>
      </c>
      <c r="Q1172" s="13">
        <v>109.28</v>
      </c>
      <c r="R1172" s="13">
        <v>35.84</v>
      </c>
      <c r="S1172" s="13">
        <f t="shared" si="3"/>
        <v>594046.08</v>
      </c>
      <c r="T1172" s="13">
        <f t="shared" si="4"/>
        <v>194826.24</v>
      </c>
      <c r="U1172" s="13">
        <f t="shared" si="5"/>
        <v>399219.84</v>
      </c>
      <c r="V1172" s="3" t="str">
        <f>VLOOKUP(N1172,products!A:B,2,0)</f>
        <v>Clothes</v>
      </c>
      <c r="W1172" s="3" t="s">
        <v>23</v>
      </c>
      <c r="X1172" s="3" t="s">
        <v>68</v>
      </c>
      <c r="Y1172" s="14">
        <f t="shared" si="10"/>
        <v>0.6720351391</v>
      </c>
      <c r="Z1172" s="3">
        <f t="shared" si="7"/>
        <v>7</v>
      </c>
      <c r="AA1172" s="15">
        <f t="shared" si="8"/>
        <v>3</v>
      </c>
    </row>
    <row r="1173" ht="15.75" customHeight="1">
      <c r="A1173" s="3">
        <v>8.86620128E8</v>
      </c>
      <c r="B1173" s="9">
        <v>40762.0</v>
      </c>
      <c r="C1173" s="3">
        <f>IFERROR(__xludf.DUMMYFUNCTION("split(B1173,""/"")"),7.0)</f>
        <v>7</v>
      </c>
      <c r="D1173" s="10">
        <f>IFERROR(__xludf.DUMMYFUNCTION("""COMPUTED_VALUE"""),8.0)</f>
        <v>8</v>
      </c>
      <c r="E1173" s="11">
        <f>IFERROR(__xludf.DUMMYFUNCTION("""COMPUTED_VALUE"""),2011.0)</f>
        <v>2011</v>
      </c>
      <c r="F1173" s="12">
        <f t="shared" si="1"/>
        <v>40732</v>
      </c>
      <c r="G1173" s="3" t="s">
        <v>1792</v>
      </c>
      <c r="H1173" s="3">
        <f>IFERROR(__xludf.DUMMYFUNCTION("split(G1173,""/"")"),7.0)</f>
        <v>7</v>
      </c>
      <c r="I1173" s="3">
        <f>IFERROR(__xludf.DUMMYFUNCTION("""COMPUTED_VALUE"""),25.0)</f>
        <v>25</v>
      </c>
      <c r="J1173" s="3">
        <f>IFERROR(__xludf.DUMMYFUNCTION("""COMPUTED_VALUE"""),2011.0)</f>
        <v>2011</v>
      </c>
      <c r="K1173" s="12">
        <f t="shared" si="2"/>
        <v>40749</v>
      </c>
      <c r="L1173" s="3" t="s">
        <v>817</v>
      </c>
      <c r="M1173" s="3" t="s">
        <v>373</v>
      </c>
      <c r="N1173" s="3">
        <v>8681.0</v>
      </c>
      <c r="O1173" s="3" t="s">
        <v>818</v>
      </c>
      <c r="P1173" s="10">
        <v>9453.0</v>
      </c>
      <c r="Q1173" s="13">
        <v>651.21</v>
      </c>
      <c r="R1173" s="13">
        <v>524.96</v>
      </c>
      <c r="S1173" s="13">
        <f t="shared" si="3"/>
        <v>6155888.13</v>
      </c>
      <c r="T1173" s="13">
        <f t="shared" si="4"/>
        <v>4962446.88</v>
      </c>
      <c r="U1173" s="13">
        <f t="shared" si="5"/>
        <v>1193441.25</v>
      </c>
      <c r="V1173" s="3" t="str">
        <f>VLOOKUP(N1173,products!A:B,2,0)</f>
        <v>Office Supplies</v>
      </c>
      <c r="W1173" s="3" t="s">
        <v>28</v>
      </c>
      <c r="X1173" s="3" t="s">
        <v>33</v>
      </c>
      <c r="Y1173" s="14">
        <f t="shared" si="10"/>
        <v>0.193869873</v>
      </c>
      <c r="Z1173" s="3">
        <f t="shared" si="7"/>
        <v>17</v>
      </c>
      <c r="AA1173" s="15">
        <f t="shared" si="8"/>
        <v>6</v>
      </c>
    </row>
    <row r="1174" ht="15.75" customHeight="1">
      <c r="A1174" s="3">
        <v>8.86763894E8</v>
      </c>
      <c r="B1174" s="3" t="s">
        <v>839</v>
      </c>
      <c r="C1174" s="3">
        <f>IFERROR(__xludf.DUMMYFUNCTION("split(B1174,""/"")"),4.0)</f>
        <v>4</v>
      </c>
      <c r="D1174" s="10">
        <f>IFERROR(__xludf.DUMMYFUNCTION("""COMPUTED_VALUE"""),21.0)</f>
        <v>21</v>
      </c>
      <c r="E1174" s="11">
        <f>IFERROR(__xludf.DUMMYFUNCTION("""COMPUTED_VALUE"""),2013.0)</f>
        <v>2013</v>
      </c>
      <c r="F1174" s="12">
        <f t="shared" si="1"/>
        <v>41385</v>
      </c>
      <c r="G1174" s="3" t="s">
        <v>1793</v>
      </c>
      <c r="H1174" s="3">
        <f>IFERROR(__xludf.DUMMYFUNCTION("split(G1174,""/"")"),5.0)</f>
        <v>5</v>
      </c>
      <c r="I1174" s="3">
        <f>IFERROR(__xludf.DUMMYFUNCTION("""COMPUTED_VALUE"""),27.0)</f>
        <v>27</v>
      </c>
      <c r="J1174" s="3">
        <f>IFERROR(__xludf.DUMMYFUNCTION("""COMPUTED_VALUE"""),2013.0)</f>
        <v>2013</v>
      </c>
      <c r="K1174" s="12">
        <f t="shared" si="2"/>
        <v>41421</v>
      </c>
      <c r="L1174" s="3" t="s">
        <v>814</v>
      </c>
      <c r="M1174" s="3" t="s">
        <v>653</v>
      </c>
      <c r="N1174" s="3">
        <v>5988.0</v>
      </c>
      <c r="O1174" s="3" t="s">
        <v>818</v>
      </c>
      <c r="P1174" s="10">
        <v>1997.0</v>
      </c>
      <c r="Q1174" s="13">
        <v>154.06</v>
      </c>
      <c r="R1174" s="13">
        <v>90.93</v>
      </c>
      <c r="S1174" s="13">
        <f t="shared" si="3"/>
        <v>307657.82</v>
      </c>
      <c r="T1174" s="13">
        <f t="shared" si="4"/>
        <v>181587.21</v>
      </c>
      <c r="U1174" s="13">
        <f t="shared" si="5"/>
        <v>126070.61</v>
      </c>
      <c r="V1174" s="3" t="str">
        <f>VLOOKUP(N1174,products!A:B,2,0)</f>
        <v>Vegetables</v>
      </c>
      <c r="W1174" s="3" t="s">
        <v>28</v>
      </c>
      <c r="X1174" s="3" t="s">
        <v>33</v>
      </c>
      <c r="Y1174" s="14">
        <f t="shared" si="10"/>
        <v>0.4097754122</v>
      </c>
      <c r="Z1174" s="3">
        <f t="shared" si="7"/>
        <v>36</v>
      </c>
      <c r="AA1174" s="15">
        <f t="shared" si="8"/>
        <v>1</v>
      </c>
    </row>
    <row r="1175" ht="15.75" customHeight="1">
      <c r="A1175" s="3">
        <v>8.8750118E8</v>
      </c>
      <c r="B1175" s="9">
        <v>42860.0</v>
      </c>
      <c r="C1175" s="3">
        <f>IFERROR(__xludf.DUMMYFUNCTION("split(B1175,""/"")"),5.0)</f>
        <v>5</v>
      </c>
      <c r="D1175" s="10">
        <f>IFERROR(__xludf.DUMMYFUNCTION("""COMPUTED_VALUE"""),5.0)</f>
        <v>5</v>
      </c>
      <c r="E1175" s="11">
        <f>IFERROR(__xludf.DUMMYFUNCTION("""COMPUTED_VALUE"""),2017.0)</f>
        <v>2017</v>
      </c>
      <c r="F1175" s="12">
        <f t="shared" si="1"/>
        <v>42860</v>
      </c>
      <c r="G1175" s="3" t="s">
        <v>991</v>
      </c>
      <c r="H1175" s="3">
        <f>IFERROR(__xludf.DUMMYFUNCTION("split(G1175,""/"")"),6.0)</f>
        <v>6</v>
      </c>
      <c r="I1175" s="3">
        <f>IFERROR(__xludf.DUMMYFUNCTION("""COMPUTED_VALUE"""),20.0)</f>
        <v>20</v>
      </c>
      <c r="J1175" s="3">
        <f>IFERROR(__xludf.DUMMYFUNCTION("""COMPUTED_VALUE"""),2017.0)</f>
        <v>2017</v>
      </c>
      <c r="K1175" s="12">
        <f t="shared" si="2"/>
        <v>42906</v>
      </c>
      <c r="L1175" s="3" t="s">
        <v>817</v>
      </c>
      <c r="M1175" s="3" t="s">
        <v>746</v>
      </c>
      <c r="N1175" s="3">
        <v>8293.0</v>
      </c>
      <c r="O1175" s="3" t="s">
        <v>815</v>
      </c>
      <c r="P1175" s="10">
        <v>176.0</v>
      </c>
      <c r="Q1175" s="13">
        <v>437.2</v>
      </c>
      <c r="R1175" s="13">
        <v>263.33</v>
      </c>
      <c r="S1175" s="13">
        <f t="shared" si="3"/>
        <v>76947.2</v>
      </c>
      <c r="T1175" s="13">
        <f t="shared" si="4"/>
        <v>46346.08</v>
      </c>
      <c r="U1175" s="13">
        <f t="shared" si="5"/>
        <v>30601.12</v>
      </c>
      <c r="V1175" s="3" t="str">
        <f>VLOOKUP(N1175,products!A:B,2,0)</f>
        <v>Cosmetics</v>
      </c>
      <c r="W1175" s="3" t="s">
        <v>28</v>
      </c>
      <c r="X1175" s="3" t="s">
        <v>29</v>
      </c>
      <c r="Y1175" s="14">
        <f t="shared" si="10"/>
        <v>0.3976898445</v>
      </c>
      <c r="Z1175" s="3">
        <f t="shared" si="7"/>
        <v>46</v>
      </c>
      <c r="AA1175" s="15">
        <f t="shared" si="8"/>
        <v>6</v>
      </c>
    </row>
    <row r="1176" ht="15.75" customHeight="1">
      <c r="A1176" s="3">
        <v>8.89093768E8</v>
      </c>
      <c r="B1176" s="9">
        <v>40455.0</v>
      </c>
      <c r="C1176" s="3">
        <f>IFERROR(__xludf.DUMMYFUNCTION("split(B1176,""/"")"),4.0)</f>
        <v>4</v>
      </c>
      <c r="D1176" s="10">
        <f>IFERROR(__xludf.DUMMYFUNCTION("""COMPUTED_VALUE"""),10.0)</f>
        <v>10</v>
      </c>
      <c r="E1176" s="11">
        <f>IFERROR(__xludf.DUMMYFUNCTION("""COMPUTED_VALUE"""),2010.0)</f>
        <v>2010</v>
      </c>
      <c r="F1176" s="12">
        <f t="shared" si="1"/>
        <v>40278</v>
      </c>
      <c r="G1176" s="3" t="s">
        <v>1396</v>
      </c>
      <c r="H1176" s="3">
        <f>IFERROR(__xludf.DUMMYFUNCTION("split(G1176,""/"")"),5.0)</f>
        <v>5</v>
      </c>
      <c r="I1176" s="3">
        <f>IFERROR(__xludf.DUMMYFUNCTION("""COMPUTED_VALUE"""),20.0)</f>
        <v>20</v>
      </c>
      <c r="J1176" s="3">
        <f>IFERROR(__xludf.DUMMYFUNCTION("""COMPUTED_VALUE"""),2010.0)</f>
        <v>2010</v>
      </c>
      <c r="K1176" s="12">
        <f t="shared" si="2"/>
        <v>40318</v>
      </c>
      <c r="L1176" s="3" t="s">
        <v>814</v>
      </c>
      <c r="M1176" s="3" t="s">
        <v>267</v>
      </c>
      <c r="N1176" s="3">
        <v>2103.0</v>
      </c>
      <c r="O1176" s="3" t="s">
        <v>818</v>
      </c>
      <c r="P1176" s="10">
        <v>1458.0</v>
      </c>
      <c r="Q1176" s="13">
        <v>205.7</v>
      </c>
      <c r="R1176" s="13">
        <v>117.11</v>
      </c>
      <c r="S1176" s="13">
        <f t="shared" si="3"/>
        <v>299910.6</v>
      </c>
      <c r="T1176" s="13">
        <f t="shared" si="4"/>
        <v>170746.38</v>
      </c>
      <c r="U1176" s="13">
        <f t="shared" si="5"/>
        <v>129164.22</v>
      </c>
      <c r="V1176" s="3" t="str">
        <f>VLOOKUP(N1176,products!A:B,2,0)</f>
        <v>Cereal</v>
      </c>
      <c r="W1176" s="3" t="s">
        <v>28</v>
      </c>
      <c r="X1176" s="3" t="s">
        <v>29</v>
      </c>
      <c r="Y1176" s="14">
        <f t="shared" si="10"/>
        <v>0.4306757414</v>
      </c>
      <c r="Z1176" s="3">
        <f t="shared" si="7"/>
        <v>40</v>
      </c>
      <c r="AA1176" s="15">
        <f t="shared" si="8"/>
        <v>7</v>
      </c>
    </row>
    <row r="1177" ht="15.75" customHeight="1">
      <c r="A1177" s="3">
        <v>8.89125955E8</v>
      </c>
      <c r="B1177" s="3" t="s">
        <v>1534</v>
      </c>
      <c r="C1177" s="3">
        <f>IFERROR(__xludf.DUMMYFUNCTION("split(B1177,""/"")"),5.0)</f>
        <v>5</v>
      </c>
      <c r="D1177" s="10">
        <f>IFERROR(__xludf.DUMMYFUNCTION("""COMPUTED_VALUE"""),27.0)</f>
        <v>27</v>
      </c>
      <c r="E1177" s="11">
        <f>IFERROR(__xludf.DUMMYFUNCTION("""COMPUTED_VALUE"""),2014.0)</f>
        <v>2014</v>
      </c>
      <c r="F1177" s="12">
        <f t="shared" si="1"/>
        <v>41786</v>
      </c>
      <c r="G1177" s="3" t="s">
        <v>1673</v>
      </c>
      <c r="H1177" s="3">
        <f>IFERROR(__xludf.DUMMYFUNCTION("split(G1177,""/"")"),6.0)</f>
        <v>6</v>
      </c>
      <c r="I1177" s="3">
        <f>IFERROR(__xludf.DUMMYFUNCTION("""COMPUTED_VALUE"""),15.0)</f>
        <v>15</v>
      </c>
      <c r="J1177" s="3">
        <f>IFERROR(__xludf.DUMMYFUNCTION("""COMPUTED_VALUE"""),2014.0)</f>
        <v>2014</v>
      </c>
      <c r="K1177" s="12">
        <f t="shared" si="2"/>
        <v>41805</v>
      </c>
      <c r="L1177" s="3" t="s">
        <v>827</v>
      </c>
      <c r="M1177" s="3" t="s">
        <v>46</v>
      </c>
      <c r="N1177" s="3">
        <v>4594.0</v>
      </c>
      <c r="O1177" s="3" t="s">
        <v>818</v>
      </c>
      <c r="P1177" s="10">
        <v>983.0</v>
      </c>
      <c r="Q1177" s="13">
        <v>9.33</v>
      </c>
      <c r="R1177" s="13">
        <v>6.92</v>
      </c>
      <c r="S1177" s="13">
        <f t="shared" si="3"/>
        <v>9171.39</v>
      </c>
      <c r="T1177" s="13">
        <f t="shared" si="4"/>
        <v>6802.36</v>
      </c>
      <c r="U1177" s="13">
        <f t="shared" si="5"/>
        <v>2369.03</v>
      </c>
      <c r="V1177" s="3" t="str">
        <f>VLOOKUP(N1177,products!A:B,2,0)</f>
        <v>Fruits</v>
      </c>
      <c r="W1177" s="3" t="s">
        <v>28</v>
      </c>
      <c r="X1177" s="3" t="s">
        <v>33</v>
      </c>
      <c r="Y1177" s="14">
        <f t="shared" si="10"/>
        <v>0.258306538</v>
      </c>
      <c r="Z1177" s="3">
        <f t="shared" si="7"/>
        <v>19</v>
      </c>
      <c r="AA1177" s="15">
        <f t="shared" si="8"/>
        <v>3</v>
      </c>
    </row>
    <row r="1178" ht="15.75" customHeight="1">
      <c r="A1178" s="3">
        <v>8.91681563E8</v>
      </c>
      <c r="B1178" s="9">
        <v>40911.0</v>
      </c>
      <c r="C1178" s="3">
        <f>IFERROR(__xludf.DUMMYFUNCTION("split(B1178,""/"")"),3.0)</f>
        <v>3</v>
      </c>
      <c r="D1178" s="10">
        <f>IFERROR(__xludf.DUMMYFUNCTION("""COMPUTED_VALUE"""),1.0)</f>
        <v>1</v>
      </c>
      <c r="E1178" s="11">
        <f>IFERROR(__xludf.DUMMYFUNCTION("""COMPUTED_VALUE"""),2012.0)</f>
        <v>2012</v>
      </c>
      <c r="F1178" s="12">
        <f t="shared" si="1"/>
        <v>40969</v>
      </c>
      <c r="G1178" s="3" t="s">
        <v>1489</v>
      </c>
      <c r="H1178" s="3">
        <f>IFERROR(__xludf.DUMMYFUNCTION("split(G1178,""/"")"),3.0)</f>
        <v>3</v>
      </c>
      <c r="I1178" s="3">
        <f>IFERROR(__xludf.DUMMYFUNCTION("""COMPUTED_VALUE"""),27.0)</f>
        <v>27</v>
      </c>
      <c r="J1178" s="3">
        <f>IFERROR(__xludf.DUMMYFUNCTION("""COMPUTED_VALUE"""),2012.0)</f>
        <v>2012</v>
      </c>
      <c r="K1178" s="12">
        <f t="shared" si="2"/>
        <v>40995</v>
      </c>
      <c r="L1178" s="3" t="s">
        <v>814</v>
      </c>
      <c r="M1178" s="3" t="s">
        <v>123</v>
      </c>
      <c r="N1178" s="3">
        <v>7940.0</v>
      </c>
      <c r="O1178" s="3" t="s">
        <v>818</v>
      </c>
      <c r="P1178" s="10">
        <v>7245.0</v>
      </c>
      <c r="Q1178" s="13">
        <v>668.27</v>
      </c>
      <c r="R1178" s="13">
        <v>502.54</v>
      </c>
      <c r="S1178" s="13">
        <f t="shared" si="3"/>
        <v>4841616.15</v>
      </c>
      <c r="T1178" s="13">
        <f t="shared" si="4"/>
        <v>3640902.3</v>
      </c>
      <c r="U1178" s="13">
        <f t="shared" si="5"/>
        <v>1200713.85</v>
      </c>
      <c r="V1178" s="3" t="str">
        <f>VLOOKUP(N1178,products!A:B,2,0)</f>
        <v>Household</v>
      </c>
      <c r="W1178" s="3" t="s">
        <v>28</v>
      </c>
      <c r="X1178" s="3" t="s">
        <v>33</v>
      </c>
      <c r="Y1178" s="14">
        <f t="shared" si="10"/>
        <v>0.2479985635</v>
      </c>
      <c r="Z1178" s="3">
        <f t="shared" si="7"/>
        <v>26</v>
      </c>
      <c r="AA1178" s="15">
        <f t="shared" si="8"/>
        <v>5</v>
      </c>
    </row>
    <row r="1179" ht="15.75" customHeight="1">
      <c r="A1179" s="3">
        <v>8.91808593E8</v>
      </c>
      <c r="B1179" s="3" t="s">
        <v>1462</v>
      </c>
      <c r="C1179" s="3">
        <f>IFERROR(__xludf.DUMMYFUNCTION("split(B1179,""/"")"),5.0)</f>
        <v>5</v>
      </c>
      <c r="D1179" s="10">
        <f>IFERROR(__xludf.DUMMYFUNCTION("""COMPUTED_VALUE"""),30.0)</f>
        <v>30</v>
      </c>
      <c r="E1179" s="11">
        <f>IFERROR(__xludf.DUMMYFUNCTION("""COMPUTED_VALUE"""),2012.0)</f>
        <v>2012</v>
      </c>
      <c r="F1179" s="12">
        <f t="shared" si="1"/>
        <v>41059</v>
      </c>
      <c r="G1179" s="9">
        <v>41219.0</v>
      </c>
      <c r="H1179" s="3">
        <f>IFERROR(__xludf.DUMMYFUNCTION("split(G1179,""/"")"),6.0)</f>
        <v>6</v>
      </c>
      <c r="I1179" s="3">
        <f>IFERROR(__xludf.DUMMYFUNCTION("""COMPUTED_VALUE"""),11.0)</f>
        <v>11</v>
      </c>
      <c r="J1179" s="3">
        <f>IFERROR(__xludf.DUMMYFUNCTION("""COMPUTED_VALUE"""),2012.0)</f>
        <v>2012</v>
      </c>
      <c r="K1179" s="12">
        <f t="shared" si="2"/>
        <v>41071</v>
      </c>
      <c r="L1179" s="3" t="s">
        <v>827</v>
      </c>
      <c r="M1179" s="3" t="s">
        <v>650</v>
      </c>
      <c r="N1179" s="3">
        <v>7331.0</v>
      </c>
      <c r="O1179" s="3" t="s">
        <v>818</v>
      </c>
      <c r="P1179" s="10">
        <v>4835.0</v>
      </c>
      <c r="Q1179" s="13">
        <v>255.28</v>
      </c>
      <c r="R1179" s="13">
        <v>159.42</v>
      </c>
      <c r="S1179" s="13">
        <f t="shared" si="3"/>
        <v>1234278.8</v>
      </c>
      <c r="T1179" s="13">
        <f t="shared" si="4"/>
        <v>770795.7</v>
      </c>
      <c r="U1179" s="13">
        <f t="shared" si="5"/>
        <v>463483.1</v>
      </c>
      <c r="V1179" s="3" t="str">
        <f>VLOOKUP(N1179,products!A:B,2,0)</f>
        <v>Baby Food</v>
      </c>
      <c r="W1179" s="3" t="s">
        <v>28</v>
      </c>
      <c r="X1179" s="3" t="s">
        <v>98</v>
      </c>
      <c r="Y1179" s="14">
        <f t="shared" si="10"/>
        <v>0.3755092448</v>
      </c>
      <c r="Z1179" s="3">
        <f t="shared" si="7"/>
        <v>12</v>
      </c>
      <c r="AA1179" s="15">
        <f t="shared" si="8"/>
        <v>4</v>
      </c>
    </row>
    <row r="1180" ht="15.75" customHeight="1">
      <c r="A1180" s="3">
        <v>8.92042911E8</v>
      </c>
      <c r="B1180" s="3" t="s">
        <v>1794</v>
      </c>
      <c r="C1180" s="3">
        <f>IFERROR(__xludf.DUMMYFUNCTION("split(B1180,""/"")"),4.0)</f>
        <v>4</v>
      </c>
      <c r="D1180" s="10">
        <f>IFERROR(__xludf.DUMMYFUNCTION("""COMPUTED_VALUE"""),13.0)</f>
        <v>13</v>
      </c>
      <c r="E1180" s="11">
        <f>IFERROR(__xludf.DUMMYFUNCTION("""COMPUTED_VALUE"""),2011.0)</f>
        <v>2011</v>
      </c>
      <c r="F1180" s="12">
        <f t="shared" si="1"/>
        <v>40646</v>
      </c>
      <c r="G1180" s="9">
        <v>40882.0</v>
      </c>
      <c r="H1180" s="3">
        <f>IFERROR(__xludf.DUMMYFUNCTION("split(G1180,""/"")"),5.0)</f>
        <v>5</v>
      </c>
      <c r="I1180" s="3">
        <f>IFERROR(__xludf.DUMMYFUNCTION("""COMPUTED_VALUE"""),12.0)</f>
        <v>12</v>
      </c>
      <c r="J1180" s="3">
        <f>IFERROR(__xludf.DUMMYFUNCTION("""COMPUTED_VALUE"""),2011.0)</f>
        <v>2011</v>
      </c>
      <c r="K1180" s="12">
        <f t="shared" si="2"/>
        <v>40675</v>
      </c>
      <c r="L1180" s="3" t="s">
        <v>827</v>
      </c>
      <c r="M1180" s="3" t="s">
        <v>575</v>
      </c>
      <c r="N1180" s="3">
        <v>8293.0</v>
      </c>
      <c r="O1180" s="3" t="s">
        <v>818</v>
      </c>
      <c r="P1180" s="10">
        <v>4175.0</v>
      </c>
      <c r="Q1180" s="13">
        <v>437.2</v>
      </c>
      <c r="R1180" s="13">
        <v>263.33</v>
      </c>
      <c r="S1180" s="13">
        <f t="shared" si="3"/>
        <v>1825310</v>
      </c>
      <c r="T1180" s="13">
        <f t="shared" si="4"/>
        <v>1099402.75</v>
      </c>
      <c r="U1180" s="13">
        <f t="shared" si="5"/>
        <v>725907.25</v>
      </c>
      <c r="V1180" s="3" t="str">
        <f>VLOOKUP(N1180,products!A:B,2,0)</f>
        <v>Cosmetics</v>
      </c>
      <c r="W1180" s="3" t="s">
        <v>28</v>
      </c>
      <c r="X1180" s="3" t="s">
        <v>98</v>
      </c>
      <c r="Y1180" s="14">
        <f t="shared" si="10"/>
        <v>0.3976898445</v>
      </c>
      <c r="Z1180" s="3">
        <f t="shared" si="7"/>
        <v>29</v>
      </c>
      <c r="AA1180" s="15">
        <f t="shared" si="8"/>
        <v>4</v>
      </c>
    </row>
    <row r="1181" ht="15.75" customHeight="1">
      <c r="A1181" s="3">
        <v>8.94589078E8</v>
      </c>
      <c r="B1181" s="9">
        <v>41946.0</v>
      </c>
      <c r="C1181" s="3">
        <f>IFERROR(__xludf.DUMMYFUNCTION("split(B1181,""/"")"),3.0)</f>
        <v>3</v>
      </c>
      <c r="D1181" s="10">
        <f>IFERROR(__xludf.DUMMYFUNCTION("""COMPUTED_VALUE"""),11.0)</f>
        <v>11</v>
      </c>
      <c r="E1181" s="11">
        <f>IFERROR(__xludf.DUMMYFUNCTION("""COMPUTED_VALUE"""),2014.0)</f>
        <v>2014</v>
      </c>
      <c r="F1181" s="12">
        <f t="shared" si="1"/>
        <v>41709</v>
      </c>
      <c r="G1181" s="9">
        <v>41916.0</v>
      </c>
      <c r="H1181" s="3">
        <f>IFERROR(__xludf.DUMMYFUNCTION("split(G1181,""/"")"),4.0)</f>
        <v>4</v>
      </c>
      <c r="I1181" s="3">
        <f>IFERROR(__xludf.DUMMYFUNCTION("""COMPUTED_VALUE"""),10.0)</f>
        <v>10</v>
      </c>
      <c r="J1181" s="3">
        <f>IFERROR(__xludf.DUMMYFUNCTION("""COMPUTED_VALUE"""),2014.0)</f>
        <v>2014</v>
      </c>
      <c r="K1181" s="12">
        <f t="shared" si="2"/>
        <v>41739</v>
      </c>
      <c r="L1181" s="3" t="s">
        <v>814</v>
      </c>
      <c r="M1181" s="3" t="s">
        <v>455</v>
      </c>
      <c r="N1181" s="3">
        <v>5988.0</v>
      </c>
      <c r="O1181" s="3" t="s">
        <v>815</v>
      </c>
      <c r="P1181" s="10">
        <v>7643.0</v>
      </c>
      <c r="Q1181" s="13">
        <v>154.06</v>
      </c>
      <c r="R1181" s="13">
        <v>90.93</v>
      </c>
      <c r="S1181" s="13">
        <f t="shared" si="3"/>
        <v>1177480.58</v>
      </c>
      <c r="T1181" s="13">
        <f t="shared" si="4"/>
        <v>694977.99</v>
      </c>
      <c r="U1181" s="13">
        <f t="shared" si="5"/>
        <v>482502.59</v>
      </c>
      <c r="V1181" s="3" t="str">
        <f>VLOOKUP(N1181,products!A:B,2,0)</f>
        <v>Vegetables</v>
      </c>
      <c r="W1181" s="3" t="s">
        <v>28</v>
      </c>
      <c r="X1181" s="3" t="s">
        <v>33</v>
      </c>
      <c r="Y1181" s="14">
        <f t="shared" si="10"/>
        <v>0.4097754122</v>
      </c>
      <c r="Z1181" s="3">
        <f t="shared" si="7"/>
        <v>30</v>
      </c>
      <c r="AA1181" s="15">
        <f t="shared" si="8"/>
        <v>3</v>
      </c>
    </row>
    <row r="1182" ht="15.75" customHeight="1">
      <c r="A1182" s="3">
        <v>8.97317206E8</v>
      </c>
      <c r="B1182" s="3" t="s">
        <v>1698</v>
      </c>
      <c r="C1182" s="3">
        <f>IFERROR(__xludf.DUMMYFUNCTION("split(B1182,""/"")"),8.0)</f>
        <v>8</v>
      </c>
      <c r="D1182" s="10">
        <f>IFERROR(__xludf.DUMMYFUNCTION("""COMPUTED_VALUE"""),13.0)</f>
        <v>13</v>
      </c>
      <c r="E1182" s="11">
        <f>IFERROR(__xludf.DUMMYFUNCTION("""COMPUTED_VALUE"""),2015.0)</f>
        <v>2015</v>
      </c>
      <c r="F1182" s="12">
        <f t="shared" si="1"/>
        <v>42229</v>
      </c>
      <c r="G1182" s="9">
        <v>42013.0</v>
      </c>
      <c r="H1182" s="3">
        <f>IFERROR(__xludf.DUMMYFUNCTION("split(G1182,""/"")"),9.0)</f>
        <v>9</v>
      </c>
      <c r="I1182" s="3">
        <f>IFERROR(__xludf.DUMMYFUNCTION("""COMPUTED_VALUE"""),1.0)</f>
        <v>1</v>
      </c>
      <c r="J1182" s="3">
        <f>IFERROR(__xludf.DUMMYFUNCTION("""COMPUTED_VALUE"""),2015.0)</f>
        <v>2015</v>
      </c>
      <c r="K1182" s="12">
        <f t="shared" si="2"/>
        <v>42248</v>
      </c>
      <c r="L1182" s="3" t="s">
        <v>827</v>
      </c>
      <c r="M1182" s="3" t="s">
        <v>373</v>
      </c>
      <c r="N1182" s="3">
        <v>1270.0</v>
      </c>
      <c r="O1182" s="3" t="s">
        <v>815</v>
      </c>
      <c r="P1182" s="10">
        <v>4957.0</v>
      </c>
      <c r="Q1182" s="13">
        <v>47.45</v>
      </c>
      <c r="R1182" s="13">
        <v>31.79</v>
      </c>
      <c r="S1182" s="13">
        <f t="shared" si="3"/>
        <v>235209.65</v>
      </c>
      <c r="T1182" s="13">
        <f t="shared" si="4"/>
        <v>157583.03</v>
      </c>
      <c r="U1182" s="13">
        <f t="shared" si="5"/>
        <v>77626.62</v>
      </c>
      <c r="V1182" s="3" t="str">
        <f>VLOOKUP(N1182,products!A:B,2,0)</f>
        <v>Beverages</v>
      </c>
      <c r="W1182" s="3" t="s">
        <v>28</v>
      </c>
      <c r="X1182" s="3" t="s">
        <v>33</v>
      </c>
      <c r="Y1182" s="14">
        <f t="shared" si="10"/>
        <v>0.3300316122</v>
      </c>
      <c r="Z1182" s="3">
        <f t="shared" si="7"/>
        <v>19</v>
      </c>
      <c r="AA1182" s="15">
        <f t="shared" si="8"/>
        <v>5</v>
      </c>
    </row>
    <row r="1183" ht="15.75" customHeight="1">
      <c r="A1183" s="3">
        <v>8.97638213E8</v>
      </c>
      <c r="B1183" s="3" t="s">
        <v>1250</v>
      </c>
      <c r="C1183" s="3">
        <f>IFERROR(__xludf.DUMMYFUNCTION("split(B1183,""/"")"),9.0)</f>
        <v>9</v>
      </c>
      <c r="D1183" s="10">
        <f>IFERROR(__xludf.DUMMYFUNCTION("""COMPUTED_VALUE"""),14.0)</f>
        <v>14</v>
      </c>
      <c r="E1183" s="11">
        <f>IFERROR(__xludf.DUMMYFUNCTION("""COMPUTED_VALUE"""),2014.0)</f>
        <v>2014</v>
      </c>
      <c r="F1183" s="12">
        <f t="shared" si="1"/>
        <v>41896</v>
      </c>
      <c r="G1183" s="9">
        <v>41861.0</v>
      </c>
      <c r="H1183" s="3">
        <f>IFERROR(__xludf.DUMMYFUNCTION("split(G1183,""/"")"),10.0)</f>
        <v>10</v>
      </c>
      <c r="I1183" s="3">
        <f>IFERROR(__xludf.DUMMYFUNCTION("""COMPUTED_VALUE"""),8.0)</f>
        <v>8</v>
      </c>
      <c r="J1183" s="3">
        <f>IFERROR(__xludf.DUMMYFUNCTION("""COMPUTED_VALUE"""),2014.0)</f>
        <v>2014</v>
      </c>
      <c r="K1183" s="12">
        <f t="shared" si="2"/>
        <v>41920</v>
      </c>
      <c r="L1183" s="3" t="s">
        <v>814</v>
      </c>
      <c r="M1183" s="3" t="s">
        <v>578</v>
      </c>
      <c r="N1183" s="3">
        <v>2103.0</v>
      </c>
      <c r="O1183" s="3" t="s">
        <v>818</v>
      </c>
      <c r="P1183" s="10">
        <v>9950.0</v>
      </c>
      <c r="Q1183" s="13">
        <v>205.7</v>
      </c>
      <c r="R1183" s="13">
        <v>117.11</v>
      </c>
      <c r="S1183" s="13">
        <f t="shared" si="3"/>
        <v>2046715</v>
      </c>
      <c r="T1183" s="13">
        <f t="shared" si="4"/>
        <v>1165244.5</v>
      </c>
      <c r="U1183" s="13">
        <f t="shared" si="5"/>
        <v>881470.5</v>
      </c>
      <c r="V1183" s="3" t="str">
        <f>VLOOKUP(N1183,products!A:B,2,0)</f>
        <v>Cereal</v>
      </c>
      <c r="W1183" s="3" t="s">
        <v>28</v>
      </c>
      <c r="X1183" s="3" t="s">
        <v>33</v>
      </c>
      <c r="Y1183" s="14">
        <f t="shared" si="10"/>
        <v>0.4306757414</v>
      </c>
      <c r="Z1183" s="3">
        <f t="shared" si="7"/>
        <v>24</v>
      </c>
      <c r="AA1183" s="15">
        <f t="shared" si="8"/>
        <v>1</v>
      </c>
    </row>
    <row r="1184" ht="15.75" customHeight="1">
      <c r="A1184" s="3">
        <v>8.97785842E8</v>
      </c>
      <c r="B1184" s="9">
        <v>41491.0</v>
      </c>
      <c r="C1184" s="3">
        <f>IFERROR(__xludf.DUMMYFUNCTION("split(B1184,""/"")"),5.0)</f>
        <v>5</v>
      </c>
      <c r="D1184" s="10">
        <f>IFERROR(__xludf.DUMMYFUNCTION("""COMPUTED_VALUE"""),8.0)</f>
        <v>8</v>
      </c>
      <c r="E1184" s="11">
        <f>IFERROR(__xludf.DUMMYFUNCTION("""COMPUTED_VALUE"""),2013.0)</f>
        <v>2013</v>
      </c>
      <c r="F1184" s="12">
        <f t="shared" si="1"/>
        <v>41402</v>
      </c>
      <c r="G1184" s="9">
        <v>41613.0</v>
      </c>
      <c r="H1184" s="3">
        <f>IFERROR(__xludf.DUMMYFUNCTION("split(G1184,""/"")"),5.0)</f>
        <v>5</v>
      </c>
      <c r="I1184" s="3">
        <f>IFERROR(__xludf.DUMMYFUNCTION("""COMPUTED_VALUE"""),12.0)</f>
        <v>12</v>
      </c>
      <c r="J1184" s="3">
        <f>IFERROR(__xludf.DUMMYFUNCTION("""COMPUTED_VALUE"""),2013.0)</f>
        <v>2013</v>
      </c>
      <c r="K1184" s="12">
        <f t="shared" si="2"/>
        <v>41406</v>
      </c>
      <c r="L1184" s="3" t="s">
        <v>825</v>
      </c>
      <c r="M1184" s="3" t="s">
        <v>215</v>
      </c>
      <c r="N1184" s="3">
        <v>8681.0</v>
      </c>
      <c r="O1184" s="3" t="s">
        <v>818</v>
      </c>
      <c r="P1184" s="10">
        <v>3636.0</v>
      </c>
      <c r="Q1184" s="13">
        <v>651.21</v>
      </c>
      <c r="R1184" s="13">
        <v>524.96</v>
      </c>
      <c r="S1184" s="13">
        <f t="shared" si="3"/>
        <v>2367799.56</v>
      </c>
      <c r="T1184" s="13">
        <f t="shared" si="4"/>
        <v>1908754.56</v>
      </c>
      <c r="U1184" s="13">
        <f t="shared" si="5"/>
        <v>459045</v>
      </c>
      <c r="V1184" s="3" t="str">
        <f>VLOOKUP(N1184,products!A:B,2,0)</f>
        <v>Office Supplies</v>
      </c>
      <c r="W1184" s="3" t="s">
        <v>23</v>
      </c>
      <c r="X1184" s="3" t="s">
        <v>68</v>
      </c>
      <c r="Y1184" s="14">
        <f t="shared" si="10"/>
        <v>0.193869873</v>
      </c>
      <c r="Z1184" s="3">
        <f t="shared" si="7"/>
        <v>4</v>
      </c>
      <c r="AA1184" s="15">
        <f t="shared" si="8"/>
        <v>4</v>
      </c>
    </row>
    <row r="1185" ht="15.75" customHeight="1">
      <c r="A1185" s="3">
        <v>8.98211562E8</v>
      </c>
      <c r="B1185" s="3" t="s">
        <v>1478</v>
      </c>
      <c r="C1185" s="3">
        <f>IFERROR(__xludf.DUMMYFUNCTION("split(B1185,""/"")"),2.0)</f>
        <v>2</v>
      </c>
      <c r="D1185" s="10">
        <f>IFERROR(__xludf.DUMMYFUNCTION("""COMPUTED_VALUE"""),25.0)</f>
        <v>25</v>
      </c>
      <c r="E1185" s="11">
        <f>IFERROR(__xludf.DUMMYFUNCTION("""COMPUTED_VALUE"""),2013.0)</f>
        <v>2013</v>
      </c>
      <c r="F1185" s="12">
        <f t="shared" si="1"/>
        <v>41330</v>
      </c>
      <c r="G1185" s="9">
        <v>41611.0</v>
      </c>
      <c r="H1185" s="3">
        <f>IFERROR(__xludf.DUMMYFUNCTION("split(G1185,""/"")"),3.0)</f>
        <v>3</v>
      </c>
      <c r="I1185" s="3">
        <f>IFERROR(__xludf.DUMMYFUNCTION("""COMPUTED_VALUE"""),12.0)</f>
        <v>12</v>
      </c>
      <c r="J1185" s="3">
        <f>IFERROR(__xludf.DUMMYFUNCTION("""COMPUTED_VALUE"""),2013.0)</f>
        <v>2013</v>
      </c>
      <c r="K1185" s="12">
        <f t="shared" si="2"/>
        <v>41345</v>
      </c>
      <c r="L1185" s="3" t="s">
        <v>825</v>
      </c>
      <c r="M1185" s="3" t="s">
        <v>248</v>
      </c>
      <c r="N1185" s="3">
        <v>4594.0</v>
      </c>
      <c r="O1185" s="3" t="s">
        <v>818</v>
      </c>
      <c r="P1185" s="10">
        <v>9616.0</v>
      </c>
      <c r="Q1185" s="13">
        <v>9.33</v>
      </c>
      <c r="R1185" s="13">
        <v>6.92</v>
      </c>
      <c r="S1185" s="13">
        <f t="shared" si="3"/>
        <v>89717.28</v>
      </c>
      <c r="T1185" s="13">
        <f t="shared" si="4"/>
        <v>66542.72</v>
      </c>
      <c r="U1185" s="13">
        <f t="shared" si="5"/>
        <v>23174.56</v>
      </c>
      <c r="V1185" s="3" t="str">
        <f>VLOOKUP(N1185,products!A:B,2,0)</f>
        <v>Fruits</v>
      </c>
      <c r="W1185" s="3" t="s">
        <v>28</v>
      </c>
      <c r="X1185" s="3" t="s">
        <v>29</v>
      </c>
      <c r="Y1185" s="14">
        <f t="shared" si="10"/>
        <v>0.258306538</v>
      </c>
      <c r="Z1185" s="3">
        <f t="shared" si="7"/>
        <v>15</v>
      </c>
      <c r="AA1185" s="15">
        <f t="shared" si="8"/>
        <v>2</v>
      </c>
    </row>
    <row r="1186" ht="15.75" customHeight="1">
      <c r="A1186" s="3">
        <v>8.99868094E8</v>
      </c>
      <c r="B1186" s="9">
        <v>40942.0</v>
      </c>
      <c r="C1186" s="3">
        <f>IFERROR(__xludf.DUMMYFUNCTION("split(B1186,""/"")"),3.0)</f>
        <v>3</v>
      </c>
      <c r="D1186" s="10">
        <f>IFERROR(__xludf.DUMMYFUNCTION("""COMPUTED_VALUE"""),2.0)</f>
        <v>2</v>
      </c>
      <c r="E1186" s="11">
        <f>IFERROR(__xludf.DUMMYFUNCTION("""COMPUTED_VALUE"""),2012.0)</f>
        <v>2012</v>
      </c>
      <c r="F1186" s="12">
        <f t="shared" si="1"/>
        <v>40970</v>
      </c>
      <c r="G1186" s="3" t="s">
        <v>1795</v>
      </c>
      <c r="H1186" s="3">
        <f>IFERROR(__xludf.DUMMYFUNCTION("split(G1186,""/"")"),3.0)</f>
        <v>3</v>
      </c>
      <c r="I1186" s="3">
        <f>IFERROR(__xludf.DUMMYFUNCTION("""COMPUTED_VALUE"""),26.0)</f>
        <v>26</v>
      </c>
      <c r="J1186" s="3">
        <f>IFERROR(__xludf.DUMMYFUNCTION("""COMPUTED_VALUE"""),2012.0)</f>
        <v>2012</v>
      </c>
      <c r="K1186" s="12">
        <f t="shared" si="2"/>
        <v>40994</v>
      </c>
      <c r="L1186" s="3" t="s">
        <v>817</v>
      </c>
      <c r="M1186" s="3" t="s">
        <v>821</v>
      </c>
      <c r="N1186" s="3">
        <v>4594.0</v>
      </c>
      <c r="O1186" s="3" t="s">
        <v>815</v>
      </c>
      <c r="P1186" s="10">
        <v>9821.0</v>
      </c>
      <c r="Q1186" s="13">
        <v>9.33</v>
      </c>
      <c r="R1186" s="13">
        <v>6.92</v>
      </c>
      <c r="S1186" s="13">
        <f t="shared" si="3"/>
        <v>91629.93</v>
      </c>
      <c r="T1186" s="13">
        <f t="shared" si="4"/>
        <v>67961.32</v>
      </c>
      <c r="U1186" s="13">
        <f t="shared" si="5"/>
        <v>23668.61</v>
      </c>
      <c r="V1186" s="3" t="str">
        <f>VLOOKUP(N1186,products!A:B,2,0)</f>
        <v>Fruits</v>
      </c>
      <c r="W1186" s="3" t="s">
        <v>821</v>
      </c>
      <c r="X1186" s="3" t="s">
        <v>821</v>
      </c>
      <c r="Y1186" s="14">
        <f t="shared" si="10"/>
        <v>0.258306538</v>
      </c>
      <c r="Z1186" s="3">
        <f t="shared" si="7"/>
        <v>24</v>
      </c>
      <c r="AA1186" s="15">
        <f t="shared" si="8"/>
        <v>6</v>
      </c>
    </row>
    <row r="1187" ht="15.75" customHeight="1">
      <c r="A1187" s="3">
        <v>9.00808799E8</v>
      </c>
      <c r="B1187" s="3" t="s">
        <v>991</v>
      </c>
      <c r="C1187" s="3">
        <f>IFERROR(__xludf.DUMMYFUNCTION("split(B1187,""/"")"),6.0)</f>
        <v>6</v>
      </c>
      <c r="D1187" s="10">
        <f>IFERROR(__xludf.DUMMYFUNCTION("""COMPUTED_VALUE"""),20.0)</f>
        <v>20</v>
      </c>
      <c r="E1187" s="11">
        <f>IFERROR(__xludf.DUMMYFUNCTION("""COMPUTED_VALUE"""),2017.0)</f>
        <v>2017</v>
      </c>
      <c r="F1187" s="12">
        <f t="shared" si="1"/>
        <v>42906</v>
      </c>
      <c r="G1187" s="3" t="s">
        <v>1497</v>
      </c>
      <c r="H1187" s="3">
        <f>IFERROR(__xludf.DUMMYFUNCTION("split(G1187,""/"")"),6.0)</f>
        <v>6</v>
      </c>
      <c r="I1187" s="3">
        <f>IFERROR(__xludf.DUMMYFUNCTION("""COMPUTED_VALUE"""),28.0)</f>
        <v>28</v>
      </c>
      <c r="J1187" s="3">
        <f>IFERROR(__xludf.DUMMYFUNCTION("""COMPUTED_VALUE"""),2017.0)</f>
        <v>2017</v>
      </c>
      <c r="K1187" s="12">
        <f t="shared" si="2"/>
        <v>42914</v>
      </c>
      <c r="L1187" s="3" t="s">
        <v>817</v>
      </c>
      <c r="M1187" s="3" t="s">
        <v>300</v>
      </c>
      <c r="N1187" s="3">
        <v>8293.0</v>
      </c>
      <c r="O1187" s="3" t="s">
        <v>815</v>
      </c>
      <c r="P1187" s="10">
        <v>8196.0</v>
      </c>
      <c r="Q1187" s="13">
        <v>437.2</v>
      </c>
      <c r="R1187" s="13">
        <v>263.33</v>
      </c>
      <c r="S1187" s="13">
        <f t="shared" si="3"/>
        <v>3583291.2</v>
      </c>
      <c r="T1187" s="13">
        <f t="shared" si="4"/>
        <v>2158252.68</v>
      </c>
      <c r="U1187" s="13">
        <f t="shared" si="5"/>
        <v>1425038.52</v>
      </c>
      <c r="V1187" s="3" t="str">
        <f>VLOOKUP(N1187,products!A:B,2,0)</f>
        <v>Cosmetics</v>
      </c>
      <c r="W1187" s="3" t="s">
        <v>28</v>
      </c>
      <c r="X1187" s="3" t="s">
        <v>33</v>
      </c>
      <c r="Y1187" s="14">
        <f t="shared" si="10"/>
        <v>0.3976898445</v>
      </c>
      <c r="Z1187" s="3">
        <f t="shared" si="7"/>
        <v>8</v>
      </c>
      <c r="AA1187" s="15">
        <f t="shared" si="8"/>
        <v>3</v>
      </c>
    </row>
    <row r="1188" ht="15.75" customHeight="1">
      <c r="A1188" s="3">
        <v>9.01670968E8</v>
      </c>
      <c r="B1188" s="3" t="s">
        <v>1796</v>
      </c>
      <c r="C1188" s="3">
        <f>IFERROR(__xludf.DUMMYFUNCTION("split(B1188,""/"")"),11.0)</f>
        <v>11</v>
      </c>
      <c r="D1188" s="10">
        <f>IFERROR(__xludf.DUMMYFUNCTION("""COMPUTED_VALUE"""),16.0)</f>
        <v>16</v>
      </c>
      <c r="E1188" s="11">
        <f>IFERROR(__xludf.DUMMYFUNCTION("""COMPUTED_VALUE"""),2010.0)</f>
        <v>2010</v>
      </c>
      <c r="F1188" s="12">
        <f t="shared" si="1"/>
        <v>40498</v>
      </c>
      <c r="G1188" s="9">
        <v>40494.0</v>
      </c>
      <c r="H1188" s="3">
        <f>IFERROR(__xludf.DUMMYFUNCTION("split(G1188,""/"")"),12.0)</f>
        <v>12</v>
      </c>
      <c r="I1188" s="3">
        <f>IFERROR(__xludf.DUMMYFUNCTION("""COMPUTED_VALUE"""),11.0)</f>
        <v>11</v>
      </c>
      <c r="J1188" s="3">
        <f>IFERROR(__xludf.DUMMYFUNCTION("""COMPUTED_VALUE"""),2010.0)</f>
        <v>2010</v>
      </c>
      <c r="K1188" s="12">
        <f t="shared" si="2"/>
        <v>40523</v>
      </c>
      <c r="L1188" s="3" t="s">
        <v>817</v>
      </c>
      <c r="M1188" s="3" t="s">
        <v>364</v>
      </c>
      <c r="N1188" s="3">
        <v>5988.0</v>
      </c>
      <c r="O1188" s="3" t="s">
        <v>818</v>
      </c>
      <c r="P1188" s="10">
        <v>3331.0</v>
      </c>
      <c r="Q1188" s="13">
        <v>154.06</v>
      </c>
      <c r="R1188" s="13">
        <v>90.93</v>
      </c>
      <c r="S1188" s="13">
        <f t="shared" si="3"/>
        <v>513173.86</v>
      </c>
      <c r="T1188" s="13">
        <f t="shared" si="4"/>
        <v>302887.83</v>
      </c>
      <c r="U1188" s="13">
        <f t="shared" si="5"/>
        <v>210286.03</v>
      </c>
      <c r="V1188" s="3" t="str">
        <f>VLOOKUP(N1188,products!A:B,2,0)</f>
        <v>Vegetables</v>
      </c>
      <c r="W1188" s="3" t="s">
        <v>28</v>
      </c>
      <c r="X1188" s="3" t="s">
        <v>29</v>
      </c>
      <c r="Y1188" s="14">
        <f t="shared" si="10"/>
        <v>0.4097754122</v>
      </c>
      <c r="Z1188" s="3">
        <f t="shared" si="7"/>
        <v>25</v>
      </c>
      <c r="AA1188" s="15">
        <f t="shared" si="8"/>
        <v>3</v>
      </c>
    </row>
    <row r="1189" ht="15.75" customHeight="1">
      <c r="A1189" s="3">
        <v>9.01789844E8</v>
      </c>
      <c r="B1189" s="3" t="s">
        <v>1658</v>
      </c>
      <c r="C1189" s="3">
        <f>IFERROR(__xludf.DUMMYFUNCTION("split(B1189,""/"")"),3.0)</f>
        <v>3</v>
      </c>
      <c r="D1189" s="10">
        <f>IFERROR(__xludf.DUMMYFUNCTION("""COMPUTED_VALUE"""),24.0)</f>
        <v>24</v>
      </c>
      <c r="E1189" s="11">
        <f>IFERROR(__xludf.DUMMYFUNCTION("""COMPUTED_VALUE"""),2015.0)</f>
        <v>2015</v>
      </c>
      <c r="F1189" s="12">
        <f t="shared" si="1"/>
        <v>42087</v>
      </c>
      <c r="G1189" s="9">
        <v>42129.0</v>
      </c>
      <c r="H1189" s="3">
        <f>IFERROR(__xludf.DUMMYFUNCTION("split(G1189,""/"")"),5.0)</f>
        <v>5</v>
      </c>
      <c r="I1189" s="3">
        <f>IFERROR(__xludf.DUMMYFUNCTION("""COMPUTED_VALUE"""),5.0)</f>
        <v>5</v>
      </c>
      <c r="J1189" s="3">
        <f>IFERROR(__xludf.DUMMYFUNCTION("""COMPUTED_VALUE"""),2015.0)</f>
        <v>2015</v>
      </c>
      <c r="K1189" s="12">
        <f t="shared" si="2"/>
        <v>42129</v>
      </c>
      <c r="L1189" s="3" t="s">
        <v>827</v>
      </c>
      <c r="M1189" s="3" t="s">
        <v>455</v>
      </c>
      <c r="N1189" s="3">
        <v>8875.0</v>
      </c>
      <c r="O1189" s="3" t="s">
        <v>815</v>
      </c>
      <c r="P1189" s="10">
        <v>8509.0</v>
      </c>
      <c r="Q1189" s="13">
        <v>421.89</v>
      </c>
      <c r="R1189" s="13">
        <v>364.69</v>
      </c>
      <c r="S1189" s="13">
        <f t="shared" si="3"/>
        <v>3589862.01</v>
      </c>
      <c r="T1189" s="13">
        <f t="shared" si="4"/>
        <v>3103147.21</v>
      </c>
      <c r="U1189" s="13">
        <f t="shared" si="5"/>
        <v>486714.8</v>
      </c>
      <c r="V1189" s="3" t="str">
        <f>VLOOKUP(N1189,products!A:B,2,0)</f>
        <v>Meat</v>
      </c>
      <c r="W1189" s="3" t="s">
        <v>28</v>
      </c>
      <c r="X1189" s="3" t="s">
        <v>33</v>
      </c>
      <c r="Y1189" s="14">
        <f t="shared" si="10"/>
        <v>0.1355803646</v>
      </c>
      <c r="Z1189" s="3">
        <f t="shared" si="7"/>
        <v>42</v>
      </c>
      <c r="AA1189" s="15">
        <f t="shared" si="8"/>
        <v>3</v>
      </c>
    </row>
    <row r="1190" ht="15.75" customHeight="1">
      <c r="A1190" s="3">
        <v>9.04589211E8</v>
      </c>
      <c r="B1190" s="3" t="s">
        <v>1797</v>
      </c>
      <c r="C1190" s="3">
        <f>IFERROR(__xludf.DUMMYFUNCTION("split(B1190,""/"")"),4.0)</f>
        <v>4</v>
      </c>
      <c r="D1190" s="10">
        <f>IFERROR(__xludf.DUMMYFUNCTION("""COMPUTED_VALUE"""),13.0)</f>
        <v>13</v>
      </c>
      <c r="E1190" s="11">
        <f>IFERROR(__xludf.DUMMYFUNCTION("""COMPUTED_VALUE"""),2014.0)</f>
        <v>2014</v>
      </c>
      <c r="F1190" s="12">
        <f t="shared" si="1"/>
        <v>41742</v>
      </c>
      <c r="G1190" s="9">
        <v>41734.0</v>
      </c>
      <c r="H1190" s="3">
        <f>IFERROR(__xludf.DUMMYFUNCTION("split(G1190,""/"")"),5.0)</f>
        <v>5</v>
      </c>
      <c r="I1190" s="3">
        <f>IFERROR(__xludf.DUMMYFUNCTION("""COMPUTED_VALUE"""),4.0)</f>
        <v>4</v>
      </c>
      <c r="J1190" s="3">
        <f>IFERROR(__xludf.DUMMYFUNCTION("""COMPUTED_VALUE"""),2014.0)</f>
        <v>2014</v>
      </c>
      <c r="K1190" s="12">
        <f t="shared" si="2"/>
        <v>41763</v>
      </c>
      <c r="L1190" s="3" t="s">
        <v>827</v>
      </c>
      <c r="M1190" s="3" t="s">
        <v>623</v>
      </c>
      <c r="N1190" s="3">
        <v>8681.0</v>
      </c>
      <c r="O1190" s="3" t="s">
        <v>815</v>
      </c>
      <c r="P1190" s="10">
        <v>6905.0</v>
      </c>
      <c r="Q1190" s="13">
        <v>651.21</v>
      </c>
      <c r="R1190" s="13">
        <v>524.96</v>
      </c>
      <c r="S1190" s="13">
        <f t="shared" si="3"/>
        <v>4496605.05</v>
      </c>
      <c r="T1190" s="13">
        <f t="shared" si="4"/>
        <v>3624848.8</v>
      </c>
      <c r="U1190" s="13">
        <f t="shared" si="5"/>
        <v>871756.25</v>
      </c>
      <c r="V1190" s="3" t="str">
        <f>VLOOKUP(N1190,products!A:B,2,0)</f>
        <v>Office Supplies</v>
      </c>
      <c r="W1190" s="3" t="s">
        <v>28</v>
      </c>
      <c r="X1190" s="3" t="s">
        <v>33</v>
      </c>
      <c r="Y1190" s="14">
        <f t="shared" si="10"/>
        <v>0.193869873</v>
      </c>
      <c r="Z1190" s="3">
        <f t="shared" si="7"/>
        <v>21</v>
      </c>
      <c r="AA1190" s="15">
        <f t="shared" si="8"/>
        <v>1</v>
      </c>
    </row>
    <row r="1191" ht="15.75" customHeight="1">
      <c r="A1191" s="3">
        <v>9.048128E8</v>
      </c>
      <c r="B1191" s="9">
        <v>40796.0</v>
      </c>
      <c r="C1191" s="3">
        <f>IFERROR(__xludf.DUMMYFUNCTION("split(B1191,""/"")"),10.0)</f>
        <v>10</v>
      </c>
      <c r="D1191" s="10">
        <f>IFERROR(__xludf.DUMMYFUNCTION("""COMPUTED_VALUE"""),9.0)</f>
        <v>9</v>
      </c>
      <c r="E1191" s="11">
        <f>IFERROR(__xludf.DUMMYFUNCTION("""COMPUTED_VALUE"""),2011.0)</f>
        <v>2011</v>
      </c>
      <c r="F1191" s="12">
        <f t="shared" si="1"/>
        <v>40825</v>
      </c>
      <c r="G1191" s="3" t="s">
        <v>1744</v>
      </c>
      <c r="H1191" s="3">
        <f>IFERROR(__xludf.DUMMYFUNCTION("split(G1191,""/"")"),11.0)</f>
        <v>11</v>
      </c>
      <c r="I1191" s="3">
        <f>IFERROR(__xludf.DUMMYFUNCTION("""COMPUTED_VALUE"""),24.0)</f>
        <v>24</v>
      </c>
      <c r="J1191" s="3">
        <f>IFERROR(__xludf.DUMMYFUNCTION("""COMPUTED_VALUE"""),2011.0)</f>
        <v>2011</v>
      </c>
      <c r="K1191" s="12">
        <f t="shared" si="2"/>
        <v>40871</v>
      </c>
      <c r="L1191" s="3" t="s">
        <v>814</v>
      </c>
      <c r="M1191" s="3" t="s">
        <v>590</v>
      </c>
      <c r="N1191" s="3">
        <v>4594.0</v>
      </c>
      <c r="O1191" s="3" t="s">
        <v>818</v>
      </c>
      <c r="P1191" s="10">
        <v>3069.0</v>
      </c>
      <c r="Q1191" s="13">
        <v>9.33</v>
      </c>
      <c r="R1191" s="13">
        <v>6.92</v>
      </c>
      <c r="S1191" s="13">
        <f t="shared" si="3"/>
        <v>28633.77</v>
      </c>
      <c r="T1191" s="13">
        <f t="shared" si="4"/>
        <v>21237.48</v>
      </c>
      <c r="U1191" s="13">
        <f t="shared" si="5"/>
        <v>7396.29</v>
      </c>
      <c r="V1191" s="3" t="str">
        <f>VLOOKUP(N1191,products!A:B,2,0)</f>
        <v>Fruits</v>
      </c>
      <c r="W1191" s="3" t="s">
        <v>28</v>
      </c>
      <c r="X1191" s="3" t="s">
        <v>98</v>
      </c>
      <c r="Y1191" s="14">
        <f t="shared" si="10"/>
        <v>0.258306538</v>
      </c>
      <c r="Z1191" s="3">
        <f t="shared" si="7"/>
        <v>46</v>
      </c>
      <c r="AA1191" s="15">
        <f t="shared" si="8"/>
        <v>1</v>
      </c>
    </row>
    <row r="1192" ht="15.75" customHeight="1">
      <c r="A1192" s="3">
        <v>9.05036389E8</v>
      </c>
      <c r="B1192" s="9">
        <v>42380.0</v>
      </c>
      <c r="C1192" s="3">
        <f>IFERROR(__xludf.DUMMYFUNCTION("split(B1192,""/"")"),11.0)</f>
        <v>11</v>
      </c>
      <c r="D1192" s="10">
        <f>IFERROR(__xludf.DUMMYFUNCTION("""COMPUTED_VALUE"""),1.0)</f>
        <v>1</v>
      </c>
      <c r="E1192" s="11">
        <f>IFERROR(__xludf.DUMMYFUNCTION("""COMPUTED_VALUE"""),2016.0)</f>
        <v>2016</v>
      </c>
      <c r="F1192" s="12">
        <f t="shared" si="1"/>
        <v>42675</v>
      </c>
      <c r="G1192" s="3" t="s">
        <v>1798</v>
      </c>
      <c r="H1192" s="3">
        <f>IFERROR(__xludf.DUMMYFUNCTION("split(G1192,""/"")"),11.0)</f>
        <v>11</v>
      </c>
      <c r="I1192" s="3">
        <f>IFERROR(__xludf.DUMMYFUNCTION("""COMPUTED_VALUE"""),20.0)</f>
        <v>20</v>
      </c>
      <c r="J1192" s="3">
        <f>IFERROR(__xludf.DUMMYFUNCTION("""COMPUTED_VALUE"""),2016.0)</f>
        <v>2016</v>
      </c>
      <c r="K1192" s="12">
        <f t="shared" si="2"/>
        <v>42694</v>
      </c>
      <c r="L1192" s="3" t="s">
        <v>825</v>
      </c>
      <c r="M1192" s="3" t="s">
        <v>575</v>
      </c>
      <c r="N1192" s="3">
        <v>2103.0</v>
      </c>
      <c r="O1192" s="3" t="s">
        <v>815</v>
      </c>
      <c r="P1192" s="10">
        <v>9234.0</v>
      </c>
      <c r="Q1192" s="13">
        <v>205.7</v>
      </c>
      <c r="R1192" s="13">
        <v>117.11</v>
      </c>
      <c r="S1192" s="13">
        <f t="shared" si="3"/>
        <v>1899433.8</v>
      </c>
      <c r="T1192" s="13">
        <f t="shared" si="4"/>
        <v>1081393.74</v>
      </c>
      <c r="U1192" s="13">
        <f t="shared" si="5"/>
        <v>818040.06</v>
      </c>
      <c r="V1192" s="3" t="str">
        <f>VLOOKUP(N1192,products!A:B,2,0)</f>
        <v>Cereal</v>
      </c>
      <c r="W1192" s="3" t="s">
        <v>28</v>
      </c>
      <c r="X1192" s="3" t="s">
        <v>98</v>
      </c>
      <c r="Y1192" s="14">
        <f t="shared" si="10"/>
        <v>0.4306757414</v>
      </c>
      <c r="Z1192" s="3">
        <f t="shared" si="7"/>
        <v>19</v>
      </c>
      <c r="AA1192" s="15">
        <f t="shared" si="8"/>
        <v>3</v>
      </c>
    </row>
    <row r="1193" ht="15.75" customHeight="1">
      <c r="A1193" s="3">
        <v>9.05509746E8</v>
      </c>
      <c r="B1193" s="3" t="s">
        <v>1324</v>
      </c>
      <c r="C1193" s="3">
        <f>IFERROR(__xludf.DUMMYFUNCTION("split(B1193,""/"")"),10.0)</f>
        <v>10</v>
      </c>
      <c r="D1193" s="10">
        <f>IFERROR(__xludf.DUMMYFUNCTION("""COMPUTED_VALUE"""),13.0)</f>
        <v>13</v>
      </c>
      <c r="E1193" s="11">
        <f>IFERROR(__xludf.DUMMYFUNCTION("""COMPUTED_VALUE"""),2015.0)</f>
        <v>2015</v>
      </c>
      <c r="F1193" s="12">
        <f t="shared" si="1"/>
        <v>42290</v>
      </c>
      <c r="G1193" s="3" t="s">
        <v>1368</v>
      </c>
      <c r="H1193" s="3">
        <f>IFERROR(__xludf.DUMMYFUNCTION("split(G1193,""/"")"),10.0)</f>
        <v>10</v>
      </c>
      <c r="I1193" s="3">
        <f>IFERROR(__xludf.DUMMYFUNCTION("""COMPUTED_VALUE"""),20.0)</f>
        <v>20</v>
      </c>
      <c r="J1193" s="3">
        <f>IFERROR(__xludf.DUMMYFUNCTION("""COMPUTED_VALUE"""),2015.0)</f>
        <v>2015</v>
      </c>
      <c r="K1193" s="12">
        <f t="shared" si="2"/>
        <v>42297</v>
      </c>
      <c r="L1193" s="3" t="s">
        <v>825</v>
      </c>
      <c r="M1193" s="3" t="s">
        <v>536</v>
      </c>
      <c r="N1193" s="3">
        <v>7940.0</v>
      </c>
      <c r="O1193" s="3" t="s">
        <v>818</v>
      </c>
      <c r="P1193" s="10">
        <v>9311.0</v>
      </c>
      <c r="Q1193" s="13">
        <v>668.27</v>
      </c>
      <c r="R1193" s="13">
        <v>502.54</v>
      </c>
      <c r="S1193" s="13">
        <f t="shared" si="3"/>
        <v>6222261.97</v>
      </c>
      <c r="T1193" s="13">
        <f t="shared" si="4"/>
        <v>4679149.94</v>
      </c>
      <c r="U1193" s="13">
        <f t="shared" si="5"/>
        <v>1543112.03</v>
      </c>
      <c r="V1193" s="3" t="str">
        <f>VLOOKUP(N1193,products!A:B,2,0)</f>
        <v>Household</v>
      </c>
      <c r="W1193" s="3" t="s">
        <v>28</v>
      </c>
      <c r="X1193" s="3" t="s">
        <v>33</v>
      </c>
      <c r="Y1193" s="14">
        <f t="shared" si="10"/>
        <v>0.2479985635</v>
      </c>
      <c r="Z1193" s="3">
        <f t="shared" si="7"/>
        <v>7</v>
      </c>
      <c r="AA1193" s="15">
        <f t="shared" si="8"/>
        <v>3</v>
      </c>
    </row>
    <row r="1194" ht="15.75" customHeight="1">
      <c r="A1194" s="3">
        <v>9.05947482E8</v>
      </c>
      <c r="B1194" s="3" t="s">
        <v>1137</v>
      </c>
      <c r="C1194" s="3">
        <f>IFERROR(__xludf.DUMMYFUNCTION("split(B1194,""/"")"),11.0)</f>
        <v>11</v>
      </c>
      <c r="D1194" s="10">
        <f>IFERROR(__xludf.DUMMYFUNCTION("""COMPUTED_VALUE"""),30.0)</f>
        <v>30</v>
      </c>
      <c r="E1194" s="11">
        <f>IFERROR(__xludf.DUMMYFUNCTION("""COMPUTED_VALUE"""),2015.0)</f>
        <v>2015</v>
      </c>
      <c r="F1194" s="12">
        <f t="shared" si="1"/>
        <v>42338</v>
      </c>
      <c r="G1194" s="3" t="s">
        <v>1799</v>
      </c>
      <c r="H1194" s="3">
        <f>IFERROR(__xludf.DUMMYFUNCTION("split(G1194,""/"")"),1.0)</f>
        <v>1</v>
      </c>
      <c r="I1194" s="3">
        <f>IFERROR(__xludf.DUMMYFUNCTION("""COMPUTED_VALUE"""),18.0)</f>
        <v>18</v>
      </c>
      <c r="J1194" s="3">
        <f>IFERROR(__xludf.DUMMYFUNCTION("""COMPUTED_VALUE"""),2016.0)</f>
        <v>2016</v>
      </c>
      <c r="K1194" s="12">
        <f t="shared" si="2"/>
        <v>42387</v>
      </c>
      <c r="L1194" s="3" t="s">
        <v>817</v>
      </c>
      <c r="M1194" s="3" t="s">
        <v>221</v>
      </c>
      <c r="N1194" s="3">
        <v>2103.0</v>
      </c>
      <c r="O1194" s="3" t="s">
        <v>815</v>
      </c>
      <c r="P1194" s="10">
        <v>8847.0</v>
      </c>
      <c r="Q1194" s="13">
        <v>205.7</v>
      </c>
      <c r="R1194" s="13">
        <v>117.11</v>
      </c>
      <c r="S1194" s="13">
        <f t="shared" si="3"/>
        <v>1819827.9</v>
      </c>
      <c r="T1194" s="13">
        <f t="shared" si="4"/>
        <v>1036072.17</v>
      </c>
      <c r="U1194" s="13">
        <f t="shared" si="5"/>
        <v>783755.73</v>
      </c>
      <c r="V1194" s="3" t="str">
        <f>VLOOKUP(N1194,products!A:B,2,0)</f>
        <v>Cereal</v>
      </c>
      <c r="W1194" s="3" t="s">
        <v>28</v>
      </c>
      <c r="X1194" s="3" t="s">
        <v>29</v>
      </c>
      <c r="Y1194" s="14">
        <f t="shared" si="10"/>
        <v>0.4306757414</v>
      </c>
      <c r="Z1194" s="3">
        <f t="shared" si="7"/>
        <v>49</v>
      </c>
      <c r="AA1194" s="15">
        <f t="shared" si="8"/>
        <v>2</v>
      </c>
    </row>
    <row r="1195" ht="15.75" customHeight="1">
      <c r="A1195" s="3">
        <v>9.06345736E8</v>
      </c>
      <c r="B1195" s="3" t="s">
        <v>1612</v>
      </c>
      <c r="C1195" s="3">
        <f>IFERROR(__xludf.DUMMYFUNCTION("split(B1195,""/"")"),10.0)</f>
        <v>10</v>
      </c>
      <c r="D1195" s="10">
        <f>IFERROR(__xludf.DUMMYFUNCTION("""COMPUTED_VALUE"""),18.0)</f>
        <v>18</v>
      </c>
      <c r="E1195" s="11">
        <f>IFERROR(__xludf.DUMMYFUNCTION("""COMPUTED_VALUE"""),2012.0)</f>
        <v>2012</v>
      </c>
      <c r="F1195" s="12">
        <f t="shared" si="1"/>
        <v>41200</v>
      </c>
      <c r="G1195" s="3" t="s">
        <v>1225</v>
      </c>
      <c r="H1195" s="3">
        <f>IFERROR(__xludf.DUMMYFUNCTION("split(G1195,""/"")"),11.0)</f>
        <v>11</v>
      </c>
      <c r="I1195" s="3">
        <f>IFERROR(__xludf.DUMMYFUNCTION("""COMPUTED_VALUE"""),21.0)</f>
        <v>21</v>
      </c>
      <c r="J1195" s="3">
        <f>IFERROR(__xludf.DUMMYFUNCTION("""COMPUTED_VALUE"""),2012.0)</f>
        <v>2012</v>
      </c>
      <c r="K1195" s="12">
        <f t="shared" si="2"/>
        <v>41234</v>
      </c>
      <c r="L1195" s="3" t="s">
        <v>817</v>
      </c>
      <c r="M1195" s="3" t="s">
        <v>512</v>
      </c>
      <c r="N1195" s="3">
        <v>1270.0</v>
      </c>
      <c r="O1195" s="3" t="s">
        <v>818</v>
      </c>
      <c r="P1195" s="10">
        <v>6699.0</v>
      </c>
      <c r="Q1195" s="13">
        <v>47.45</v>
      </c>
      <c r="R1195" s="13">
        <v>31.79</v>
      </c>
      <c r="S1195" s="13">
        <f t="shared" si="3"/>
        <v>317867.55</v>
      </c>
      <c r="T1195" s="13">
        <f t="shared" si="4"/>
        <v>212961.21</v>
      </c>
      <c r="U1195" s="13">
        <f t="shared" si="5"/>
        <v>104906.34</v>
      </c>
      <c r="V1195" s="3" t="str">
        <f>VLOOKUP(N1195,products!A:B,2,0)</f>
        <v>Beverages</v>
      </c>
      <c r="W1195" s="3" t="s">
        <v>28</v>
      </c>
      <c r="X1195" s="3" t="s">
        <v>79</v>
      </c>
      <c r="Y1195" s="14">
        <f t="shared" si="10"/>
        <v>0.3300316122</v>
      </c>
      <c r="Z1195" s="3">
        <f t="shared" si="7"/>
        <v>34</v>
      </c>
      <c r="AA1195" s="15">
        <f t="shared" si="8"/>
        <v>5</v>
      </c>
    </row>
    <row r="1196" ht="15.75" customHeight="1">
      <c r="A1196" s="3">
        <v>9.06508815E8</v>
      </c>
      <c r="B1196" s="3" t="s">
        <v>1528</v>
      </c>
      <c r="C1196" s="3">
        <f>IFERROR(__xludf.DUMMYFUNCTION("split(B1196,""/"")"),1.0)</f>
        <v>1</v>
      </c>
      <c r="D1196" s="10">
        <f>IFERROR(__xludf.DUMMYFUNCTION("""COMPUTED_VALUE"""),13.0)</f>
        <v>13</v>
      </c>
      <c r="E1196" s="11">
        <f>IFERROR(__xludf.DUMMYFUNCTION("""COMPUTED_VALUE"""),2014.0)</f>
        <v>2014</v>
      </c>
      <c r="F1196" s="12">
        <f t="shared" si="1"/>
        <v>41652</v>
      </c>
      <c r="G1196" s="3" t="s">
        <v>1800</v>
      </c>
      <c r="H1196" s="3">
        <f>IFERROR(__xludf.DUMMYFUNCTION("split(G1196,""/"")"),1.0)</f>
        <v>1</v>
      </c>
      <c r="I1196" s="3">
        <f>IFERROR(__xludf.DUMMYFUNCTION("""COMPUTED_VALUE"""),23.0)</f>
        <v>23</v>
      </c>
      <c r="J1196" s="3">
        <f>IFERROR(__xludf.DUMMYFUNCTION("""COMPUTED_VALUE"""),2014.0)</f>
        <v>2014</v>
      </c>
      <c r="K1196" s="12">
        <f t="shared" si="2"/>
        <v>41662</v>
      </c>
      <c r="L1196" s="3" t="s">
        <v>827</v>
      </c>
      <c r="M1196" s="3" t="s">
        <v>206</v>
      </c>
      <c r="N1196" s="3">
        <v>2455.0</v>
      </c>
      <c r="O1196" s="3" t="s">
        <v>815</v>
      </c>
      <c r="P1196" s="10">
        <v>4958.0</v>
      </c>
      <c r="Q1196" s="13">
        <v>109.28</v>
      </c>
      <c r="R1196" s="13">
        <v>35.84</v>
      </c>
      <c r="S1196" s="13">
        <f t="shared" si="3"/>
        <v>541810.24</v>
      </c>
      <c r="T1196" s="13">
        <f t="shared" si="4"/>
        <v>177694.72</v>
      </c>
      <c r="U1196" s="13">
        <f t="shared" si="5"/>
        <v>364115.52</v>
      </c>
      <c r="V1196" s="3" t="str">
        <f>VLOOKUP(N1196,products!A:B,2,0)</f>
        <v>Clothes</v>
      </c>
      <c r="W1196" s="3" t="s">
        <v>28</v>
      </c>
      <c r="X1196" s="3" t="s">
        <v>33</v>
      </c>
      <c r="Y1196" s="14">
        <f t="shared" si="10"/>
        <v>0.6720351391</v>
      </c>
      <c r="Z1196" s="3">
        <f t="shared" si="7"/>
        <v>10</v>
      </c>
      <c r="AA1196" s="15">
        <f t="shared" si="8"/>
        <v>2</v>
      </c>
    </row>
    <row r="1197" ht="15.75" customHeight="1">
      <c r="A1197" s="3">
        <v>9.06794202E8</v>
      </c>
      <c r="B1197" s="3" t="s">
        <v>1801</v>
      </c>
      <c r="C1197" s="3">
        <f>IFERROR(__xludf.DUMMYFUNCTION("split(B1197,""/"")"),4.0)</f>
        <v>4</v>
      </c>
      <c r="D1197" s="10">
        <f>IFERROR(__xludf.DUMMYFUNCTION("""COMPUTED_VALUE"""),22.0)</f>
        <v>22</v>
      </c>
      <c r="E1197" s="11">
        <f>IFERROR(__xludf.DUMMYFUNCTION("""COMPUTED_VALUE"""),2014.0)</f>
        <v>2014</v>
      </c>
      <c r="F1197" s="12">
        <f t="shared" si="1"/>
        <v>41751</v>
      </c>
      <c r="G1197" s="9">
        <v>41948.0</v>
      </c>
      <c r="H1197" s="3">
        <f>IFERROR(__xludf.DUMMYFUNCTION("split(G1197,""/"")"),5.0)</f>
        <v>5</v>
      </c>
      <c r="I1197" s="3">
        <f>IFERROR(__xludf.DUMMYFUNCTION("""COMPUTED_VALUE"""),11.0)</f>
        <v>11</v>
      </c>
      <c r="J1197" s="3">
        <f>IFERROR(__xludf.DUMMYFUNCTION("""COMPUTED_VALUE"""),2014.0)</f>
        <v>2014</v>
      </c>
      <c r="K1197" s="12">
        <f t="shared" si="2"/>
        <v>41770</v>
      </c>
      <c r="L1197" s="3" t="s">
        <v>825</v>
      </c>
      <c r="M1197" s="3" t="s">
        <v>267</v>
      </c>
      <c r="N1197" s="3">
        <v>2455.0</v>
      </c>
      <c r="O1197" s="3" t="s">
        <v>815</v>
      </c>
      <c r="P1197" s="10">
        <v>9410.0</v>
      </c>
      <c r="Q1197" s="13">
        <v>109.28</v>
      </c>
      <c r="R1197" s="13">
        <v>35.84</v>
      </c>
      <c r="S1197" s="13">
        <f t="shared" si="3"/>
        <v>1028324.8</v>
      </c>
      <c r="T1197" s="13">
        <f t="shared" si="4"/>
        <v>337254.4</v>
      </c>
      <c r="U1197" s="13">
        <f t="shared" si="5"/>
        <v>691070.4</v>
      </c>
      <c r="V1197" s="3" t="str">
        <f>VLOOKUP(N1197,products!A:B,2,0)</f>
        <v>Clothes</v>
      </c>
      <c r="W1197" s="3" t="s">
        <v>28</v>
      </c>
      <c r="X1197" s="3" t="s">
        <v>29</v>
      </c>
      <c r="Y1197" s="14">
        <f t="shared" si="10"/>
        <v>0.6720351391</v>
      </c>
      <c r="Z1197" s="3">
        <f t="shared" si="7"/>
        <v>19</v>
      </c>
      <c r="AA1197" s="15">
        <f t="shared" si="8"/>
        <v>3</v>
      </c>
    </row>
    <row r="1198" ht="15.75" customHeight="1">
      <c r="A1198" s="3">
        <v>9.07047402E8</v>
      </c>
      <c r="B1198" s="3" t="s">
        <v>1802</v>
      </c>
      <c r="C1198" s="3">
        <f>IFERROR(__xludf.DUMMYFUNCTION("split(B1198,""/"")"),6.0)</f>
        <v>6</v>
      </c>
      <c r="D1198" s="10">
        <f>IFERROR(__xludf.DUMMYFUNCTION("""COMPUTED_VALUE"""),13.0)</f>
        <v>13</v>
      </c>
      <c r="E1198" s="11">
        <f>IFERROR(__xludf.DUMMYFUNCTION("""COMPUTED_VALUE"""),2010.0)</f>
        <v>2010</v>
      </c>
      <c r="F1198" s="12">
        <f t="shared" si="1"/>
        <v>40342</v>
      </c>
      <c r="G1198" s="9">
        <v>40186.0</v>
      </c>
      <c r="H1198" s="3">
        <f>IFERROR(__xludf.DUMMYFUNCTION("split(G1198,""/"")"),8.0)</f>
        <v>8</v>
      </c>
      <c r="I1198" s="3">
        <f>IFERROR(__xludf.DUMMYFUNCTION("""COMPUTED_VALUE"""),1.0)</f>
        <v>1</v>
      </c>
      <c r="J1198" s="3">
        <f>IFERROR(__xludf.DUMMYFUNCTION("""COMPUTED_VALUE"""),2010.0)</f>
        <v>2010</v>
      </c>
      <c r="K1198" s="12">
        <f t="shared" si="2"/>
        <v>40391</v>
      </c>
      <c r="L1198" s="3" t="s">
        <v>814</v>
      </c>
      <c r="M1198" s="3" t="s">
        <v>821</v>
      </c>
      <c r="N1198" s="3">
        <v>8875.0</v>
      </c>
      <c r="O1198" s="3" t="s">
        <v>815</v>
      </c>
      <c r="P1198" s="10">
        <v>4338.0</v>
      </c>
      <c r="Q1198" s="13">
        <v>421.89</v>
      </c>
      <c r="R1198" s="13">
        <v>364.69</v>
      </c>
      <c r="S1198" s="13">
        <f t="shared" si="3"/>
        <v>1830158.82</v>
      </c>
      <c r="T1198" s="13">
        <f t="shared" si="4"/>
        <v>1582025.22</v>
      </c>
      <c r="U1198" s="13">
        <f t="shared" si="5"/>
        <v>248133.6</v>
      </c>
      <c r="V1198" s="3" t="str">
        <f>VLOOKUP(N1198,products!A:B,2,0)</f>
        <v>Meat</v>
      </c>
      <c r="W1198" s="3" t="s">
        <v>821</v>
      </c>
      <c r="X1198" s="3" t="s">
        <v>821</v>
      </c>
      <c r="Y1198" s="14">
        <f t="shared" si="10"/>
        <v>0.1355803646</v>
      </c>
      <c r="Z1198" s="3">
        <f t="shared" si="7"/>
        <v>49</v>
      </c>
      <c r="AA1198" s="15">
        <f t="shared" si="8"/>
        <v>1</v>
      </c>
    </row>
    <row r="1199" ht="15.75" customHeight="1">
      <c r="A1199" s="3">
        <v>9.07349526E8</v>
      </c>
      <c r="B1199" s="9">
        <v>41033.0</v>
      </c>
      <c r="C1199" s="3">
        <f>IFERROR(__xludf.DUMMYFUNCTION("split(B1199,""/"")"),4.0)</f>
        <v>4</v>
      </c>
      <c r="D1199" s="10">
        <f>IFERROR(__xludf.DUMMYFUNCTION("""COMPUTED_VALUE"""),5.0)</f>
        <v>5</v>
      </c>
      <c r="E1199" s="11">
        <f>IFERROR(__xludf.DUMMYFUNCTION("""COMPUTED_VALUE"""),2012.0)</f>
        <v>2012</v>
      </c>
      <c r="F1199" s="12">
        <f t="shared" si="1"/>
        <v>41004</v>
      </c>
      <c r="G1199" s="3" t="s">
        <v>1803</v>
      </c>
      <c r="H1199" s="3">
        <f>IFERROR(__xludf.DUMMYFUNCTION("split(G1199,""/"")"),5.0)</f>
        <v>5</v>
      </c>
      <c r="I1199" s="3">
        <f>IFERROR(__xludf.DUMMYFUNCTION("""COMPUTED_VALUE"""),16.0)</f>
        <v>16</v>
      </c>
      <c r="J1199" s="3">
        <f>IFERROR(__xludf.DUMMYFUNCTION("""COMPUTED_VALUE"""),2012.0)</f>
        <v>2012</v>
      </c>
      <c r="K1199" s="12">
        <f t="shared" si="2"/>
        <v>41045</v>
      </c>
      <c r="L1199" s="3" t="s">
        <v>817</v>
      </c>
      <c r="M1199" s="3" t="s">
        <v>349</v>
      </c>
      <c r="N1199" s="3">
        <v>8293.0</v>
      </c>
      <c r="O1199" s="3" t="s">
        <v>815</v>
      </c>
      <c r="P1199" s="10">
        <v>3743.0</v>
      </c>
      <c r="Q1199" s="13">
        <v>437.2</v>
      </c>
      <c r="R1199" s="13">
        <v>263.33</v>
      </c>
      <c r="S1199" s="13">
        <f t="shared" si="3"/>
        <v>1636439.6</v>
      </c>
      <c r="T1199" s="13">
        <f t="shared" si="4"/>
        <v>985644.19</v>
      </c>
      <c r="U1199" s="13">
        <f t="shared" si="5"/>
        <v>650795.41</v>
      </c>
      <c r="V1199" s="3" t="str">
        <f>VLOOKUP(N1199,products!A:B,2,0)</f>
        <v>Cosmetics</v>
      </c>
      <c r="W1199" s="3" t="s">
        <v>28</v>
      </c>
      <c r="X1199" s="3" t="s">
        <v>29</v>
      </c>
      <c r="Y1199" s="14">
        <f t="shared" si="10"/>
        <v>0.3976898445</v>
      </c>
      <c r="Z1199" s="3">
        <f t="shared" si="7"/>
        <v>41</v>
      </c>
      <c r="AA1199" s="15">
        <f t="shared" si="8"/>
        <v>5</v>
      </c>
    </row>
    <row r="1200" ht="15.75" customHeight="1">
      <c r="A1200" s="3">
        <v>9.07691991E8</v>
      </c>
      <c r="B1200" s="9">
        <v>41792.0</v>
      </c>
      <c r="C1200" s="3">
        <f>IFERROR(__xludf.DUMMYFUNCTION("split(B1200,""/"")"),2.0)</f>
        <v>2</v>
      </c>
      <c r="D1200" s="10">
        <f>IFERROR(__xludf.DUMMYFUNCTION("""COMPUTED_VALUE"""),6.0)</f>
        <v>6</v>
      </c>
      <c r="E1200" s="11">
        <f>IFERROR(__xludf.DUMMYFUNCTION("""COMPUTED_VALUE"""),2014.0)</f>
        <v>2014</v>
      </c>
      <c r="F1200" s="12">
        <f t="shared" si="1"/>
        <v>41676</v>
      </c>
      <c r="G1200" s="9">
        <v>41885.0</v>
      </c>
      <c r="H1200" s="3">
        <f>IFERROR(__xludf.DUMMYFUNCTION("split(G1200,""/"")"),3.0)</f>
        <v>3</v>
      </c>
      <c r="I1200" s="3">
        <f>IFERROR(__xludf.DUMMYFUNCTION("""COMPUTED_VALUE"""),9.0)</f>
        <v>9</v>
      </c>
      <c r="J1200" s="3">
        <f>IFERROR(__xludf.DUMMYFUNCTION("""COMPUTED_VALUE"""),2014.0)</f>
        <v>2014</v>
      </c>
      <c r="K1200" s="12">
        <f t="shared" si="2"/>
        <v>41707</v>
      </c>
      <c r="L1200" s="3" t="s">
        <v>814</v>
      </c>
      <c r="M1200" s="3" t="s">
        <v>431</v>
      </c>
      <c r="N1200" s="3">
        <v>2103.0</v>
      </c>
      <c r="O1200" s="3" t="s">
        <v>818</v>
      </c>
      <c r="P1200" s="10">
        <v>5086.0</v>
      </c>
      <c r="Q1200" s="13">
        <v>205.7</v>
      </c>
      <c r="R1200" s="13">
        <v>117.11</v>
      </c>
      <c r="S1200" s="13">
        <f t="shared" si="3"/>
        <v>1046190.2</v>
      </c>
      <c r="T1200" s="13">
        <f t="shared" si="4"/>
        <v>595621.46</v>
      </c>
      <c r="U1200" s="13">
        <f t="shared" si="5"/>
        <v>450568.74</v>
      </c>
      <c r="V1200" s="3" t="str">
        <f>VLOOKUP(N1200,products!A:B,2,0)</f>
        <v>Cereal</v>
      </c>
      <c r="W1200" s="3" t="s">
        <v>28</v>
      </c>
      <c r="X1200" s="3" t="s">
        <v>29</v>
      </c>
      <c r="Y1200" s="14">
        <f t="shared" si="10"/>
        <v>0.4306757414</v>
      </c>
      <c r="Z1200" s="3">
        <f t="shared" si="7"/>
        <v>31</v>
      </c>
      <c r="AA1200" s="15">
        <f t="shared" si="8"/>
        <v>5</v>
      </c>
    </row>
    <row r="1201" ht="15.75" customHeight="1">
      <c r="A1201" s="3">
        <v>9.10610234E8</v>
      </c>
      <c r="B1201" s="9">
        <v>42801.0</v>
      </c>
      <c r="C1201" s="3">
        <f>IFERROR(__xludf.DUMMYFUNCTION("split(B1201,""/"")"),7.0)</f>
        <v>7</v>
      </c>
      <c r="D1201" s="10">
        <f>IFERROR(__xludf.DUMMYFUNCTION("""COMPUTED_VALUE"""),3.0)</f>
        <v>3</v>
      </c>
      <c r="E1201" s="11">
        <f>IFERROR(__xludf.DUMMYFUNCTION("""COMPUTED_VALUE"""),2017.0)</f>
        <v>2017</v>
      </c>
      <c r="F1201" s="12">
        <f t="shared" si="1"/>
        <v>42919</v>
      </c>
      <c r="G1201" s="3" t="s">
        <v>1804</v>
      </c>
      <c r="H1201" s="3">
        <f>IFERROR(__xludf.DUMMYFUNCTION("split(G1201,""/"")"),7.0)</f>
        <v>7</v>
      </c>
      <c r="I1201" s="3">
        <f>IFERROR(__xludf.DUMMYFUNCTION("""COMPUTED_VALUE"""),31.0)</f>
        <v>31</v>
      </c>
      <c r="J1201" s="3">
        <f>IFERROR(__xludf.DUMMYFUNCTION("""COMPUTED_VALUE"""),2017.0)</f>
        <v>2017</v>
      </c>
      <c r="K1201" s="12">
        <f t="shared" si="2"/>
        <v>42947</v>
      </c>
      <c r="L1201" s="3" t="s">
        <v>825</v>
      </c>
      <c r="M1201" s="3" t="s">
        <v>686</v>
      </c>
      <c r="N1201" s="3">
        <v>8293.0</v>
      </c>
      <c r="O1201" s="3" t="s">
        <v>815</v>
      </c>
      <c r="P1201" s="10">
        <v>8659.0</v>
      </c>
      <c r="Q1201" s="13">
        <v>437.2</v>
      </c>
      <c r="R1201" s="13">
        <v>263.33</v>
      </c>
      <c r="S1201" s="13">
        <f t="shared" si="3"/>
        <v>3785714.8</v>
      </c>
      <c r="T1201" s="13">
        <f t="shared" si="4"/>
        <v>2280174.47</v>
      </c>
      <c r="U1201" s="13">
        <f t="shared" si="5"/>
        <v>1505540.33</v>
      </c>
      <c r="V1201" s="3" t="str">
        <f>VLOOKUP(N1201,products!A:B,2,0)</f>
        <v>Cosmetics</v>
      </c>
      <c r="W1201" s="3" t="s">
        <v>28</v>
      </c>
      <c r="X1201" s="3" t="s">
        <v>29</v>
      </c>
      <c r="Y1201" s="14">
        <f t="shared" si="10"/>
        <v>0.3976898445</v>
      </c>
      <c r="Z1201" s="3">
        <f t="shared" si="7"/>
        <v>28</v>
      </c>
      <c r="AA1201" s="15">
        <f t="shared" si="8"/>
        <v>2</v>
      </c>
    </row>
    <row r="1202" ht="15.75" customHeight="1">
      <c r="A1202" s="3">
        <v>9.1088618E8</v>
      </c>
      <c r="B1202" s="9">
        <v>42282.0</v>
      </c>
      <c r="C1202" s="3">
        <f>IFERROR(__xludf.DUMMYFUNCTION("split(B1202,""/"")"),5.0)</f>
        <v>5</v>
      </c>
      <c r="D1202" s="10">
        <f>IFERROR(__xludf.DUMMYFUNCTION("""COMPUTED_VALUE"""),10.0)</f>
        <v>10</v>
      </c>
      <c r="E1202" s="11">
        <f>IFERROR(__xludf.DUMMYFUNCTION("""COMPUTED_VALUE"""),2015.0)</f>
        <v>2015</v>
      </c>
      <c r="F1202" s="12">
        <f t="shared" si="1"/>
        <v>42134</v>
      </c>
      <c r="G1202" s="9">
        <v>42283.0</v>
      </c>
      <c r="H1202" s="3">
        <f>IFERROR(__xludf.DUMMYFUNCTION("split(G1202,""/"")"),6.0)</f>
        <v>6</v>
      </c>
      <c r="I1202" s="3">
        <f>IFERROR(__xludf.DUMMYFUNCTION("""COMPUTED_VALUE"""),10.0)</f>
        <v>10</v>
      </c>
      <c r="J1202" s="3">
        <f>IFERROR(__xludf.DUMMYFUNCTION("""COMPUTED_VALUE"""),2015.0)</f>
        <v>2015</v>
      </c>
      <c r="K1202" s="12">
        <f t="shared" si="2"/>
        <v>42165</v>
      </c>
      <c r="L1202" s="3" t="s">
        <v>814</v>
      </c>
      <c r="M1202" s="3" t="s">
        <v>590</v>
      </c>
      <c r="N1202" s="3">
        <v>1270.0</v>
      </c>
      <c r="O1202" s="3" t="s">
        <v>815</v>
      </c>
      <c r="P1202" s="10">
        <v>317.0</v>
      </c>
      <c r="Q1202" s="13">
        <v>47.45</v>
      </c>
      <c r="R1202" s="13">
        <v>31.79</v>
      </c>
      <c r="S1202" s="13">
        <f t="shared" si="3"/>
        <v>15041.65</v>
      </c>
      <c r="T1202" s="13">
        <f t="shared" si="4"/>
        <v>10077.43</v>
      </c>
      <c r="U1202" s="13">
        <f t="shared" si="5"/>
        <v>4964.22</v>
      </c>
      <c r="V1202" s="3" t="str">
        <f>VLOOKUP(N1202,products!A:B,2,0)</f>
        <v>Beverages</v>
      </c>
      <c r="W1202" s="3" t="s">
        <v>28</v>
      </c>
      <c r="X1202" s="3" t="s">
        <v>98</v>
      </c>
      <c r="Y1202" s="14">
        <f t="shared" si="10"/>
        <v>0.3300316122</v>
      </c>
      <c r="Z1202" s="3">
        <f t="shared" si="7"/>
        <v>31</v>
      </c>
      <c r="AA1202" s="15">
        <f t="shared" si="8"/>
        <v>1</v>
      </c>
    </row>
    <row r="1203" ht="15.75" customHeight="1">
      <c r="A1203" s="3">
        <v>9.11891257E8</v>
      </c>
      <c r="B1203" s="9">
        <v>41496.0</v>
      </c>
      <c r="C1203" s="3">
        <f>IFERROR(__xludf.DUMMYFUNCTION("split(B1203,""/"")"),10.0)</f>
        <v>10</v>
      </c>
      <c r="D1203" s="10">
        <f>IFERROR(__xludf.DUMMYFUNCTION("""COMPUTED_VALUE"""),8.0)</f>
        <v>8</v>
      </c>
      <c r="E1203" s="11">
        <f>IFERROR(__xludf.DUMMYFUNCTION("""COMPUTED_VALUE"""),2013.0)</f>
        <v>2013</v>
      </c>
      <c r="F1203" s="12">
        <f t="shared" si="1"/>
        <v>41555</v>
      </c>
      <c r="G1203" s="9">
        <v>41285.0</v>
      </c>
      <c r="H1203" s="3">
        <f>IFERROR(__xludf.DUMMYFUNCTION("split(G1203,""/"")"),11.0)</f>
        <v>11</v>
      </c>
      <c r="I1203" s="3">
        <f>IFERROR(__xludf.DUMMYFUNCTION("""COMPUTED_VALUE"""),1.0)</f>
        <v>1</v>
      </c>
      <c r="J1203" s="3">
        <f>IFERROR(__xludf.DUMMYFUNCTION("""COMPUTED_VALUE"""),2013.0)</f>
        <v>2013</v>
      </c>
      <c r="K1203" s="12">
        <f t="shared" si="2"/>
        <v>41579</v>
      </c>
      <c r="L1203" s="3" t="s">
        <v>817</v>
      </c>
      <c r="M1203" s="3" t="s">
        <v>142</v>
      </c>
      <c r="N1203" s="3">
        <v>4594.0</v>
      </c>
      <c r="O1203" s="3" t="s">
        <v>818</v>
      </c>
      <c r="P1203" s="10">
        <v>7742.0</v>
      </c>
      <c r="Q1203" s="13">
        <v>9.33</v>
      </c>
      <c r="R1203" s="13">
        <v>6.92</v>
      </c>
      <c r="S1203" s="13">
        <f t="shared" si="3"/>
        <v>72232.86</v>
      </c>
      <c r="T1203" s="13">
        <f t="shared" si="4"/>
        <v>53574.64</v>
      </c>
      <c r="U1203" s="13">
        <f t="shared" si="5"/>
        <v>18658.22</v>
      </c>
      <c r="V1203" s="3" t="str">
        <f>VLOOKUP(N1203,products!A:B,2,0)</f>
        <v>Fruits</v>
      </c>
      <c r="W1203" s="3" t="s">
        <v>28</v>
      </c>
      <c r="X1203" s="3" t="s">
        <v>98</v>
      </c>
      <c r="Y1203" s="14">
        <f t="shared" si="10"/>
        <v>0.258306538</v>
      </c>
      <c r="Z1203" s="3">
        <f t="shared" si="7"/>
        <v>24</v>
      </c>
      <c r="AA1203" s="15">
        <f t="shared" si="8"/>
        <v>3</v>
      </c>
    </row>
    <row r="1204" ht="15.75" customHeight="1">
      <c r="A1204" s="3">
        <v>9.13074433E8</v>
      </c>
      <c r="B1204" s="9">
        <v>41316.0</v>
      </c>
      <c r="C1204" s="3">
        <f>IFERROR(__xludf.DUMMYFUNCTION("split(B1204,""/"")"),11.0)</f>
        <v>11</v>
      </c>
      <c r="D1204" s="10">
        <f>IFERROR(__xludf.DUMMYFUNCTION("""COMPUTED_VALUE"""),2.0)</f>
        <v>2</v>
      </c>
      <c r="E1204" s="11">
        <f>IFERROR(__xludf.DUMMYFUNCTION("""COMPUTED_VALUE"""),2013.0)</f>
        <v>2013</v>
      </c>
      <c r="F1204" s="12">
        <f t="shared" si="1"/>
        <v>41580</v>
      </c>
      <c r="G1204" s="3" t="s">
        <v>1805</v>
      </c>
      <c r="H1204" s="3">
        <f>IFERROR(__xludf.DUMMYFUNCTION("split(G1204,""/"")"),12.0)</f>
        <v>12</v>
      </c>
      <c r="I1204" s="3">
        <f>IFERROR(__xludf.DUMMYFUNCTION("""COMPUTED_VALUE"""),17.0)</f>
        <v>17</v>
      </c>
      <c r="J1204" s="3">
        <f>IFERROR(__xludf.DUMMYFUNCTION("""COMPUTED_VALUE"""),2013.0)</f>
        <v>2013</v>
      </c>
      <c r="K1204" s="12">
        <f t="shared" si="2"/>
        <v>41625</v>
      </c>
      <c r="L1204" s="3" t="s">
        <v>827</v>
      </c>
      <c r="M1204" s="3" t="s">
        <v>413</v>
      </c>
      <c r="N1204" s="3">
        <v>3127.0</v>
      </c>
      <c r="O1204" s="3" t="s">
        <v>818</v>
      </c>
      <c r="P1204" s="10">
        <v>7870.0</v>
      </c>
      <c r="Q1204" s="13">
        <v>81.73</v>
      </c>
      <c r="R1204" s="13">
        <v>56.67</v>
      </c>
      <c r="S1204" s="13">
        <f t="shared" si="3"/>
        <v>643215.1</v>
      </c>
      <c r="T1204" s="13">
        <f t="shared" si="4"/>
        <v>445992.9</v>
      </c>
      <c r="U1204" s="13">
        <f t="shared" si="5"/>
        <v>197222.2</v>
      </c>
      <c r="V1204" s="3" t="str">
        <f>VLOOKUP(N1204,products!A:B,2,0)</f>
        <v>Personal Care</v>
      </c>
      <c r="W1204" s="3" t="s">
        <v>28</v>
      </c>
      <c r="X1204" s="3" t="s">
        <v>29</v>
      </c>
      <c r="Y1204" s="14">
        <f t="shared" si="10"/>
        <v>0.3066193564</v>
      </c>
      <c r="Z1204" s="3">
        <f t="shared" si="7"/>
        <v>45</v>
      </c>
      <c r="AA1204" s="15">
        <f t="shared" si="8"/>
        <v>7</v>
      </c>
    </row>
    <row r="1205" ht="15.75" customHeight="1">
      <c r="A1205" s="3">
        <v>9.13729751E8</v>
      </c>
      <c r="B1205" s="3" t="s">
        <v>1509</v>
      </c>
      <c r="C1205" s="3">
        <f>IFERROR(__xludf.DUMMYFUNCTION("split(B1205,""/"")"),4.0)</f>
        <v>4</v>
      </c>
      <c r="D1205" s="10">
        <f>IFERROR(__xludf.DUMMYFUNCTION("""COMPUTED_VALUE"""),18.0)</f>
        <v>18</v>
      </c>
      <c r="E1205" s="11">
        <f>IFERROR(__xludf.DUMMYFUNCTION("""COMPUTED_VALUE"""),2011.0)</f>
        <v>2011</v>
      </c>
      <c r="F1205" s="12">
        <f t="shared" si="1"/>
        <v>40651</v>
      </c>
      <c r="G1205" s="9">
        <v>40791.0</v>
      </c>
      <c r="H1205" s="3">
        <f>IFERROR(__xludf.DUMMYFUNCTION("split(G1205,""/"")"),5.0)</f>
        <v>5</v>
      </c>
      <c r="I1205" s="3">
        <f>IFERROR(__xludf.DUMMYFUNCTION("""COMPUTED_VALUE"""),9.0)</f>
        <v>9</v>
      </c>
      <c r="J1205" s="3">
        <f>IFERROR(__xludf.DUMMYFUNCTION("""COMPUTED_VALUE"""),2011.0)</f>
        <v>2011</v>
      </c>
      <c r="K1205" s="12">
        <f t="shared" si="2"/>
        <v>40672</v>
      </c>
      <c r="L1205" s="3" t="s">
        <v>814</v>
      </c>
      <c r="M1205" s="3" t="s">
        <v>288</v>
      </c>
      <c r="N1205" s="3">
        <v>8875.0</v>
      </c>
      <c r="O1205" s="3" t="s">
        <v>815</v>
      </c>
      <c r="P1205" s="10">
        <v>1793.0</v>
      </c>
      <c r="Q1205" s="13">
        <v>421.89</v>
      </c>
      <c r="R1205" s="13">
        <v>364.69</v>
      </c>
      <c r="S1205" s="13">
        <f t="shared" si="3"/>
        <v>756448.77</v>
      </c>
      <c r="T1205" s="13">
        <f t="shared" si="4"/>
        <v>653889.17</v>
      </c>
      <c r="U1205" s="13">
        <f t="shared" si="5"/>
        <v>102559.6</v>
      </c>
      <c r="V1205" s="3" t="str">
        <f>VLOOKUP(N1205,products!A:B,2,0)</f>
        <v>Meat</v>
      </c>
      <c r="W1205" s="3" t="s">
        <v>23</v>
      </c>
      <c r="X1205" s="3" t="s">
        <v>68</v>
      </c>
      <c r="Y1205" s="14">
        <f t="shared" si="10"/>
        <v>0.1355803646</v>
      </c>
      <c r="Z1205" s="3">
        <f t="shared" si="7"/>
        <v>21</v>
      </c>
      <c r="AA1205" s="15">
        <f t="shared" si="8"/>
        <v>2</v>
      </c>
    </row>
    <row r="1206" ht="15.75" customHeight="1">
      <c r="A1206" s="3">
        <v>9.16089236E8</v>
      </c>
      <c r="B1206" s="3" t="s">
        <v>1620</v>
      </c>
      <c r="C1206" s="3">
        <f>IFERROR(__xludf.DUMMYFUNCTION("split(B1206,""/"")"),6.0)</f>
        <v>6</v>
      </c>
      <c r="D1206" s="10">
        <f>IFERROR(__xludf.DUMMYFUNCTION("""COMPUTED_VALUE"""),27.0)</f>
        <v>27</v>
      </c>
      <c r="E1206" s="11">
        <f>IFERROR(__xludf.DUMMYFUNCTION("""COMPUTED_VALUE"""),2014.0)</f>
        <v>2014</v>
      </c>
      <c r="F1206" s="12">
        <f t="shared" si="1"/>
        <v>41817</v>
      </c>
      <c r="G1206" s="3" t="s">
        <v>1231</v>
      </c>
      <c r="H1206" s="3">
        <f>IFERROR(__xludf.DUMMYFUNCTION("split(G1206,""/"")"),7.0)</f>
        <v>7</v>
      </c>
      <c r="I1206" s="3">
        <f>IFERROR(__xludf.DUMMYFUNCTION("""COMPUTED_VALUE"""),28.0)</f>
        <v>28</v>
      </c>
      <c r="J1206" s="3">
        <f>IFERROR(__xludf.DUMMYFUNCTION("""COMPUTED_VALUE"""),2014.0)</f>
        <v>2014</v>
      </c>
      <c r="K1206" s="12">
        <f t="shared" si="2"/>
        <v>41848</v>
      </c>
      <c r="L1206" s="3" t="s">
        <v>817</v>
      </c>
      <c r="M1206" s="3" t="s">
        <v>101</v>
      </c>
      <c r="N1206" s="3">
        <v>8293.0</v>
      </c>
      <c r="O1206" s="3" t="s">
        <v>818</v>
      </c>
      <c r="P1206" s="10">
        <v>17.0</v>
      </c>
      <c r="Q1206" s="13">
        <v>437.2</v>
      </c>
      <c r="R1206" s="13">
        <v>263.33</v>
      </c>
      <c r="S1206" s="13">
        <f t="shared" si="3"/>
        <v>7432.4</v>
      </c>
      <c r="T1206" s="13">
        <f t="shared" si="4"/>
        <v>4476.61</v>
      </c>
      <c r="U1206" s="13">
        <f t="shared" si="5"/>
        <v>2955.79</v>
      </c>
      <c r="V1206" s="3" t="str">
        <f>VLOOKUP(N1206,products!A:B,2,0)</f>
        <v>Cosmetics</v>
      </c>
      <c r="W1206" s="3" t="s">
        <v>28</v>
      </c>
      <c r="X1206" s="3" t="s">
        <v>79</v>
      </c>
      <c r="Y1206" s="14">
        <f t="shared" si="10"/>
        <v>0.3976898445</v>
      </c>
      <c r="Z1206" s="3">
        <f t="shared" si="7"/>
        <v>31</v>
      </c>
      <c r="AA1206" s="15">
        <f t="shared" si="8"/>
        <v>6</v>
      </c>
    </row>
    <row r="1207" ht="15.75" customHeight="1">
      <c r="A1207" s="3">
        <v>9.17485272E8</v>
      </c>
      <c r="B1207" s="9">
        <v>40187.0</v>
      </c>
      <c r="C1207" s="3">
        <f>IFERROR(__xludf.DUMMYFUNCTION("split(B1207,""/"")"),9.0)</f>
        <v>9</v>
      </c>
      <c r="D1207" s="10">
        <f>IFERROR(__xludf.DUMMYFUNCTION("""COMPUTED_VALUE"""),1.0)</f>
        <v>1</v>
      </c>
      <c r="E1207" s="11">
        <f>IFERROR(__xludf.DUMMYFUNCTION("""COMPUTED_VALUE"""),2010.0)</f>
        <v>2010</v>
      </c>
      <c r="F1207" s="12">
        <f t="shared" si="1"/>
        <v>40422</v>
      </c>
      <c r="G1207" s="9">
        <v>40247.0</v>
      </c>
      <c r="H1207" s="3">
        <f>IFERROR(__xludf.DUMMYFUNCTION("split(G1207,""/"")"),10.0)</f>
        <v>10</v>
      </c>
      <c r="I1207" s="3">
        <f>IFERROR(__xludf.DUMMYFUNCTION("""COMPUTED_VALUE"""),3.0)</f>
        <v>3</v>
      </c>
      <c r="J1207" s="3">
        <f>IFERROR(__xludf.DUMMYFUNCTION("""COMPUTED_VALUE"""),2010.0)</f>
        <v>2010</v>
      </c>
      <c r="K1207" s="12">
        <f t="shared" si="2"/>
        <v>40454</v>
      </c>
      <c r="L1207" s="3" t="s">
        <v>825</v>
      </c>
      <c r="M1207" s="3" t="s">
        <v>413</v>
      </c>
      <c r="N1207" s="3">
        <v>7331.0</v>
      </c>
      <c r="O1207" s="3" t="s">
        <v>815</v>
      </c>
      <c r="P1207" s="10">
        <v>3136.0</v>
      </c>
      <c r="Q1207" s="13">
        <v>255.28</v>
      </c>
      <c r="R1207" s="13">
        <v>159.42</v>
      </c>
      <c r="S1207" s="13">
        <f t="shared" si="3"/>
        <v>800558.08</v>
      </c>
      <c r="T1207" s="13">
        <f t="shared" si="4"/>
        <v>499941.12</v>
      </c>
      <c r="U1207" s="13">
        <f t="shared" si="5"/>
        <v>300616.96</v>
      </c>
      <c r="V1207" s="3" t="str">
        <f>VLOOKUP(N1207,products!A:B,2,0)</f>
        <v>Baby Food</v>
      </c>
      <c r="W1207" s="3" t="s">
        <v>28</v>
      </c>
      <c r="X1207" s="3" t="s">
        <v>29</v>
      </c>
      <c r="Y1207" s="14">
        <f t="shared" si="10"/>
        <v>0.3755092448</v>
      </c>
      <c r="Z1207" s="3">
        <f t="shared" si="7"/>
        <v>32</v>
      </c>
      <c r="AA1207" s="15">
        <f t="shared" si="8"/>
        <v>4</v>
      </c>
    </row>
    <row r="1208" ht="15.75" customHeight="1">
      <c r="A1208" s="3">
        <v>9.17639768E8</v>
      </c>
      <c r="B1208" s="3" t="s">
        <v>1806</v>
      </c>
      <c r="C1208" s="3">
        <f>IFERROR(__xludf.DUMMYFUNCTION("split(B1208,""/"")"),10.0)</f>
        <v>10</v>
      </c>
      <c r="D1208" s="10">
        <f>IFERROR(__xludf.DUMMYFUNCTION("""COMPUTED_VALUE"""),31.0)</f>
        <v>31</v>
      </c>
      <c r="E1208" s="11">
        <f>IFERROR(__xludf.DUMMYFUNCTION("""COMPUTED_VALUE"""),2013.0)</f>
        <v>2013</v>
      </c>
      <c r="F1208" s="12">
        <f t="shared" si="1"/>
        <v>41578</v>
      </c>
      <c r="G1208" s="3" t="s">
        <v>1190</v>
      </c>
      <c r="H1208" s="3">
        <f>IFERROR(__xludf.DUMMYFUNCTION("split(G1208,""/"")"),12.0)</f>
        <v>12</v>
      </c>
      <c r="I1208" s="3">
        <f>IFERROR(__xludf.DUMMYFUNCTION("""COMPUTED_VALUE"""),14.0)</f>
        <v>14</v>
      </c>
      <c r="J1208" s="3">
        <f>IFERROR(__xludf.DUMMYFUNCTION("""COMPUTED_VALUE"""),2013.0)</f>
        <v>2013</v>
      </c>
      <c r="K1208" s="12">
        <f t="shared" si="2"/>
        <v>41622</v>
      </c>
      <c r="L1208" s="3" t="s">
        <v>825</v>
      </c>
      <c r="M1208" s="3" t="s">
        <v>635</v>
      </c>
      <c r="N1208" s="3">
        <v>5988.0</v>
      </c>
      <c r="O1208" s="3" t="s">
        <v>815</v>
      </c>
      <c r="P1208" s="10">
        <v>8854.0</v>
      </c>
      <c r="Q1208" s="13">
        <v>154.06</v>
      </c>
      <c r="R1208" s="13">
        <v>90.93</v>
      </c>
      <c r="S1208" s="13">
        <f t="shared" si="3"/>
        <v>1364047.24</v>
      </c>
      <c r="T1208" s="13">
        <f t="shared" si="4"/>
        <v>805094.22</v>
      </c>
      <c r="U1208" s="13">
        <f t="shared" si="5"/>
        <v>558953.02</v>
      </c>
      <c r="V1208" s="3" t="str">
        <f>VLOOKUP(N1208,products!A:B,2,0)</f>
        <v>Vegetables</v>
      </c>
      <c r="W1208" s="3" t="s">
        <v>28</v>
      </c>
      <c r="X1208" s="3" t="s">
        <v>33</v>
      </c>
      <c r="Y1208" s="14">
        <f t="shared" si="10"/>
        <v>0.4097754122</v>
      </c>
      <c r="Z1208" s="3">
        <f t="shared" si="7"/>
        <v>44</v>
      </c>
      <c r="AA1208" s="15">
        <f t="shared" si="8"/>
        <v>5</v>
      </c>
    </row>
    <row r="1209" ht="15.75" customHeight="1">
      <c r="A1209" s="3">
        <v>9.17792117E8</v>
      </c>
      <c r="B1209" s="9">
        <v>41556.0</v>
      </c>
      <c r="C1209" s="3">
        <f>IFERROR(__xludf.DUMMYFUNCTION("split(B1209,""/"")"),9.0)</f>
        <v>9</v>
      </c>
      <c r="D1209" s="10">
        <f>IFERROR(__xludf.DUMMYFUNCTION("""COMPUTED_VALUE"""),10.0)</f>
        <v>10</v>
      </c>
      <c r="E1209" s="11">
        <f>IFERROR(__xludf.DUMMYFUNCTION("""COMPUTED_VALUE"""),2013.0)</f>
        <v>2013</v>
      </c>
      <c r="F1209" s="12">
        <f t="shared" si="1"/>
        <v>41527</v>
      </c>
      <c r="G1209" s="9">
        <v>41465.0</v>
      </c>
      <c r="H1209" s="3">
        <f>IFERROR(__xludf.DUMMYFUNCTION("split(G1209,""/"")"),10.0)</f>
        <v>10</v>
      </c>
      <c r="I1209" s="3">
        <f>IFERROR(__xludf.DUMMYFUNCTION("""COMPUTED_VALUE"""),7.0)</f>
        <v>7</v>
      </c>
      <c r="J1209" s="3">
        <f>IFERROR(__xludf.DUMMYFUNCTION("""COMPUTED_VALUE"""),2013.0)</f>
        <v>2013</v>
      </c>
      <c r="K1209" s="12">
        <f t="shared" si="2"/>
        <v>41554</v>
      </c>
      <c r="L1209" s="3" t="s">
        <v>814</v>
      </c>
      <c r="M1209" s="3" t="s">
        <v>349</v>
      </c>
      <c r="N1209" s="3">
        <v>2455.0</v>
      </c>
      <c r="O1209" s="3" t="s">
        <v>815</v>
      </c>
      <c r="P1209" s="10">
        <v>3938.0</v>
      </c>
      <c r="Q1209" s="13">
        <v>109.28</v>
      </c>
      <c r="R1209" s="13">
        <v>35.84</v>
      </c>
      <c r="S1209" s="13">
        <f t="shared" si="3"/>
        <v>430344.64</v>
      </c>
      <c r="T1209" s="13">
        <f t="shared" si="4"/>
        <v>141137.92</v>
      </c>
      <c r="U1209" s="13">
        <f t="shared" si="5"/>
        <v>289206.72</v>
      </c>
      <c r="V1209" s="3" t="str">
        <f>VLOOKUP(N1209,products!A:B,2,0)</f>
        <v>Clothes</v>
      </c>
      <c r="W1209" s="3" t="s">
        <v>28</v>
      </c>
      <c r="X1209" s="3" t="s">
        <v>29</v>
      </c>
      <c r="Y1209" s="14">
        <f t="shared" si="10"/>
        <v>0.6720351391</v>
      </c>
      <c r="Z1209" s="3">
        <f t="shared" si="7"/>
        <v>27</v>
      </c>
      <c r="AA1209" s="15">
        <f t="shared" si="8"/>
        <v>3</v>
      </c>
    </row>
    <row r="1210" ht="15.75" customHeight="1">
      <c r="A1210" s="3">
        <v>9.17835032E8</v>
      </c>
      <c r="B1210" s="3" t="s">
        <v>1807</v>
      </c>
      <c r="C1210" s="3">
        <f>IFERROR(__xludf.DUMMYFUNCTION("split(B1210,""/"")"),8.0)</f>
        <v>8</v>
      </c>
      <c r="D1210" s="10">
        <f>IFERROR(__xludf.DUMMYFUNCTION("""COMPUTED_VALUE"""),17.0)</f>
        <v>17</v>
      </c>
      <c r="E1210" s="11">
        <f>IFERROR(__xludf.DUMMYFUNCTION("""COMPUTED_VALUE"""),2011.0)</f>
        <v>2011</v>
      </c>
      <c r="F1210" s="12">
        <f t="shared" si="1"/>
        <v>40772</v>
      </c>
      <c r="G1210" s="9">
        <v>40704.0</v>
      </c>
      <c r="H1210" s="3">
        <f>IFERROR(__xludf.DUMMYFUNCTION("split(G1210,""/"")"),10.0)</f>
        <v>10</v>
      </c>
      <c r="I1210" s="3">
        <f>IFERROR(__xludf.DUMMYFUNCTION("""COMPUTED_VALUE"""),6.0)</f>
        <v>6</v>
      </c>
      <c r="J1210" s="3">
        <f>IFERROR(__xludf.DUMMYFUNCTION("""COMPUTED_VALUE"""),2011.0)</f>
        <v>2011</v>
      </c>
      <c r="K1210" s="12">
        <f t="shared" si="2"/>
        <v>40822</v>
      </c>
      <c r="L1210" s="3" t="s">
        <v>817</v>
      </c>
      <c r="M1210" s="3" t="s">
        <v>78</v>
      </c>
      <c r="N1210" s="3">
        <v>5988.0</v>
      </c>
      <c r="O1210" s="3" t="s">
        <v>818</v>
      </c>
      <c r="P1210" s="10">
        <v>6637.0</v>
      </c>
      <c r="Q1210" s="13">
        <v>154.06</v>
      </c>
      <c r="R1210" s="13">
        <v>90.93</v>
      </c>
      <c r="S1210" s="13">
        <f t="shared" si="3"/>
        <v>1022496.22</v>
      </c>
      <c r="T1210" s="13">
        <f t="shared" si="4"/>
        <v>603502.41</v>
      </c>
      <c r="U1210" s="13">
        <f t="shared" si="5"/>
        <v>418993.81</v>
      </c>
      <c r="V1210" s="3" t="str">
        <f>VLOOKUP(N1210,products!A:B,2,0)</f>
        <v>Vegetables</v>
      </c>
      <c r="W1210" s="3" t="s">
        <v>28</v>
      </c>
      <c r="X1210" s="3" t="s">
        <v>79</v>
      </c>
      <c r="Y1210" s="14">
        <f t="shared" si="10"/>
        <v>0.4097754122</v>
      </c>
      <c r="Z1210" s="3">
        <f t="shared" si="7"/>
        <v>50</v>
      </c>
      <c r="AA1210" s="15">
        <f t="shared" si="8"/>
        <v>4</v>
      </c>
    </row>
    <row r="1211" ht="15.75" customHeight="1">
      <c r="A1211" s="3">
        <v>9.17874085E8</v>
      </c>
      <c r="B1211" s="9">
        <v>41252.0</v>
      </c>
      <c r="C1211" s="3">
        <f>IFERROR(__xludf.DUMMYFUNCTION("split(B1211,""/"")"),9.0)</f>
        <v>9</v>
      </c>
      <c r="D1211" s="10">
        <f>IFERROR(__xludf.DUMMYFUNCTION("""COMPUTED_VALUE"""),12.0)</f>
        <v>12</v>
      </c>
      <c r="E1211" s="11">
        <f>IFERROR(__xludf.DUMMYFUNCTION("""COMPUTED_VALUE"""),2012.0)</f>
        <v>2012</v>
      </c>
      <c r="F1211" s="12">
        <f t="shared" si="1"/>
        <v>41164</v>
      </c>
      <c r="G1211" s="3" t="s">
        <v>1808</v>
      </c>
      <c r="H1211" s="3">
        <f>IFERROR(__xludf.DUMMYFUNCTION("split(G1211,""/"")"),9.0)</f>
        <v>9</v>
      </c>
      <c r="I1211" s="3">
        <f>IFERROR(__xludf.DUMMYFUNCTION("""COMPUTED_VALUE"""),23.0)</f>
        <v>23</v>
      </c>
      <c r="J1211" s="3">
        <f>IFERROR(__xludf.DUMMYFUNCTION("""COMPUTED_VALUE"""),2012.0)</f>
        <v>2012</v>
      </c>
      <c r="K1211" s="12">
        <f t="shared" si="2"/>
        <v>41175</v>
      </c>
      <c r="L1211" s="3" t="s">
        <v>814</v>
      </c>
      <c r="M1211" s="3" t="s">
        <v>542</v>
      </c>
      <c r="N1211" s="3">
        <v>8875.0</v>
      </c>
      <c r="O1211" s="3" t="s">
        <v>818</v>
      </c>
      <c r="P1211" s="10">
        <v>8194.0</v>
      </c>
      <c r="Q1211" s="13">
        <v>421.89</v>
      </c>
      <c r="R1211" s="13">
        <v>364.69</v>
      </c>
      <c r="S1211" s="13">
        <f t="shared" si="3"/>
        <v>3456966.66</v>
      </c>
      <c r="T1211" s="13">
        <f t="shared" si="4"/>
        <v>2988269.86</v>
      </c>
      <c r="U1211" s="13">
        <f t="shared" si="5"/>
        <v>468696.8</v>
      </c>
      <c r="V1211" s="3" t="str">
        <f>VLOOKUP(N1211,products!A:B,2,0)</f>
        <v>Meat</v>
      </c>
      <c r="W1211" s="3" t="s">
        <v>28</v>
      </c>
      <c r="X1211" s="3" t="s">
        <v>29</v>
      </c>
      <c r="Y1211" s="14">
        <f t="shared" si="10"/>
        <v>0.1355803646</v>
      </c>
      <c r="Z1211" s="3">
        <f t="shared" si="7"/>
        <v>11</v>
      </c>
      <c r="AA1211" s="15">
        <f t="shared" si="8"/>
        <v>4</v>
      </c>
    </row>
    <row r="1212" ht="15.75" customHeight="1">
      <c r="A1212" s="3">
        <v>9.17904984E8</v>
      </c>
      <c r="B1212" s="3" t="s">
        <v>1809</v>
      </c>
      <c r="C1212" s="3">
        <f>IFERROR(__xludf.DUMMYFUNCTION("split(B1212,""/"")"),4.0)</f>
        <v>4</v>
      </c>
      <c r="D1212" s="10">
        <f>IFERROR(__xludf.DUMMYFUNCTION("""COMPUTED_VALUE"""),21.0)</f>
        <v>21</v>
      </c>
      <c r="E1212" s="11">
        <f>IFERROR(__xludf.DUMMYFUNCTION("""COMPUTED_VALUE"""),2010.0)</f>
        <v>2010</v>
      </c>
      <c r="F1212" s="12">
        <f t="shared" si="1"/>
        <v>40289</v>
      </c>
      <c r="G1212" s="3" t="s">
        <v>1810</v>
      </c>
      <c r="H1212" s="3">
        <f>IFERROR(__xludf.DUMMYFUNCTION("split(G1212,""/"")"),4.0)</f>
        <v>4</v>
      </c>
      <c r="I1212" s="3">
        <f>IFERROR(__xludf.DUMMYFUNCTION("""COMPUTED_VALUE"""),24.0)</f>
        <v>24</v>
      </c>
      <c r="J1212" s="3">
        <f>IFERROR(__xludf.DUMMYFUNCTION("""COMPUTED_VALUE"""),2010.0)</f>
        <v>2010</v>
      </c>
      <c r="K1212" s="12">
        <f t="shared" si="2"/>
        <v>40292</v>
      </c>
      <c r="L1212" s="3" t="s">
        <v>825</v>
      </c>
      <c r="M1212" s="3" t="s">
        <v>590</v>
      </c>
      <c r="N1212" s="3">
        <v>3127.0</v>
      </c>
      <c r="O1212" s="3" t="s">
        <v>815</v>
      </c>
      <c r="P1212" s="10">
        <v>7338.0</v>
      </c>
      <c r="Q1212" s="13">
        <v>81.73</v>
      </c>
      <c r="R1212" s="13">
        <v>56.67</v>
      </c>
      <c r="S1212" s="13">
        <f t="shared" si="3"/>
        <v>599734.74</v>
      </c>
      <c r="T1212" s="13">
        <f t="shared" si="4"/>
        <v>415844.46</v>
      </c>
      <c r="U1212" s="13">
        <f t="shared" si="5"/>
        <v>183890.28</v>
      </c>
      <c r="V1212" s="3" t="str">
        <f>VLOOKUP(N1212,products!A:B,2,0)</f>
        <v>Personal Care</v>
      </c>
      <c r="W1212" s="3" t="s">
        <v>28</v>
      </c>
      <c r="X1212" s="3" t="s">
        <v>98</v>
      </c>
      <c r="Y1212" s="14">
        <f t="shared" si="10"/>
        <v>0.3066193564</v>
      </c>
      <c r="Z1212" s="3">
        <f t="shared" si="7"/>
        <v>3</v>
      </c>
      <c r="AA1212" s="15">
        <f t="shared" si="8"/>
        <v>4</v>
      </c>
    </row>
    <row r="1213" ht="15.75" customHeight="1">
      <c r="A1213" s="3">
        <v>9.18364179E8</v>
      </c>
      <c r="B1213" s="9">
        <v>41550.0</v>
      </c>
      <c r="C1213" s="3">
        <f>IFERROR(__xludf.DUMMYFUNCTION("split(B1213,""/"")"),3.0)</f>
        <v>3</v>
      </c>
      <c r="D1213" s="10">
        <f>IFERROR(__xludf.DUMMYFUNCTION("""COMPUTED_VALUE"""),10.0)</f>
        <v>10</v>
      </c>
      <c r="E1213" s="11">
        <f>IFERROR(__xludf.DUMMYFUNCTION("""COMPUTED_VALUE"""),2013.0)</f>
        <v>2013</v>
      </c>
      <c r="F1213" s="12">
        <f t="shared" si="1"/>
        <v>41343</v>
      </c>
      <c r="G1213" s="9">
        <v>41582.0</v>
      </c>
      <c r="H1213" s="3">
        <f>IFERROR(__xludf.DUMMYFUNCTION("split(G1213,""/"")"),4.0)</f>
        <v>4</v>
      </c>
      <c r="I1213" s="3">
        <f>IFERROR(__xludf.DUMMYFUNCTION("""COMPUTED_VALUE"""),11.0)</f>
        <v>11</v>
      </c>
      <c r="J1213" s="3">
        <f>IFERROR(__xludf.DUMMYFUNCTION("""COMPUTED_VALUE"""),2013.0)</f>
        <v>2013</v>
      </c>
      <c r="K1213" s="12">
        <f t="shared" si="2"/>
        <v>41375</v>
      </c>
      <c r="L1213" s="3" t="s">
        <v>827</v>
      </c>
      <c r="M1213" s="3" t="s">
        <v>267</v>
      </c>
      <c r="N1213" s="3">
        <v>8969.0</v>
      </c>
      <c r="O1213" s="3" t="s">
        <v>818</v>
      </c>
      <c r="P1213" s="10">
        <v>3223.0</v>
      </c>
      <c r="Q1213" s="13">
        <v>152.58</v>
      </c>
      <c r="R1213" s="13">
        <v>97.44</v>
      </c>
      <c r="S1213" s="13">
        <f t="shared" si="3"/>
        <v>491765.34</v>
      </c>
      <c r="T1213" s="13">
        <f t="shared" si="4"/>
        <v>314049.12</v>
      </c>
      <c r="U1213" s="13">
        <f t="shared" si="5"/>
        <v>177716.22</v>
      </c>
      <c r="V1213" s="3" t="str">
        <f>VLOOKUP(N1213,products!A:B,2,0)</f>
        <v>Snacks</v>
      </c>
      <c r="W1213" s="3" t="s">
        <v>28</v>
      </c>
      <c r="X1213" s="3" t="s">
        <v>29</v>
      </c>
      <c r="Y1213" s="14">
        <f t="shared" si="10"/>
        <v>0.3613841919</v>
      </c>
      <c r="Z1213" s="3">
        <f t="shared" si="7"/>
        <v>32</v>
      </c>
      <c r="AA1213" s="15">
        <f t="shared" si="8"/>
        <v>1</v>
      </c>
    </row>
    <row r="1214" ht="15.75" customHeight="1">
      <c r="A1214" s="3">
        <v>9.19133651E8</v>
      </c>
      <c r="B1214" s="3" t="s">
        <v>1040</v>
      </c>
      <c r="C1214" s="3">
        <f>IFERROR(__xludf.DUMMYFUNCTION("split(B1214,""/"")"),10.0)</f>
        <v>10</v>
      </c>
      <c r="D1214" s="10">
        <f>IFERROR(__xludf.DUMMYFUNCTION("""COMPUTED_VALUE"""),14.0)</f>
        <v>14</v>
      </c>
      <c r="E1214" s="11">
        <f>IFERROR(__xludf.DUMMYFUNCTION("""COMPUTED_VALUE"""),2013.0)</f>
        <v>2013</v>
      </c>
      <c r="F1214" s="12">
        <f t="shared" si="1"/>
        <v>41561</v>
      </c>
      <c r="G1214" s="9">
        <v>41375.0</v>
      </c>
      <c r="H1214" s="3">
        <f>IFERROR(__xludf.DUMMYFUNCTION("split(G1214,""/"")"),11.0)</f>
        <v>11</v>
      </c>
      <c r="I1214" s="3">
        <f>IFERROR(__xludf.DUMMYFUNCTION("""COMPUTED_VALUE"""),4.0)</f>
        <v>4</v>
      </c>
      <c r="J1214" s="3">
        <f>IFERROR(__xludf.DUMMYFUNCTION("""COMPUTED_VALUE"""),2013.0)</f>
        <v>2013</v>
      </c>
      <c r="K1214" s="12">
        <f t="shared" si="2"/>
        <v>41582</v>
      </c>
      <c r="L1214" s="3" t="s">
        <v>814</v>
      </c>
      <c r="M1214" s="3" t="s">
        <v>123</v>
      </c>
      <c r="N1214" s="3">
        <v>2455.0</v>
      </c>
      <c r="O1214" s="3" t="s">
        <v>815</v>
      </c>
      <c r="P1214" s="10">
        <v>927.0</v>
      </c>
      <c r="Q1214" s="13">
        <v>109.28</v>
      </c>
      <c r="R1214" s="13">
        <v>35.84</v>
      </c>
      <c r="S1214" s="13">
        <f t="shared" si="3"/>
        <v>101302.56</v>
      </c>
      <c r="T1214" s="13">
        <f t="shared" si="4"/>
        <v>33223.68</v>
      </c>
      <c r="U1214" s="13">
        <f t="shared" si="5"/>
        <v>68078.88</v>
      </c>
      <c r="V1214" s="3" t="str">
        <f>VLOOKUP(N1214,products!A:B,2,0)</f>
        <v>Clothes</v>
      </c>
      <c r="W1214" s="3" t="s">
        <v>28</v>
      </c>
      <c r="X1214" s="3" t="s">
        <v>33</v>
      </c>
      <c r="Y1214" s="14">
        <f t="shared" si="10"/>
        <v>0.6720351391</v>
      </c>
      <c r="Z1214" s="3">
        <f t="shared" si="7"/>
        <v>21</v>
      </c>
      <c r="AA1214" s="15">
        <f t="shared" si="8"/>
        <v>2</v>
      </c>
    </row>
    <row r="1215" ht="15.75" customHeight="1">
      <c r="A1215" s="3">
        <v>9.19922006E8</v>
      </c>
      <c r="B1215" s="3" t="s">
        <v>1811</v>
      </c>
      <c r="C1215" s="3">
        <f>IFERROR(__xludf.DUMMYFUNCTION("split(B1215,""/"")"),8.0)</f>
        <v>8</v>
      </c>
      <c r="D1215" s="10">
        <f>IFERROR(__xludf.DUMMYFUNCTION("""COMPUTED_VALUE"""),27.0)</f>
        <v>27</v>
      </c>
      <c r="E1215" s="11">
        <f>IFERROR(__xludf.DUMMYFUNCTION("""COMPUTED_VALUE"""),2011.0)</f>
        <v>2011</v>
      </c>
      <c r="F1215" s="12">
        <f t="shared" si="1"/>
        <v>40782</v>
      </c>
      <c r="G1215" s="3" t="s">
        <v>1787</v>
      </c>
      <c r="H1215" s="3">
        <f>IFERROR(__xludf.DUMMYFUNCTION("split(G1215,""/"")"),9.0)</f>
        <v>9</v>
      </c>
      <c r="I1215" s="3">
        <f>IFERROR(__xludf.DUMMYFUNCTION("""COMPUTED_VALUE"""),18.0)</f>
        <v>18</v>
      </c>
      <c r="J1215" s="3">
        <f>IFERROR(__xludf.DUMMYFUNCTION("""COMPUTED_VALUE"""),2011.0)</f>
        <v>2011</v>
      </c>
      <c r="K1215" s="12">
        <f t="shared" si="2"/>
        <v>40804</v>
      </c>
      <c r="L1215" s="3" t="s">
        <v>825</v>
      </c>
      <c r="M1215" s="3" t="s">
        <v>821</v>
      </c>
      <c r="N1215" s="3">
        <v>4594.0</v>
      </c>
      <c r="O1215" s="3" t="s">
        <v>815</v>
      </c>
      <c r="P1215" s="10">
        <v>4219.0</v>
      </c>
      <c r="Q1215" s="13">
        <v>9.33</v>
      </c>
      <c r="R1215" s="13">
        <v>6.92</v>
      </c>
      <c r="S1215" s="13">
        <f t="shared" si="3"/>
        <v>39363.27</v>
      </c>
      <c r="T1215" s="13">
        <f t="shared" si="4"/>
        <v>29195.48</v>
      </c>
      <c r="U1215" s="13">
        <f t="shared" si="5"/>
        <v>10167.79</v>
      </c>
      <c r="V1215" s="3" t="str">
        <f>VLOOKUP(N1215,products!A:B,2,0)</f>
        <v>Fruits</v>
      </c>
      <c r="W1215" s="3" t="s">
        <v>821</v>
      </c>
      <c r="X1215" s="3" t="s">
        <v>821</v>
      </c>
      <c r="Y1215" s="14">
        <f t="shared" si="10"/>
        <v>0.258306538</v>
      </c>
      <c r="Z1215" s="3">
        <f t="shared" si="7"/>
        <v>22</v>
      </c>
      <c r="AA1215" s="15">
        <f t="shared" si="8"/>
        <v>7</v>
      </c>
    </row>
    <row r="1216" ht="15.75" customHeight="1">
      <c r="A1216" s="3">
        <v>9.2001127E8</v>
      </c>
      <c r="B1216" s="9">
        <v>42983.0</v>
      </c>
      <c r="C1216" s="3">
        <f>IFERROR(__xludf.DUMMYFUNCTION("split(B1216,""/"")"),5.0)</f>
        <v>5</v>
      </c>
      <c r="D1216" s="10">
        <f>IFERROR(__xludf.DUMMYFUNCTION("""COMPUTED_VALUE"""),9.0)</f>
        <v>9</v>
      </c>
      <c r="E1216" s="11">
        <f>IFERROR(__xludf.DUMMYFUNCTION("""COMPUTED_VALUE"""),2017.0)</f>
        <v>2017</v>
      </c>
      <c r="F1216" s="12">
        <f t="shared" si="1"/>
        <v>42864</v>
      </c>
      <c r="G1216" s="9">
        <v>43075.0</v>
      </c>
      <c r="H1216" s="3">
        <f>IFERROR(__xludf.DUMMYFUNCTION("split(G1216,""/"")"),6.0)</f>
        <v>6</v>
      </c>
      <c r="I1216" s="3">
        <f>IFERROR(__xludf.DUMMYFUNCTION("""COMPUTED_VALUE"""),12.0)</f>
        <v>12</v>
      </c>
      <c r="J1216" s="3">
        <f>IFERROR(__xludf.DUMMYFUNCTION("""COMPUTED_VALUE"""),2017.0)</f>
        <v>2017</v>
      </c>
      <c r="K1216" s="12">
        <f t="shared" si="2"/>
        <v>42898</v>
      </c>
      <c r="L1216" s="3" t="s">
        <v>814</v>
      </c>
      <c r="M1216" s="3" t="s">
        <v>218</v>
      </c>
      <c r="N1216" s="3">
        <v>8875.0</v>
      </c>
      <c r="O1216" s="3" t="s">
        <v>818</v>
      </c>
      <c r="P1216" s="10">
        <v>634.0</v>
      </c>
      <c r="Q1216" s="13">
        <v>421.89</v>
      </c>
      <c r="R1216" s="13">
        <v>364.69</v>
      </c>
      <c r="S1216" s="13">
        <f t="shared" si="3"/>
        <v>267478.26</v>
      </c>
      <c r="T1216" s="13">
        <f t="shared" si="4"/>
        <v>231213.46</v>
      </c>
      <c r="U1216" s="13">
        <f t="shared" si="5"/>
        <v>36264.8</v>
      </c>
      <c r="V1216" s="3" t="str">
        <f>VLOOKUP(N1216,products!A:B,2,0)</f>
        <v>Meat</v>
      </c>
      <c r="W1216" s="3" t="s">
        <v>28</v>
      </c>
      <c r="X1216" s="3" t="s">
        <v>98</v>
      </c>
      <c r="Y1216" s="14">
        <f t="shared" si="10"/>
        <v>0.1355803646</v>
      </c>
      <c r="Z1216" s="3">
        <f t="shared" si="7"/>
        <v>34</v>
      </c>
      <c r="AA1216" s="15">
        <f t="shared" si="8"/>
        <v>3</v>
      </c>
    </row>
    <row r="1217" ht="15.75" customHeight="1">
      <c r="A1217" s="3">
        <v>9.20688903E8</v>
      </c>
      <c r="B1217" s="9">
        <v>41764.0</v>
      </c>
      <c r="C1217" s="3">
        <f>IFERROR(__xludf.DUMMYFUNCTION("split(B1217,""/"")"),5.0)</f>
        <v>5</v>
      </c>
      <c r="D1217" s="10">
        <f>IFERROR(__xludf.DUMMYFUNCTION("""COMPUTED_VALUE"""),5.0)</f>
        <v>5</v>
      </c>
      <c r="E1217" s="11">
        <f>IFERROR(__xludf.DUMMYFUNCTION("""COMPUTED_VALUE"""),2014.0)</f>
        <v>2014</v>
      </c>
      <c r="F1217" s="12">
        <f t="shared" si="1"/>
        <v>41764</v>
      </c>
      <c r="G1217" s="9">
        <v>41979.0</v>
      </c>
      <c r="H1217" s="3">
        <f>IFERROR(__xludf.DUMMYFUNCTION("split(G1217,""/"")"),6.0)</f>
        <v>6</v>
      </c>
      <c r="I1217" s="3">
        <f>IFERROR(__xludf.DUMMYFUNCTION("""COMPUTED_VALUE"""),12.0)</f>
        <v>12</v>
      </c>
      <c r="J1217" s="3">
        <f>IFERROR(__xludf.DUMMYFUNCTION("""COMPUTED_VALUE"""),2014.0)</f>
        <v>2014</v>
      </c>
      <c r="K1217" s="12">
        <f t="shared" si="2"/>
        <v>41802</v>
      </c>
      <c r="L1217" s="3" t="s">
        <v>825</v>
      </c>
      <c r="M1217" s="3" t="s">
        <v>740</v>
      </c>
      <c r="N1217" s="3">
        <v>7331.0</v>
      </c>
      <c r="O1217" s="3" t="s">
        <v>818</v>
      </c>
      <c r="P1217" s="10">
        <v>1161.0</v>
      </c>
      <c r="Q1217" s="13">
        <v>255.28</v>
      </c>
      <c r="R1217" s="13">
        <v>159.42</v>
      </c>
      <c r="S1217" s="13">
        <f t="shared" si="3"/>
        <v>296380.08</v>
      </c>
      <c r="T1217" s="13">
        <f t="shared" si="4"/>
        <v>185086.62</v>
      </c>
      <c r="U1217" s="13">
        <f t="shared" si="5"/>
        <v>111293.46</v>
      </c>
      <c r="V1217" s="3" t="str">
        <f>VLOOKUP(N1217,products!A:B,2,0)</f>
        <v>Baby Food</v>
      </c>
      <c r="W1217" s="3" t="s">
        <v>28</v>
      </c>
      <c r="X1217" s="3" t="s">
        <v>98</v>
      </c>
      <c r="Y1217" s="14">
        <f t="shared" si="10"/>
        <v>0.3755092448</v>
      </c>
      <c r="Z1217" s="3">
        <f t="shared" si="7"/>
        <v>38</v>
      </c>
      <c r="AA1217" s="15">
        <f t="shared" si="8"/>
        <v>2</v>
      </c>
    </row>
    <row r="1218" ht="15.75" customHeight="1">
      <c r="A1218" s="3">
        <v>9.21133935E8</v>
      </c>
      <c r="B1218" s="9">
        <v>41402.0</v>
      </c>
      <c r="C1218" s="3">
        <f>IFERROR(__xludf.DUMMYFUNCTION("split(B1218,""/"")"),8.0)</f>
        <v>8</v>
      </c>
      <c r="D1218" s="10">
        <f>IFERROR(__xludf.DUMMYFUNCTION("""COMPUTED_VALUE"""),5.0)</f>
        <v>5</v>
      </c>
      <c r="E1218" s="11">
        <f>IFERROR(__xludf.DUMMYFUNCTION("""COMPUTED_VALUE"""),2013.0)</f>
        <v>2013</v>
      </c>
      <c r="F1218" s="12">
        <f t="shared" si="1"/>
        <v>41491</v>
      </c>
      <c r="G1218" s="9">
        <v>41586.0</v>
      </c>
      <c r="H1218" s="3">
        <f>IFERROR(__xludf.DUMMYFUNCTION("split(G1218,""/"")"),8.0)</f>
        <v>8</v>
      </c>
      <c r="I1218" s="3">
        <f>IFERROR(__xludf.DUMMYFUNCTION("""COMPUTED_VALUE"""),11.0)</f>
        <v>11</v>
      </c>
      <c r="J1218" s="3">
        <f>IFERROR(__xludf.DUMMYFUNCTION("""COMPUTED_VALUE"""),2013.0)</f>
        <v>2013</v>
      </c>
      <c r="K1218" s="12">
        <f t="shared" si="2"/>
        <v>41497</v>
      </c>
      <c r="L1218" s="3" t="s">
        <v>825</v>
      </c>
      <c r="M1218" s="3" t="s">
        <v>101</v>
      </c>
      <c r="N1218" s="3">
        <v>8969.0</v>
      </c>
      <c r="O1218" s="3" t="s">
        <v>815</v>
      </c>
      <c r="P1218" s="10">
        <v>2856.0</v>
      </c>
      <c r="Q1218" s="13">
        <v>152.58</v>
      </c>
      <c r="R1218" s="13">
        <v>97.44</v>
      </c>
      <c r="S1218" s="13">
        <f t="shared" si="3"/>
        <v>435768.48</v>
      </c>
      <c r="T1218" s="13">
        <f t="shared" si="4"/>
        <v>278288.64</v>
      </c>
      <c r="U1218" s="13">
        <f t="shared" si="5"/>
        <v>157479.84</v>
      </c>
      <c r="V1218" s="3" t="str">
        <f>VLOOKUP(N1218,products!A:B,2,0)</f>
        <v>Snacks</v>
      </c>
      <c r="W1218" s="3" t="s">
        <v>28</v>
      </c>
      <c r="X1218" s="3" t="s">
        <v>79</v>
      </c>
      <c r="Y1218" s="14">
        <f t="shared" si="10"/>
        <v>0.3613841919</v>
      </c>
      <c r="Z1218" s="3">
        <f t="shared" si="7"/>
        <v>6</v>
      </c>
      <c r="AA1218" s="15">
        <f t="shared" si="8"/>
        <v>2</v>
      </c>
    </row>
    <row r="1219" ht="15.75" customHeight="1">
      <c r="A1219" s="3">
        <v>9.21230065E8</v>
      </c>
      <c r="B1219" s="3" t="s">
        <v>1812</v>
      </c>
      <c r="C1219" s="3">
        <f>IFERROR(__xludf.DUMMYFUNCTION("split(B1219,""/"")"),3.0)</f>
        <v>3</v>
      </c>
      <c r="D1219" s="10">
        <f>IFERROR(__xludf.DUMMYFUNCTION("""COMPUTED_VALUE"""),27.0)</f>
        <v>27</v>
      </c>
      <c r="E1219" s="11">
        <f>IFERROR(__xludf.DUMMYFUNCTION("""COMPUTED_VALUE"""),2016.0)</f>
        <v>2016</v>
      </c>
      <c r="F1219" s="12">
        <f t="shared" si="1"/>
        <v>42456</v>
      </c>
      <c r="G1219" s="3" t="s">
        <v>967</v>
      </c>
      <c r="H1219" s="3">
        <f>IFERROR(__xludf.DUMMYFUNCTION("split(G1219,""/"")"),5.0)</f>
        <v>5</v>
      </c>
      <c r="I1219" s="3">
        <f>IFERROR(__xludf.DUMMYFUNCTION("""COMPUTED_VALUE"""),16.0)</f>
        <v>16</v>
      </c>
      <c r="J1219" s="3">
        <f>IFERROR(__xludf.DUMMYFUNCTION("""COMPUTED_VALUE"""),2016.0)</f>
        <v>2016</v>
      </c>
      <c r="K1219" s="12">
        <f t="shared" si="2"/>
        <v>42506</v>
      </c>
      <c r="L1219" s="3" t="s">
        <v>814</v>
      </c>
      <c r="M1219" s="3" t="s">
        <v>578</v>
      </c>
      <c r="N1219" s="3">
        <v>7331.0</v>
      </c>
      <c r="O1219" s="3" t="s">
        <v>818</v>
      </c>
      <c r="P1219" s="10">
        <v>1303.0</v>
      </c>
      <c r="Q1219" s="13">
        <v>255.28</v>
      </c>
      <c r="R1219" s="13">
        <v>159.42</v>
      </c>
      <c r="S1219" s="13">
        <f t="shared" si="3"/>
        <v>332629.84</v>
      </c>
      <c r="T1219" s="13">
        <f t="shared" si="4"/>
        <v>207724.26</v>
      </c>
      <c r="U1219" s="13">
        <f t="shared" si="5"/>
        <v>124905.58</v>
      </c>
      <c r="V1219" s="3" t="str">
        <f>VLOOKUP(N1219,products!A:B,2,0)</f>
        <v>Baby Food</v>
      </c>
      <c r="W1219" s="3" t="s">
        <v>28</v>
      </c>
      <c r="X1219" s="3" t="s">
        <v>33</v>
      </c>
      <c r="Y1219" s="14">
        <f t="shared" si="10"/>
        <v>0.3755092448</v>
      </c>
      <c r="Z1219" s="3">
        <f t="shared" si="7"/>
        <v>50</v>
      </c>
      <c r="AA1219" s="15">
        <f t="shared" si="8"/>
        <v>1</v>
      </c>
    </row>
    <row r="1220" ht="15.75" customHeight="1">
      <c r="A1220" s="3">
        <v>9.2169398E8</v>
      </c>
      <c r="B1220" s="9">
        <v>41009.0</v>
      </c>
      <c r="C1220" s="3">
        <f>IFERROR(__xludf.DUMMYFUNCTION("split(B1220,""/"")"),10.0)</f>
        <v>10</v>
      </c>
      <c r="D1220" s="10">
        <f>IFERROR(__xludf.DUMMYFUNCTION("""COMPUTED_VALUE"""),4.0)</f>
        <v>4</v>
      </c>
      <c r="E1220" s="11">
        <f>IFERROR(__xludf.DUMMYFUNCTION("""COMPUTED_VALUE"""),2012.0)</f>
        <v>2012</v>
      </c>
      <c r="F1220" s="12">
        <f t="shared" si="1"/>
        <v>41186</v>
      </c>
      <c r="G1220" s="9">
        <v>41010.0</v>
      </c>
      <c r="H1220" s="3">
        <f>IFERROR(__xludf.DUMMYFUNCTION("split(G1220,""/"")"),11.0)</f>
        <v>11</v>
      </c>
      <c r="I1220" s="3">
        <f>IFERROR(__xludf.DUMMYFUNCTION("""COMPUTED_VALUE"""),4.0)</f>
        <v>4</v>
      </c>
      <c r="J1220" s="3">
        <f>IFERROR(__xludf.DUMMYFUNCTION("""COMPUTED_VALUE"""),2012.0)</f>
        <v>2012</v>
      </c>
      <c r="K1220" s="12">
        <f t="shared" si="2"/>
        <v>41217</v>
      </c>
      <c r="L1220" s="3" t="s">
        <v>814</v>
      </c>
      <c r="M1220" s="3" t="s">
        <v>300</v>
      </c>
      <c r="N1220" s="3">
        <v>5988.0</v>
      </c>
      <c r="O1220" s="3" t="s">
        <v>815</v>
      </c>
      <c r="P1220" s="10">
        <v>8586.0</v>
      </c>
      <c r="Q1220" s="13">
        <v>154.06</v>
      </c>
      <c r="R1220" s="13">
        <v>90.93</v>
      </c>
      <c r="S1220" s="13">
        <f t="shared" si="3"/>
        <v>1322759.16</v>
      </c>
      <c r="T1220" s="13">
        <f t="shared" si="4"/>
        <v>780724.98</v>
      </c>
      <c r="U1220" s="13">
        <f t="shared" si="5"/>
        <v>542034.18</v>
      </c>
      <c r="V1220" s="3" t="str">
        <f>VLOOKUP(N1220,products!A:B,2,0)</f>
        <v>Vegetables</v>
      </c>
      <c r="W1220" s="3" t="s">
        <v>28</v>
      </c>
      <c r="X1220" s="3" t="s">
        <v>33</v>
      </c>
      <c r="Y1220" s="14">
        <f t="shared" si="10"/>
        <v>0.4097754122</v>
      </c>
      <c r="Z1220" s="3">
        <f t="shared" si="7"/>
        <v>31</v>
      </c>
      <c r="AA1220" s="15">
        <f t="shared" si="8"/>
        <v>5</v>
      </c>
    </row>
    <row r="1221" ht="15.75" customHeight="1">
      <c r="A1221" s="3">
        <v>9.2236346E8</v>
      </c>
      <c r="B1221" s="9">
        <v>41466.0</v>
      </c>
      <c r="C1221" s="3">
        <f>IFERROR(__xludf.DUMMYFUNCTION("split(B1221,""/"")"),11.0)</f>
        <v>11</v>
      </c>
      <c r="D1221" s="10">
        <f>IFERROR(__xludf.DUMMYFUNCTION("""COMPUTED_VALUE"""),7.0)</f>
        <v>7</v>
      </c>
      <c r="E1221" s="11">
        <f>IFERROR(__xludf.DUMMYFUNCTION("""COMPUTED_VALUE"""),2013.0)</f>
        <v>2013</v>
      </c>
      <c r="F1221" s="12">
        <f t="shared" si="1"/>
        <v>41585</v>
      </c>
      <c r="G1221" s="3" t="s">
        <v>1813</v>
      </c>
      <c r="H1221" s="3">
        <f>IFERROR(__xludf.DUMMYFUNCTION("split(G1221,""/"")"),11.0)</f>
        <v>11</v>
      </c>
      <c r="I1221" s="3">
        <f>IFERROR(__xludf.DUMMYFUNCTION("""COMPUTED_VALUE"""),23.0)</f>
        <v>23</v>
      </c>
      <c r="J1221" s="3">
        <f>IFERROR(__xludf.DUMMYFUNCTION("""COMPUTED_VALUE"""),2013.0)</f>
        <v>2013</v>
      </c>
      <c r="K1221" s="12">
        <f t="shared" si="2"/>
        <v>41601</v>
      </c>
      <c r="L1221" s="3" t="s">
        <v>827</v>
      </c>
      <c r="M1221" s="3" t="s">
        <v>434</v>
      </c>
      <c r="N1221" s="3">
        <v>2455.0</v>
      </c>
      <c r="O1221" s="3" t="s">
        <v>815</v>
      </c>
      <c r="P1221" s="10">
        <v>6700.0</v>
      </c>
      <c r="Q1221" s="13">
        <v>109.28</v>
      </c>
      <c r="R1221" s="13">
        <v>35.84</v>
      </c>
      <c r="S1221" s="13">
        <f t="shared" si="3"/>
        <v>732176</v>
      </c>
      <c r="T1221" s="13">
        <f t="shared" si="4"/>
        <v>240128</v>
      </c>
      <c r="U1221" s="13">
        <f t="shared" si="5"/>
        <v>492048</v>
      </c>
      <c r="V1221" s="3" t="str">
        <f>VLOOKUP(N1221,products!A:B,2,0)</f>
        <v>Clothes</v>
      </c>
      <c r="W1221" s="3" t="s">
        <v>28</v>
      </c>
      <c r="X1221" s="3" t="s">
        <v>79</v>
      </c>
      <c r="Y1221" s="14">
        <f t="shared" si="10"/>
        <v>0.6720351391</v>
      </c>
      <c r="Z1221" s="3">
        <f t="shared" si="7"/>
        <v>16</v>
      </c>
      <c r="AA1221" s="15">
        <f t="shared" si="8"/>
        <v>5</v>
      </c>
    </row>
    <row r="1222" ht="15.75" customHeight="1">
      <c r="A1222" s="3">
        <v>9.22564303E8</v>
      </c>
      <c r="B1222" s="3" t="s">
        <v>1814</v>
      </c>
      <c r="C1222" s="3">
        <f>IFERROR(__xludf.DUMMYFUNCTION("split(B1222,""/"")"),3.0)</f>
        <v>3</v>
      </c>
      <c r="D1222" s="10">
        <f>IFERROR(__xludf.DUMMYFUNCTION("""COMPUTED_VALUE"""),17.0)</f>
        <v>17</v>
      </c>
      <c r="E1222" s="11">
        <f>IFERROR(__xludf.DUMMYFUNCTION("""COMPUTED_VALUE"""),2017.0)</f>
        <v>2017</v>
      </c>
      <c r="F1222" s="12">
        <f t="shared" si="1"/>
        <v>42811</v>
      </c>
      <c r="G1222" s="9">
        <v>42770.0</v>
      </c>
      <c r="H1222" s="3">
        <f>IFERROR(__xludf.DUMMYFUNCTION("split(G1222,""/"")"),4.0)</f>
        <v>4</v>
      </c>
      <c r="I1222" s="3">
        <f>IFERROR(__xludf.DUMMYFUNCTION("""COMPUTED_VALUE"""),2.0)</f>
        <v>2</v>
      </c>
      <c r="J1222" s="3">
        <f>IFERROR(__xludf.DUMMYFUNCTION("""COMPUTED_VALUE"""),2017.0)</f>
        <v>2017</v>
      </c>
      <c r="K1222" s="12">
        <f t="shared" si="2"/>
        <v>42827</v>
      </c>
      <c r="L1222" s="3" t="s">
        <v>825</v>
      </c>
      <c r="M1222" s="3" t="s">
        <v>821</v>
      </c>
      <c r="N1222" s="3">
        <v>7940.0</v>
      </c>
      <c r="O1222" s="3" t="s">
        <v>818</v>
      </c>
      <c r="P1222" s="10">
        <v>6134.0</v>
      </c>
      <c r="Q1222" s="13">
        <v>668.27</v>
      </c>
      <c r="R1222" s="13">
        <v>502.54</v>
      </c>
      <c r="S1222" s="13">
        <f t="shared" si="3"/>
        <v>4099168.18</v>
      </c>
      <c r="T1222" s="13">
        <f t="shared" si="4"/>
        <v>3082580.36</v>
      </c>
      <c r="U1222" s="13">
        <f t="shared" si="5"/>
        <v>1016587.82</v>
      </c>
      <c r="V1222" s="3" t="str">
        <f>VLOOKUP(N1222,products!A:B,2,0)</f>
        <v>Household</v>
      </c>
      <c r="W1222" s="3" t="s">
        <v>821</v>
      </c>
      <c r="X1222" s="3" t="s">
        <v>821</v>
      </c>
      <c r="Y1222" s="14">
        <f t="shared" si="10"/>
        <v>0.2479985635</v>
      </c>
      <c r="Z1222" s="3">
        <f t="shared" si="7"/>
        <v>16</v>
      </c>
      <c r="AA1222" s="15">
        <f t="shared" si="8"/>
        <v>6</v>
      </c>
    </row>
    <row r="1223" ht="15.75" customHeight="1">
      <c r="A1223" s="3">
        <v>9.23160398E8</v>
      </c>
      <c r="B1223" s="3" t="s">
        <v>1731</v>
      </c>
      <c r="C1223" s="3">
        <f>IFERROR(__xludf.DUMMYFUNCTION("split(B1223,""/"")"),5.0)</f>
        <v>5</v>
      </c>
      <c r="D1223" s="10">
        <f>IFERROR(__xludf.DUMMYFUNCTION("""COMPUTED_VALUE"""),14.0)</f>
        <v>14</v>
      </c>
      <c r="E1223" s="11">
        <f>IFERROR(__xludf.DUMMYFUNCTION("""COMPUTED_VALUE"""),2017.0)</f>
        <v>2017</v>
      </c>
      <c r="F1223" s="12">
        <f t="shared" si="1"/>
        <v>42869</v>
      </c>
      <c r="G1223" s="3" t="s">
        <v>1748</v>
      </c>
      <c r="H1223" s="3">
        <f>IFERROR(__xludf.DUMMYFUNCTION("split(G1223,""/"")"),6.0)</f>
        <v>6</v>
      </c>
      <c r="I1223" s="3">
        <f>IFERROR(__xludf.DUMMYFUNCTION("""COMPUTED_VALUE"""),15.0)</f>
        <v>15</v>
      </c>
      <c r="J1223" s="3">
        <f>IFERROR(__xludf.DUMMYFUNCTION("""COMPUTED_VALUE"""),2017.0)</f>
        <v>2017</v>
      </c>
      <c r="K1223" s="12">
        <f t="shared" si="2"/>
        <v>42901</v>
      </c>
      <c r="L1223" s="3" t="s">
        <v>825</v>
      </c>
      <c r="M1223" s="3" t="s">
        <v>46</v>
      </c>
      <c r="N1223" s="3">
        <v>2455.0</v>
      </c>
      <c r="O1223" s="3" t="s">
        <v>818</v>
      </c>
      <c r="P1223" s="10">
        <v>2531.0</v>
      </c>
      <c r="Q1223" s="13">
        <v>109.28</v>
      </c>
      <c r="R1223" s="13">
        <v>35.84</v>
      </c>
      <c r="S1223" s="13">
        <f t="shared" si="3"/>
        <v>276587.68</v>
      </c>
      <c r="T1223" s="13">
        <f t="shared" si="4"/>
        <v>90711.04</v>
      </c>
      <c r="U1223" s="13">
        <f t="shared" si="5"/>
        <v>185876.64</v>
      </c>
      <c r="V1223" s="3" t="str">
        <f>VLOOKUP(N1223,products!A:B,2,0)</f>
        <v>Clothes</v>
      </c>
      <c r="W1223" s="3" t="s">
        <v>28</v>
      </c>
      <c r="X1223" s="3" t="s">
        <v>33</v>
      </c>
      <c r="Y1223" s="14">
        <f t="shared" si="10"/>
        <v>0.6720351391</v>
      </c>
      <c r="Z1223" s="3">
        <f t="shared" si="7"/>
        <v>32</v>
      </c>
      <c r="AA1223" s="15">
        <f t="shared" si="8"/>
        <v>1</v>
      </c>
    </row>
    <row r="1224" ht="15.75" customHeight="1">
      <c r="A1224" s="3">
        <v>9.23922574E8</v>
      </c>
      <c r="B1224" s="9">
        <v>40790.0</v>
      </c>
      <c r="C1224" s="3">
        <f>IFERROR(__xludf.DUMMYFUNCTION("split(B1224,""/"")"),4.0)</f>
        <v>4</v>
      </c>
      <c r="D1224" s="10">
        <f>IFERROR(__xludf.DUMMYFUNCTION("""COMPUTED_VALUE"""),9.0)</f>
        <v>9</v>
      </c>
      <c r="E1224" s="11">
        <f>IFERROR(__xludf.DUMMYFUNCTION("""COMPUTED_VALUE"""),2011.0)</f>
        <v>2011</v>
      </c>
      <c r="F1224" s="12">
        <f t="shared" si="1"/>
        <v>40642</v>
      </c>
      <c r="G1224" s="3" t="s">
        <v>1717</v>
      </c>
      <c r="H1224" s="3">
        <f>IFERROR(__xludf.DUMMYFUNCTION("split(G1224,""/"")"),5.0)</f>
        <v>5</v>
      </c>
      <c r="I1224" s="3">
        <f>IFERROR(__xludf.DUMMYFUNCTION("""COMPUTED_VALUE"""),23.0)</f>
        <v>23</v>
      </c>
      <c r="J1224" s="3">
        <f>IFERROR(__xludf.DUMMYFUNCTION("""COMPUTED_VALUE"""),2011.0)</f>
        <v>2011</v>
      </c>
      <c r="K1224" s="12">
        <f t="shared" si="2"/>
        <v>40686</v>
      </c>
      <c r="L1224" s="3" t="s">
        <v>814</v>
      </c>
      <c r="M1224" s="3" t="s">
        <v>364</v>
      </c>
      <c r="N1224" s="3">
        <v>5988.0</v>
      </c>
      <c r="O1224" s="3" t="s">
        <v>818</v>
      </c>
      <c r="P1224" s="10">
        <v>8076.0</v>
      </c>
      <c r="Q1224" s="13">
        <v>154.06</v>
      </c>
      <c r="R1224" s="13">
        <v>90.93</v>
      </c>
      <c r="S1224" s="13">
        <f t="shared" si="3"/>
        <v>1244188.56</v>
      </c>
      <c r="T1224" s="13">
        <f t="shared" si="4"/>
        <v>734350.68</v>
      </c>
      <c r="U1224" s="13">
        <f t="shared" si="5"/>
        <v>509837.88</v>
      </c>
      <c r="V1224" s="3" t="str">
        <f>VLOOKUP(N1224,products!A:B,2,0)</f>
        <v>Vegetables</v>
      </c>
      <c r="W1224" s="3" t="s">
        <v>28</v>
      </c>
      <c r="X1224" s="3" t="s">
        <v>29</v>
      </c>
      <c r="Y1224" s="14">
        <f t="shared" si="10"/>
        <v>0.4097754122</v>
      </c>
      <c r="Z1224" s="3">
        <f t="shared" si="7"/>
        <v>44</v>
      </c>
      <c r="AA1224" s="15">
        <f t="shared" si="8"/>
        <v>7</v>
      </c>
    </row>
    <row r="1225" ht="15.75" customHeight="1">
      <c r="A1225" s="3">
        <v>9.26064479E8</v>
      </c>
      <c r="B1225" s="3" t="s">
        <v>1815</v>
      </c>
      <c r="C1225" s="3">
        <f>IFERROR(__xludf.DUMMYFUNCTION("split(B1225,""/"")"),2.0)</f>
        <v>2</v>
      </c>
      <c r="D1225" s="10">
        <f>IFERROR(__xludf.DUMMYFUNCTION("""COMPUTED_VALUE"""),18.0)</f>
        <v>18</v>
      </c>
      <c r="E1225" s="11">
        <f>IFERROR(__xludf.DUMMYFUNCTION("""COMPUTED_VALUE"""),2017.0)</f>
        <v>2017</v>
      </c>
      <c r="F1225" s="12">
        <f t="shared" si="1"/>
        <v>42784</v>
      </c>
      <c r="G1225" s="9">
        <v>43011.0</v>
      </c>
      <c r="H1225" s="3">
        <f>IFERROR(__xludf.DUMMYFUNCTION("split(G1225,""/"")"),3.0)</f>
        <v>3</v>
      </c>
      <c r="I1225" s="3">
        <f>IFERROR(__xludf.DUMMYFUNCTION("""COMPUTED_VALUE"""),10.0)</f>
        <v>10</v>
      </c>
      <c r="J1225" s="3">
        <f>IFERROR(__xludf.DUMMYFUNCTION("""COMPUTED_VALUE"""),2017.0)</f>
        <v>2017</v>
      </c>
      <c r="K1225" s="12">
        <f t="shared" si="2"/>
        <v>42804</v>
      </c>
      <c r="L1225" s="3" t="s">
        <v>825</v>
      </c>
      <c r="M1225" s="3" t="s">
        <v>78</v>
      </c>
      <c r="N1225" s="3">
        <v>8681.0</v>
      </c>
      <c r="O1225" s="3" t="s">
        <v>815</v>
      </c>
      <c r="P1225" s="10">
        <v>1913.0</v>
      </c>
      <c r="Q1225" s="13">
        <v>651.21</v>
      </c>
      <c r="R1225" s="13">
        <v>524.96</v>
      </c>
      <c r="S1225" s="13">
        <f t="shared" si="3"/>
        <v>1245764.73</v>
      </c>
      <c r="T1225" s="13">
        <f t="shared" si="4"/>
        <v>1004248.48</v>
      </c>
      <c r="U1225" s="13">
        <f t="shared" si="5"/>
        <v>241516.25</v>
      </c>
      <c r="V1225" s="3" t="str">
        <f>VLOOKUP(N1225,products!A:B,2,0)</f>
        <v>Office Supplies</v>
      </c>
      <c r="W1225" s="3" t="s">
        <v>28</v>
      </c>
      <c r="X1225" s="3" t="s">
        <v>79</v>
      </c>
      <c r="Y1225" s="14">
        <f t="shared" si="10"/>
        <v>0.193869873</v>
      </c>
      <c r="Z1225" s="3">
        <f t="shared" si="7"/>
        <v>20</v>
      </c>
      <c r="AA1225" s="15">
        <f t="shared" si="8"/>
        <v>7</v>
      </c>
    </row>
    <row r="1226" ht="15.75" customHeight="1">
      <c r="A1226" s="3">
        <v>9.26280772E8</v>
      </c>
      <c r="B1226" s="9">
        <v>42131.0</v>
      </c>
      <c r="C1226" s="3">
        <f>IFERROR(__xludf.DUMMYFUNCTION("split(B1226,""/"")"),7.0)</f>
        <v>7</v>
      </c>
      <c r="D1226" s="10">
        <f>IFERROR(__xludf.DUMMYFUNCTION("""COMPUTED_VALUE"""),5.0)</f>
        <v>5</v>
      </c>
      <c r="E1226" s="11">
        <f>IFERROR(__xludf.DUMMYFUNCTION("""COMPUTED_VALUE"""),2015.0)</f>
        <v>2015</v>
      </c>
      <c r="F1226" s="12">
        <f t="shared" si="1"/>
        <v>42190</v>
      </c>
      <c r="G1226" s="3" t="s">
        <v>1816</v>
      </c>
      <c r="H1226" s="3">
        <f>IFERROR(__xludf.DUMMYFUNCTION("split(G1226,""/"")"),7.0)</f>
        <v>7</v>
      </c>
      <c r="I1226" s="3">
        <f>IFERROR(__xludf.DUMMYFUNCTION("""COMPUTED_VALUE"""),21.0)</f>
        <v>21</v>
      </c>
      <c r="J1226" s="3">
        <f>IFERROR(__xludf.DUMMYFUNCTION("""COMPUTED_VALUE"""),2015.0)</f>
        <v>2015</v>
      </c>
      <c r="K1226" s="12">
        <f t="shared" si="2"/>
        <v>42206</v>
      </c>
      <c r="L1226" s="3" t="s">
        <v>827</v>
      </c>
      <c r="M1226" s="3" t="s">
        <v>431</v>
      </c>
      <c r="N1226" s="3">
        <v>1270.0</v>
      </c>
      <c r="O1226" s="3" t="s">
        <v>818</v>
      </c>
      <c r="P1226" s="10">
        <v>5919.0</v>
      </c>
      <c r="Q1226" s="13">
        <v>47.45</v>
      </c>
      <c r="R1226" s="13">
        <v>31.79</v>
      </c>
      <c r="S1226" s="13">
        <f t="shared" si="3"/>
        <v>280856.55</v>
      </c>
      <c r="T1226" s="13">
        <f t="shared" si="4"/>
        <v>188165.01</v>
      </c>
      <c r="U1226" s="13">
        <f t="shared" si="5"/>
        <v>92691.54</v>
      </c>
      <c r="V1226" s="3" t="str">
        <f>VLOOKUP(N1226,products!A:B,2,0)</f>
        <v>Beverages</v>
      </c>
      <c r="W1226" s="3" t="s">
        <v>28</v>
      </c>
      <c r="X1226" s="3" t="s">
        <v>29</v>
      </c>
      <c r="Y1226" s="14">
        <f t="shared" si="10"/>
        <v>0.3300316122</v>
      </c>
      <c r="Z1226" s="3">
        <f t="shared" si="7"/>
        <v>16</v>
      </c>
      <c r="AA1226" s="15">
        <f t="shared" si="8"/>
        <v>1</v>
      </c>
    </row>
    <row r="1227" ht="15.75" customHeight="1">
      <c r="A1227" s="3">
        <v>9.2676357E8</v>
      </c>
      <c r="B1227" s="3" t="s">
        <v>1449</v>
      </c>
      <c r="C1227" s="3">
        <f>IFERROR(__xludf.DUMMYFUNCTION("split(B1227,""/"")"),11.0)</f>
        <v>11</v>
      </c>
      <c r="D1227" s="10">
        <f>IFERROR(__xludf.DUMMYFUNCTION("""COMPUTED_VALUE"""),16.0)</f>
        <v>16</v>
      </c>
      <c r="E1227" s="11">
        <f>IFERROR(__xludf.DUMMYFUNCTION("""COMPUTED_VALUE"""),2016.0)</f>
        <v>2016</v>
      </c>
      <c r="F1227" s="12">
        <f t="shared" si="1"/>
        <v>42690</v>
      </c>
      <c r="G1227" s="3" t="s">
        <v>1817</v>
      </c>
      <c r="H1227" s="3">
        <f>IFERROR(__xludf.DUMMYFUNCTION("split(G1227,""/"")"),11.0)</f>
        <v>11</v>
      </c>
      <c r="I1227" s="3">
        <f>IFERROR(__xludf.DUMMYFUNCTION("""COMPUTED_VALUE"""),25.0)</f>
        <v>25</v>
      </c>
      <c r="J1227" s="3">
        <f>IFERROR(__xludf.DUMMYFUNCTION("""COMPUTED_VALUE"""),2016.0)</f>
        <v>2016</v>
      </c>
      <c r="K1227" s="12">
        <f t="shared" si="2"/>
        <v>42699</v>
      </c>
      <c r="L1227" s="3" t="s">
        <v>827</v>
      </c>
      <c r="M1227" s="3" t="s">
        <v>482</v>
      </c>
      <c r="N1227" s="3">
        <v>2455.0</v>
      </c>
      <c r="O1227" s="3" t="s">
        <v>818</v>
      </c>
      <c r="P1227" s="10">
        <v>8790.0</v>
      </c>
      <c r="Q1227" s="13">
        <v>109.28</v>
      </c>
      <c r="R1227" s="13">
        <v>35.84</v>
      </c>
      <c r="S1227" s="13">
        <f t="shared" si="3"/>
        <v>960571.2</v>
      </c>
      <c r="T1227" s="13">
        <f t="shared" si="4"/>
        <v>315033.6</v>
      </c>
      <c r="U1227" s="13">
        <f t="shared" si="5"/>
        <v>645537.6</v>
      </c>
      <c r="V1227" s="3" t="str">
        <f>VLOOKUP(N1227,products!A:B,2,0)</f>
        <v>Clothes</v>
      </c>
      <c r="W1227" s="3" t="s">
        <v>28</v>
      </c>
      <c r="X1227" s="3" t="s">
        <v>79</v>
      </c>
      <c r="Y1227" s="14">
        <f t="shared" si="10"/>
        <v>0.6720351391</v>
      </c>
      <c r="Z1227" s="3">
        <f t="shared" si="7"/>
        <v>9</v>
      </c>
      <c r="AA1227" s="15">
        <f t="shared" si="8"/>
        <v>4</v>
      </c>
    </row>
    <row r="1228" ht="15.75" customHeight="1">
      <c r="A1228" s="3">
        <v>9.26826655E8</v>
      </c>
      <c r="B1228" s="3" t="s">
        <v>1818</v>
      </c>
      <c r="C1228" s="3">
        <f>IFERROR(__xludf.DUMMYFUNCTION("split(B1228,""/"")"),1.0)</f>
        <v>1</v>
      </c>
      <c r="D1228" s="10">
        <f>IFERROR(__xludf.DUMMYFUNCTION("""COMPUTED_VALUE"""),15.0)</f>
        <v>15</v>
      </c>
      <c r="E1228" s="11">
        <f>IFERROR(__xludf.DUMMYFUNCTION("""COMPUTED_VALUE"""),2011.0)</f>
        <v>2011</v>
      </c>
      <c r="F1228" s="12">
        <f t="shared" si="1"/>
        <v>40558</v>
      </c>
      <c r="G1228" s="3" t="s">
        <v>1819</v>
      </c>
      <c r="H1228" s="3">
        <f>IFERROR(__xludf.DUMMYFUNCTION("split(G1228,""/"")"),2.0)</f>
        <v>2</v>
      </c>
      <c r="I1228" s="3">
        <f>IFERROR(__xludf.DUMMYFUNCTION("""COMPUTED_VALUE"""),16.0)</f>
        <v>16</v>
      </c>
      <c r="J1228" s="3">
        <f>IFERROR(__xludf.DUMMYFUNCTION("""COMPUTED_VALUE"""),2011.0)</f>
        <v>2011</v>
      </c>
      <c r="K1228" s="12">
        <f t="shared" si="2"/>
        <v>40590</v>
      </c>
      <c r="L1228" s="3" t="s">
        <v>827</v>
      </c>
      <c r="M1228" s="3" t="s">
        <v>373</v>
      </c>
      <c r="N1228" s="3">
        <v>7331.0</v>
      </c>
      <c r="O1228" s="3" t="s">
        <v>815</v>
      </c>
      <c r="P1228" s="10">
        <v>7458.0</v>
      </c>
      <c r="Q1228" s="13">
        <v>255.28</v>
      </c>
      <c r="R1228" s="13">
        <v>159.42</v>
      </c>
      <c r="S1228" s="13">
        <f t="shared" si="3"/>
        <v>1903878.24</v>
      </c>
      <c r="T1228" s="13">
        <f t="shared" si="4"/>
        <v>1188954.36</v>
      </c>
      <c r="U1228" s="13">
        <f t="shared" si="5"/>
        <v>714923.88</v>
      </c>
      <c r="V1228" s="3" t="str">
        <f>VLOOKUP(N1228,products!A:B,2,0)</f>
        <v>Baby Food</v>
      </c>
      <c r="W1228" s="3" t="s">
        <v>28</v>
      </c>
      <c r="X1228" s="3" t="s">
        <v>33</v>
      </c>
      <c r="Y1228" s="14">
        <f t="shared" si="10"/>
        <v>0.3755092448</v>
      </c>
      <c r="Z1228" s="3">
        <f t="shared" si="7"/>
        <v>32</v>
      </c>
      <c r="AA1228" s="15">
        <f t="shared" si="8"/>
        <v>7</v>
      </c>
    </row>
    <row r="1229" ht="15.75" customHeight="1">
      <c r="A1229" s="3">
        <v>9.27351081E8</v>
      </c>
      <c r="B1229" s="3" t="s">
        <v>1717</v>
      </c>
      <c r="C1229" s="3">
        <f>IFERROR(__xludf.DUMMYFUNCTION("split(B1229,""/"")"),5.0)</f>
        <v>5</v>
      </c>
      <c r="D1229" s="10">
        <f>IFERROR(__xludf.DUMMYFUNCTION("""COMPUTED_VALUE"""),23.0)</f>
        <v>23</v>
      </c>
      <c r="E1229" s="11">
        <f>IFERROR(__xludf.DUMMYFUNCTION("""COMPUTED_VALUE"""),2011.0)</f>
        <v>2011</v>
      </c>
      <c r="F1229" s="12">
        <f t="shared" si="1"/>
        <v>40686</v>
      </c>
      <c r="G1229" s="9">
        <v>40580.0</v>
      </c>
      <c r="H1229" s="3">
        <f>IFERROR(__xludf.DUMMYFUNCTION("split(G1229,""/"")"),6.0)</f>
        <v>6</v>
      </c>
      <c r="I1229" s="3">
        <f>IFERROR(__xludf.DUMMYFUNCTION("""COMPUTED_VALUE"""),2.0)</f>
        <v>2</v>
      </c>
      <c r="J1229" s="3">
        <f>IFERROR(__xludf.DUMMYFUNCTION("""COMPUTED_VALUE"""),2011.0)</f>
        <v>2011</v>
      </c>
      <c r="K1229" s="12">
        <f t="shared" si="2"/>
        <v>40696</v>
      </c>
      <c r="L1229" s="3" t="s">
        <v>827</v>
      </c>
      <c r="M1229" s="3" t="s">
        <v>428</v>
      </c>
      <c r="N1229" s="3">
        <v>5988.0</v>
      </c>
      <c r="O1229" s="3" t="s">
        <v>818</v>
      </c>
      <c r="P1229" s="10">
        <v>2647.0</v>
      </c>
      <c r="Q1229" s="13">
        <v>154.06</v>
      </c>
      <c r="R1229" s="13">
        <v>90.93</v>
      </c>
      <c r="S1229" s="13">
        <f t="shared" si="3"/>
        <v>407796.82</v>
      </c>
      <c r="T1229" s="13">
        <f t="shared" si="4"/>
        <v>240691.71</v>
      </c>
      <c r="U1229" s="13">
        <f t="shared" si="5"/>
        <v>167105.11</v>
      </c>
      <c r="V1229" s="3" t="str">
        <f>VLOOKUP(N1229,products!A:B,2,0)</f>
        <v>Vegetables</v>
      </c>
      <c r="W1229" s="3" t="s">
        <v>28</v>
      </c>
      <c r="X1229" s="3" t="s">
        <v>79</v>
      </c>
      <c r="Y1229" s="14">
        <f t="shared" si="10"/>
        <v>0.4097754122</v>
      </c>
      <c r="Z1229" s="3">
        <f t="shared" si="7"/>
        <v>10</v>
      </c>
      <c r="AA1229" s="15">
        <f t="shared" si="8"/>
        <v>2</v>
      </c>
    </row>
    <row r="1230" ht="15.75" customHeight="1">
      <c r="A1230" s="3">
        <v>9.28168189E8</v>
      </c>
      <c r="B1230" s="3" t="s">
        <v>1414</v>
      </c>
      <c r="C1230" s="3">
        <f>IFERROR(__xludf.DUMMYFUNCTION("split(B1230,""/"")"),2.0)</f>
        <v>2</v>
      </c>
      <c r="D1230" s="10">
        <f>IFERROR(__xludf.DUMMYFUNCTION("""COMPUTED_VALUE"""),17.0)</f>
        <v>17</v>
      </c>
      <c r="E1230" s="11">
        <f>IFERROR(__xludf.DUMMYFUNCTION("""COMPUTED_VALUE"""),2011.0)</f>
        <v>2011</v>
      </c>
      <c r="F1230" s="12">
        <f t="shared" si="1"/>
        <v>40591</v>
      </c>
      <c r="G1230" s="3" t="s">
        <v>1502</v>
      </c>
      <c r="H1230" s="3">
        <f>IFERROR(__xludf.DUMMYFUNCTION("split(G1230,""/"")"),3.0)</f>
        <v>3</v>
      </c>
      <c r="I1230" s="3">
        <f>IFERROR(__xludf.DUMMYFUNCTION("""COMPUTED_VALUE"""),15.0)</f>
        <v>15</v>
      </c>
      <c r="J1230" s="3">
        <f>IFERROR(__xludf.DUMMYFUNCTION("""COMPUTED_VALUE"""),2011.0)</f>
        <v>2011</v>
      </c>
      <c r="K1230" s="12">
        <f t="shared" si="2"/>
        <v>40617</v>
      </c>
      <c r="L1230" s="3" t="s">
        <v>827</v>
      </c>
      <c r="M1230" s="3" t="s">
        <v>142</v>
      </c>
      <c r="N1230" s="3">
        <v>2103.0</v>
      </c>
      <c r="O1230" s="3" t="s">
        <v>818</v>
      </c>
      <c r="P1230" s="10">
        <v>4448.0</v>
      </c>
      <c r="Q1230" s="13">
        <v>205.7</v>
      </c>
      <c r="R1230" s="13">
        <v>117.11</v>
      </c>
      <c r="S1230" s="13">
        <f t="shared" si="3"/>
        <v>914953.6</v>
      </c>
      <c r="T1230" s="13">
        <f t="shared" si="4"/>
        <v>520905.28</v>
      </c>
      <c r="U1230" s="13">
        <f t="shared" si="5"/>
        <v>394048.32</v>
      </c>
      <c r="V1230" s="3" t="str">
        <f>VLOOKUP(N1230,products!A:B,2,0)</f>
        <v>Cereal</v>
      </c>
      <c r="W1230" s="3" t="s">
        <v>28</v>
      </c>
      <c r="X1230" s="3" t="s">
        <v>98</v>
      </c>
      <c r="Y1230" s="14">
        <f t="shared" si="10"/>
        <v>0.4306757414</v>
      </c>
      <c r="Z1230" s="3">
        <f t="shared" si="7"/>
        <v>26</v>
      </c>
      <c r="AA1230" s="15">
        <f t="shared" si="8"/>
        <v>5</v>
      </c>
    </row>
    <row r="1231" ht="15.75" customHeight="1">
      <c r="A1231" s="3">
        <v>9.29812705E8</v>
      </c>
      <c r="B1231" s="3" t="s">
        <v>1820</v>
      </c>
      <c r="C1231" s="3">
        <f>IFERROR(__xludf.DUMMYFUNCTION("split(B1231,""/"")"),5.0)</f>
        <v>5</v>
      </c>
      <c r="D1231" s="10">
        <f>IFERROR(__xludf.DUMMYFUNCTION("""COMPUTED_VALUE"""),22.0)</f>
        <v>22</v>
      </c>
      <c r="E1231" s="11">
        <f>IFERROR(__xludf.DUMMYFUNCTION("""COMPUTED_VALUE"""),2017.0)</f>
        <v>2017</v>
      </c>
      <c r="F1231" s="12">
        <f t="shared" si="1"/>
        <v>42877</v>
      </c>
      <c r="G1231" s="3" t="s">
        <v>1821</v>
      </c>
      <c r="H1231" s="3">
        <f>IFERROR(__xludf.DUMMYFUNCTION("split(G1231,""/"")"),5.0)</f>
        <v>5</v>
      </c>
      <c r="I1231" s="3">
        <f>IFERROR(__xludf.DUMMYFUNCTION("""COMPUTED_VALUE"""),25.0)</f>
        <v>25</v>
      </c>
      <c r="J1231" s="3">
        <f>IFERROR(__xludf.DUMMYFUNCTION("""COMPUTED_VALUE"""),2017.0)</f>
        <v>2017</v>
      </c>
      <c r="K1231" s="12">
        <f t="shared" si="2"/>
        <v>42880</v>
      </c>
      <c r="L1231" s="3" t="s">
        <v>827</v>
      </c>
      <c r="M1231" s="3" t="s">
        <v>590</v>
      </c>
      <c r="N1231" s="3">
        <v>8875.0</v>
      </c>
      <c r="O1231" s="3" t="s">
        <v>815</v>
      </c>
      <c r="P1231" s="10">
        <v>1097.0</v>
      </c>
      <c r="Q1231" s="13">
        <v>421.89</v>
      </c>
      <c r="R1231" s="13">
        <v>364.69</v>
      </c>
      <c r="S1231" s="13">
        <f t="shared" si="3"/>
        <v>462813.33</v>
      </c>
      <c r="T1231" s="13">
        <f t="shared" si="4"/>
        <v>400064.93</v>
      </c>
      <c r="U1231" s="13">
        <f t="shared" si="5"/>
        <v>62748.4</v>
      </c>
      <c r="V1231" s="3" t="str">
        <f>VLOOKUP(N1231,products!A:B,2,0)</f>
        <v>Meat</v>
      </c>
      <c r="W1231" s="3" t="s">
        <v>28</v>
      </c>
      <c r="X1231" s="3" t="s">
        <v>98</v>
      </c>
      <c r="Y1231" s="14">
        <f t="shared" si="10"/>
        <v>0.1355803646</v>
      </c>
      <c r="Z1231" s="3">
        <f t="shared" si="7"/>
        <v>3</v>
      </c>
      <c r="AA1231" s="15">
        <f t="shared" si="8"/>
        <v>2</v>
      </c>
    </row>
    <row r="1232" ht="15.75" customHeight="1">
      <c r="A1232" s="3">
        <v>9.30136287E8</v>
      </c>
      <c r="B1232" s="3" t="s">
        <v>986</v>
      </c>
      <c r="C1232" s="3">
        <f>IFERROR(__xludf.DUMMYFUNCTION("split(B1232,""/"")"),5.0)</f>
        <v>5</v>
      </c>
      <c r="D1232" s="10">
        <f>IFERROR(__xludf.DUMMYFUNCTION("""COMPUTED_VALUE"""),20.0)</f>
        <v>20</v>
      </c>
      <c r="E1232" s="11">
        <f>IFERROR(__xludf.DUMMYFUNCTION("""COMPUTED_VALUE"""),2014.0)</f>
        <v>2014</v>
      </c>
      <c r="F1232" s="12">
        <f t="shared" si="1"/>
        <v>41779</v>
      </c>
      <c r="G1232" s="3" t="s">
        <v>1767</v>
      </c>
      <c r="H1232" s="3">
        <f>IFERROR(__xludf.DUMMYFUNCTION("split(G1232,""/"")"),6.0)</f>
        <v>6</v>
      </c>
      <c r="I1232" s="3">
        <f>IFERROR(__xludf.DUMMYFUNCTION("""COMPUTED_VALUE"""),21.0)</f>
        <v>21</v>
      </c>
      <c r="J1232" s="3">
        <f>IFERROR(__xludf.DUMMYFUNCTION("""COMPUTED_VALUE"""),2014.0)</f>
        <v>2014</v>
      </c>
      <c r="K1232" s="12">
        <f t="shared" si="2"/>
        <v>41811</v>
      </c>
      <c r="L1232" s="3" t="s">
        <v>825</v>
      </c>
      <c r="M1232" s="3" t="s">
        <v>346</v>
      </c>
      <c r="N1232" s="3">
        <v>1270.0</v>
      </c>
      <c r="O1232" s="3" t="s">
        <v>815</v>
      </c>
      <c r="P1232" s="10">
        <v>6852.0</v>
      </c>
      <c r="Q1232" s="13">
        <v>47.45</v>
      </c>
      <c r="R1232" s="13">
        <v>31.79</v>
      </c>
      <c r="S1232" s="13">
        <f t="shared" si="3"/>
        <v>325127.4</v>
      </c>
      <c r="T1232" s="13">
        <f t="shared" si="4"/>
        <v>217825.08</v>
      </c>
      <c r="U1232" s="13">
        <f t="shared" si="5"/>
        <v>107302.32</v>
      </c>
      <c r="V1232" s="3" t="str">
        <f>VLOOKUP(N1232,products!A:B,2,0)</f>
        <v>Beverages</v>
      </c>
      <c r="W1232" s="3" t="s">
        <v>28</v>
      </c>
      <c r="X1232" s="3" t="s">
        <v>98</v>
      </c>
      <c r="Y1232" s="14">
        <f t="shared" si="10"/>
        <v>0.3300316122</v>
      </c>
      <c r="Z1232" s="3">
        <f t="shared" si="7"/>
        <v>32</v>
      </c>
      <c r="AA1232" s="15">
        <f t="shared" si="8"/>
        <v>3</v>
      </c>
    </row>
    <row r="1233" ht="15.75" customHeight="1">
      <c r="A1233" s="3">
        <v>9.3029679E8</v>
      </c>
      <c r="B1233" s="3" t="s">
        <v>1516</v>
      </c>
      <c r="C1233" s="3">
        <f>IFERROR(__xludf.DUMMYFUNCTION("split(B1233,""/"")"),2.0)</f>
        <v>2</v>
      </c>
      <c r="D1233" s="10">
        <f>IFERROR(__xludf.DUMMYFUNCTION("""COMPUTED_VALUE"""),20.0)</f>
        <v>20</v>
      </c>
      <c r="E1233" s="11">
        <f>IFERROR(__xludf.DUMMYFUNCTION("""COMPUTED_VALUE"""),2010.0)</f>
        <v>2010</v>
      </c>
      <c r="F1233" s="12">
        <f t="shared" si="1"/>
        <v>40229</v>
      </c>
      <c r="G1233" s="3" t="s">
        <v>1557</v>
      </c>
      <c r="H1233" s="3">
        <f>IFERROR(__xludf.DUMMYFUNCTION("split(G1233,""/"")"),3.0)</f>
        <v>3</v>
      </c>
      <c r="I1233" s="3">
        <f>IFERROR(__xludf.DUMMYFUNCTION("""COMPUTED_VALUE"""),26.0)</f>
        <v>26</v>
      </c>
      <c r="J1233" s="3">
        <f>IFERROR(__xludf.DUMMYFUNCTION("""COMPUTED_VALUE"""),2010.0)</f>
        <v>2010</v>
      </c>
      <c r="K1233" s="12">
        <f t="shared" si="2"/>
        <v>40263</v>
      </c>
      <c r="L1233" s="3" t="s">
        <v>817</v>
      </c>
      <c r="M1233" s="3" t="s">
        <v>431</v>
      </c>
      <c r="N1233" s="3">
        <v>8875.0</v>
      </c>
      <c r="O1233" s="3" t="s">
        <v>818</v>
      </c>
      <c r="P1233" s="10">
        <v>4348.0</v>
      </c>
      <c r="Q1233" s="13">
        <v>421.89</v>
      </c>
      <c r="R1233" s="13">
        <v>364.69</v>
      </c>
      <c r="S1233" s="13">
        <f t="shared" si="3"/>
        <v>1834377.72</v>
      </c>
      <c r="T1233" s="13">
        <f t="shared" si="4"/>
        <v>1585672.12</v>
      </c>
      <c r="U1233" s="13">
        <f t="shared" si="5"/>
        <v>248705.6</v>
      </c>
      <c r="V1233" s="3" t="str">
        <f>VLOOKUP(N1233,products!A:B,2,0)</f>
        <v>Meat</v>
      </c>
      <c r="W1233" s="3" t="s">
        <v>28</v>
      </c>
      <c r="X1233" s="3" t="s">
        <v>29</v>
      </c>
      <c r="Y1233" s="14">
        <f t="shared" si="10"/>
        <v>0.1355803646</v>
      </c>
      <c r="Z1233" s="3">
        <f t="shared" si="7"/>
        <v>34</v>
      </c>
      <c r="AA1233" s="15">
        <f t="shared" si="8"/>
        <v>7</v>
      </c>
    </row>
    <row r="1234" ht="15.75" customHeight="1">
      <c r="A1234" s="3">
        <v>9.30457293E8</v>
      </c>
      <c r="B1234" s="3" t="s">
        <v>882</v>
      </c>
      <c r="C1234" s="3">
        <f>IFERROR(__xludf.DUMMYFUNCTION("split(B1234,""/"")"),6.0)</f>
        <v>6</v>
      </c>
      <c r="D1234" s="10">
        <f>IFERROR(__xludf.DUMMYFUNCTION("""COMPUTED_VALUE"""),20.0)</f>
        <v>20</v>
      </c>
      <c r="E1234" s="11">
        <f>IFERROR(__xludf.DUMMYFUNCTION("""COMPUTED_VALUE"""),2013.0)</f>
        <v>2013</v>
      </c>
      <c r="F1234" s="12">
        <f t="shared" si="1"/>
        <v>41445</v>
      </c>
      <c r="G1234" s="3" t="s">
        <v>1822</v>
      </c>
      <c r="H1234" s="3">
        <f>IFERROR(__xludf.DUMMYFUNCTION("split(G1234,""/"")"),7.0)</f>
        <v>7</v>
      </c>
      <c r="I1234" s="3">
        <f>IFERROR(__xludf.DUMMYFUNCTION("""COMPUTED_VALUE"""),26.0)</f>
        <v>26</v>
      </c>
      <c r="J1234" s="3">
        <f>IFERROR(__xludf.DUMMYFUNCTION("""COMPUTED_VALUE"""),2013.0)</f>
        <v>2013</v>
      </c>
      <c r="K1234" s="12">
        <f t="shared" si="2"/>
        <v>41481</v>
      </c>
      <c r="L1234" s="3" t="s">
        <v>827</v>
      </c>
      <c r="M1234" s="3" t="s">
        <v>488</v>
      </c>
      <c r="N1234" s="3">
        <v>2103.0</v>
      </c>
      <c r="O1234" s="3" t="s">
        <v>818</v>
      </c>
      <c r="P1234" s="10">
        <v>1845.0</v>
      </c>
      <c r="Q1234" s="13">
        <v>205.7</v>
      </c>
      <c r="R1234" s="13">
        <v>117.11</v>
      </c>
      <c r="S1234" s="13">
        <f t="shared" si="3"/>
        <v>379516.5</v>
      </c>
      <c r="T1234" s="13">
        <f t="shared" si="4"/>
        <v>216067.95</v>
      </c>
      <c r="U1234" s="13">
        <f t="shared" si="5"/>
        <v>163448.55</v>
      </c>
      <c r="V1234" s="3" t="str">
        <f>VLOOKUP(N1234,products!A:B,2,0)</f>
        <v>Cereal</v>
      </c>
      <c r="W1234" s="3" t="s">
        <v>28</v>
      </c>
      <c r="X1234" s="3" t="s">
        <v>33</v>
      </c>
      <c r="Y1234" s="14">
        <f t="shared" si="10"/>
        <v>0.4306757414</v>
      </c>
      <c r="Z1234" s="3">
        <f t="shared" si="7"/>
        <v>36</v>
      </c>
      <c r="AA1234" s="15">
        <f t="shared" si="8"/>
        <v>5</v>
      </c>
    </row>
    <row r="1235" ht="15.75" customHeight="1">
      <c r="A1235" s="3">
        <v>9.30670154E8</v>
      </c>
      <c r="B1235" s="3" t="s">
        <v>1167</v>
      </c>
      <c r="C1235" s="3">
        <f>IFERROR(__xludf.DUMMYFUNCTION("split(B1235,""/"")"),2.0)</f>
        <v>2</v>
      </c>
      <c r="D1235" s="10">
        <f>IFERROR(__xludf.DUMMYFUNCTION("""COMPUTED_VALUE"""),26.0)</f>
        <v>26</v>
      </c>
      <c r="E1235" s="11">
        <f>IFERROR(__xludf.DUMMYFUNCTION("""COMPUTED_VALUE"""),2017.0)</f>
        <v>2017</v>
      </c>
      <c r="F1235" s="12">
        <f t="shared" si="1"/>
        <v>42792</v>
      </c>
      <c r="G1235" s="3" t="s">
        <v>1823</v>
      </c>
      <c r="H1235" s="3">
        <f>IFERROR(__xludf.DUMMYFUNCTION("split(G1235,""/"")"),3.0)</f>
        <v>3</v>
      </c>
      <c r="I1235" s="3">
        <f>IFERROR(__xludf.DUMMYFUNCTION("""COMPUTED_VALUE"""),15.0)</f>
        <v>15</v>
      </c>
      <c r="J1235" s="3">
        <f>IFERROR(__xludf.DUMMYFUNCTION("""COMPUTED_VALUE"""),2017.0)</f>
        <v>2017</v>
      </c>
      <c r="K1235" s="12">
        <f t="shared" si="2"/>
        <v>42809</v>
      </c>
      <c r="L1235" s="3" t="s">
        <v>825</v>
      </c>
      <c r="M1235" s="3" t="s">
        <v>542</v>
      </c>
      <c r="N1235" s="3">
        <v>8875.0</v>
      </c>
      <c r="O1235" s="3" t="s">
        <v>815</v>
      </c>
      <c r="P1235" s="10">
        <v>4835.0</v>
      </c>
      <c r="Q1235" s="13">
        <v>421.89</v>
      </c>
      <c r="R1235" s="13">
        <v>364.69</v>
      </c>
      <c r="S1235" s="13">
        <f t="shared" si="3"/>
        <v>2039838.15</v>
      </c>
      <c r="T1235" s="13">
        <f t="shared" si="4"/>
        <v>1763276.15</v>
      </c>
      <c r="U1235" s="13">
        <f t="shared" si="5"/>
        <v>276562</v>
      </c>
      <c r="V1235" s="3" t="str">
        <f>VLOOKUP(N1235,products!A:B,2,0)</f>
        <v>Meat</v>
      </c>
      <c r="W1235" s="3" t="s">
        <v>28</v>
      </c>
      <c r="X1235" s="3" t="s">
        <v>29</v>
      </c>
      <c r="Y1235" s="14">
        <f t="shared" si="10"/>
        <v>0.1355803646</v>
      </c>
      <c r="Z1235" s="3">
        <f t="shared" si="7"/>
        <v>17</v>
      </c>
      <c r="AA1235" s="15">
        <f t="shared" si="8"/>
        <v>1</v>
      </c>
    </row>
    <row r="1236" ht="15.75" customHeight="1">
      <c r="A1236" s="3">
        <v>9.3147782E8</v>
      </c>
      <c r="B1236" s="3" t="s">
        <v>1046</v>
      </c>
      <c r="C1236" s="3">
        <f>IFERROR(__xludf.DUMMYFUNCTION("split(B1236,""/"")"),6.0)</f>
        <v>6</v>
      </c>
      <c r="D1236" s="10">
        <f>IFERROR(__xludf.DUMMYFUNCTION("""COMPUTED_VALUE"""),23.0)</f>
        <v>23</v>
      </c>
      <c r="E1236" s="11">
        <f>IFERROR(__xludf.DUMMYFUNCTION("""COMPUTED_VALUE"""),2014.0)</f>
        <v>2014</v>
      </c>
      <c r="F1236" s="12">
        <f t="shared" si="1"/>
        <v>41813</v>
      </c>
      <c r="G1236" s="3" t="s">
        <v>1356</v>
      </c>
      <c r="H1236" s="3">
        <f>IFERROR(__xludf.DUMMYFUNCTION("split(G1236,""/"")"),7.0)</f>
        <v>7</v>
      </c>
      <c r="I1236" s="3">
        <f>IFERROR(__xludf.DUMMYFUNCTION("""COMPUTED_VALUE"""),19.0)</f>
        <v>19</v>
      </c>
      <c r="J1236" s="3">
        <f>IFERROR(__xludf.DUMMYFUNCTION("""COMPUTED_VALUE"""),2014.0)</f>
        <v>2014</v>
      </c>
      <c r="K1236" s="12">
        <f t="shared" si="2"/>
        <v>41839</v>
      </c>
      <c r="L1236" s="3" t="s">
        <v>825</v>
      </c>
      <c r="M1236" s="3" t="s">
        <v>101</v>
      </c>
      <c r="N1236" s="3">
        <v>1270.0</v>
      </c>
      <c r="O1236" s="3" t="s">
        <v>815</v>
      </c>
      <c r="P1236" s="10">
        <v>3841.0</v>
      </c>
      <c r="Q1236" s="13">
        <v>47.45</v>
      </c>
      <c r="R1236" s="13">
        <v>31.79</v>
      </c>
      <c r="S1236" s="13">
        <f t="shared" si="3"/>
        <v>182255.45</v>
      </c>
      <c r="T1236" s="13">
        <f t="shared" si="4"/>
        <v>122105.39</v>
      </c>
      <c r="U1236" s="13">
        <f t="shared" si="5"/>
        <v>60150.06</v>
      </c>
      <c r="V1236" s="3" t="str">
        <f>VLOOKUP(N1236,products!A:B,2,0)</f>
        <v>Beverages</v>
      </c>
      <c r="W1236" s="3" t="s">
        <v>28</v>
      </c>
      <c r="X1236" s="3" t="s">
        <v>79</v>
      </c>
      <c r="Y1236" s="14">
        <f t="shared" si="10"/>
        <v>0.3300316122</v>
      </c>
      <c r="Z1236" s="3">
        <f t="shared" si="7"/>
        <v>26</v>
      </c>
      <c r="AA1236" s="15">
        <f t="shared" si="8"/>
        <v>2</v>
      </c>
    </row>
    <row r="1237" ht="15.75" customHeight="1">
      <c r="A1237" s="3">
        <v>9.31559789E8</v>
      </c>
      <c r="B1237" s="3" t="s">
        <v>1824</v>
      </c>
      <c r="C1237" s="3">
        <f>IFERROR(__xludf.DUMMYFUNCTION("split(B1237,""/"")"),6.0)</f>
        <v>6</v>
      </c>
      <c r="D1237" s="10">
        <f>IFERROR(__xludf.DUMMYFUNCTION("""COMPUTED_VALUE"""),25.0)</f>
        <v>25</v>
      </c>
      <c r="E1237" s="11">
        <f>IFERROR(__xludf.DUMMYFUNCTION("""COMPUTED_VALUE"""),2013.0)</f>
        <v>2013</v>
      </c>
      <c r="F1237" s="12">
        <f t="shared" si="1"/>
        <v>41450</v>
      </c>
      <c r="G1237" s="9">
        <v>41401.0</v>
      </c>
      <c r="H1237" s="3">
        <f>IFERROR(__xludf.DUMMYFUNCTION("split(G1237,""/"")"),7.0)</f>
        <v>7</v>
      </c>
      <c r="I1237" s="3">
        <f>IFERROR(__xludf.DUMMYFUNCTION("""COMPUTED_VALUE"""),5.0)</f>
        <v>5</v>
      </c>
      <c r="J1237" s="3">
        <f>IFERROR(__xludf.DUMMYFUNCTION("""COMPUTED_VALUE"""),2013.0)</f>
        <v>2013</v>
      </c>
      <c r="K1237" s="12">
        <f t="shared" si="2"/>
        <v>41460</v>
      </c>
      <c r="L1237" s="3" t="s">
        <v>817</v>
      </c>
      <c r="M1237" s="3" t="s">
        <v>346</v>
      </c>
      <c r="N1237" s="3">
        <v>2455.0</v>
      </c>
      <c r="O1237" s="3" t="s">
        <v>818</v>
      </c>
      <c r="P1237" s="10">
        <v>8098.0</v>
      </c>
      <c r="Q1237" s="13">
        <v>109.28</v>
      </c>
      <c r="R1237" s="13">
        <v>35.84</v>
      </c>
      <c r="S1237" s="13">
        <f t="shared" si="3"/>
        <v>884949.44</v>
      </c>
      <c r="T1237" s="13">
        <f t="shared" si="4"/>
        <v>290232.32</v>
      </c>
      <c r="U1237" s="13">
        <f t="shared" si="5"/>
        <v>594717.12</v>
      </c>
      <c r="V1237" s="3" t="str">
        <f>VLOOKUP(N1237,products!A:B,2,0)</f>
        <v>Clothes</v>
      </c>
      <c r="W1237" s="3" t="s">
        <v>28</v>
      </c>
      <c r="X1237" s="3" t="s">
        <v>98</v>
      </c>
      <c r="Y1237" s="14">
        <f t="shared" si="10"/>
        <v>0.6720351391</v>
      </c>
      <c r="Z1237" s="3">
        <f t="shared" si="7"/>
        <v>10</v>
      </c>
      <c r="AA1237" s="15">
        <f t="shared" si="8"/>
        <v>3</v>
      </c>
    </row>
    <row r="1238" ht="15.75" customHeight="1">
      <c r="A1238" s="3">
        <v>9.32475602E8</v>
      </c>
      <c r="B1238" s="9">
        <v>41527.0</v>
      </c>
      <c r="C1238" s="3">
        <f>IFERROR(__xludf.DUMMYFUNCTION("split(B1238,""/"")"),10.0)</f>
        <v>10</v>
      </c>
      <c r="D1238" s="10">
        <f>IFERROR(__xludf.DUMMYFUNCTION("""COMPUTED_VALUE"""),9.0)</f>
        <v>9</v>
      </c>
      <c r="E1238" s="11">
        <f>IFERROR(__xludf.DUMMYFUNCTION("""COMPUTED_VALUE"""),2013.0)</f>
        <v>2013</v>
      </c>
      <c r="F1238" s="12">
        <f t="shared" si="1"/>
        <v>41556</v>
      </c>
      <c r="G1238" s="3" t="s">
        <v>1825</v>
      </c>
      <c r="H1238" s="3">
        <f>IFERROR(__xludf.DUMMYFUNCTION("split(G1238,""/"")"),11.0)</f>
        <v>11</v>
      </c>
      <c r="I1238" s="3">
        <f>IFERROR(__xludf.DUMMYFUNCTION("""COMPUTED_VALUE"""),21.0)</f>
        <v>21</v>
      </c>
      <c r="J1238" s="3">
        <f>IFERROR(__xludf.DUMMYFUNCTION("""COMPUTED_VALUE"""),2013.0)</f>
        <v>2013</v>
      </c>
      <c r="K1238" s="12">
        <f t="shared" si="2"/>
        <v>41599</v>
      </c>
      <c r="L1238" s="3" t="s">
        <v>825</v>
      </c>
      <c r="M1238" s="3" t="s">
        <v>46</v>
      </c>
      <c r="N1238" s="3">
        <v>1270.0</v>
      </c>
      <c r="O1238" s="3" t="s">
        <v>818</v>
      </c>
      <c r="P1238" s="10">
        <v>9107.0</v>
      </c>
      <c r="Q1238" s="13">
        <v>47.45</v>
      </c>
      <c r="R1238" s="13">
        <v>31.79</v>
      </c>
      <c r="S1238" s="13">
        <f t="shared" si="3"/>
        <v>432127.15</v>
      </c>
      <c r="T1238" s="13">
        <f t="shared" si="4"/>
        <v>289511.53</v>
      </c>
      <c r="U1238" s="13">
        <f t="shared" si="5"/>
        <v>142615.62</v>
      </c>
      <c r="V1238" s="3" t="str">
        <f>VLOOKUP(N1238,products!A:B,2,0)</f>
        <v>Beverages</v>
      </c>
      <c r="W1238" s="3" t="s">
        <v>28</v>
      </c>
      <c r="X1238" s="3" t="s">
        <v>33</v>
      </c>
      <c r="Y1238" s="14">
        <f t="shared" si="10"/>
        <v>0.3300316122</v>
      </c>
      <c r="Z1238" s="3">
        <f t="shared" si="7"/>
        <v>43</v>
      </c>
      <c r="AA1238" s="15">
        <f t="shared" si="8"/>
        <v>4</v>
      </c>
    </row>
    <row r="1239" ht="15.75" customHeight="1">
      <c r="A1239" s="3">
        <v>9.33642041E8</v>
      </c>
      <c r="B1239" s="3" t="s">
        <v>1826</v>
      </c>
      <c r="C1239" s="3">
        <f>IFERROR(__xludf.DUMMYFUNCTION("split(B1239,""/"")"),4.0)</f>
        <v>4</v>
      </c>
      <c r="D1239" s="10">
        <f>IFERROR(__xludf.DUMMYFUNCTION("""COMPUTED_VALUE"""),19.0)</f>
        <v>19</v>
      </c>
      <c r="E1239" s="11">
        <f>IFERROR(__xludf.DUMMYFUNCTION("""COMPUTED_VALUE"""),2012.0)</f>
        <v>2012</v>
      </c>
      <c r="F1239" s="12">
        <f t="shared" si="1"/>
        <v>41018</v>
      </c>
      <c r="G1239" s="3" t="s">
        <v>924</v>
      </c>
      <c r="H1239" s="3">
        <f>IFERROR(__xludf.DUMMYFUNCTION("split(G1239,""/"")"),5.0)</f>
        <v>5</v>
      </c>
      <c r="I1239" s="3">
        <f>IFERROR(__xludf.DUMMYFUNCTION("""COMPUTED_VALUE"""),19.0)</f>
        <v>19</v>
      </c>
      <c r="J1239" s="3">
        <f>IFERROR(__xludf.DUMMYFUNCTION("""COMPUTED_VALUE"""),2012.0)</f>
        <v>2012</v>
      </c>
      <c r="K1239" s="12">
        <f t="shared" si="2"/>
        <v>41048</v>
      </c>
      <c r="L1239" s="3" t="s">
        <v>827</v>
      </c>
      <c r="M1239" s="3" t="s">
        <v>488</v>
      </c>
      <c r="N1239" s="3">
        <v>3127.0</v>
      </c>
      <c r="O1239" s="3" t="s">
        <v>815</v>
      </c>
      <c r="P1239" s="10">
        <v>4282.0</v>
      </c>
      <c r="Q1239" s="13">
        <v>81.73</v>
      </c>
      <c r="R1239" s="13">
        <v>56.67</v>
      </c>
      <c r="S1239" s="13">
        <f t="shared" si="3"/>
        <v>349967.86</v>
      </c>
      <c r="T1239" s="13">
        <f t="shared" si="4"/>
        <v>242660.94</v>
      </c>
      <c r="U1239" s="13">
        <f t="shared" si="5"/>
        <v>107306.92</v>
      </c>
      <c r="V1239" s="3" t="str">
        <f>VLOOKUP(N1239,products!A:B,2,0)</f>
        <v>Personal Care</v>
      </c>
      <c r="W1239" s="3" t="s">
        <v>28</v>
      </c>
      <c r="X1239" s="3" t="s">
        <v>33</v>
      </c>
      <c r="Y1239" s="14">
        <f t="shared" si="10"/>
        <v>0.3066193564</v>
      </c>
      <c r="Z1239" s="3">
        <f t="shared" si="7"/>
        <v>30</v>
      </c>
      <c r="AA1239" s="15">
        <f t="shared" si="8"/>
        <v>5</v>
      </c>
    </row>
    <row r="1240" ht="15.75" customHeight="1">
      <c r="A1240" s="3">
        <v>9.33699119E8</v>
      </c>
      <c r="B1240" s="3" t="s">
        <v>1301</v>
      </c>
      <c r="C1240" s="3">
        <f>IFERROR(__xludf.DUMMYFUNCTION("split(B1240,""/"")"),11.0)</f>
        <v>11</v>
      </c>
      <c r="D1240" s="10">
        <f>IFERROR(__xludf.DUMMYFUNCTION("""COMPUTED_VALUE"""),13.0)</f>
        <v>13</v>
      </c>
      <c r="E1240" s="11">
        <f>IFERROR(__xludf.DUMMYFUNCTION("""COMPUTED_VALUE"""),2013.0)</f>
        <v>2013</v>
      </c>
      <c r="F1240" s="12">
        <f t="shared" si="1"/>
        <v>41591</v>
      </c>
      <c r="G1240" s="3" t="s">
        <v>1719</v>
      </c>
      <c r="H1240" s="3">
        <f>IFERROR(__xludf.DUMMYFUNCTION("split(G1240,""/"")"),11.0)</f>
        <v>11</v>
      </c>
      <c r="I1240" s="3">
        <f>IFERROR(__xludf.DUMMYFUNCTION("""COMPUTED_VALUE"""),24.0)</f>
        <v>24</v>
      </c>
      <c r="J1240" s="3">
        <f>IFERROR(__xludf.DUMMYFUNCTION("""COMPUTED_VALUE"""),2013.0)</f>
        <v>2013</v>
      </c>
      <c r="K1240" s="12">
        <f t="shared" si="2"/>
        <v>41602</v>
      </c>
      <c r="L1240" s="3" t="s">
        <v>817</v>
      </c>
      <c r="M1240" s="3" t="s">
        <v>512</v>
      </c>
      <c r="N1240" s="3">
        <v>3127.0</v>
      </c>
      <c r="O1240" s="3" t="s">
        <v>818</v>
      </c>
      <c r="P1240" s="10">
        <v>1173.0</v>
      </c>
      <c r="Q1240" s="13">
        <v>81.73</v>
      </c>
      <c r="R1240" s="13">
        <v>56.67</v>
      </c>
      <c r="S1240" s="13">
        <f t="shared" si="3"/>
        <v>95869.29</v>
      </c>
      <c r="T1240" s="13">
        <f t="shared" si="4"/>
        <v>66473.91</v>
      </c>
      <c r="U1240" s="13">
        <f t="shared" si="5"/>
        <v>29395.38</v>
      </c>
      <c r="V1240" s="3" t="str">
        <f>VLOOKUP(N1240,products!A:B,2,0)</f>
        <v>Personal Care</v>
      </c>
      <c r="W1240" s="3" t="s">
        <v>28</v>
      </c>
      <c r="X1240" s="3" t="s">
        <v>79</v>
      </c>
      <c r="Y1240" s="14">
        <f t="shared" si="10"/>
        <v>0.3066193564</v>
      </c>
      <c r="Z1240" s="3">
        <f t="shared" si="7"/>
        <v>11</v>
      </c>
      <c r="AA1240" s="15">
        <f t="shared" si="8"/>
        <v>4</v>
      </c>
    </row>
    <row r="1241" ht="15.75" customHeight="1">
      <c r="A1241" s="3">
        <v>9.33720576E8</v>
      </c>
      <c r="B1241" s="3" t="s">
        <v>1352</v>
      </c>
      <c r="C1241" s="3">
        <f>IFERROR(__xludf.DUMMYFUNCTION("split(B1241,""/"")"),8.0)</f>
        <v>8</v>
      </c>
      <c r="D1241" s="10">
        <f>IFERROR(__xludf.DUMMYFUNCTION("""COMPUTED_VALUE"""),14.0)</f>
        <v>14</v>
      </c>
      <c r="E1241" s="11">
        <f>IFERROR(__xludf.DUMMYFUNCTION("""COMPUTED_VALUE"""),2016.0)</f>
        <v>2016</v>
      </c>
      <c r="F1241" s="12">
        <f t="shared" si="1"/>
        <v>42596</v>
      </c>
      <c r="G1241" s="9">
        <v>42379.0</v>
      </c>
      <c r="H1241" s="3">
        <f>IFERROR(__xludf.DUMMYFUNCTION("split(G1241,""/"")"),10.0)</f>
        <v>10</v>
      </c>
      <c r="I1241" s="3">
        <f>IFERROR(__xludf.DUMMYFUNCTION("""COMPUTED_VALUE"""),1.0)</f>
        <v>1</v>
      </c>
      <c r="J1241" s="3">
        <f>IFERROR(__xludf.DUMMYFUNCTION("""COMPUTED_VALUE"""),2016.0)</f>
        <v>2016</v>
      </c>
      <c r="K1241" s="12">
        <f t="shared" si="2"/>
        <v>42644</v>
      </c>
      <c r="L1241" s="3" t="s">
        <v>827</v>
      </c>
      <c r="M1241" s="3" t="s">
        <v>428</v>
      </c>
      <c r="N1241" s="3">
        <v>5988.0</v>
      </c>
      <c r="O1241" s="3" t="s">
        <v>818</v>
      </c>
      <c r="P1241" s="10">
        <v>7523.0</v>
      </c>
      <c r="Q1241" s="13">
        <v>154.06</v>
      </c>
      <c r="R1241" s="13">
        <v>90.93</v>
      </c>
      <c r="S1241" s="13">
        <f t="shared" si="3"/>
        <v>1158993.38</v>
      </c>
      <c r="T1241" s="13">
        <f t="shared" si="4"/>
        <v>684066.39</v>
      </c>
      <c r="U1241" s="13">
        <f t="shared" si="5"/>
        <v>474926.99</v>
      </c>
      <c r="V1241" s="3" t="str">
        <f>VLOOKUP(N1241,products!A:B,2,0)</f>
        <v>Vegetables</v>
      </c>
      <c r="W1241" s="3" t="s">
        <v>28</v>
      </c>
      <c r="X1241" s="3" t="s">
        <v>79</v>
      </c>
      <c r="Y1241" s="14">
        <f t="shared" si="10"/>
        <v>0.4097754122</v>
      </c>
      <c r="Z1241" s="3">
        <f t="shared" si="7"/>
        <v>48</v>
      </c>
      <c r="AA1241" s="15">
        <f t="shared" si="8"/>
        <v>1</v>
      </c>
    </row>
    <row r="1242" ht="15.75" customHeight="1">
      <c r="A1242" s="3">
        <v>9.33963048E8</v>
      </c>
      <c r="B1242" s="3" t="s">
        <v>1642</v>
      </c>
      <c r="C1242" s="3">
        <f>IFERROR(__xludf.DUMMYFUNCTION("split(B1242,""/"")"),5.0)</f>
        <v>5</v>
      </c>
      <c r="D1242" s="10">
        <f>IFERROR(__xludf.DUMMYFUNCTION("""COMPUTED_VALUE"""),21.0)</f>
        <v>21</v>
      </c>
      <c r="E1242" s="11">
        <f>IFERROR(__xludf.DUMMYFUNCTION("""COMPUTED_VALUE"""),2011.0)</f>
        <v>2011</v>
      </c>
      <c r="F1242" s="12">
        <f t="shared" si="1"/>
        <v>40684</v>
      </c>
      <c r="G1242" s="3" t="s">
        <v>1607</v>
      </c>
      <c r="H1242" s="3">
        <f>IFERROR(__xludf.DUMMYFUNCTION("split(G1242,""/"")"),6.0)</f>
        <v>6</v>
      </c>
      <c r="I1242" s="3">
        <f>IFERROR(__xludf.DUMMYFUNCTION("""COMPUTED_VALUE"""),24.0)</f>
        <v>24</v>
      </c>
      <c r="J1242" s="3">
        <f>IFERROR(__xludf.DUMMYFUNCTION("""COMPUTED_VALUE"""),2011.0)</f>
        <v>2011</v>
      </c>
      <c r="K1242" s="12">
        <f t="shared" si="2"/>
        <v>40718</v>
      </c>
      <c r="L1242" s="3" t="s">
        <v>814</v>
      </c>
      <c r="M1242" s="3" t="s">
        <v>689</v>
      </c>
      <c r="N1242" s="3">
        <v>2455.0</v>
      </c>
      <c r="O1242" s="3" t="s">
        <v>818</v>
      </c>
      <c r="P1242" s="10">
        <v>9275.0</v>
      </c>
      <c r="Q1242" s="13">
        <v>109.28</v>
      </c>
      <c r="R1242" s="13">
        <v>35.84</v>
      </c>
      <c r="S1242" s="13">
        <f t="shared" si="3"/>
        <v>1013572</v>
      </c>
      <c r="T1242" s="13">
        <f t="shared" si="4"/>
        <v>332416</v>
      </c>
      <c r="U1242" s="13">
        <f t="shared" si="5"/>
        <v>681156</v>
      </c>
      <c r="V1242" s="3" t="str">
        <f>VLOOKUP(N1242,products!A:B,2,0)</f>
        <v>Clothes</v>
      </c>
      <c r="W1242" s="3" t="s">
        <v>28</v>
      </c>
      <c r="X1242" s="3" t="s">
        <v>79</v>
      </c>
      <c r="Y1242" s="14">
        <f t="shared" si="10"/>
        <v>0.6720351391</v>
      </c>
      <c r="Z1242" s="3">
        <f t="shared" si="7"/>
        <v>34</v>
      </c>
      <c r="AA1242" s="15">
        <f t="shared" si="8"/>
        <v>7</v>
      </c>
    </row>
    <row r="1243" ht="15.75" customHeight="1">
      <c r="A1243" s="3">
        <v>9.34718358E8</v>
      </c>
      <c r="B1243" s="9">
        <v>42047.0</v>
      </c>
      <c r="C1243" s="3">
        <f>IFERROR(__xludf.DUMMYFUNCTION("split(B1243,""/"")"),12.0)</f>
        <v>12</v>
      </c>
      <c r="D1243" s="10">
        <f>IFERROR(__xludf.DUMMYFUNCTION("""COMPUTED_VALUE"""),2.0)</f>
        <v>2</v>
      </c>
      <c r="E1243" s="11">
        <f>IFERROR(__xludf.DUMMYFUNCTION("""COMPUTED_VALUE"""),2015.0)</f>
        <v>2015</v>
      </c>
      <c r="F1243" s="12">
        <f t="shared" si="1"/>
        <v>42340</v>
      </c>
      <c r="G1243" s="3" t="s">
        <v>1827</v>
      </c>
      <c r="H1243" s="3">
        <f>IFERROR(__xludf.DUMMYFUNCTION("split(G1243,""/"")"),12.0)</f>
        <v>12</v>
      </c>
      <c r="I1243" s="3">
        <f>IFERROR(__xludf.DUMMYFUNCTION("""COMPUTED_VALUE"""),16.0)</f>
        <v>16</v>
      </c>
      <c r="J1243" s="3">
        <f>IFERROR(__xludf.DUMMYFUNCTION("""COMPUTED_VALUE"""),2015.0)</f>
        <v>2015</v>
      </c>
      <c r="K1243" s="12">
        <f t="shared" si="2"/>
        <v>42354</v>
      </c>
      <c r="L1243" s="3" t="s">
        <v>827</v>
      </c>
      <c r="M1243" s="3" t="s">
        <v>364</v>
      </c>
      <c r="N1243" s="3">
        <v>5988.0</v>
      </c>
      <c r="O1243" s="3" t="s">
        <v>815</v>
      </c>
      <c r="P1243" s="10">
        <v>2789.0</v>
      </c>
      <c r="Q1243" s="13">
        <v>154.06</v>
      </c>
      <c r="R1243" s="13">
        <v>90.93</v>
      </c>
      <c r="S1243" s="13">
        <f t="shared" si="3"/>
        <v>429673.34</v>
      </c>
      <c r="T1243" s="13">
        <f t="shared" si="4"/>
        <v>253603.77</v>
      </c>
      <c r="U1243" s="13">
        <f t="shared" si="5"/>
        <v>176069.57</v>
      </c>
      <c r="V1243" s="3" t="str">
        <f>VLOOKUP(N1243,products!A:B,2,0)</f>
        <v>Vegetables</v>
      </c>
      <c r="W1243" s="3" t="s">
        <v>28</v>
      </c>
      <c r="X1243" s="3" t="s">
        <v>29</v>
      </c>
      <c r="Y1243" s="14">
        <f t="shared" si="10"/>
        <v>0.4097754122</v>
      </c>
      <c r="Z1243" s="3">
        <f t="shared" si="7"/>
        <v>14</v>
      </c>
      <c r="AA1243" s="15">
        <f t="shared" si="8"/>
        <v>4</v>
      </c>
    </row>
    <row r="1244" ht="15.75" customHeight="1">
      <c r="A1244" s="3">
        <v>9.35789954E8</v>
      </c>
      <c r="B1244" s="9">
        <v>40247.0</v>
      </c>
      <c r="C1244" s="3">
        <f>IFERROR(__xludf.DUMMYFUNCTION("split(B1244,""/"")"),10.0)</f>
        <v>10</v>
      </c>
      <c r="D1244" s="10">
        <f>IFERROR(__xludf.DUMMYFUNCTION("""COMPUTED_VALUE"""),3.0)</f>
        <v>3</v>
      </c>
      <c r="E1244" s="11">
        <f>IFERROR(__xludf.DUMMYFUNCTION("""COMPUTED_VALUE"""),2010.0)</f>
        <v>2010</v>
      </c>
      <c r="F1244" s="12">
        <f t="shared" si="1"/>
        <v>40454</v>
      </c>
      <c r="G1244" s="3" t="s">
        <v>1828</v>
      </c>
      <c r="H1244" s="3">
        <f>IFERROR(__xludf.DUMMYFUNCTION("split(G1244,""/"")"),11.0)</f>
        <v>11</v>
      </c>
      <c r="I1244" s="3">
        <f>IFERROR(__xludf.DUMMYFUNCTION("""COMPUTED_VALUE"""),18.0)</f>
        <v>18</v>
      </c>
      <c r="J1244" s="3">
        <f>IFERROR(__xludf.DUMMYFUNCTION("""COMPUTED_VALUE"""),2010.0)</f>
        <v>2010</v>
      </c>
      <c r="K1244" s="12">
        <f t="shared" si="2"/>
        <v>40500</v>
      </c>
      <c r="L1244" s="3" t="s">
        <v>825</v>
      </c>
      <c r="M1244" s="3" t="s">
        <v>97</v>
      </c>
      <c r="N1244" s="3">
        <v>1270.0</v>
      </c>
      <c r="O1244" s="3" t="s">
        <v>815</v>
      </c>
      <c r="P1244" s="10">
        <v>9898.0</v>
      </c>
      <c r="Q1244" s="13">
        <v>47.45</v>
      </c>
      <c r="R1244" s="13">
        <v>31.79</v>
      </c>
      <c r="S1244" s="13">
        <f t="shared" si="3"/>
        <v>469660.1</v>
      </c>
      <c r="T1244" s="13">
        <f t="shared" si="4"/>
        <v>314657.42</v>
      </c>
      <c r="U1244" s="13">
        <f t="shared" si="5"/>
        <v>155002.68</v>
      </c>
      <c r="V1244" s="3" t="str">
        <f>VLOOKUP(N1244,products!A:B,2,0)</f>
        <v>Beverages</v>
      </c>
      <c r="W1244" s="3" t="s">
        <v>28</v>
      </c>
      <c r="X1244" s="3" t="s">
        <v>98</v>
      </c>
      <c r="Y1244" s="14">
        <f t="shared" si="10"/>
        <v>0.3300316122</v>
      </c>
      <c r="Z1244" s="3">
        <f t="shared" si="7"/>
        <v>46</v>
      </c>
      <c r="AA1244" s="15">
        <f t="shared" si="8"/>
        <v>1</v>
      </c>
    </row>
    <row r="1245" ht="15.75" customHeight="1">
      <c r="A1245" s="3">
        <v>9.35907542E8</v>
      </c>
      <c r="B1245" s="3" t="s">
        <v>1829</v>
      </c>
      <c r="C1245" s="3">
        <f>IFERROR(__xludf.DUMMYFUNCTION("split(B1245,""/"")"),2.0)</f>
        <v>2</v>
      </c>
      <c r="D1245" s="10">
        <f>IFERROR(__xludf.DUMMYFUNCTION("""COMPUTED_VALUE"""),25.0)</f>
        <v>25</v>
      </c>
      <c r="E1245" s="11">
        <f>IFERROR(__xludf.DUMMYFUNCTION("""COMPUTED_VALUE"""),2016.0)</f>
        <v>2016</v>
      </c>
      <c r="F1245" s="12">
        <f t="shared" si="1"/>
        <v>42425</v>
      </c>
      <c r="G1245" s="3" t="s">
        <v>1363</v>
      </c>
      <c r="H1245" s="3">
        <f>IFERROR(__xludf.DUMMYFUNCTION("split(G1245,""/"")"),3.0)</f>
        <v>3</v>
      </c>
      <c r="I1245" s="3">
        <f>IFERROR(__xludf.DUMMYFUNCTION("""COMPUTED_VALUE"""),21.0)</f>
        <v>21</v>
      </c>
      <c r="J1245" s="3">
        <f>IFERROR(__xludf.DUMMYFUNCTION("""COMPUTED_VALUE"""),2016.0)</f>
        <v>2016</v>
      </c>
      <c r="K1245" s="12">
        <f t="shared" si="2"/>
        <v>42450</v>
      </c>
      <c r="L1245" s="3" t="s">
        <v>814</v>
      </c>
      <c r="M1245" s="3" t="s">
        <v>536</v>
      </c>
      <c r="N1245" s="3">
        <v>1270.0</v>
      </c>
      <c r="O1245" s="3" t="s">
        <v>818</v>
      </c>
      <c r="P1245" s="10">
        <v>4695.0</v>
      </c>
      <c r="Q1245" s="13">
        <v>47.45</v>
      </c>
      <c r="R1245" s="13">
        <v>31.79</v>
      </c>
      <c r="S1245" s="13">
        <f t="shared" si="3"/>
        <v>222777.75</v>
      </c>
      <c r="T1245" s="13">
        <f t="shared" si="4"/>
        <v>149254.05</v>
      </c>
      <c r="U1245" s="13">
        <f t="shared" si="5"/>
        <v>73523.7</v>
      </c>
      <c r="V1245" s="3" t="str">
        <f>VLOOKUP(N1245,products!A:B,2,0)</f>
        <v>Beverages</v>
      </c>
      <c r="W1245" s="3" t="s">
        <v>28</v>
      </c>
      <c r="X1245" s="3" t="s">
        <v>33</v>
      </c>
      <c r="Y1245" s="14">
        <f t="shared" si="10"/>
        <v>0.3300316122</v>
      </c>
      <c r="Z1245" s="3">
        <f t="shared" si="7"/>
        <v>25</v>
      </c>
      <c r="AA1245" s="15">
        <f t="shared" si="8"/>
        <v>5</v>
      </c>
    </row>
    <row r="1246" ht="15.75" customHeight="1">
      <c r="A1246" s="3">
        <v>9.36411798E8</v>
      </c>
      <c r="B1246" s="3" t="s">
        <v>1244</v>
      </c>
      <c r="C1246" s="3">
        <f>IFERROR(__xludf.DUMMYFUNCTION("split(B1246,""/"")"),9.0)</f>
        <v>9</v>
      </c>
      <c r="D1246" s="10">
        <f>IFERROR(__xludf.DUMMYFUNCTION("""COMPUTED_VALUE"""),13.0)</f>
        <v>13</v>
      </c>
      <c r="E1246" s="11">
        <f>IFERROR(__xludf.DUMMYFUNCTION("""COMPUTED_VALUE"""),2012.0)</f>
        <v>2012</v>
      </c>
      <c r="F1246" s="12">
        <f t="shared" si="1"/>
        <v>41165</v>
      </c>
      <c r="G1246" s="3" t="s">
        <v>1578</v>
      </c>
      <c r="H1246" s="3">
        <f>IFERROR(__xludf.DUMMYFUNCTION("split(G1246,""/"")"),9.0)</f>
        <v>9</v>
      </c>
      <c r="I1246" s="3">
        <f>IFERROR(__xludf.DUMMYFUNCTION("""COMPUTED_VALUE"""),17.0)</f>
        <v>17</v>
      </c>
      <c r="J1246" s="3">
        <f>IFERROR(__xludf.DUMMYFUNCTION("""COMPUTED_VALUE"""),2012.0)</f>
        <v>2012</v>
      </c>
      <c r="K1246" s="12">
        <f t="shared" si="2"/>
        <v>41169</v>
      </c>
      <c r="L1246" s="3" t="s">
        <v>825</v>
      </c>
      <c r="M1246" s="3" t="s">
        <v>413</v>
      </c>
      <c r="N1246" s="3">
        <v>3127.0</v>
      </c>
      <c r="O1246" s="3" t="s">
        <v>818</v>
      </c>
      <c r="P1246" s="10">
        <v>3915.0</v>
      </c>
      <c r="Q1246" s="13">
        <v>81.73</v>
      </c>
      <c r="R1246" s="13">
        <v>56.67</v>
      </c>
      <c r="S1246" s="13">
        <f t="shared" si="3"/>
        <v>319972.95</v>
      </c>
      <c r="T1246" s="13">
        <f t="shared" si="4"/>
        <v>221863.05</v>
      </c>
      <c r="U1246" s="13">
        <f t="shared" si="5"/>
        <v>98109.9</v>
      </c>
      <c r="V1246" s="3" t="str">
        <f>VLOOKUP(N1246,products!A:B,2,0)</f>
        <v>Personal Care</v>
      </c>
      <c r="W1246" s="3" t="s">
        <v>28</v>
      </c>
      <c r="X1246" s="3" t="s">
        <v>29</v>
      </c>
      <c r="Y1246" s="14">
        <f t="shared" si="10"/>
        <v>0.3066193564</v>
      </c>
      <c r="Z1246" s="3">
        <f t="shared" si="7"/>
        <v>4</v>
      </c>
      <c r="AA1246" s="15">
        <f t="shared" si="8"/>
        <v>5</v>
      </c>
    </row>
    <row r="1247" ht="15.75" customHeight="1">
      <c r="A1247" s="3">
        <v>9.3654741E8</v>
      </c>
      <c r="B1247" s="9">
        <v>40756.0</v>
      </c>
      <c r="C1247" s="3">
        <f>IFERROR(__xludf.DUMMYFUNCTION("split(B1247,""/"")"),1.0)</f>
        <v>1</v>
      </c>
      <c r="D1247" s="10">
        <f>IFERROR(__xludf.DUMMYFUNCTION("""COMPUTED_VALUE"""),8.0)</f>
        <v>8</v>
      </c>
      <c r="E1247" s="11">
        <f>IFERROR(__xludf.DUMMYFUNCTION("""COMPUTED_VALUE"""),2011.0)</f>
        <v>2011</v>
      </c>
      <c r="F1247" s="12">
        <f t="shared" si="1"/>
        <v>40551</v>
      </c>
      <c r="G1247" s="9">
        <v>40878.0</v>
      </c>
      <c r="H1247" s="3">
        <f>IFERROR(__xludf.DUMMYFUNCTION("split(G1247,""/"")"),1.0)</f>
        <v>1</v>
      </c>
      <c r="I1247" s="3">
        <f>IFERROR(__xludf.DUMMYFUNCTION("""COMPUTED_VALUE"""),12.0)</f>
        <v>12</v>
      </c>
      <c r="J1247" s="3">
        <f>IFERROR(__xludf.DUMMYFUNCTION("""COMPUTED_VALUE"""),2011.0)</f>
        <v>2011</v>
      </c>
      <c r="K1247" s="12">
        <f t="shared" si="2"/>
        <v>40555</v>
      </c>
      <c r="L1247" s="3" t="s">
        <v>825</v>
      </c>
      <c r="M1247" s="3" t="s">
        <v>300</v>
      </c>
      <c r="N1247" s="3">
        <v>5988.0</v>
      </c>
      <c r="O1247" s="3" t="s">
        <v>818</v>
      </c>
      <c r="P1247" s="10">
        <v>4046.0</v>
      </c>
      <c r="Q1247" s="13">
        <v>154.06</v>
      </c>
      <c r="R1247" s="13">
        <v>90.93</v>
      </c>
      <c r="S1247" s="13">
        <f t="shared" si="3"/>
        <v>623326.76</v>
      </c>
      <c r="T1247" s="13">
        <f t="shared" si="4"/>
        <v>367902.78</v>
      </c>
      <c r="U1247" s="13">
        <f t="shared" si="5"/>
        <v>255423.98</v>
      </c>
      <c r="V1247" s="3" t="str">
        <f>VLOOKUP(N1247,products!A:B,2,0)</f>
        <v>Vegetables</v>
      </c>
      <c r="W1247" s="3" t="s">
        <v>28</v>
      </c>
      <c r="X1247" s="3" t="s">
        <v>33</v>
      </c>
      <c r="Y1247" s="14">
        <f t="shared" si="10"/>
        <v>0.4097754122</v>
      </c>
      <c r="Z1247" s="3">
        <f t="shared" si="7"/>
        <v>4</v>
      </c>
      <c r="AA1247" s="15">
        <f t="shared" si="8"/>
        <v>7</v>
      </c>
    </row>
    <row r="1248" ht="15.75" customHeight="1">
      <c r="A1248" s="3">
        <v>9.36664998E8</v>
      </c>
      <c r="B1248" s="9">
        <v>42375.0</v>
      </c>
      <c r="C1248" s="3">
        <f>IFERROR(__xludf.DUMMYFUNCTION("split(B1248,""/"")"),6.0)</f>
        <v>6</v>
      </c>
      <c r="D1248" s="10">
        <f>IFERROR(__xludf.DUMMYFUNCTION("""COMPUTED_VALUE"""),1.0)</f>
        <v>1</v>
      </c>
      <c r="E1248" s="11">
        <f>IFERROR(__xludf.DUMMYFUNCTION("""COMPUTED_VALUE"""),2016.0)</f>
        <v>2016</v>
      </c>
      <c r="F1248" s="12">
        <f t="shared" si="1"/>
        <v>42522</v>
      </c>
      <c r="G1248" s="9">
        <v>42497.0</v>
      </c>
      <c r="H1248" s="3">
        <f>IFERROR(__xludf.DUMMYFUNCTION("split(G1248,""/"")"),7.0)</f>
        <v>7</v>
      </c>
      <c r="I1248" s="3">
        <f>IFERROR(__xludf.DUMMYFUNCTION("""COMPUTED_VALUE"""),5.0)</f>
        <v>5</v>
      </c>
      <c r="J1248" s="3">
        <f>IFERROR(__xludf.DUMMYFUNCTION("""COMPUTED_VALUE"""),2016.0)</f>
        <v>2016</v>
      </c>
      <c r="K1248" s="12">
        <f t="shared" si="2"/>
        <v>42556</v>
      </c>
      <c r="L1248" s="3" t="s">
        <v>814</v>
      </c>
      <c r="M1248" s="3" t="s">
        <v>650</v>
      </c>
      <c r="N1248" s="3">
        <v>5988.0</v>
      </c>
      <c r="O1248" s="3" t="s">
        <v>818</v>
      </c>
      <c r="P1248" s="10">
        <v>8843.0</v>
      </c>
      <c r="Q1248" s="13">
        <v>154.06</v>
      </c>
      <c r="R1248" s="13">
        <v>90.93</v>
      </c>
      <c r="S1248" s="13">
        <f t="shared" si="3"/>
        <v>1362352.58</v>
      </c>
      <c r="T1248" s="13">
        <f t="shared" si="4"/>
        <v>804093.99</v>
      </c>
      <c r="U1248" s="13">
        <f t="shared" si="5"/>
        <v>558258.59</v>
      </c>
      <c r="V1248" s="3" t="str">
        <f>VLOOKUP(N1248,products!A:B,2,0)</f>
        <v>Vegetables</v>
      </c>
      <c r="W1248" s="3" t="s">
        <v>28</v>
      </c>
      <c r="X1248" s="3" t="s">
        <v>98</v>
      </c>
      <c r="Y1248" s="14">
        <f t="shared" si="10"/>
        <v>0.4097754122</v>
      </c>
      <c r="Z1248" s="3">
        <f t="shared" si="7"/>
        <v>34</v>
      </c>
      <c r="AA1248" s="15">
        <f t="shared" si="8"/>
        <v>4</v>
      </c>
    </row>
    <row r="1249" ht="15.75" customHeight="1">
      <c r="A1249" s="3">
        <v>9.3787564E8</v>
      </c>
      <c r="B1249" s="3" t="s">
        <v>1830</v>
      </c>
      <c r="C1249" s="3">
        <f>IFERROR(__xludf.DUMMYFUNCTION("split(B1249,""/"")"),10.0)</f>
        <v>10</v>
      </c>
      <c r="D1249" s="10">
        <f>IFERROR(__xludf.DUMMYFUNCTION("""COMPUTED_VALUE"""),30.0)</f>
        <v>30</v>
      </c>
      <c r="E1249" s="11">
        <f>IFERROR(__xludf.DUMMYFUNCTION("""COMPUTED_VALUE"""),2011.0)</f>
        <v>2011</v>
      </c>
      <c r="F1249" s="12">
        <f t="shared" si="1"/>
        <v>40846</v>
      </c>
      <c r="G1249" s="3" t="s">
        <v>1831</v>
      </c>
      <c r="H1249" s="3">
        <f>IFERROR(__xludf.DUMMYFUNCTION("split(G1249,""/"")"),11.0)</f>
        <v>11</v>
      </c>
      <c r="I1249" s="3">
        <f>IFERROR(__xludf.DUMMYFUNCTION("""COMPUTED_VALUE"""),30.0)</f>
        <v>30</v>
      </c>
      <c r="J1249" s="3">
        <f>IFERROR(__xludf.DUMMYFUNCTION("""COMPUTED_VALUE"""),2011.0)</f>
        <v>2011</v>
      </c>
      <c r="K1249" s="12">
        <f t="shared" si="2"/>
        <v>40877</v>
      </c>
      <c r="L1249" s="3" t="s">
        <v>817</v>
      </c>
      <c r="M1249" s="3" t="s">
        <v>623</v>
      </c>
      <c r="N1249" s="3">
        <v>2455.0</v>
      </c>
      <c r="O1249" s="3" t="s">
        <v>815</v>
      </c>
      <c r="P1249" s="10">
        <v>7098.0</v>
      </c>
      <c r="Q1249" s="13">
        <v>109.28</v>
      </c>
      <c r="R1249" s="13">
        <v>35.84</v>
      </c>
      <c r="S1249" s="13">
        <f t="shared" si="3"/>
        <v>775669.44</v>
      </c>
      <c r="T1249" s="13">
        <f t="shared" si="4"/>
        <v>254392.32</v>
      </c>
      <c r="U1249" s="13">
        <f t="shared" si="5"/>
        <v>521277.12</v>
      </c>
      <c r="V1249" s="3" t="str">
        <f>VLOOKUP(N1249,products!A:B,2,0)</f>
        <v>Clothes</v>
      </c>
      <c r="W1249" s="3" t="s">
        <v>28</v>
      </c>
      <c r="X1249" s="3" t="s">
        <v>33</v>
      </c>
      <c r="Y1249" s="14">
        <f t="shared" si="10"/>
        <v>0.6720351391</v>
      </c>
      <c r="Z1249" s="3">
        <f t="shared" si="7"/>
        <v>31</v>
      </c>
      <c r="AA1249" s="15">
        <f t="shared" si="8"/>
        <v>1</v>
      </c>
    </row>
    <row r="1250" ht="15.75" customHeight="1">
      <c r="A1250" s="3">
        <v>9.3820995E8</v>
      </c>
      <c r="B1250" s="3" t="s">
        <v>1832</v>
      </c>
      <c r="C1250" s="3">
        <f>IFERROR(__xludf.DUMMYFUNCTION("split(B1250,""/"")"),3.0)</f>
        <v>3</v>
      </c>
      <c r="D1250" s="10">
        <f>IFERROR(__xludf.DUMMYFUNCTION("""COMPUTED_VALUE"""),14.0)</f>
        <v>14</v>
      </c>
      <c r="E1250" s="11">
        <f>IFERROR(__xludf.DUMMYFUNCTION("""COMPUTED_VALUE"""),2010.0)</f>
        <v>2010</v>
      </c>
      <c r="F1250" s="12">
        <f t="shared" si="1"/>
        <v>40251</v>
      </c>
      <c r="G1250" s="3" t="s">
        <v>1043</v>
      </c>
      <c r="H1250" s="3">
        <f>IFERROR(__xludf.DUMMYFUNCTION("split(G1250,""/"")"),3.0)</f>
        <v>3</v>
      </c>
      <c r="I1250" s="3">
        <f>IFERROR(__xludf.DUMMYFUNCTION("""COMPUTED_VALUE"""),16.0)</f>
        <v>16</v>
      </c>
      <c r="J1250" s="3">
        <f>IFERROR(__xludf.DUMMYFUNCTION("""COMPUTED_VALUE"""),2010.0)</f>
        <v>2010</v>
      </c>
      <c r="K1250" s="12">
        <f t="shared" si="2"/>
        <v>40253</v>
      </c>
      <c r="L1250" s="3" t="s">
        <v>817</v>
      </c>
      <c r="M1250" s="3" t="s">
        <v>291</v>
      </c>
      <c r="N1250" s="3">
        <v>3127.0</v>
      </c>
      <c r="O1250" s="3" t="s">
        <v>818</v>
      </c>
      <c r="P1250" s="10">
        <v>6028.0</v>
      </c>
      <c r="Q1250" s="13">
        <v>81.73</v>
      </c>
      <c r="R1250" s="13">
        <v>56.67</v>
      </c>
      <c r="S1250" s="13">
        <f t="shared" si="3"/>
        <v>492668.44</v>
      </c>
      <c r="T1250" s="13">
        <f t="shared" si="4"/>
        <v>341606.76</v>
      </c>
      <c r="U1250" s="13">
        <f t="shared" si="5"/>
        <v>151061.68</v>
      </c>
      <c r="V1250" s="3" t="str">
        <f>VLOOKUP(N1250,products!A:B,2,0)</f>
        <v>Personal Care</v>
      </c>
      <c r="W1250" s="3" t="s">
        <v>28</v>
      </c>
      <c r="X1250" s="3" t="s">
        <v>79</v>
      </c>
      <c r="Y1250" s="14">
        <f t="shared" si="10"/>
        <v>0.3066193564</v>
      </c>
      <c r="Z1250" s="3">
        <f t="shared" si="7"/>
        <v>2</v>
      </c>
      <c r="AA1250" s="15">
        <f t="shared" si="8"/>
        <v>1</v>
      </c>
    </row>
    <row r="1251" ht="15.75" customHeight="1">
      <c r="A1251" s="3">
        <v>9.40682303E8</v>
      </c>
      <c r="B1251" s="9">
        <v>40179.0</v>
      </c>
      <c r="C1251" s="3">
        <f>IFERROR(__xludf.DUMMYFUNCTION("split(B1251,""/"")"),1.0)</f>
        <v>1</v>
      </c>
      <c r="D1251" s="10">
        <f>IFERROR(__xludf.DUMMYFUNCTION("""COMPUTED_VALUE"""),1.0)</f>
        <v>1</v>
      </c>
      <c r="E1251" s="11">
        <f>IFERROR(__xludf.DUMMYFUNCTION("""COMPUTED_VALUE"""),2010.0)</f>
        <v>2010</v>
      </c>
      <c r="F1251" s="12">
        <f t="shared" si="1"/>
        <v>40179</v>
      </c>
      <c r="G1251" s="9">
        <v>40423.0</v>
      </c>
      <c r="H1251" s="3">
        <f>IFERROR(__xludf.DUMMYFUNCTION("split(G1251,""/"")"),2.0)</f>
        <v>2</v>
      </c>
      <c r="I1251" s="3">
        <f>IFERROR(__xludf.DUMMYFUNCTION("""COMPUTED_VALUE"""),9.0)</f>
        <v>9</v>
      </c>
      <c r="J1251" s="3">
        <f>IFERROR(__xludf.DUMMYFUNCTION("""COMPUTED_VALUE"""),2010.0)</f>
        <v>2010</v>
      </c>
      <c r="K1251" s="12">
        <f t="shared" si="2"/>
        <v>40218</v>
      </c>
      <c r="L1251" s="3" t="s">
        <v>825</v>
      </c>
      <c r="M1251" s="3" t="s">
        <v>428</v>
      </c>
      <c r="N1251" s="3">
        <v>2103.0</v>
      </c>
      <c r="O1251" s="3" t="s">
        <v>815</v>
      </c>
      <c r="P1251" s="10">
        <v>7652.0</v>
      </c>
      <c r="Q1251" s="13">
        <v>205.7</v>
      </c>
      <c r="R1251" s="13">
        <v>117.11</v>
      </c>
      <c r="S1251" s="13">
        <f t="shared" si="3"/>
        <v>1574016.4</v>
      </c>
      <c r="T1251" s="13">
        <f t="shared" si="4"/>
        <v>896125.72</v>
      </c>
      <c r="U1251" s="13">
        <f t="shared" si="5"/>
        <v>677890.68</v>
      </c>
      <c r="V1251" s="3" t="str">
        <f>VLOOKUP(N1251,products!A:B,2,0)</f>
        <v>Cereal</v>
      </c>
      <c r="W1251" s="3" t="s">
        <v>28</v>
      </c>
      <c r="X1251" s="3" t="s">
        <v>79</v>
      </c>
      <c r="Y1251" s="14">
        <f t="shared" si="10"/>
        <v>0.4306757414</v>
      </c>
      <c r="Z1251" s="3">
        <f t="shared" si="7"/>
        <v>39</v>
      </c>
      <c r="AA1251" s="15">
        <f t="shared" si="8"/>
        <v>6</v>
      </c>
    </row>
    <row r="1252" ht="15.75" customHeight="1">
      <c r="A1252" s="3">
        <v>9.41061675E8</v>
      </c>
      <c r="B1252" s="9">
        <v>42950.0</v>
      </c>
      <c r="C1252" s="3">
        <f>IFERROR(__xludf.DUMMYFUNCTION("split(B1252,""/"")"),3.0)</f>
        <v>3</v>
      </c>
      <c r="D1252" s="10">
        <f>IFERROR(__xludf.DUMMYFUNCTION("""COMPUTED_VALUE"""),8.0)</f>
        <v>8</v>
      </c>
      <c r="E1252" s="11">
        <f>IFERROR(__xludf.DUMMYFUNCTION("""COMPUTED_VALUE"""),2017.0)</f>
        <v>2017</v>
      </c>
      <c r="F1252" s="12">
        <f t="shared" si="1"/>
        <v>42802</v>
      </c>
      <c r="G1252" s="3" t="s">
        <v>1833</v>
      </c>
      <c r="H1252" s="3">
        <f>IFERROR(__xludf.DUMMYFUNCTION("split(G1252,""/"")"),3.0)</f>
        <v>3</v>
      </c>
      <c r="I1252" s="3">
        <f>IFERROR(__xludf.DUMMYFUNCTION("""COMPUTED_VALUE"""),20.0)</f>
        <v>20</v>
      </c>
      <c r="J1252" s="3">
        <f>IFERROR(__xludf.DUMMYFUNCTION("""COMPUTED_VALUE"""),2017.0)</f>
        <v>2017</v>
      </c>
      <c r="K1252" s="12">
        <f t="shared" si="2"/>
        <v>42814</v>
      </c>
      <c r="L1252" s="3" t="s">
        <v>814</v>
      </c>
      <c r="M1252" s="3" t="s">
        <v>821</v>
      </c>
      <c r="N1252" s="3">
        <v>5988.0</v>
      </c>
      <c r="O1252" s="3" t="s">
        <v>818</v>
      </c>
      <c r="P1252" s="10">
        <v>9917.0</v>
      </c>
      <c r="Q1252" s="13">
        <v>154.06</v>
      </c>
      <c r="R1252" s="13">
        <v>90.93</v>
      </c>
      <c r="S1252" s="13">
        <f t="shared" si="3"/>
        <v>1527813.02</v>
      </c>
      <c r="T1252" s="13">
        <f t="shared" si="4"/>
        <v>901752.81</v>
      </c>
      <c r="U1252" s="13">
        <f t="shared" si="5"/>
        <v>626060.21</v>
      </c>
      <c r="V1252" s="3" t="str">
        <f>VLOOKUP(N1252,products!A:B,2,0)</f>
        <v>Vegetables</v>
      </c>
      <c r="W1252" s="3" t="s">
        <v>821</v>
      </c>
      <c r="X1252" s="3" t="s">
        <v>821</v>
      </c>
      <c r="Y1252" s="14">
        <f t="shared" si="10"/>
        <v>0.4097754122</v>
      </c>
      <c r="Z1252" s="3">
        <f t="shared" si="7"/>
        <v>12</v>
      </c>
      <c r="AA1252" s="15">
        <f t="shared" si="8"/>
        <v>4</v>
      </c>
    </row>
    <row r="1253" ht="15.75" customHeight="1">
      <c r="A1253" s="3">
        <v>9.41524302E8</v>
      </c>
      <c r="B1253" s="9">
        <v>41708.0</v>
      </c>
      <c r="C1253" s="3">
        <f>IFERROR(__xludf.DUMMYFUNCTION("split(B1253,""/"")"),10.0)</f>
        <v>10</v>
      </c>
      <c r="D1253" s="10">
        <f>IFERROR(__xludf.DUMMYFUNCTION("""COMPUTED_VALUE"""),3.0)</f>
        <v>3</v>
      </c>
      <c r="E1253" s="11">
        <f>IFERROR(__xludf.DUMMYFUNCTION("""COMPUTED_VALUE"""),2014.0)</f>
        <v>2014</v>
      </c>
      <c r="F1253" s="12">
        <f t="shared" si="1"/>
        <v>41915</v>
      </c>
      <c r="G1253" s="9">
        <v>41892.0</v>
      </c>
      <c r="H1253" s="3">
        <f>IFERROR(__xludf.DUMMYFUNCTION("split(G1253,""/"")"),10.0)</f>
        <v>10</v>
      </c>
      <c r="I1253" s="3">
        <f>IFERROR(__xludf.DUMMYFUNCTION("""COMPUTED_VALUE"""),9.0)</f>
        <v>9</v>
      </c>
      <c r="J1253" s="3">
        <f>IFERROR(__xludf.DUMMYFUNCTION("""COMPUTED_VALUE"""),2014.0)</f>
        <v>2014</v>
      </c>
      <c r="K1253" s="12">
        <f t="shared" si="2"/>
        <v>41921</v>
      </c>
      <c r="L1253" s="3" t="s">
        <v>817</v>
      </c>
      <c r="M1253" s="3" t="s">
        <v>364</v>
      </c>
      <c r="N1253" s="3">
        <v>3127.0</v>
      </c>
      <c r="O1253" s="3" t="s">
        <v>815</v>
      </c>
      <c r="P1253" s="10">
        <v>6819.0</v>
      </c>
      <c r="Q1253" s="13">
        <v>81.73</v>
      </c>
      <c r="R1253" s="13">
        <v>56.67</v>
      </c>
      <c r="S1253" s="13">
        <f t="shared" si="3"/>
        <v>557316.87</v>
      </c>
      <c r="T1253" s="13">
        <f t="shared" si="4"/>
        <v>386432.73</v>
      </c>
      <c r="U1253" s="13">
        <f t="shared" si="5"/>
        <v>170884.14</v>
      </c>
      <c r="V1253" s="3" t="str">
        <f>VLOOKUP(N1253,products!A:B,2,0)</f>
        <v>Personal Care</v>
      </c>
      <c r="W1253" s="3" t="s">
        <v>28</v>
      </c>
      <c r="X1253" s="3" t="s">
        <v>29</v>
      </c>
      <c r="Y1253" s="14">
        <f t="shared" si="10"/>
        <v>0.3066193564</v>
      </c>
      <c r="Z1253" s="3">
        <f t="shared" si="7"/>
        <v>6</v>
      </c>
      <c r="AA1253" s="15">
        <f t="shared" si="8"/>
        <v>6</v>
      </c>
    </row>
    <row r="1254" ht="15.75" customHeight="1">
      <c r="A1254" s="3">
        <v>9.41933286E8</v>
      </c>
      <c r="B1254" s="9">
        <v>41395.0</v>
      </c>
      <c r="C1254" s="3">
        <f>IFERROR(__xludf.DUMMYFUNCTION("split(B1254,""/"")"),1.0)</f>
        <v>1</v>
      </c>
      <c r="D1254" s="10">
        <f>IFERROR(__xludf.DUMMYFUNCTION("""COMPUTED_VALUE"""),5.0)</f>
        <v>5</v>
      </c>
      <c r="E1254" s="11">
        <f>IFERROR(__xludf.DUMMYFUNCTION("""COMPUTED_VALUE"""),2013.0)</f>
        <v>2013</v>
      </c>
      <c r="F1254" s="12">
        <f t="shared" si="1"/>
        <v>41279</v>
      </c>
      <c r="G1254" s="9">
        <v>41488.0</v>
      </c>
      <c r="H1254" s="3">
        <f>IFERROR(__xludf.DUMMYFUNCTION("split(G1254,""/"")"),2.0)</f>
        <v>2</v>
      </c>
      <c r="I1254" s="3">
        <f>IFERROR(__xludf.DUMMYFUNCTION("""COMPUTED_VALUE"""),8.0)</f>
        <v>8</v>
      </c>
      <c r="J1254" s="3">
        <f>IFERROR(__xludf.DUMMYFUNCTION("""COMPUTED_VALUE"""),2013.0)</f>
        <v>2013</v>
      </c>
      <c r="K1254" s="12">
        <f t="shared" si="2"/>
        <v>41313</v>
      </c>
      <c r="L1254" s="3" t="s">
        <v>814</v>
      </c>
      <c r="M1254" s="3" t="s">
        <v>593</v>
      </c>
      <c r="N1254" s="3">
        <v>8969.0</v>
      </c>
      <c r="O1254" s="3" t="s">
        <v>815</v>
      </c>
      <c r="P1254" s="10">
        <v>7846.0</v>
      </c>
      <c r="Q1254" s="13">
        <v>152.58</v>
      </c>
      <c r="R1254" s="13">
        <v>97.44</v>
      </c>
      <c r="S1254" s="13">
        <f t="shared" si="3"/>
        <v>1197142.68</v>
      </c>
      <c r="T1254" s="13">
        <f t="shared" si="4"/>
        <v>764514.24</v>
      </c>
      <c r="U1254" s="13">
        <f t="shared" si="5"/>
        <v>432628.44</v>
      </c>
      <c r="V1254" s="3" t="str">
        <f>VLOOKUP(N1254,products!A:B,2,0)</f>
        <v>Snacks</v>
      </c>
      <c r="W1254" s="3" t="s">
        <v>28</v>
      </c>
      <c r="X1254" s="3" t="s">
        <v>98</v>
      </c>
      <c r="Y1254" s="14">
        <f t="shared" si="10"/>
        <v>0.3613841919</v>
      </c>
      <c r="Z1254" s="3">
        <f t="shared" si="7"/>
        <v>34</v>
      </c>
      <c r="AA1254" s="15">
        <f t="shared" si="8"/>
        <v>7</v>
      </c>
    </row>
    <row r="1255" ht="15.75" customHeight="1">
      <c r="A1255" s="3">
        <v>9.4237231E8</v>
      </c>
      <c r="B1255" s="9">
        <v>41062.0</v>
      </c>
      <c r="C1255" s="3">
        <f>IFERROR(__xludf.DUMMYFUNCTION("split(B1255,""/"")"),2.0)</f>
        <v>2</v>
      </c>
      <c r="D1255" s="10">
        <f>IFERROR(__xludf.DUMMYFUNCTION("""COMPUTED_VALUE"""),6.0)</f>
        <v>6</v>
      </c>
      <c r="E1255" s="11">
        <f>IFERROR(__xludf.DUMMYFUNCTION("""COMPUTED_VALUE"""),2012.0)</f>
        <v>2012</v>
      </c>
      <c r="F1255" s="12">
        <f t="shared" si="1"/>
        <v>40945</v>
      </c>
      <c r="G1255" s="3" t="s">
        <v>836</v>
      </c>
      <c r="H1255" s="3">
        <f>IFERROR(__xludf.DUMMYFUNCTION("split(G1255,""/"")"),2.0)</f>
        <v>2</v>
      </c>
      <c r="I1255" s="3">
        <f>IFERROR(__xludf.DUMMYFUNCTION("""COMPUTED_VALUE"""),19.0)</f>
        <v>19</v>
      </c>
      <c r="J1255" s="3">
        <f>IFERROR(__xludf.DUMMYFUNCTION("""COMPUTED_VALUE"""),2012.0)</f>
        <v>2012</v>
      </c>
      <c r="K1255" s="12">
        <f t="shared" si="2"/>
        <v>40958</v>
      </c>
      <c r="L1255" s="3" t="s">
        <v>814</v>
      </c>
      <c r="M1255" s="3" t="s">
        <v>123</v>
      </c>
      <c r="N1255" s="3">
        <v>5988.0</v>
      </c>
      <c r="O1255" s="3" t="s">
        <v>818</v>
      </c>
      <c r="P1255" s="10">
        <v>7763.0</v>
      </c>
      <c r="Q1255" s="13">
        <v>154.06</v>
      </c>
      <c r="R1255" s="13">
        <v>90.93</v>
      </c>
      <c r="S1255" s="13">
        <f t="shared" si="3"/>
        <v>1195967.78</v>
      </c>
      <c r="T1255" s="13">
        <f t="shared" si="4"/>
        <v>705889.59</v>
      </c>
      <c r="U1255" s="13">
        <f t="shared" si="5"/>
        <v>490078.19</v>
      </c>
      <c r="V1255" s="3" t="str">
        <f>VLOOKUP(N1255,products!A:B,2,0)</f>
        <v>Vegetables</v>
      </c>
      <c r="W1255" s="3" t="s">
        <v>28</v>
      </c>
      <c r="X1255" s="3" t="s">
        <v>33</v>
      </c>
      <c r="Y1255" s="14">
        <f t="shared" si="10"/>
        <v>0.4097754122</v>
      </c>
      <c r="Z1255" s="3">
        <f t="shared" si="7"/>
        <v>13</v>
      </c>
      <c r="AA1255" s="15">
        <f t="shared" si="8"/>
        <v>2</v>
      </c>
    </row>
    <row r="1256" ht="15.75" customHeight="1">
      <c r="A1256" s="3">
        <v>9.42454278E8</v>
      </c>
      <c r="B1256" s="9">
        <v>40788.0</v>
      </c>
      <c r="C1256" s="3">
        <f>IFERROR(__xludf.DUMMYFUNCTION("split(B1256,""/"")"),2.0)</f>
        <v>2</v>
      </c>
      <c r="D1256" s="10">
        <f>IFERROR(__xludf.DUMMYFUNCTION("""COMPUTED_VALUE"""),9.0)</f>
        <v>9</v>
      </c>
      <c r="E1256" s="11">
        <f>IFERROR(__xludf.DUMMYFUNCTION("""COMPUTED_VALUE"""),2011.0)</f>
        <v>2011</v>
      </c>
      <c r="F1256" s="12">
        <f t="shared" si="1"/>
        <v>40583</v>
      </c>
      <c r="G1256" s="3" t="s">
        <v>904</v>
      </c>
      <c r="H1256" s="3">
        <f>IFERROR(__xludf.DUMMYFUNCTION("split(G1256,""/"")"),3.0)</f>
        <v>3</v>
      </c>
      <c r="I1256" s="3">
        <f>IFERROR(__xludf.DUMMYFUNCTION("""COMPUTED_VALUE"""),29.0)</f>
        <v>29</v>
      </c>
      <c r="J1256" s="3">
        <f>IFERROR(__xludf.DUMMYFUNCTION("""COMPUTED_VALUE"""),2011.0)</f>
        <v>2011</v>
      </c>
      <c r="K1256" s="12">
        <f t="shared" si="2"/>
        <v>40631</v>
      </c>
      <c r="L1256" s="3" t="s">
        <v>814</v>
      </c>
      <c r="M1256" s="3" t="s">
        <v>349</v>
      </c>
      <c r="N1256" s="3">
        <v>8293.0</v>
      </c>
      <c r="O1256" s="3" t="s">
        <v>815</v>
      </c>
      <c r="P1256" s="10">
        <v>2019.0</v>
      </c>
      <c r="Q1256" s="13">
        <v>437.2</v>
      </c>
      <c r="R1256" s="13">
        <v>263.33</v>
      </c>
      <c r="S1256" s="13">
        <f t="shared" si="3"/>
        <v>882706.8</v>
      </c>
      <c r="T1256" s="13">
        <f t="shared" si="4"/>
        <v>531663.27</v>
      </c>
      <c r="U1256" s="13">
        <f t="shared" si="5"/>
        <v>351043.53</v>
      </c>
      <c r="V1256" s="3" t="str">
        <f>VLOOKUP(N1256,products!A:B,2,0)</f>
        <v>Cosmetics</v>
      </c>
      <c r="W1256" s="3" t="s">
        <v>28</v>
      </c>
      <c r="X1256" s="3" t="s">
        <v>29</v>
      </c>
      <c r="Y1256" s="14">
        <f t="shared" si="10"/>
        <v>0.3976898445</v>
      </c>
      <c r="Z1256" s="3">
        <f t="shared" si="7"/>
        <v>48</v>
      </c>
      <c r="AA1256" s="15">
        <f t="shared" si="8"/>
        <v>4</v>
      </c>
    </row>
    <row r="1257" ht="15.75" customHeight="1">
      <c r="A1257" s="3">
        <v>9.43274819E8</v>
      </c>
      <c r="B1257" s="9">
        <v>41488.0</v>
      </c>
      <c r="C1257" s="3">
        <f>IFERROR(__xludf.DUMMYFUNCTION("split(B1257,""/"")"),2.0)</f>
        <v>2</v>
      </c>
      <c r="D1257" s="10">
        <f>IFERROR(__xludf.DUMMYFUNCTION("""COMPUTED_VALUE"""),8.0)</f>
        <v>8</v>
      </c>
      <c r="E1257" s="11">
        <f>IFERROR(__xludf.DUMMYFUNCTION("""COMPUTED_VALUE"""),2013.0)</f>
        <v>2013</v>
      </c>
      <c r="F1257" s="12">
        <f t="shared" si="1"/>
        <v>41313</v>
      </c>
      <c r="G1257" s="9">
        <v>41489.0</v>
      </c>
      <c r="H1257" s="3">
        <f>IFERROR(__xludf.DUMMYFUNCTION("split(G1257,""/"")"),3.0)</f>
        <v>3</v>
      </c>
      <c r="I1257" s="3">
        <f>IFERROR(__xludf.DUMMYFUNCTION("""COMPUTED_VALUE"""),8.0)</f>
        <v>8</v>
      </c>
      <c r="J1257" s="3">
        <f>IFERROR(__xludf.DUMMYFUNCTION("""COMPUTED_VALUE"""),2013.0)</f>
        <v>2013</v>
      </c>
      <c r="K1257" s="12">
        <f t="shared" si="2"/>
        <v>41341</v>
      </c>
      <c r="L1257" s="3" t="s">
        <v>814</v>
      </c>
      <c r="M1257" s="3" t="s">
        <v>413</v>
      </c>
      <c r="N1257" s="3">
        <v>8969.0</v>
      </c>
      <c r="O1257" s="3" t="s">
        <v>815</v>
      </c>
      <c r="P1257" s="10">
        <v>4836.0</v>
      </c>
      <c r="Q1257" s="13">
        <v>152.58</v>
      </c>
      <c r="R1257" s="13">
        <v>97.44</v>
      </c>
      <c r="S1257" s="13">
        <f t="shared" si="3"/>
        <v>737876.88</v>
      </c>
      <c r="T1257" s="13">
        <f t="shared" si="4"/>
        <v>471219.84</v>
      </c>
      <c r="U1257" s="13">
        <f t="shared" si="5"/>
        <v>266657.04</v>
      </c>
      <c r="V1257" s="3" t="str">
        <f>VLOOKUP(N1257,products!A:B,2,0)</f>
        <v>Snacks</v>
      </c>
      <c r="W1257" s="3" t="s">
        <v>28</v>
      </c>
      <c r="X1257" s="3" t="s">
        <v>29</v>
      </c>
      <c r="Y1257" s="14">
        <f t="shared" si="10"/>
        <v>0.3613841919</v>
      </c>
      <c r="Z1257" s="3">
        <f t="shared" si="7"/>
        <v>28</v>
      </c>
      <c r="AA1257" s="15">
        <f t="shared" si="8"/>
        <v>6</v>
      </c>
    </row>
    <row r="1258" ht="15.75" customHeight="1">
      <c r="A1258" s="3">
        <v>9.4424771E8</v>
      </c>
      <c r="B1258" s="3" t="s">
        <v>1693</v>
      </c>
      <c r="C1258" s="3">
        <f>IFERROR(__xludf.DUMMYFUNCTION("split(B1258,""/"")"),12.0)</f>
        <v>12</v>
      </c>
      <c r="D1258" s="10">
        <f>IFERROR(__xludf.DUMMYFUNCTION("""COMPUTED_VALUE"""),19.0)</f>
        <v>19</v>
      </c>
      <c r="E1258" s="11">
        <f>IFERROR(__xludf.DUMMYFUNCTION("""COMPUTED_VALUE"""),2014.0)</f>
        <v>2014</v>
      </c>
      <c r="F1258" s="12">
        <f t="shared" si="1"/>
        <v>41992</v>
      </c>
      <c r="G1258" s="3" t="s">
        <v>1227</v>
      </c>
      <c r="H1258" s="3">
        <f>IFERROR(__xludf.DUMMYFUNCTION("split(G1258,""/"")"),1.0)</f>
        <v>1</v>
      </c>
      <c r="I1258" s="3">
        <f>IFERROR(__xludf.DUMMYFUNCTION("""COMPUTED_VALUE"""),31.0)</f>
        <v>31</v>
      </c>
      <c r="J1258" s="3">
        <f>IFERROR(__xludf.DUMMYFUNCTION("""COMPUTED_VALUE"""),2015.0)</f>
        <v>2015</v>
      </c>
      <c r="K1258" s="12">
        <f t="shared" si="2"/>
        <v>42035</v>
      </c>
      <c r="L1258" s="3" t="s">
        <v>827</v>
      </c>
      <c r="M1258" s="3" t="s">
        <v>142</v>
      </c>
      <c r="N1258" s="3">
        <v>7331.0</v>
      </c>
      <c r="O1258" s="3" t="s">
        <v>815</v>
      </c>
      <c r="P1258" s="10">
        <v>2736.0</v>
      </c>
      <c r="Q1258" s="13">
        <v>255.28</v>
      </c>
      <c r="R1258" s="13">
        <v>159.42</v>
      </c>
      <c r="S1258" s="13">
        <f t="shared" si="3"/>
        <v>698446.08</v>
      </c>
      <c r="T1258" s="13">
        <f t="shared" si="4"/>
        <v>436173.12</v>
      </c>
      <c r="U1258" s="13">
        <f t="shared" si="5"/>
        <v>262272.96</v>
      </c>
      <c r="V1258" s="3" t="str">
        <f>VLOOKUP(N1258,products!A:B,2,0)</f>
        <v>Baby Food</v>
      </c>
      <c r="W1258" s="3" t="s">
        <v>28</v>
      </c>
      <c r="X1258" s="3" t="s">
        <v>98</v>
      </c>
      <c r="Y1258" s="14">
        <f t="shared" si="10"/>
        <v>0.3755092448</v>
      </c>
      <c r="Z1258" s="3">
        <f t="shared" si="7"/>
        <v>43</v>
      </c>
      <c r="AA1258" s="15">
        <f t="shared" si="8"/>
        <v>6</v>
      </c>
    </row>
    <row r="1259" ht="15.75" customHeight="1">
      <c r="A1259" s="3">
        <v>9.44609057E8</v>
      </c>
      <c r="B1259" s="3" t="s">
        <v>1834</v>
      </c>
      <c r="C1259" s="3">
        <f>IFERROR(__xludf.DUMMYFUNCTION("split(B1259,""/"")"),1.0)</f>
        <v>1</v>
      </c>
      <c r="D1259" s="10">
        <f>IFERROR(__xludf.DUMMYFUNCTION("""COMPUTED_VALUE"""),30.0)</f>
        <v>30</v>
      </c>
      <c r="E1259" s="11">
        <f>IFERROR(__xludf.DUMMYFUNCTION("""COMPUTED_VALUE"""),2014.0)</f>
        <v>2014</v>
      </c>
      <c r="F1259" s="12">
        <f t="shared" si="1"/>
        <v>41669</v>
      </c>
      <c r="G1259" s="3" t="s">
        <v>1835</v>
      </c>
      <c r="H1259" s="3">
        <f>IFERROR(__xludf.DUMMYFUNCTION("split(G1259,""/"")"),3.0)</f>
        <v>3</v>
      </c>
      <c r="I1259" s="3">
        <f>IFERROR(__xludf.DUMMYFUNCTION("""COMPUTED_VALUE"""),16.0)</f>
        <v>16</v>
      </c>
      <c r="J1259" s="3">
        <f>IFERROR(__xludf.DUMMYFUNCTION("""COMPUTED_VALUE"""),2014.0)</f>
        <v>2014</v>
      </c>
      <c r="K1259" s="12">
        <f t="shared" si="2"/>
        <v>41714</v>
      </c>
      <c r="L1259" s="3" t="s">
        <v>825</v>
      </c>
      <c r="M1259" s="3" t="s">
        <v>578</v>
      </c>
      <c r="N1259" s="3">
        <v>8875.0</v>
      </c>
      <c r="O1259" s="3" t="s">
        <v>815</v>
      </c>
      <c r="P1259" s="10">
        <v>9666.0</v>
      </c>
      <c r="Q1259" s="13">
        <v>421.89</v>
      </c>
      <c r="R1259" s="13">
        <v>364.69</v>
      </c>
      <c r="S1259" s="13">
        <f t="shared" si="3"/>
        <v>4077988.74</v>
      </c>
      <c r="T1259" s="13">
        <f t="shared" si="4"/>
        <v>3525093.54</v>
      </c>
      <c r="U1259" s="13">
        <f t="shared" si="5"/>
        <v>552895.2</v>
      </c>
      <c r="V1259" s="3" t="str">
        <f>VLOOKUP(N1259,products!A:B,2,0)</f>
        <v>Meat</v>
      </c>
      <c r="W1259" s="3" t="s">
        <v>28</v>
      </c>
      <c r="X1259" s="3" t="s">
        <v>33</v>
      </c>
      <c r="Y1259" s="14">
        <f t="shared" si="10"/>
        <v>0.1355803646</v>
      </c>
      <c r="Z1259" s="3">
        <f t="shared" si="7"/>
        <v>45</v>
      </c>
      <c r="AA1259" s="15">
        <f t="shared" si="8"/>
        <v>5</v>
      </c>
    </row>
    <row r="1260" ht="15.75" customHeight="1">
      <c r="A1260" s="3">
        <v>9.46421372E8</v>
      </c>
      <c r="B1260" s="3" t="s">
        <v>1836</v>
      </c>
      <c r="C1260" s="3">
        <f>IFERROR(__xludf.DUMMYFUNCTION("split(B1260,""/"")"),3.0)</f>
        <v>3</v>
      </c>
      <c r="D1260" s="10">
        <f>IFERROR(__xludf.DUMMYFUNCTION("""COMPUTED_VALUE"""),19.0)</f>
        <v>19</v>
      </c>
      <c r="E1260" s="11">
        <f>IFERROR(__xludf.DUMMYFUNCTION("""COMPUTED_VALUE"""),2015.0)</f>
        <v>2015</v>
      </c>
      <c r="F1260" s="12">
        <f t="shared" si="1"/>
        <v>42082</v>
      </c>
      <c r="G1260" s="3" t="s">
        <v>1117</v>
      </c>
      <c r="H1260" s="3">
        <f>IFERROR(__xludf.DUMMYFUNCTION("split(G1260,""/"")"),3.0)</f>
        <v>3</v>
      </c>
      <c r="I1260" s="3">
        <f>IFERROR(__xludf.DUMMYFUNCTION("""COMPUTED_VALUE"""),21.0)</f>
        <v>21</v>
      </c>
      <c r="J1260" s="3">
        <f>IFERROR(__xludf.DUMMYFUNCTION("""COMPUTED_VALUE"""),2015.0)</f>
        <v>2015</v>
      </c>
      <c r="K1260" s="12">
        <f t="shared" si="2"/>
        <v>42084</v>
      </c>
      <c r="L1260" s="3" t="s">
        <v>814</v>
      </c>
      <c r="M1260" s="3" t="s">
        <v>740</v>
      </c>
      <c r="N1260" s="3">
        <v>1270.0</v>
      </c>
      <c r="O1260" s="3" t="s">
        <v>818</v>
      </c>
      <c r="P1260" s="10">
        <v>5971.0</v>
      </c>
      <c r="Q1260" s="13">
        <v>47.45</v>
      </c>
      <c r="R1260" s="13">
        <v>31.79</v>
      </c>
      <c r="S1260" s="13">
        <f t="shared" si="3"/>
        <v>283323.95</v>
      </c>
      <c r="T1260" s="13">
        <f t="shared" si="4"/>
        <v>189818.09</v>
      </c>
      <c r="U1260" s="13">
        <f t="shared" si="5"/>
        <v>93505.86</v>
      </c>
      <c r="V1260" s="3" t="str">
        <f>VLOOKUP(N1260,products!A:B,2,0)</f>
        <v>Beverages</v>
      </c>
      <c r="W1260" s="3" t="s">
        <v>28</v>
      </c>
      <c r="X1260" s="3" t="s">
        <v>98</v>
      </c>
      <c r="Y1260" s="14">
        <f t="shared" si="10"/>
        <v>0.3300316122</v>
      </c>
      <c r="Z1260" s="3">
        <f t="shared" si="7"/>
        <v>2</v>
      </c>
      <c r="AA1260" s="15">
        <f t="shared" si="8"/>
        <v>5</v>
      </c>
    </row>
    <row r="1261" ht="15.75" customHeight="1">
      <c r="A1261" s="3">
        <v>9.46823489E8</v>
      </c>
      <c r="B1261" s="9">
        <v>42711.0</v>
      </c>
      <c r="C1261" s="3">
        <f>IFERROR(__xludf.DUMMYFUNCTION("split(B1261,""/"")"),7.0)</f>
        <v>7</v>
      </c>
      <c r="D1261" s="10">
        <f>IFERROR(__xludf.DUMMYFUNCTION("""COMPUTED_VALUE"""),12.0)</f>
        <v>12</v>
      </c>
      <c r="E1261" s="11">
        <f>IFERROR(__xludf.DUMMYFUNCTION("""COMPUTED_VALUE"""),2016.0)</f>
        <v>2016</v>
      </c>
      <c r="F1261" s="12">
        <f t="shared" si="1"/>
        <v>42563</v>
      </c>
      <c r="G1261" s="3" t="s">
        <v>1837</v>
      </c>
      <c r="H1261" s="3">
        <f>IFERROR(__xludf.DUMMYFUNCTION("split(G1261,""/"")"),8.0)</f>
        <v>8</v>
      </c>
      <c r="I1261" s="3">
        <f>IFERROR(__xludf.DUMMYFUNCTION("""COMPUTED_VALUE"""),30.0)</f>
        <v>30</v>
      </c>
      <c r="J1261" s="3">
        <f>IFERROR(__xludf.DUMMYFUNCTION("""COMPUTED_VALUE"""),2016.0)</f>
        <v>2016</v>
      </c>
      <c r="K1261" s="12">
        <f t="shared" si="2"/>
        <v>42612</v>
      </c>
      <c r="L1261" s="3" t="s">
        <v>827</v>
      </c>
      <c r="M1261" s="3" t="s">
        <v>364</v>
      </c>
      <c r="N1261" s="3">
        <v>2103.0</v>
      </c>
      <c r="O1261" s="3" t="s">
        <v>815</v>
      </c>
      <c r="P1261" s="10">
        <v>4966.0</v>
      </c>
      <c r="Q1261" s="13">
        <v>205.7</v>
      </c>
      <c r="R1261" s="13">
        <v>117.11</v>
      </c>
      <c r="S1261" s="13">
        <f t="shared" si="3"/>
        <v>1021506.2</v>
      </c>
      <c r="T1261" s="13">
        <f t="shared" si="4"/>
        <v>581568.26</v>
      </c>
      <c r="U1261" s="13">
        <f t="shared" si="5"/>
        <v>439937.94</v>
      </c>
      <c r="V1261" s="3" t="str">
        <f>VLOOKUP(N1261,products!A:B,2,0)</f>
        <v>Cereal</v>
      </c>
      <c r="W1261" s="3" t="s">
        <v>28</v>
      </c>
      <c r="X1261" s="3" t="s">
        <v>29</v>
      </c>
      <c r="Y1261" s="14">
        <f t="shared" si="10"/>
        <v>0.4306757414</v>
      </c>
      <c r="Z1261" s="3">
        <f t="shared" si="7"/>
        <v>49</v>
      </c>
      <c r="AA1261" s="15">
        <f t="shared" si="8"/>
        <v>3</v>
      </c>
    </row>
    <row r="1262" ht="15.75" customHeight="1">
      <c r="A1262" s="3">
        <v>9.47073256E8</v>
      </c>
      <c r="B1262" s="3" t="s">
        <v>969</v>
      </c>
      <c r="C1262" s="3">
        <f>IFERROR(__xludf.DUMMYFUNCTION("split(B1262,""/"")"),5.0)</f>
        <v>5</v>
      </c>
      <c r="D1262" s="10">
        <f>IFERROR(__xludf.DUMMYFUNCTION("""COMPUTED_VALUE"""),31.0)</f>
        <v>31</v>
      </c>
      <c r="E1262" s="11">
        <f>IFERROR(__xludf.DUMMYFUNCTION("""COMPUTED_VALUE"""),2010.0)</f>
        <v>2010</v>
      </c>
      <c r="F1262" s="12">
        <f t="shared" si="1"/>
        <v>40329</v>
      </c>
      <c r="G1262" s="9">
        <v>40518.0</v>
      </c>
      <c r="H1262" s="3">
        <f>IFERROR(__xludf.DUMMYFUNCTION("split(G1262,""/"")"),6.0)</f>
        <v>6</v>
      </c>
      <c r="I1262" s="3">
        <f>IFERROR(__xludf.DUMMYFUNCTION("""COMPUTED_VALUE"""),12.0)</f>
        <v>12</v>
      </c>
      <c r="J1262" s="3">
        <f>IFERROR(__xludf.DUMMYFUNCTION("""COMPUTED_VALUE"""),2010.0)</f>
        <v>2010</v>
      </c>
      <c r="K1262" s="12">
        <f t="shared" si="2"/>
        <v>40341</v>
      </c>
      <c r="L1262" s="3" t="s">
        <v>817</v>
      </c>
      <c r="M1262" s="3" t="s">
        <v>288</v>
      </c>
      <c r="N1262" s="3">
        <v>8969.0</v>
      </c>
      <c r="O1262" s="3" t="s">
        <v>815</v>
      </c>
      <c r="P1262" s="10">
        <v>8878.0</v>
      </c>
      <c r="Q1262" s="13">
        <v>152.58</v>
      </c>
      <c r="R1262" s="13">
        <v>97.44</v>
      </c>
      <c r="S1262" s="13">
        <f t="shared" si="3"/>
        <v>1354605.24</v>
      </c>
      <c r="T1262" s="13">
        <f t="shared" si="4"/>
        <v>865072.32</v>
      </c>
      <c r="U1262" s="13">
        <f t="shared" si="5"/>
        <v>489532.92</v>
      </c>
      <c r="V1262" s="3" t="str">
        <f>VLOOKUP(N1262,products!A:B,2,0)</f>
        <v>Snacks</v>
      </c>
      <c r="W1262" s="3" t="s">
        <v>23</v>
      </c>
      <c r="X1262" s="3" t="s">
        <v>68</v>
      </c>
      <c r="Y1262" s="14">
        <f t="shared" si="10"/>
        <v>0.3613841919</v>
      </c>
      <c r="Z1262" s="3">
        <f t="shared" si="7"/>
        <v>12</v>
      </c>
      <c r="AA1262" s="15">
        <f t="shared" si="8"/>
        <v>2</v>
      </c>
    </row>
    <row r="1263" ht="15.75" customHeight="1">
      <c r="A1263" s="3">
        <v>9.47507131E8</v>
      </c>
      <c r="B1263" s="9">
        <v>41464.0</v>
      </c>
      <c r="C1263" s="3">
        <f>IFERROR(__xludf.DUMMYFUNCTION("split(B1263,""/"")"),9.0)</f>
        <v>9</v>
      </c>
      <c r="D1263" s="10">
        <f>IFERROR(__xludf.DUMMYFUNCTION("""COMPUTED_VALUE"""),7.0)</f>
        <v>7</v>
      </c>
      <c r="E1263" s="11">
        <f>IFERROR(__xludf.DUMMYFUNCTION("""COMPUTED_VALUE"""),2013.0)</f>
        <v>2013</v>
      </c>
      <c r="F1263" s="12">
        <f t="shared" si="1"/>
        <v>41524</v>
      </c>
      <c r="G1263" s="3" t="s">
        <v>1838</v>
      </c>
      <c r="H1263" s="3">
        <f>IFERROR(__xludf.DUMMYFUNCTION("split(G1263,""/"")"),10.0)</f>
        <v>10</v>
      </c>
      <c r="I1263" s="3">
        <f>IFERROR(__xludf.DUMMYFUNCTION("""COMPUTED_VALUE"""),20.0)</f>
        <v>20</v>
      </c>
      <c r="J1263" s="3">
        <f>IFERROR(__xludf.DUMMYFUNCTION("""COMPUTED_VALUE"""),2013.0)</f>
        <v>2013</v>
      </c>
      <c r="K1263" s="12">
        <f t="shared" si="2"/>
        <v>41567</v>
      </c>
      <c r="L1263" s="3" t="s">
        <v>825</v>
      </c>
      <c r="M1263" s="3" t="s">
        <v>740</v>
      </c>
      <c r="N1263" s="3">
        <v>1270.0</v>
      </c>
      <c r="O1263" s="3" t="s">
        <v>818</v>
      </c>
      <c r="P1263" s="10">
        <v>7271.0</v>
      </c>
      <c r="Q1263" s="13">
        <v>47.45</v>
      </c>
      <c r="R1263" s="13">
        <v>31.79</v>
      </c>
      <c r="S1263" s="13">
        <f t="shared" si="3"/>
        <v>345008.95</v>
      </c>
      <c r="T1263" s="13">
        <f t="shared" si="4"/>
        <v>231145.09</v>
      </c>
      <c r="U1263" s="13">
        <f t="shared" si="5"/>
        <v>113863.86</v>
      </c>
      <c r="V1263" s="3" t="str">
        <f>VLOOKUP(N1263,products!A:B,2,0)</f>
        <v>Beverages</v>
      </c>
      <c r="W1263" s="3" t="s">
        <v>28</v>
      </c>
      <c r="X1263" s="3" t="s">
        <v>98</v>
      </c>
      <c r="Y1263" s="14">
        <f t="shared" si="10"/>
        <v>0.3300316122</v>
      </c>
      <c r="Z1263" s="3">
        <f t="shared" si="7"/>
        <v>43</v>
      </c>
      <c r="AA1263" s="15">
        <f t="shared" si="8"/>
        <v>7</v>
      </c>
    </row>
    <row r="1264" ht="15.75" customHeight="1">
      <c r="A1264" s="3">
        <v>9.48075759E8</v>
      </c>
      <c r="B1264" s="9">
        <v>40249.0</v>
      </c>
      <c r="C1264" s="3">
        <f>IFERROR(__xludf.DUMMYFUNCTION("split(B1264,""/"")"),12.0)</f>
        <v>12</v>
      </c>
      <c r="D1264" s="10">
        <f>IFERROR(__xludf.DUMMYFUNCTION("""COMPUTED_VALUE"""),3.0)</f>
        <v>3</v>
      </c>
      <c r="E1264" s="11">
        <f>IFERROR(__xludf.DUMMYFUNCTION("""COMPUTED_VALUE"""),2010.0)</f>
        <v>2010</v>
      </c>
      <c r="F1264" s="12">
        <f t="shared" si="1"/>
        <v>40515</v>
      </c>
      <c r="G1264" s="9">
        <v>40634.0</v>
      </c>
      <c r="H1264" s="3">
        <f>IFERROR(__xludf.DUMMYFUNCTION("split(G1264,""/"")"),1.0)</f>
        <v>1</v>
      </c>
      <c r="I1264" s="3">
        <f>IFERROR(__xludf.DUMMYFUNCTION("""COMPUTED_VALUE"""),4.0)</f>
        <v>4</v>
      </c>
      <c r="J1264" s="3">
        <f>IFERROR(__xludf.DUMMYFUNCTION("""COMPUTED_VALUE"""),2011.0)</f>
        <v>2011</v>
      </c>
      <c r="K1264" s="12">
        <f t="shared" si="2"/>
        <v>40547</v>
      </c>
      <c r="L1264" s="3" t="s">
        <v>814</v>
      </c>
      <c r="M1264" s="3" t="s">
        <v>346</v>
      </c>
      <c r="N1264" s="3">
        <v>1270.0</v>
      </c>
      <c r="O1264" s="3" t="s">
        <v>818</v>
      </c>
      <c r="P1264" s="10">
        <v>5540.0</v>
      </c>
      <c r="Q1264" s="13">
        <v>47.45</v>
      </c>
      <c r="R1264" s="13">
        <v>31.79</v>
      </c>
      <c r="S1264" s="13">
        <f t="shared" si="3"/>
        <v>262873</v>
      </c>
      <c r="T1264" s="13">
        <f t="shared" si="4"/>
        <v>176116.6</v>
      </c>
      <c r="U1264" s="13">
        <f t="shared" si="5"/>
        <v>86756.4</v>
      </c>
      <c r="V1264" s="3" t="str">
        <f>VLOOKUP(N1264,products!A:B,2,0)</f>
        <v>Beverages</v>
      </c>
      <c r="W1264" s="3" t="s">
        <v>28</v>
      </c>
      <c r="X1264" s="3" t="s">
        <v>98</v>
      </c>
      <c r="Y1264" s="14">
        <f t="shared" si="10"/>
        <v>0.3300316122</v>
      </c>
      <c r="Z1264" s="3">
        <f t="shared" si="7"/>
        <v>32</v>
      </c>
      <c r="AA1264" s="15">
        <f t="shared" si="8"/>
        <v>6</v>
      </c>
    </row>
    <row r="1265" ht="15.75" customHeight="1">
      <c r="A1265" s="3">
        <v>9.48518216E8</v>
      </c>
      <c r="B1265" s="9">
        <v>41094.0</v>
      </c>
      <c r="C1265" s="3">
        <f>IFERROR(__xludf.DUMMYFUNCTION("split(B1265,""/"")"),4.0)</f>
        <v>4</v>
      </c>
      <c r="D1265" s="10">
        <f>IFERROR(__xludf.DUMMYFUNCTION("""COMPUTED_VALUE"""),7.0)</f>
        <v>7</v>
      </c>
      <c r="E1265" s="11">
        <f>IFERROR(__xludf.DUMMYFUNCTION("""COMPUTED_VALUE"""),2012.0)</f>
        <v>2012</v>
      </c>
      <c r="F1265" s="12">
        <f t="shared" si="1"/>
        <v>41006</v>
      </c>
      <c r="G1265" s="9">
        <v>41004.0</v>
      </c>
      <c r="H1265" s="3">
        <f>IFERROR(__xludf.DUMMYFUNCTION("split(G1265,""/"")"),5.0)</f>
        <v>5</v>
      </c>
      <c r="I1265" s="3">
        <f>IFERROR(__xludf.DUMMYFUNCTION("""COMPUTED_VALUE"""),4.0)</f>
        <v>4</v>
      </c>
      <c r="J1265" s="3">
        <f>IFERROR(__xludf.DUMMYFUNCTION("""COMPUTED_VALUE"""),2012.0)</f>
        <v>2012</v>
      </c>
      <c r="K1265" s="12">
        <f t="shared" si="2"/>
        <v>41033</v>
      </c>
      <c r="L1265" s="3" t="s">
        <v>827</v>
      </c>
      <c r="M1265" s="3" t="s">
        <v>142</v>
      </c>
      <c r="N1265" s="3">
        <v>8875.0</v>
      </c>
      <c r="O1265" s="3" t="s">
        <v>818</v>
      </c>
      <c r="P1265" s="10">
        <v>6473.0</v>
      </c>
      <c r="Q1265" s="13">
        <v>421.89</v>
      </c>
      <c r="R1265" s="13">
        <v>364.69</v>
      </c>
      <c r="S1265" s="13">
        <f t="shared" si="3"/>
        <v>2730893.97</v>
      </c>
      <c r="T1265" s="13">
        <f t="shared" si="4"/>
        <v>2360638.37</v>
      </c>
      <c r="U1265" s="13">
        <f t="shared" si="5"/>
        <v>370255.6</v>
      </c>
      <c r="V1265" s="3" t="str">
        <f>VLOOKUP(N1265,products!A:B,2,0)</f>
        <v>Meat</v>
      </c>
      <c r="W1265" s="3" t="s">
        <v>28</v>
      </c>
      <c r="X1265" s="3" t="s">
        <v>98</v>
      </c>
      <c r="Y1265" s="14">
        <f t="shared" si="10"/>
        <v>0.1355803646</v>
      </c>
      <c r="Z1265" s="3">
        <f t="shared" si="7"/>
        <v>27</v>
      </c>
      <c r="AA1265" s="15">
        <f t="shared" si="8"/>
        <v>7</v>
      </c>
    </row>
    <row r="1266" ht="15.75" customHeight="1">
      <c r="A1266" s="3">
        <v>9.49388539E8</v>
      </c>
      <c r="B1266" s="3" t="s">
        <v>1656</v>
      </c>
      <c r="C1266" s="3">
        <f>IFERROR(__xludf.DUMMYFUNCTION("split(B1266,""/"")"),9.0)</f>
        <v>9</v>
      </c>
      <c r="D1266" s="10">
        <f>IFERROR(__xludf.DUMMYFUNCTION("""COMPUTED_VALUE"""),18.0)</f>
        <v>18</v>
      </c>
      <c r="E1266" s="11">
        <f>IFERROR(__xludf.DUMMYFUNCTION("""COMPUTED_VALUE"""),2016.0)</f>
        <v>2016</v>
      </c>
      <c r="F1266" s="12">
        <f t="shared" si="1"/>
        <v>42631</v>
      </c>
      <c r="G1266" s="3" t="s">
        <v>1503</v>
      </c>
      <c r="H1266" s="3">
        <f>IFERROR(__xludf.DUMMYFUNCTION("split(G1266,""/"")"),9.0)</f>
        <v>9</v>
      </c>
      <c r="I1266" s="3">
        <f>IFERROR(__xludf.DUMMYFUNCTION("""COMPUTED_VALUE"""),30.0)</f>
        <v>30</v>
      </c>
      <c r="J1266" s="3">
        <f>IFERROR(__xludf.DUMMYFUNCTION("""COMPUTED_VALUE"""),2016.0)</f>
        <v>2016</v>
      </c>
      <c r="K1266" s="12">
        <f t="shared" si="2"/>
        <v>42643</v>
      </c>
      <c r="L1266" s="3" t="s">
        <v>814</v>
      </c>
      <c r="M1266" s="3" t="s">
        <v>593</v>
      </c>
      <c r="N1266" s="3">
        <v>8969.0</v>
      </c>
      <c r="O1266" s="3" t="s">
        <v>815</v>
      </c>
      <c r="P1266" s="10">
        <v>4021.0</v>
      </c>
      <c r="Q1266" s="13">
        <v>152.58</v>
      </c>
      <c r="R1266" s="13">
        <v>97.44</v>
      </c>
      <c r="S1266" s="13">
        <f t="shared" si="3"/>
        <v>613524.18</v>
      </c>
      <c r="T1266" s="13">
        <f t="shared" si="4"/>
        <v>391806.24</v>
      </c>
      <c r="U1266" s="13">
        <f t="shared" si="5"/>
        <v>221717.94</v>
      </c>
      <c r="V1266" s="3" t="str">
        <f>VLOOKUP(N1266,products!A:B,2,0)</f>
        <v>Snacks</v>
      </c>
      <c r="W1266" s="3" t="s">
        <v>28</v>
      </c>
      <c r="X1266" s="3" t="s">
        <v>98</v>
      </c>
      <c r="Y1266" s="14">
        <f t="shared" si="10"/>
        <v>0.3613841919</v>
      </c>
      <c r="Z1266" s="3">
        <f t="shared" si="7"/>
        <v>12</v>
      </c>
      <c r="AA1266" s="15">
        <f t="shared" si="8"/>
        <v>1</v>
      </c>
    </row>
    <row r="1267" ht="15.75" customHeight="1">
      <c r="A1267" s="3">
        <v>9.49732291E8</v>
      </c>
      <c r="B1267" s="9">
        <v>42862.0</v>
      </c>
      <c r="C1267" s="3">
        <f>IFERROR(__xludf.DUMMYFUNCTION("split(B1267,""/"")"),7.0)</f>
        <v>7</v>
      </c>
      <c r="D1267" s="10">
        <f>IFERROR(__xludf.DUMMYFUNCTION("""COMPUTED_VALUE"""),5.0)</f>
        <v>5</v>
      </c>
      <c r="E1267" s="11">
        <f>IFERROR(__xludf.DUMMYFUNCTION("""COMPUTED_VALUE"""),2017.0)</f>
        <v>2017</v>
      </c>
      <c r="F1267" s="12">
        <f t="shared" si="1"/>
        <v>42921</v>
      </c>
      <c r="G1267" s="3" t="s">
        <v>1839</v>
      </c>
      <c r="H1267" s="3">
        <f>IFERROR(__xludf.DUMMYFUNCTION("split(G1267,""/"")"),8.0)</f>
        <v>8</v>
      </c>
      <c r="I1267" s="3">
        <f>IFERROR(__xludf.DUMMYFUNCTION("""COMPUTED_VALUE"""),14.0)</f>
        <v>14</v>
      </c>
      <c r="J1267" s="3">
        <f>IFERROR(__xludf.DUMMYFUNCTION("""COMPUTED_VALUE"""),2017.0)</f>
        <v>2017</v>
      </c>
      <c r="K1267" s="12">
        <f t="shared" si="2"/>
        <v>42961</v>
      </c>
      <c r="L1267" s="3" t="s">
        <v>825</v>
      </c>
      <c r="M1267" s="3" t="s">
        <v>536</v>
      </c>
      <c r="N1267" s="3">
        <v>1270.0</v>
      </c>
      <c r="O1267" s="3" t="s">
        <v>818</v>
      </c>
      <c r="P1267" s="10">
        <v>5745.0</v>
      </c>
      <c r="Q1267" s="13">
        <v>47.45</v>
      </c>
      <c r="R1267" s="13">
        <v>31.79</v>
      </c>
      <c r="S1267" s="13">
        <f t="shared" si="3"/>
        <v>272600.25</v>
      </c>
      <c r="T1267" s="13">
        <f t="shared" si="4"/>
        <v>182633.55</v>
      </c>
      <c r="U1267" s="13">
        <f t="shared" si="5"/>
        <v>89966.7</v>
      </c>
      <c r="V1267" s="3" t="str">
        <f>VLOOKUP(N1267,products!A:B,2,0)</f>
        <v>Beverages</v>
      </c>
      <c r="W1267" s="3" t="s">
        <v>28</v>
      </c>
      <c r="X1267" s="3" t="s">
        <v>33</v>
      </c>
      <c r="Y1267" s="14">
        <f t="shared" si="10"/>
        <v>0.3300316122</v>
      </c>
      <c r="Z1267" s="3">
        <f t="shared" si="7"/>
        <v>40</v>
      </c>
      <c r="AA1267" s="15">
        <f t="shared" si="8"/>
        <v>4</v>
      </c>
    </row>
    <row r="1268" ht="15.75" customHeight="1">
      <c r="A1268" s="3">
        <v>9.49912965E8</v>
      </c>
      <c r="B1268" s="3" t="s">
        <v>1638</v>
      </c>
      <c r="C1268" s="3">
        <f>IFERROR(__xludf.DUMMYFUNCTION("split(B1268,""/"")"),1.0)</f>
        <v>1</v>
      </c>
      <c r="D1268" s="10">
        <f>IFERROR(__xludf.DUMMYFUNCTION("""COMPUTED_VALUE"""),24.0)</f>
        <v>24</v>
      </c>
      <c r="E1268" s="11">
        <f>IFERROR(__xludf.DUMMYFUNCTION("""COMPUTED_VALUE"""),2017.0)</f>
        <v>2017</v>
      </c>
      <c r="F1268" s="12">
        <f t="shared" si="1"/>
        <v>42759</v>
      </c>
      <c r="G1268" s="9">
        <v>42889.0</v>
      </c>
      <c r="H1268" s="3">
        <f>IFERROR(__xludf.DUMMYFUNCTION("split(G1268,""/"")"),3.0)</f>
        <v>3</v>
      </c>
      <c r="I1268" s="3">
        <f>IFERROR(__xludf.DUMMYFUNCTION("""COMPUTED_VALUE"""),6.0)</f>
        <v>6</v>
      </c>
      <c r="J1268" s="3">
        <f>IFERROR(__xludf.DUMMYFUNCTION("""COMPUTED_VALUE"""),2017.0)</f>
        <v>2017</v>
      </c>
      <c r="K1268" s="12">
        <f t="shared" si="2"/>
        <v>42800</v>
      </c>
      <c r="L1268" s="3" t="s">
        <v>814</v>
      </c>
      <c r="M1268" s="3" t="s">
        <v>653</v>
      </c>
      <c r="N1268" s="3">
        <v>8293.0</v>
      </c>
      <c r="O1268" s="3" t="s">
        <v>815</v>
      </c>
      <c r="P1268" s="10">
        <v>9210.0</v>
      </c>
      <c r="Q1268" s="13">
        <v>437.2</v>
      </c>
      <c r="R1268" s="13">
        <v>263.33</v>
      </c>
      <c r="S1268" s="13">
        <f t="shared" si="3"/>
        <v>4026612</v>
      </c>
      <c r="T1268" s="13">
        <f t="shared" si="4"/>
        <v>2425269.3</v>
      </c>
      <c r="U1268" s="13">
        <f t="shared" si="5"/>
        <v>1601342.7</v>
      </c>
      <c r="V1268" s="3" t="str">
        <f>VLOOKUP(N1268,products!A:B,2,0)</f>
        <v>Cosmetics</v>
      </c>
      <c r="W1268" s="3" t="s">
        <v>28</v>
      </c>
      <c r="X1268" s="3" t="s">
        <v>33</v>
      </c>
      <c r="Y1268" s="14">
        <f t="shared" si="10"/>
        <v>0.3976898445</v>
      </c>
      <c r="Z1268" s="3">
        <f t="shared" si="7"/>
        <v>41</v>
      </c>
      <c r="AA1268" s="15">
        <f t="shared" si="8"/>
        <v>3</v>
      </c>
    </row>
    <row r="1269" ht="15.75" customHeight="1">
      <c r="A1269" s="3">
        <v>9.51698243E8</v>
      </c>
      <c r="B1269" s="3" t="s">
        <v>1840</v>
      </c>
      <c r="C1269" s="3">
        <f>IFERROR(__xludf.DUMMYFUNCTION("split(B1269,""/"")"),6.0)</f>
        <v>6</v>
      </c>
      <c r="D1269" s="10">
        <f>IFERROR(__xludf.DUMMYFUNCTION("""COMPUTED_VALUE"""),16.0)</f>
        <v>16</v>
      </c>
      <c r="E1269" s="11">
        <f>IFERROR(__xludf.DUMMYFUNCTION("""COMPUTED_VALUE"""),2017.0)</f>
        <v>2017</v>
      </c>
      <c r="F1269" s="12">
        <f t="shared" si="1"/>
        <v>42902</v>
      </c>
      <c r="G1269" s="9">
        <v>42801.0</v>
      </c>
      <c r="H1269" s="3">
        <f>IFERROR(__xludf.DUMMYFUNCTION("split(G1269,""/"")"),7.0)</f>
        <v>7</v>
      </c>
      <c r="I1269" s="3">
        <f>IFERROR(__xludf.DUMMYFUNCTION("""COMPUTED_VALUE"""),3.0)</f>
        <v>3</v>
      </c>
      <c r="J1269" s="3">
        <f>IFERROR(__xludf.DUMMYFUNCTION("""COMPUTED_VALUE"""),2017.0)</f>
        <v>2017</v>
      </c>
      <c r="K1269" s="12">
        <f t="shared" si="2"/>
        <v>42919</v>
      </c>
      <c r="L1269" s="3" t="s">
        <v>825</v>
      </c>
      <c r="M1269" s="3" t="s">
        <v>67</v>
      </c>
      <c r="N1269" s="3">
        <v>8969.0</v>
      </c>
      <c r="O1269" s="3" t="s">
        <v>815</v>
      </c>
      <c r="P1269" s="10">
        <v>7514.0</v>
      </c>
      <c r="Q1269" s="13">
        <v>152.58</v>
      </c>
      <c r="R1269" s="13">
        <v>97.44</v>
      </c>
      <c r="S1269" s="13">
        <f t="shared" si="3"/>
        <v>1146486.12</v>
      </c>
      <c r="T1269" s="13">
        <f t="shared" si="4"/>
        <v>732164.16</v>
      </c>
      <c r="U1269" s="13">
        <f t="shared" si="5"/>
        <v>414321.96</v>
      </c>
      <c r="V1269" s="3" t="str">
        <f>VLOOKUP(N1269,products!A:B,2,0)</f>
        <v>Snacks</v>
      </c>
      <c r="W1269" s="3" t="s">
        <v>23</v>
      </c>
      <c r="X1269" s="3" t="s">
        <v>68</v>
      </c>
      <c r="Y1269" s="14">
        <f t="shared" si="10"/>
        <v>0.3613841919</v>
      </c>
      <c r="Z1269" s="3">
        <f t="shared" si="7"/>
        <v>17</v>
      </c>
      <c r="AA1269" s="15">
        <f t="shared" si="8"/>
        <v>6</v>
      </c>
    </row>
    <row r="1270" ht="15.75" customHeight="1">
      <c r="A1270" s="3">
        <v>9.54040992E8</v>
      </c>
      <c r="B1270" s="3" t="s">
        <v>1463</v>
      </c>
      <c r="C1270" s="3">
        <f>IFERROR(__xludf.DUMMYFUNCTION("split(B1270,""/"")"),7.0)</f>
        <v>7</v>
      </c>
      <c r="D1270" s="10">
        <f>IFERROR(__xludf.DUMMYFUNCTION("""COMPUTED_VALUE"""),14.0)</f>
        <v>14</v>
      </c>
      <c r="E1270" s="11">
        <f>IFERROR(__xludf.DUMMYFUNCTION("""COMPUTED_VALUE"""),2011.0)</f>
        <v>2011</v>
      </c>
      <c r="F1270" s="12">
        <f t="shared" si="1"/>
        <v>40738</v>
      </c>
      <c r="G1270" s="3" t="s">
        <v>1811</v>
      </c>
      <c r="H1270" s="3">
        <f>IFERROR(__xludf.DUMMYFUNCTION("split(G1270,""/"")"),8.0)</f>
        <v>8</v>
      </c>
      <c r="I1270" s="3">
        <f>IFERROR(__xludf.DUMMYFUNCTION("""COMPUTED_VALUE"""),27.0)</f>
        <v>27</v>
      </c>
      <c r="J1270" s="3">
        <f>IFERROR(__xludf.DUMMYFUNCTION("""COMPUTED_VALUE"""),2011.0)</f>
        <v>2011</v>
      </c>
      <c r="K1270" s="12">
        <f t="shared" si="2"/>
        <v>40782</v>
      </c>
      <c r="L1270" s="3" t="s">
        <v>825</v>
      </c>
      <c r="M1270" s="3" t="s">
        <v>123</v>
      </c>
      <c r="N1270" s="3">
        <v>8969.0</v>
      </c>
      <c r="O1270" s="3" t="s">
        <v>818</v>
      </c>
      <c r="P1270" s="10">
        <v>785.0</v>
      </c>
      <c r="Q1270" s="13">
        <v>152.58</v>
      </c>
      <c r="R1270" s="13">
        <v>97.44</v>
      </c>
      <c r="S1270" s="13">
        <f t="shared" si="3"/>
        <v>119775.3</v>
      </c>
      <c r="T1270" s="13">
        <f t="shared" si="4"/>
        <v>76490.4</v>
      </c>
      <c r="U1270" s="13">
        <f t="shared" si="5"/>
        <v>43284.9</v>
      </c>
      <c r="V1270" s="3" t="str">
        <f>VLOOKUP(N1270,products!A:B,2,0)</f>
        <v>Snacks</v>
      </c>
      <c r="W1270" s="3" t="s">
        <v>28</v>
      </c>
      <c r="X1270" s="3" t="s">
        <v>33</v>
      </c>
      <c r="Y1270" s="14">
        <f t="shared" si="10"/>
        <v>0.3613841919</v>
      </c>
      <c r="Z1270" s="3">
        <f t="shared" si="7"/>
        <v>44</v>
      </c>
      <c r="AA1270" s="15">
        <f t="shared" si="8"/>
        <v>5</v>
      </c>
    </row>
    <row r="1271" ht="15.75" customHeight="1">
      <c r="A1271" s="3">
        <v>9.54065883E8</v>
      </c>
      <c r="B1271" s="3" t="s">
        <v>1061</v>
      </c>
      <c r="C1271" s="3">
        <f>IFERROR(__xludf.DUMMYFUNCTION("split(B1271,""/"")"),7.0)</f>
        <v>7</v>
      </c>
      <c r="D1271" s="10">
        <f>IFERROR(__xludf.DUMMYFUNCTION("""COMPUTED_VALUE"""),17.0)</f>
        <v>17</v>
      </c>
      <c r="E1271" s="11">
        <f>IFERROR(__xludf.DUMMYFUNCTION("""COMPUTED_VALUE"""),2016.0)</f>
        <v>2016</v>
      </c>
      <c r="F1271" s="12">
        <f t="shared" si="1"/>
        <v>42568</v>
      </c>
      <c r="G1271" s="9">
        <v>42378.0</v>
      </c>
      <c r="H1271" s="3">
        <f>IFERROR(__xludf.DUMMYFUNCTION("split(G1271,""/"")"),9.0)</f>
        <v>9</v>
      </c>
      <c r="I1271" s="3">
        <f>IFERROR(__xludf.DUMMYFUNCTION("""COMPUTED_VALUE"""),1.0)</f>
        <v>1</v>
      </c>
      <c r="J1271" s="3">
        <f>IFERROR(__xludf.DUMMYFUNCTION("""COMPUTED_VALUE"""),2016.0)</f>
        <v>2016</v>
      </c>
      <c r="K1271" s="12">
        <f t="shared" si="2"/>
        <v>42614</v>
      </c>
      <c r="L1271" s="3" t="s">
        <v>825</v>
      </c>
      <c r="M1271" s="3" t="s">
        <v>346</v>
      </c>
      <c r="N1271" s="3">
        <v>7940.0</v>
      </c>
      <c r="O1271" s="3" t="s">
        <v>818</v>
      </c>
      <c r="P1271" s="10">
        <v>8151.0</v>
      </c>
      <c r="Q1271" s="13">
        <v>668.27</v>
      </c>
      <c r="R1271" s="13">
        <v>502.54</v>
      </c>
      <c r="S1271" s="13">
        <f t="shared" si="3"/>
        <v>5447068.77</v>
      </c>
      <c r="T1271" s="13">
        <f t="shared" si="4"/>
        <v>4096203.54</v>
      </c>
      <c r="U1271" s="13">
        <f t="shared" si="5"/>
        <v>1350865.23</v>
      </c>
      <c r="V1271" s="3" t="str">
        <f>VLOOKUP(N1271,products!A:B,2,0)</f>
        <v>Household</v>
      </c>
      <c r="W1271" s="3" t="s">
        <v>28</v>
      </c>
      <c r="X1271" s="3" t="s">
        <v>98</v>
      </c>
      <c r="Y1271" s="14">
        <f t="shared" si="10"/>
        <v>0.2479985635</v>
      </c>
      <c r="Z1271" s="3">
        <f t="shared" si="7"/>
        <v>46</v>
      </c>
      <c r="AA1271" s="15">
        <f t="shared" si="8"/>
        <v>1</v>
      </c>
    </row>
    <row r="1272" ht="15.75" customHeight="1">
      <c r="A1272" s="3">
        <v>9.54341828E8</v>
      </c>
      <c r="B1272" s="3" t="s">
        <v>1841</v>
      </c>
      <c r="C1272" s="3">
        <f>IFERROR(__xludf.DUMMYFUNCTION("split(B1272,""/"")"),5.0)</f>
        <v>5</v>
      </c>
      <c r="D1272" s="10">
        <f>IFERROR(__xludf.DUMMYFUNCTION("""COMPUTED_VALUE"""),23.0)</f>
        <v>23</v>
      </c>
      <c r="E1272" s="11">
        <f>IFERROR(__xludf.DUMMYFUNCTION("""COMPUTED_VALUE"""),2014.0)</f>
        <v>2014</v>
      </c>
      <c r="F1272" s="12">
        <f t="shared" si="1"/>
        <v>41782</v>
      </c>
      <c r="G1272" s="9">
        <v>41950.0</v>
      </c>
      <c r="H1272" s="3">
        <f>IFERROR(__xludf.DUMMYFUNCTION("split(G1272,""/"")"),7.0)</f>
        <v>7</v>
      </c>
      <c r="I1272" s="3">
        <f>IFERROR(__xludf.DUMMYFUNCTION("""COMPUTED_VALUE"""),11.0)</f>
        <v>11</v>
      </c>
      <c r="J1272" s="3">
        <f>IFERROR(__xludf.DUMMYFUNCTION("""COMPUTED_VALUE"""),2014.0)</f>
        <v>2014</v>
      </c>
      <c r="K1272" s="12">
        <f t="shared" si="2"/>
        <v>41831</v>
      </c>
      <c r="L1272" s="3" t="s">
        <v>827</v>
      </c>
      <c r="M1272" s="3" t="s">
        <v>221</v>
      </c>
      <c r="N1272" s="3">
        <v>5988.0</v>
      </c>
      <c r="O1272" s="3" t="s">
        <v>818</v>
      </c>
      <c r="P1272" s="10">
        <v>9809.0</v>
      </c>
      <c r="Q1272" s="13">
        <v>154.06</v>
      </c>
      <c r="R1272" s="13">
        <v>90.93</v>
      </c>
      <c r="S1272" s="13">
        <f t="shared" si="3"/>
        <v>1511174.54</v>
      </c>
      <c r="T1272" s="13">
        <f t="shared" si="4"/>
        <v>891932.37</v>
      </c>
      <c r="U1272" s="13">
        <f t="shared" si="5"/>
        <v>619242.17</v>
      </c>
      <c r="V1272" s="3" t="str">
        <f>VLOOKUP(N1272,products!A:B,2,0)</f>
        <v>Vegetables</v>
      </c>
      <c r="W1272" s="3" t="s">
        <v>28</v>
      </c>
      <c r="X1272" s="3" t="s">
        <v>29</v>
      </c>
      <c r="Y1272" s="14">
        <f t="shared" si="10"/>
        <v>0.4097754122</v>
      </c>
      <c r="Z1272" s="3">
        <f t="shared" si="7"/>
        <v>49</v>
      </c>
      <c r="AA1272" s="15">
        <f t="shared" si="8"/>
        <v>6</v>
      </c>
    </row>
    <row r="1273" ht="15.75" customHeight="1">
      <c r="A1273" s="3">
        <v>9.55466639E8</v>
      </c>
      <c r="B1273" s="9">
        <v>41498.0</v>
      </c>
      <c r="C1273" s="3">
        <f>IFERROR(__xludf.DUMMYFUNCTION("split(B1273,""/"")"),12.0)</f>
        <v>12</v>
      </c>
      <c r="D1273" s="10">
        <f>IFERROR(__xludf.DUMMYFUNCTION("""COMPUTED_VALUE"""),8.0)</f>
        <v>8</v>
      </c>
      <c r="E1273" s="11">
        <f>IFERROR(__xludf.DUMMYFUNCTION("""COMPUTED_VALUE"""),2013.0)</f>
        <v>2013</v>
      </c>
      <c r="F1273" s="12">
        <f t="shared" si="1"/>
        <v>41616</v>
      </c>
      <c r="G1273" s="3" t="s">
        <v>1541</v>
      </c>
      <c r="H1273" s="3">
        <f>IFERROR(__xludf.DUMMYFUNCTION("split(G1273,""/"")"),1.0)</f>
        <v>1</v>
      </c>
      <c r="I1273" s="3">
        <f>IFERROR(__xludf.DUMMYFUNCTION("""COMPUTED_VALUE"""),27.0)</f>
        <v>27</v>
      </c>
      <c r="J1273" s="3">
        <f>IFERROR(__xludf.DUMMYFUNCTION("""COMPUTED_VALUE"""),2014.0)</f>
        <v>2014</v>
      </c>
      <c r="K1273" s="12">
        <f t="shared" si="2"/>
        <v>41666</v>
      </c>
      <c r="L1273" s="3" t="s">
        <v>817</v>
      </c>
      <c r="M1273" s="3" t="s">
        <v>671</v>
      </c>
      <c r="N1273" s="3">
        <v>3127.0</v>
      </c>
      <c r="O1273" s="3" t="s">
        <v>815</v>
      </c>
      <c r="P1273" s="10">
        <v>2666.0</v>
      </c>
      <c r="Q1273" s="13">
        <v>81.73</v>
      </c>
      <c r="R1273" s="13">
        <v>56.67</v>
      </c>
      <c r="S1273" s="13">
        <f t="shared" si="3"/>
        <v>217892.18</v>
      </c>
      <c r="T1273" s="13">
        <f t="shared" si="4"/>
        <v>151082.22</v>
      </c>
      <c r="U1273" s="13">
        <f t="shared" si="5"/>
        <v>66809.96</v>
      </c>
      <c r="V1273" s="3" t="str">
        <f>VLOOKUP(N1273,products!A:B,2,0)</f>
        <v>Personal Care</v>
      </c>
      <c r="W1273" s="3" t="s">
        <v>28</v>
      </c>
      <c r="X1273" s="3" t="s">
        <v>33</v>
      </c>
      <c r="Y1273" s="14">
        <f t="shared" si="10"/>
        <v>0.3066193564</v>
      </c>
      <c r="Z1273" s="3">
        <f t="shared" si="7"/>
        <v>50</v>
      </c>
      <c r="AA1273" s="15">
        <f t="shared" si="8"/>
        <v>1</v>
      </c>
    </row>
    <row r="1274" ht="15.75" customHeight="1">
      <c r="A1274" s="3">
        <v>9.56594026E8</v>
      </c>
      <c r="B1274" s="3" t="s">
        <v>1000</v>
      </c>
      <c r="C1274" s="3">
        <f>IFERROR(__xludf.DUMMYFUNCTION("split(B1274,""/"")"),5.0)</f>
        <v>5</v>
      </c>
      <c r="D1274" s="10">
        <f>IFERROR(__xludf.DUMMYFUNCTION("""COMPUTED_VALUE"""),22.0)</f>
        <v>22</v>
      </c>
      <c r="E1274" s="11">
        <f>IFERROR(__xludf.DUMMYFUNCTION("""COMPUTED_VALUE"""),2011.0)</f>
        <v>2011</v>
      </c>
      <c r="F1274" s="12">
        <f t="shared" si="1"/>
        <v>40685</v>
      </c>
      <c r="G1274" s="3" t="s">
        <v>1842</v>
      </c>
      <c r="H1274" s="3">
        <f>IFERROR(__xludf.DUMMYFUNCTION("split(G1274,""/"")"),6.0)</f>
        <v>6</v>
      </c>
      <c r="I1274" s="3">
        <f>IFERROR(__xludf.DUMMYFUNCTION("""COMPUTED_VALUE"""),17.0)</f>
        <v>17</v>
      </c>
      <c r="J1274" s="3">
        <f>IFERROR(__xludf.DUMMYFUNCTION("""COMPUTED_VALUE"""),2011.0)</f>
        <v>2011</v>
      </c>
      <c r="K1274" s="12">
        <f t="shared" si="2"/>
        <v>40711</v>
      </c>
      <c r="L1274" s="3" t="s">
        <v>825</v>
      </c>
      <c r="M1274" s="3" t="s">
        <v>671</v>
      </c>
      <c r="N1274" s="3">
        <v>7331.0</v>
      </c>
      <c r="O1274" s="3" t="s">
        <v>818</v>
      </c>
      <c r="P1274" s="10">
        <v>6285.0</v>
      </c>
      <c r="Q1274" s="13">
        <v>255.28</v>
      </c>
      <c r="R1274" s="13">
        <v>159.42</v>
      </c>
      <c r="S1274" s="13">
        <f t="shared" si="3"/>
        <v>1604434.8</v>
      </c>
      <c r="T1274" s="13">
        <f t="shared" si="4"/>
        <v>1001954.7</v>
      </c>
      <c r="U1274" s="13">
        <f t="shared" si="5"/>
        <v>602480.1</v>
      </c>
      <c r="V1274" s="3" t="str">
        <f>VLOOKUP(N1274,products!A:B,2,0)</f>
        <v>Baby Food</v>
      </c>
      <c r="W1274" s="3" t="s">
        <v>28</v>
      </c>
      <c r="X1274" s="3" t="s">
        <v>33</v>
      </c>
      <c r="Y1274" s="14">
        <f t="shared" si="10"/>
        <v>0.3755092448</v>
      </c>
      <c r="Z1274" s="3">
        <f t="shared" si="7"/>
        <v>26</v>
      </c>
      <c r="AA1274" s="15">
        <f t="shared" si="8"/>
        <v>1</v>
      </c>
    </row>
    <row r="1275" ht="15.75" customHeight="1">
      <c r="A1275" s="3">
        <v>9.56969964E8</v>
      </c>
      <c r="B1275" s="3" t="s">
        <v>1341</v>
      </c>
      <c r="C1275" s="3">
        <f>IFERROR(__xludf.DUMMYFUNCTION("split(B1275,""/"")"),4.0)</f>
        <v>4</v>
      </c>
      <c r="D1275" s="10">
        <f>IFERROR(__xludf.DUMMYFUNCTION("""COMPUTED_VALUE"""),24.0)</f>
        <v>24</v>
      </c>
      <c r="E1275" s="11">
        <f>IFERROR(__xludf.DUMMYFUNCTION("""COMPUTED_VALUE"""),2016.0)</f>
        <v>2016</v>
      </c>
      <c r="F1275" s="12">
        <f t="shared" si="1"/>
        <v>42484</v>
      </c>
      <c r="G1275" s="3" t="s">
        <v>1843</v>
      </c>
      <c r="H1275" s="3">
        <f>IFERROR(__xludf.DUMMYFUNCTION("split(G1275,""/"")"),5.0)</f>
        <v>5</v>
      </c>
      <c r="I1275" s="3">
        <f>IFERROR(__xludf.DUMMYFUNCTION("""COMPUTED_VALUE"""),27.0)</f>
        <v>27</v>
      </c>
      <c r="J1275" s="3">
        <f>IFERROR(__xludf.DUMMYFUNCTION("""COMPUTED_VALUE"""),2016.0)</f>
        <v>2016</v>
      </c>
      <c r="K1275" s="12">
        <f t="shared" si="2"/>
        <v>42517</v>
      </c>
      <c r="L1275" s="3" t="s">
        <v>825</v>
      </c>
      <c r="M1275" s="3" t="s">
        <v>364</v>
      </c>
      <c r="N1275" s="3">
        <v>5988.0</v>
      </c>
      <c r="O1275" s="3" t="s">
        <v>815</v>
      </c>
      <c r="P1275" s="10">
        <v>7533.0</v>
      </c>
      <c r="Q1275" s="13">
        <v>154.06</v>
      </c>
      <c r="R1275" s="13">
        <v>90.93</v>
      </c>
      <c r="S1275" s="13">
        <f t="shared" si="3"/>
        <v>1160533.98</v>
      </c>
      <c r="T1275" s="13">
        <f t="shared" si="4"/>
        <v>684975.69</v>
      </c>
      <c r="U1275" s="13">
        <f t="shared" si="5"/>
        <v>475558.29</v>
      </c>
      <c r="V1275" s="3" t="str">
        <f>VLOOKUP(N1275,products!A:B,2,0)</f>
        <v>Vegetables</v>
      </c>
      <c r="W1275" s="3" t="s">
        <v>28</v>
      </c>
      <c r="X1275" s="3" t="s">
        <v>29</v>
      </c>
      <c r="Y1275" s="14">
        <f t="shared" si="10"/>
        <v>0.4097754122</v>
      </c>
      <c r="Z1275" s="3">
        <f t="shared" si="7"/>
        <v>33</v>
      </c>
      <c r="AA1275" s="15">
        <f t="shared" si="8"/>
        <v>1</v>
      </c>
    </row>
    <row r="1276" ht="15.75" customHeight="1">
      <c r="A1276" s="3">
        <v>9.57926118E8</v>
      </c>
      <c r="B1276" s="3" t="s">
        <v>1844</v>
      </c>
      <c r="C1276" s="3">
        <f>IFERROR(__xludf.DUMMYFUNCTION("split(B1276,""/"")"),8.0)</f>
        <v>8</v>
      </c>
      <c r="D1276" s="10">
        <f>IFERROR(__xludf.DUMMYFUNCTION("""COMPUTED_VALUE"""),18.0)</f>
        <v>18</v>
      </c>
      <c r="E1276" s="11">
        <f>IFERROR(__xludf.DUMMYFUNCTION("""COMPUTED_VALUE"""),2016.0)</f>
        <v>2016</v>
      </c>
      <c r="F1276" s="12">
        <f t="shared" si="1"/>
        <v>42600</v>
      </c>
      <c r="G1276" s="9">
        <v>42378.0</v>
      </c>
      <c r="H1276" s="3">
        <f>IFERROR(__xludf.DUMMYFUNCTION("split(G1276,""/"")"),9.0)</f>
        <v>9</v>
      </c>
      <c r="I1276" s="3">
        <f>IFERROR(__xludf.DUMMYFUNCTION("""COMPUTED_VALUE"""),1.0)</f>
        <v>1</v>
      </c>
      <c r="J1276" s="3">
        <f>IFERROR(__xludf.DUMMYFUNCTION("""COMPUTED_VALUE"""),2016.0)</f>
        <v>2016</v>
      </c>
      <c r="K1276" s="12">
        <f t="shared" si="2"/>
        <v>42614</v>
      </c>
      <c r="L1276" s="3" t="s">
        <v>825</v>
      </c>
      <c r="M1276" s="3" t="s">
        <v>300</v>
      </c>
      <c r="N1276" s="3">
        <v>8969.0</v>
      </c>
      <c r="O1276" s="3" t="s">
        <v>815</v>
      </c>
      <c r="P1276" s="10">
        <v>480.0</v>
      </c>
      <c r="Q1276" s="13">
        <v>152.58</v>
      </c>
      <c r="R1276" s="13">
        <v>97.44</v>
      </c>
      <c r="S1276" s="13">
        <f t="shared" si="3"/>
        <v>73238.4</v>
      </c>
      <c r="T1276" s="13">
        <f t="shared" si="4"/>
        <v>46771.2</v>
      </c>
      <c r="U1276" s="13">
        <f t="shared" si="5"/>
        <v>26467.2</v>
      </c>
      <c r="V1276" s="3" t="str">
        <f>VLOOKUP(N1276,products!A:B,2,0)</f>
        <v>Snacks</v>
      </c>
      <c r="W1276" s="3" t="s">
        <v>28</v>
      </c>
      <c r="X1276" s="3" t="s">
        <v>33</v>
      </c>
      <c r="Y1276" s="14">
        <f t="shared" si="10"/>
        <v>0.3613841919</v>
      </c>
      <c r="Z1276" s="3">
        <f t="shared" si="7"/>
        <v>14</v>
      </c>
      <c r="AA1276" s="15">
        <f t="shared" si="8"/>
        <v>5</v>
      </c>
    </row>
    <row r="1277" ht="15.75" customHeight="1">
      <c r="A1277" s="3">
        <v>9.58366E8</v>
      </c>
      <c r="B1277" s="3" t="s">
        <v>1081</v>
      </c>
      <c r="C1277" s="3">
        <f>IFERROR(__xludf.DUMMYFUNCTION("split(B1277,""/"")"),6.0)</f>
        <v>6</v>
      </c>
      <c r="D1277" s="10">
        <f>IFERROR(__xludf.DUMMYFUNCTION("""COMPUTED_VALUE"""),29.0)</f>
        <v>29</v>
      </c>
      <c r="E1277" s="11">
        <f>IFERROR(__xludf.DUMMYFUNCTION("""COMPUTED_VALUE"""),2012.0)</f>
        <v>2012</v>
      </c>
      <c r="F1277" s="12">
        <f t="shared" si="1"/>
        <v>41089</v>
      </c>
      <c r="G1277" s="9">
        <v>40976.0</v>
      </c>
      <c r="H1277" s="3">
        <f>IFERROR(__xludf.DUMMYFUNCTION("split(G1277,""/"")"),8.0)</f>
        <v>8</v>
      </c>
      <c r="I1277" s="3">
        <f>IFERROR(__xludf.DUMMYFUNCTION("""COMPUTED_VALUE"""),3.0)</f>
        <v>3</v>
      </c>
      <c r="J1277" s="3">
        <f>IFERROR(__xludf.DUMMYFUNCTION("""COMPUTED_VALUE"""),2012.0)</f>
        <v>2012</v>
      </c>
      <c r="K1277" s="12">
        <f t="shared" si="2"/>
        <v>41124</v>
      </c>
      <c r="L1277" s="3" t="s">
        <v>814</v>
      </c>
      <c r="M1277" s="3" t="s">
        <v>593</v>
      </c>
      <c r="N1277" s="3">
        <v>2103.0</v>
      </c>
      <c r="O1277" s="3" t="s">
        <v>818</v>
      </c>
      <c r="P1277" s="10">
        <v>651.0</v>
      </c>
      <c r="Q1277" s="13">
        <v>205.7</v>
      </c>
      <c r="R1277" s="13">
        <v>117.11</v>
      </c>
      <c r="S1277" s="13">
        <f t="shared" si="3"/>
        <v>133910.7</v>
      </c>
      <c r="T1277" s="13">
        <f t="shared" si="4"/>
        <v>76238.61</v>
      </c>
      <c r="U1277" s="13">
        <f t="shared" si="5"/>
        <v>57672.09</v>
      </c>
      <c r="V1277" s="3" t="str">
        <f>VLOOKUP(N1277,products!A:B,2,0)</f>
        <v>Cereal</v>
      </c>
      <c r="W1277" s="3" t="s">
        <v>28</v>
      </c>
      <c r="X1277" s="3" t="s">
        <v>98</v>
      </c>
      <c r="Y1277" s="14">
        <f t="shared" si="10"/>
        <v>0.4306757414</v>
      </c>
      <c r="Z1277" s="3">
        <f t="shared" si="7"/>
        <v>35</v>
      </c>
      <c r="AA1277" s="15">
        <f t="shared" si="8"/>
        <v>6</v>
      </c>
    </row>
    <row r="1278" ht="15.75" customHeight="1">
      <c r="A1278" s="3">
        <v>9.60213077E8</v>
      </c>
      <c r="B1278" s="3" t="s">
        <v>1845</v>
      </c>
      <c r="C1278" s="3">
        <f>IFERROR(__xludf.DUMMYFUNCTION("split(B1278,""/"")"),8.0)</f>
        <v>8</v>
      </c>
      <c r="D1278" s="10">
        <f>IFERROR(__xludf.DUMMYFUNCTION("""COMPUTED_VALUE"""),31.0)</f>
        <v>31</v>
      </c>
      <c r="E1278" s="11">
        <f>IFERROR(__xludf.DUMMYFUNCTION("""COMPUTED_VALUE"""),2015.0)</f>
        <v>2015</v>
      </c>
      <c r="F1278" s="12">
        <f t="shared" si="1"/>
        <v>42247</v>
      </c>
      <c r="G1278" s="3" t="s">
        <v>1846</v>
      </c>
      <c r="H1278" s="3">
        <f>IFERROR(__xludf.DUMMYFUNCTION("split(G1278,""/"")"),10.0)</f>
        <v>10</v>
      </c>
      <c r="I1278" s="3">
        <f>IFERROR(__xludf.DUMMYFUNCTION("""COMPUTED_VALUE"""),16.0)</f>
        <v>16</v>
      </c>
      <c r="J1278" s="3">
        <f>IFERROR(__xludf.DUMMYFUNCTION("""COMPUTED_VALUE"""),2015.0)</f>
        <v>2015</v>
      </c>
      <c r="K1278" s="12">
        <f t="shared" si="2"/>
        <v>42293</v>
      </c>
      <c r="L1278" s="3" t="s">
        <v>827</v>
      </c>
      <c r="M1278" s="3" t="s">
        <v>101</v>
      </c>
      <c r="N1278" s="3">
        <v>1270.0</v>
      </c>
      <c r="O1278" s="3" t="s">
        <v>815</v>
      </c>
      <c r="P1278" s="10">
        <v>7242.0</v>
      </c>
      <c r="Q1278" s="13">
        <v>47.45</v>
      </c>
      <c r="R1278" s="13">
        <v>31.79</v>
      </c>
      <c r="S1278" s="13">
        <f t="shared" si="3"/>
        <v>343632.9</v>
      </c>
      <c r="T1278" s="13">
        <f t="shared" si="4"/>
        <v>230223.18</v>
      </c>
      <c r="U1278" s="13">
        <f t="shared" si="5"/>
        <v>113409.72</v>
      </c>
      <c r="V1278" s="3" t="str">
        <f>VLOOKUP(N1278,products!A:B,2,0)</f>
        <v>Beverages</v>
      </c>
      <c r="W1278" s="3" t="s">
        <v>28</v>
      </c>
      <c r="X1278" s="3" t="s">
        <v>79</v>
      </c>
      <c r="Y1278" s="14">
        <f t="shared" si="10"/>
        <v>0.3300316122</v>
      </c>
      <c r="Z1278" s="3">
        <f t="shared" si="7"/>
        <v>46</v>
      </c>
      <c r="AA1278" s="15">
        <f t="shared" si="8"/>
        <v>2</v>
      </c>
    </row>
    <row r="1279" ht="15.75" customHeight="1">
      <c r="A1279" s="3">
        <v>9.62560546E8</v>
      </c>
      <c r="B1279" s="3" t="s">
        <v>1164</v>
      </c>
      <c r="C1279" s="3">
        <f>IFERROR(__xludf.DUMMYFUNCTION("split(B1279,""/"")"),12.0)</f>
        <v>12</v>
      </c>
      <c r="D1279" s="10">
        <f>IFERROR(__xludf.DUMMYFUNCTION("""COMPUTED_VALUE"""),14.0)</f>
        <v>14</v>
      </c>
      <c r="E1279" s="11">
        <f>IFERROR(__xludf.DUMMYFUNCTION("""COMPUTED_VALUE"""),2010.0)</f>
        <v>2010</v>
      </c>
      <c r="F1279" s="12">
        <f t="shared" si="1"/>
        <v>40526</v>
      </c>
      <c r="G1279" s="9">
        <v>40756.0</v>
      </c>
      <c r="H1279" s="3">
        <f>IFERROR(__xludf.DUMMYFUNCTION("split(G1279,""/"")"),1.0)</f>
        <v>1</v>
      </c>
      <c r="I1279" s="3">
        <f>IFERROR(__xludf.DUMMYFUNCTION("""COMPUTED_VALUE"""),8.0)</f>
        <v>8</v>
      </c>
      <c r="J1279" s="3">
        <f>IFERROR(__xludf.DUMMYFUNCTION("""COMPUTED_VALUE"""),2011.0)</f>
        <v>2011</v>
      </c>
      <c r="K1279" s="12">
        <f t="shared" si="2"/>
        <v>40551</v>
      </c>
      <c r="L1279" s="3" t="s">
        <v>814</v>
      </c>
      <c r="M1279" s="3" t="s">
        <v>288</v>
      </c>
      <c r="N1279" s="3">
        <v>2103.0</v>
      </c>
      <c r="O1279" s="3" t="s">
        <v>818</v>
      </c>
      <c r="P1279" s="10">
        <v>1911.0</v>
      </c>
      <c r="Q1279" s="13">
        <v>205.7</v>
      </c>
      <c r="R1279" s="13">
        <v>117.11</v>
      </c>
      <c r="S1279" s="13">
        <f t="shared" si="3"/>
        <v>393092.7</v>
      </c>
      <c r="T1279" s="13">
        <f t="shared" si="4"/>
        <v>223797.21</v>
      </c>
      <c r="U1279" s="13">
        <f t="shared" si="5"/>
        <v>169295.49</v>
      </c>
      <c r="V1279" s="3" t="str">
        <f>VLOOKUP(N1279,products!A:B,2,0)</f>
        <v>Cereal</v>
      </c>
      <c r="W1279" s="3" t="s">
        <v>23</v>
      </c>
      <c r="X1279" s="3" t="s">
        <v>68</v>
      </c>
      <c r="Y1279" s="14">
        <f t="shared" si="10"/>
        <v>0.4306757414</v>
      </c>
      <c r="Z1279" s="3">
        <f t="shared" si="7"/>
        <v>25</v>
      </c>
      <c r="AA1279" s="15">
        <f t="shared" si="8"/>
        <v>3</v>
      </c>
    </row>
    <row r="1280" ht="15.75" customHeight="1">
      <c r="A1280" s="3">
        <v>9.63219296E8</v>
      </c>
      <c r="B1280" s="9">
        <v>40187.0</v>
      </c>
      <c r="C1280" s="3">
        <f>IFERROR(__xludf.DUMMYFUNCTION("split(B1280,""/"")"),9.0)</f>
        <v>9</v>
      </c>
      <c r="D1280" s="10">
        <f>IFERROR(__xludf.DUMMYFUNCTION("""COMPUTED_VALUE"""),1.0)</f>
        <v>1</v>
      </c>
      <c r="E1280" s="11">
        <f>IFERROR(__xludf.DUMMYFUNCTION("""COMPUTED_VALUE"""),2010.0)</f>
        <v>2010</v>
      </c>
      <c r="F1280" s="12">
        <f t="shared" si="1"/>
        <v>40422</v>
      </c>
      <c r="G1280" s="3" t="s">
        <v>1847</v>
      </c>
      <c r="H1280" s="3">
        <f>IFERROR(__xludf.DUMMYFUNCTION("split(G1280,""/"")"),9.0)</f>
        <v>9</v>
      </c>
      <c r="I1280" s="3">
        <f>IFERROR(__xludf.DUMMYFUNCTION("""COMPUTED_VALUE"""),18.0)</f>
        <v>18</v>
      </c>
      <c r="J1280" s="3">
        <f>IFERROR(__xludf.DUMMYFUNCTION("""COMPUTED_VALUE"""),2010.0)</f>
        <v>2010</v>
      </c>
      <c r="K1280" s="12">
        <f t="shared" si="2"/>
        <v>40439</v>
      </c>
      <c r="L1280" s="3" t="s">
        <v>817</v>
      </c>
      <c r="M1280" s="3" t="s">
        <v>536</v>
      </c>
      <c r="N1280" s="3">
        <v>2103.0</v>
      </c>
      <c r="O1280" s="3" t="s">
        <v>815</v>
      </c>
      <c r="P1280" s="10">
        <v>6850.0</v>
      </c>
      <c r="Q1280" s="13">
        <v>205.7</v>
      </c>
      <c r="R1280" s="13">
        <v>117.11</v>
      </c>
      <c r="S1280" s="13">
        <f t="shared" si="3"/>
        <v>1409045</v>
      </c>
      <c r="T1280" s="13">
        <f t="shared" si="4"/>
        <v>802203.5</v>
      </c>
      <c r="U1280" s="13">
        <f t="shared" si="5"/>
        <v>606841.5</v>
      </c>
      <c r="V1280" s="3" t="str">
        <f>VLOOKUP(N1280,products!A:B,2,0)</f>
        <v>Cereal</v>
      </c>
      <c r="W1280" s="3" t="s">
        <v>28</v>
      </c>
      <c r="X1280" s="3" t="s">
        <v>33</v>
      </c>
      <c r="Y1280" s="14">
        <f t="shared" si="10"/>
        <v>0.4306757414</v>
      </c>
      <c r="Z1280" s="3">
        <f t="shared" si="7"/>
        <v>17</v>
      </c>
      <c r="AA1280" s="15">
        <f t="shared" si="8"/>
        <v>4</v>
      </c>
    </row>
    <row r="1281" ht="15.75" customHeight="1">
      <c r="A1281" s="3">
        <v>9.65796363E8</v>
      </c>
      <c r="B1281" s="9">
        <v>40789.0</v>
      </c>
      <c r="C1281" s="3">
        <f>IFERROR(__xludf.DUMMYFUNCTION("split(B1281,""/"")"),3.0)</f>
        <v>3</v>
      </c>
      <c r="D1281" s="10">
        <f>IFERROR(__xludf.DUMMYFUNCTION("""COMPUTED_VALUE"""),9.0)</f>
        <v>9</v>
      </c>
      <c r="E1281" s="11">
        <f>IFERROR(__xludf.DUMMYFUNCTION("""COMPUTED_VALUE"""),2011.0)</f>
        <v>2011</v>
      </c>
      <c r="F1281" s="12">
        <f t="shared" si="1"/>
        <v>40611</v>
      </c>
      <c r="G1281" s="3" t="s">
        <v>1848</v>
      </c>
      <c r="H1281" s="3">
        <f>IFERROR(__xludf.DUMMYFUNCTION("split(G1281,""/"")"),3.0)</f>
        <v>3</v>
      </c>
      <c r="I1281" s="3">
        <f>IFERROR(__xludf.DUMMYFUNCTION("""COMPUTED_VALUE"""),19.0)</f>
        <v>19</v>
      </c>
      <c r="J1281" s="3">
        <f>IFERROR(__xludf.DUMMYFUNCTION("""COMPUTED_VALUE"""),2011.0)</f>
        <v>2011</v>
      </c>
      <c r="K1281" s="12">
        <f t="shared" si="2"/>
        <v>40621</v>
      </c>
      <c r="L1281" s="3" t="s">
        <v>814</v>
      </c>
      <c r="M1281" s="3" t="s">
        <v>431</v>
      </c>
      <c r="N1281" s="3">
        <v>4594.0</v>
      </c>
      <c r="O1281" s="3" t="s">
        <v>815</v>
      </c>
      <c r="P1281" s="10">
        <v>9461.0</v>
      </c>
      <c r="Q1281" s="13">
        <v>9.33</v>
      </c>
      <c r="R1281" s="13">
        <v>6.92</v>
      </c>
      <c r="S1281" s="13">
        <f t="shared" si="3"/>
        <v>88271.13</v>
      </c>
      <c r="T1281" s="13">
        <f t="shared" si="4"/>
        <v>65470.12</v>
      </c>
      <c r="U1281" s="13">
        <f t="shared" si="5"/>
        <v>22801.01</v>
      </c>
      <c r="V1281" s="3" t="str">
        <f>VLOOKUP(N1281,products!A:B,2,0)</f>
        <v>Fruits</v>
      </c>
      <c r="W1281" s="3" t="s">
        <v>28</v>
      </c>
      <c r="X1281" s="3" t="s">
        <v>29</v>
      </c>
      <c r="Y1281" s="14">
        <f t="shared" si="10"/>
        <v>0.258306538</v>
      </c>
      <c r="Z1281" s="3">
        <f t="shared" si="7"/>
        <v>10</v>
      </c>
      <c r="AA1281" s="15">
        <f t="shared" si="8"/>
        <v>4</v>
      </c>
    </row>
    <row r="1282" ht="15.75" customHeight="1">
      <c r="A1282" s="3">
        <v>9.66800153E8</v>
      </c>
      <c r="B1282" s="3" t="s">
        <v>1705</v>
      </c>
      <c r="C1282" s="3">
        <f>IFERROR(__xludf.DUMMYFUNCTION("split(B1282,""/"")"),8.0)</f>
        <v>8</v>
      </c>
      <c r="D1282" s="10">
        <f>IFERROR(__xludf.DUMMYFUNCTION("""COMPUTED_VALUE"""),25.0)</f>
        <v>25</v>
      </c>
      <c r="E1282" s="11">
        <f>IFERROR(__xludf.DUMMYFUNCTION("""COMPUTED_VALUE"""),2010.0)</f>
        <v>2010</v>
      </c>
      <c r="F1282" s="12">
        <f t="shared" si="1"/>
        <v>40415</v>
      </c>
      <c r="G1282" s="9">
        <v>40460.0</v>
      </c>
      <c r="H1282" s="3">
        <f>IFERROR(__xludf.DUMMYFUNCTION("split(G1282,""/"")"),9.0)</f>
        <v>9</v>
      </c>
      <c r="I1282" s="3">
        <f>IFERROR(__xludf.DUMMYFUNCTION("""COMPUTED_VALUE"""),10.0)</f>
        <v>10</v>
      </c>
      <c r="J1282" s="3">
        <f>IFERROR(__xludf.DUMMYFUNCTION("""COMPUTED_VALUE"""),2010.0)</f>
        <v>2010</v>
      </c>
      <c r="K1282" s="12">
        <f t="shared" si="2"/>
        <v>40431</v>
      </c>
      <c r="L1282" s="3" t="s">
        <v>814</v>
      </c>
      <c r="M1282" s="3" t="s">
        <v>248</v>
      </c>
      <c r="N1282" s="3">
        <v>8875.0</v>
      </c>
      <c r="O1282" s="3" t="s">
        <v>818</v>
      </c>
      <c r="P1282" s="10">
        <v>6505.0</v>
      </c>
      <c r="Q1282" s="13">
        <v>421.89</v>
      </c>
      <c r="R1282" s="13">
        <v>364.69</v>
      </c>
      <c r="S1282" s="13">
        <f t="shared" si="3"/>
        <v>2744394.45</v>
      </c>
      <c r="T1282" s="13">
        <f t="shared" si="4"/>
        <v>2372308.45</v>
      </c>
      <c r="U1282" s="13">
        <f t="shared" si="5"/>
        <v>372086</v>
      </c>
      <c r="V1282" s="3" t="str">
        <f>VLOOKUP(N1282,products!A:B,2,0)</f>
        <v>Meat</v>
      </c>
      <c r="W1282" s="3" t="s">
        <v>28</v>
      </c>
      <c r="X1282" s="3" t="s">
        <v>29</v>
      </c>
      <c r="Y1282" s="14">
        <f t="shared" si="10"/>
        <v>0.1355803646</v>
      </c>
      <c r="Z1282" s="3">
        <f t="shared" si="7"/>
        <v>16</v>
      </c>
      <c r="AA1282" s="15">
        <f t="shared" si="8"/>
        <v>4</v>
      </c>
    </row>
    <row r="1283" ht="15.75" customHeight="1">
      <c r="A1283" s="3">
        <v>9.67258059E8</v>
      </c>
      <c r="B1283" s="3" t="s">
        <v>1849</v>
      </c>
      <c r="C1283" s="3">
        <f>IFERROR(__xludf.DUMMYFUNCTION("split(B1283,""/"")"),7.0)</f>
        <v>7</v>
      </c>
      <c r="D1283" s="10">
        <f>IFERROR(__xludf.DUMMYFUNCTION("""COMPUTED_VALUE"""),31.0)</f>
        <v>31</v>
      </c>
      <c r="E1283" s="11">
        <f>IFERROR(__xludf.DUMMYFUNCTION("""COMPUTED_VALUE"""),2014.0)</f>
        <v>2014</v>
      </c>
      <c r="F1283" s="12">
        <f t="shared" si="1"/>
        <v>41851</v>
      </c>
      <c r="G1283" s="9">
        <v>41859.0</v>
      </c>
      <c r="H1283" s="3">
        <f>IFERROR(__xludf.DUMMYFUNCTION("split(G1283,""/"")"),8.0)</f>
        <v>8</v>
      </c>
      <c r="I1283" s="3">
        <f>IFERROR(__xludf.DUMMYFUNCTION("""COMPUTED_VALUE"""),8.0)</f>
        <v>8</v>
      </c>
      <c r="J1283" s="3">
        <f>IFERROR(__xludf.DUMMYFUNCTION("""COMPUTED_VALUE"""),2014.0)</f>
        <v>2014</v>
      </c>
      <c r="K1283" s="12">
        <f t="shared" si="2"/>
        <v>41859</v>
      </c>
      <c r="L1283" s="3" t="s">
        <v>814</v>
      </c>
      <c r="M1283" s="3" t="s">
        <v>78</v>
      </c>
      <c r="N1283" s="3">
        <v>3127.0</v>
      </c>
      <c r="O1283" s="3" t="s">
        <v>815</v>
      </c>
      <c r="P1283" s="10">
        <v>2009.0</v>
      </c>
      <c r="Q1283" s="13">
        <v>81.73</v>
      </c>
      <c r="R1283" s="13">
        <v>56.67</v>
      </c>
      <c r="S1283" s="13">
        <f t="shared" si="3"/>
        <v>164195.57</v>
      </c>
      <c r="T1283" s="13">
        <f t="shared" si="4"/>
        <v>113850.03</v>
      </c>
      <c r="U1283" s="13">
        <f t="shared" si="5"/>
        <v>50345.54</v>
      </c>
      <c r="V1283" s="3" t="str">
        <f>VLOOKUP(N1283,products!A:B,2,0)</f>
        <v>Personal Care</v>
      </c>
      <c r="W1283" s="3" t="s">
        <v>28</v>
      </c>
      <c r="X1283" s="3" t="s">
        <v>79</v>
      </c>
      <c r="Y1283" s="14">
        <f t="shared" si="10"/>
        <v>0.3066193564</v>
      </c>
      <c r="Z1283" s="3">
        <f t="shared" si="7"/>
        <v>8</v>
      </c>
      <c r="AA1283" s="15">
        <f t="shared" si="8"/>
        <v>5</v>
      </c>
    </row>
    <row r="1284" ht="15.75" customHeight="1">
      <c r="A1284" s="3">
        <v>9.67679059E8</v>
      </c>
      <c r="B1284" s="9">
        <v>41336.0</v>
      </c>
      <c r="C1284" s="3">
        <f>IFERROR(__xludf.DUMMYFUNCTION("split(B1284,""/"")"),3.0)</f>
        <v>3</v>
      </c>
      <c r="D1284" s="10">
        <f>IFERROR(__xludf.DUMMYFUNCTION("""COMPUTED_VALUE"""),3.0)</f>
        <v>3</v>
      </c>
      <c r="E1284" s="11">
        <f>IFERROR(__xludf.DUMMYFUNCTION("""COMPUTED_VALUE"""),2013.0)</f>
        <v>2013</v>
      </c>
      <c r="F1284" s="12">
        <f t="shared" si="1"/>
        <v>41336</v>
      </c>
      <c r="G1284" s="3" t="s">
        <v>1636</v>
      </c>
      <c r="H1284" s="3">
        <f>IFERROR(__xludf.DUMMYFUNCTION("split(G1284,""/"")"),3.0)</f>
        <v>3</v>
      </c>
      <c r="I1284" s="3">
        <f>IFERROR(__xludf.DUMMYFUNCTION("""COMPUTED_VALUE"""),19.0)</f>
        <v>19</v>
      </c>
      <c r="J1284" s="3">
        <f>IFERROR(__xludf.DUMMYFUNCTION("""COMPUTED_VALUE"""),2013.0)</f>
        <v>2013</v>
      </c>
      <c r="K1284" s="12">
        <f t="shared" si="2"/>
        <v>41352</v>
      </c>
      <c r="L1284" s="3" t="s">
        <v>817</v>
      </c>
      <c r="M1284" s="3" t="s">
        <v>46</v>
      </c>
      <c r="N1284" s="3">
        <v>5988.0</v>
      </c>
      <c r="O1284" s="3" t="s">
        <v>815</v>
      </c>
      <c r="P1284" s="10">
        <v>6592.0</v>
      </c>
      <c r="Q1284" s="13">
        <v>154.06</v>
      </c>
      <c r="R1284" s="13">
        <v>90.93</v>
      </c>
      <c r="S1284" s="13">
        <f t="shared" si="3"/>
        <v>1015563.52</v>
      </c>
      <c r="T1284" s="13">
        <f t="shared" si="4"/>
        <v>599410.56</v>
      </c>
      <c r="U1284" s="13">
        <f t="shared" si="5"/>
        <v>416152.96</v>
      </c>
      <c r="V1284" s="3" t="str">
        <f>VLOOKUP(N1284,products!A:B,2,0)</f>
        <v>Vegetables</v>
      </c>
      <c r="W1284" s="3" t="s">
        <v>28</v>
      </c>
      <c r="X1284" s="3" t="s">
        <v>33</v>
      </c>
      <c r="Y1284" s="14">
        <f t="shared" si="10"/>
        <v>0.4097754122</v>
      </c>
      <c r="Z1284" s="3">
        <f t="shared" si="7"/>
        <v>16</v>
      </c>
      <c r="AA1284" s="15">
        <f t="shared" si="8"/>
        <v>1</v>
      </c>
    </row>
    <row r="1285" ht="15.75" customHeight="1">
      <c r="A1285" s="3">
        <v>9.6818546E8</v>
      </c>
      <c r="B1285" s="9">
        <v>41518.0</v>
      </c>
      <c r="C1285" s="3">
        <f>IFERROR(__xludf.DUMMYFUNCTION("split(B1285,""/"")"),1.0)</f>
        <v>1</v>
      </c>
      <c r="D1285" s="10">
        <f>IFERROR(__xludf.DUMMYFUNCTION("""COMPUTED_VALUE"""),9.0)</f>
        <v>9</v>
      </c>
      <c r="E1285" s="11">
        <f>IFERROR(__xludf.DUMMYFUNCTION("""COMPUTED_VALUE"""),2013.0)</f>
        <v>2013</v>
      </c>
      <c r="F1285" s="12">
        <f t="shared" si="1"/>
        <v>41283</v>
      </c>
      <c r="G1285" s="9">
        <v>41335.0</v>
      </c>
      <c r="H1285" s="3">
        <f>IFERROR(__xludf.DUMMYFUNCTION("split(G1285,""/"")"),2.0)</f>
        <v>2</v>
      </c>
      <c r="I1285" s="3">
        <f>IFERROR(__xludf.DUMMYFUNCTION("""COMPUTED_VALUE"""),3.0)</f>
        <v>3</v>
      </c>
      <c r="J1285" s="3">
        <f>IFERROR(__xludf.DUMMYFUNCTION("""COMPUTED_VALUE"""),2013.0)</f>
        <v>2013</v>
      </c>
      <c r="K1285" s="12">
        <f t="shared" si="2"/>
        <v>41308</v>
      </c>
      <c r="L1285" s="3" t="s">
        <v>814</v>
      </c>
      <c r="M1285" s="3" t="s">
        <v>575</v>
      </c>
      <c r="N1285" s="3">
        <v>8969.0</v>
      </c>
      <c r="O1285" s="3" t="s">
        <v>815</v>
      </c>
      <c r="P1285" s="10">
        <v>6448.0</v>
      </c>
      <c r="Q1285" s="13">
        <v>152.58</v>
      </c>
      <c r="R1285" s="13">
        <v>97.44</v>
      </c>
      <c r="S1285" s="13">
        <f t="shared" si="3"/>
        <v>983835.84</v>
      </c>
      <c r="T1285" s="13">
        <f t="shared" si="4"/>
        <v>628293.12</v>
      </c>
      <c r="U1285" s="13">
        <f t="shared" si="5"/>
        <v>355542.72</v>
      </c>
      <c r="V1285" s="3" t="str">
        <f>VLOOKUP(N1285,products!A:B,2,0)</f>
        <v>Snacks</v>
      </c>
      <c r="W1285" s="3" t="s">
        <v>28</v>
      </c>
      <c r="X1285" s="3" t="s">
        <v>98</v>
      </c>
      <c r="Y1285" s="14">
        <f t="shared" si="10"/>
        <v>0.3613841919</v>
      </c>
      <c r="Z1285" s="3">
        <f t="shared" si="7"/>
        <v>25</v>
      </c>
      <c r="AA1285" s="15">
        <f t="shared" si="8"/>
        <v>4</v>
      </c>
    </row>
    <row r="1286" ht="15.75" customHeight="1">
      <c r="A1286" s="3">
        <v>9.69195258E8</v>
      </c>
      <c r="B1286" s="3" t="s">
        <v>1850</v>
      </c>
      <c r="C1286" s="3">
        <f>IFERROR(__xludf.DUMMYFUNCTION("split(B1286,""/"")"),8.0)</f>
        <v>8</v>
      </c>
      <c r="D1286" s="10">
        <f>IFERROR(__xludf.DUMMYFUNCTION("""COMPUTED_VALUE"""),26.0)</f>
        <v>26</v>
      </c>
      <c r="E1286" s="11">
        <f>IFERROR(__xludf.DUMMYFUNCTION("""COMPUTED_VALUE"""),2012.0)</f>
        <v>2012</v>
      </c>
      <c r="F1286" s="12">
        <f t="shared" si="1"/>
        <v>41147</v>
      </c>
      <c r="G1286" s="3" t="s">
        <v>1578</v>
      </c>
      <c r="H1286" s="3">
        <f>IFERROR(__xludf.DUMMYFUNCTION("split(G1286,""/"")"),9.0)</f>
        <v>9</v>
      </c>
      <c r="I1286" s="3">
        <f>IFERROR(__xludf.DUMMYFUNCTION("""COMPUTED_VALUE"""),17.0)</f>
        <v>17</v>
      </c>
      <c r="J1286" s="3">
        <f>IFERROR(__xludf.DUMMYFUNCTION("""COMPUTED_VALUE"""),2012.0)</f>
        <v>2012</v>
      </c>
      <c r="K1286" s="12">
        <f t="shared" si="2"/>
        <v>41169</v>
      </c>
      <c r="L1286" s="3" t="s">
        <v>825</v>
      </c>
      <c r="M1286" s="3" t="s">
        <v>221</v>
      </c>
      <c r="N1286" s="3">
        <v>5988.0</v>
      </c>
      <c r="O1286" s="3" t="s">
        <v>815</v>
      </c>
      <c r="P1286" s="10">
        <v>5269.0</v>
      </c>
      <c r="Q1286" s="13">
        <v>154.06</v>
      </c>
      <c r="R1286" s="13">
        <v>90.93</v>
      </c>
      <c r="S1286" s="13">
        <f t="shared" si="3"/>
        <v>811742.14</v>
      </c>
      <c r="T1286" s="13">
        <f t="shared" si="4"/>
        <v>479110.17</v>
      </c>
      <c r="U1286" s="13">
        <f t="shared" si="5"/>
        <v>332631.97</v>
      </c>
      <c r="V1286" s="3" t="str">
        <f>VLOOKUP(N1286,products!A:B,2,0)</f>
        <v>Vegetables</v>
      </c>
      <c r="W1286" s="3" t="s">
        <v>28</v>
      </c>
      <c r="X1286" s="3" t="s">
        <v>29</v>
      </c>
      <c r="Y1286" s="14">
        <f t="shared" si="10"/>
        <v>0.4097754122</v>
      </c>
      <c r="Z1286" s="3">
        <f t="shared" si="7"/>
        <v>22</v>
      </c>
      <c r="AA1286" s="15">
        <f t="shared" si="8"/>
        <v>1</v>
      </c>
    </row>
    <row r="1287" ht="15.75" customHeight="1">
      <c r="A1287" s="3">
        <v>9.69199979E8</v>
      </c>
      <c r="B1287" s="9">
        <v>41619.0</v>
      </c>
      <c r="C1287" s="3">
        <f>IFERROR(__xludf.DUMMYFUNCTION("split(B1287,""/"")"),11.0)</f>
        <v>11</v>
      </c>
      <c r="D1287" s="10">
        <f>IFERROR(__xludf.DUMMYFUNCTION("""COMPUTED_VALUE"""),12.0)</f>
        <v>12</v>
      </c>
      <c r="E1287" s="11">
        <f>IFERROR(__xludf.DUMMYFUNCTION("""COMPUTED_VALUE"""),2013.0)</f>
        <v>2013</v>
      </c>
      <c r="F1287" s="12">
        <f t="shared" si="1"/>
        <v>41590</v>
      </c>
      <c r="G1287" s="9">
        <v>41467.0</v>
      </c>
      <c r="H1287" s="3">
        <f>IFERROR(__xludf.DUMMYFUNCTION("split(G1287,""/"")"),12.0)</f>
        <v>12</v>
      </c>
      <c r="I1287" s="3">
        <f>IFERROR(__xludf.DUMMYFUNCTION("""COMPUTED_VALUE"""),7.0)</f>
        <v>7</v>
      </c>
      <c r="J1287" s="3">
        <f>IFERROR(__xludf.DUMMYFUNCTION("""COMPUTED_VALUE"""),2013.0)</f>
        <v>2013</v>
      </c>
      <c r="K1287" s="12">
        <f t="shared" si="2"/>
        <v>41615</v>
      </c>
      <c r="L1287" s="3" t="s">
        <v>827</v>
      </c>
      <c r="M1287" s="3" t="s">
        <v>300</v>
      </c>
      <c r="N1287" s="3">
        <v>8875.0</v>
      </c>
      <c r="O1287" s="3" t="s">
        <v>815</v>
      </c>
      <c r="P1287" s="10">
        <v>6666.0</v>
      </c>
      <c r="Q1287" s="13">
        <v>421.89</v>
      </c>
      <c r="R1287" s="13">
        <v>364.69</v>
      </c>
      <c r="S1287" s="13">
        <f t="shared" si="3"/>
        <v>2812318.74</v>
      </c>
      <c r="T1287" s="13">
        <f t="shared" si="4"/>
        <v>2431023.54</v>
      </c>
      <c r="U1287" s="13">
        <f t="shared" si="5"/>
        <v>381295.2</v>
      </c>
      <c r="V1287" s="3" t="str">
        <f>VLOOKUP(N1287,products!A:B,2,0)</f>
        <v>Meat</v>
      </c>
      <c r="W1287" s="3" t="s">
        <v>28</v>
      </c>
      <c r="X1287" s="3" t="s">
        <v>33</v>
      </c>
      <c r="Y1287" s="14">
        <f t="shared" si="10"/>
        <v>0.1355803646</v>
      </c>
      <c r="Z1287" s="3">
        <f t="shared" si="7"/>
        <v>25</v>
      </c>
      <c r="AA1287" s="15">
        <f t="shared" si="8"/>
        <v>3</v>
      </c>
    </row>
    <row r="1288" ht="15.75" customHeight="1">
      <c r="A1288" s="3">
        <v>9.69289243E8</v>
      </c>
      <c r="B1288" s="3" t="s">
        <v>1851</v>
      </c>
      <c r="C1288" s="3">
        <f>IFERROR(__xludf.DUMMYFUNCTION("split(B1288,""/"")"),12.0)</f>
        <v>12</v>
      </c>
      <c r="D1288" s="10">
        <f>IFERROR(__xludf.DUMMYFUNCTION("""COMPUTED_VALUE"""),28.0)</f>
        <v>28</v>
      </c>
      <c r="E1288" s="11">
        <f>IFERROR(__xludf.DUMMYFUNCTION("""COMPUTED_VALUE"""),2011.0)</f>
        <v>2011</v>
      </c>
      <c r="F1288" s="12">
        <f t="shared" si="1"/>
        <v>40905</v>
      </c>
      <c r="G1288" s="9">
        <v>40941.0</v>
      </c>
      <c r="H1288" s="3">
        <f>IFERROR(__xludf.DUMMYFUNCTION("split(G1288,""/"")"),2.0)</f>
        <v>2</v>
      </c>
      <c r="I1288" s="3">
        <f>IFERROR(__xludf.DUMMYFUNCTION("""COMPUTED_VALUE"""),2.0)</f>
        <v>2</v>
      </c>
      <c r="J1288" s="3">
        <f>IFERROR(__xludf.DUMMYFUNCTION("""COMPUTED_VALUE"""),2012.0)</f>
        <v>2012</v>
      </c>
      <c r="K1288" s="12">
        <f t="shared" si="2"/>
        <v>40941</v>
      </c>
      <c r="L1288" s="3" t="s">
        <v>817</v>
      </c>
      <c r="M1288" s="3" t="s">
        <v>123</v>
      </c>
      <c r="N1288" s="3">
        <v>7940.0</v>
      </c>
      <c r="O1288" s="3" t="s">
        <v>815</v>
      </c>
      <c r="P1288" s="10">
        <v>3082.0</v>
      </c>
      <c r="Q1288" s="13">
        <v>668.27</v>
      </c>
      <c r="R1288" s="13">
        <v>502.54</v>
      </c>
      <c r="S1288" s="13">
        <f t="shared" si="3"/>
        <v>2059608.14</v>
      </c>
      <c r="T1288" s="13">
        <f t="shared" si="4"/>
        <v>1548828.28</v>
      </c>
      <c r="U1288" s="13">
        <f t="shared" si="5"/>
        <v>510779.86</v>
      </c>
      <c r="V1288" s="3" t="str">
        <f>VLOOKUP(N1288,products!A:B,2,0)</f>
        <v>Household</v>
      </c>
      <c r="W1288" s="3" t="s">
        <v>28</v>
      </c>
      <c r="X1288" s="3" t="s">
        <v>33</v>
      </c>
      <c r="Y1288" s="14">
        <f t="shared" si="10"/>
        <v>0.2479985635</v>
      </c>
      <c r="Z1288" s="3">
        <f t="shared" si="7"/>
        <v>36</v>
      </c>
      <c r="AA1288" s="15">
        <f t="shared" si="8"/>
        <v>4</v>
      </c>
    </row>
    <row r="1289" ht="15.75" customHeight="1">
      <c r="A1289" s="3">
        <v>9.70427358E8</v>
      </c>
      <c r="B1289" s="3" t="s">
        <v>1852</v>
      </c>
      <c r="C1289" s="3">
        <f>IFERROR(__xludf.DUMMYFUNCTION("split(B1289,""/"")"),10.0)</f>
        <v>10</v>
      </c>
      <c r="D1289" s="10">
        <f>IFERROR(__xludf.DUMMYFUNCTION("""COMPUTED_VALUE"""),26.0)</f>
        <v>26</v>
      </c>
      <c r="E1289" s="11">
        <f>IFERROR(__xludf.DUMMYFUNCTION("""COMPUTED_VALUE"""),2010.0)</f>
        <v>2010</v>
      </c>
      <c r="F1289" s="12">
        <f t="shared" si="1"/>
        <v>40477</v>
      </c>
      <c r="G1289" s="3" t="s">
        <v>1618</v>
      </c>
      <c r="H1289" s="3">
        <f>IFERROR(__xludf.DUMMYFUNCTION("split(G1289,""/"")"),10.0)</f>
        <v>10</v>
      </c>
      <c r="I1289" s="3">
        <f>IFERROR(__xludf.DUMMYFUNCTION("""COMPUTED_VALUE"""),31.0)</f>
        <v>31</v>
      </c>
      <c r="J1289" s="3">
        <f>IFERROR(__xludf.DUMMYFUNCTION("""COMPUTED_VALUE"""),2010.0)</f>
        <v>2010</v>
      </c>
      <c r="K1289" s="12">
        <f t="shared" si="2"/>
        <v>40482</v>
      </c>
      <c r="L1289" s="3" t="s">
        <v>827</v>
      </c>
      <c r="M1289" s="3" t="s">
        <v>67</v>
      </c>
      <c r="N1289" s="3">
        <v>8875.0</v>
      </c>
      <c r="O1289" s="3" t="s">
        <v>818</v>
      </c>
      <c r="P1289" s="10">
        <v>9875.0</v>
      </c>
      <c r="Q1289" s="13">
        <v>421.89</v>
      </c>
      <c r="R1289" s="13">
        <v>364.69</v>
      </c>
      <c r="S1289" s="13">
        <f t="shared" si="3"/>
        <v>4166163.75</v>
      </c>
      <c r="T1289" s="13">
        <f t="shared" si="4"/>
        <v>3601313.75</v>
      </c>
      <c r="U1289" s="13">
        <f t="shared" si="5"/>
        <v>564850</v>
      </c>
      <c r="V1289" s="3" t="str">
        <f>VLOOKUP(N1289,products!A:B,2,0)</f>
        <v>Meat</v>
      </c>
      <c r="W1289" s="3" t="s">
        <v>23</v>
      </c>
      <c r="X1289" s="3" t="s">
        <v>68</v>
      </c>
      <c r="Y1289" s="14">
        <f t="shared" si="10"/>
        <v>0.1355803646</v>
      </c>
      <c r="Z1289" s="3">
        <f t="shared" si="7"/>
        <v>5</v>
      </c>
      <c r="AA1289" s="15">
        <f t="shared" si="8"/>
        <v>3</v>
      </c>
    </row>
    <row r="1290" ht="15.75" customHeight="1">
      <c r="A1290" s="3">
        <v>9.71578347E8</v>
      </c>
      <c r="B1290" s="3" t="s">
        <v>1784</v>
      </c>
      <c r="C1290" s="3">
        <f>IFERROR(__xludf.DUMMYFUNCTION("split(B1290,""/"")"),4.0)</f>
        <v>4</v>
      </c>
      <c r="D1290" s="10">
        <f>IFERROR(__xludf.DUMMYFUNCTION("""COMPUTED_VALUE"""),30.0)</f>
        <v>30</v>
      </c>
      <c r="E1290" s="11">
        <f>IFERROR(__xludf.DUMMYFUNCTION("""COMPUTED_VALUE"""),2014.0)</f>
        <v>2014</v>
      </c>
      <c r="F1290" s="12">
        <f t="shared" si="1"/>
        <v>41759</v>
      </c>
      <c r="G1290" s="3" t="s">
        <v>1853</v>
      </c>
      <c r="H1290" s="3">
        <f>IFERROR(__xludf.DUMMYFUNCTION("split(G1290,""/"")"),6.0)</f>
        <v>6</v>
      </c>
      <c r="I1290" s="3">
        <f>IFERROR(__xludf.DUMMYFUNCTION("""COMPUTED_VALUE"""),16.0)</f>
        <v>16</v>
      </c>
      <c r="J1290" s="3">
        <f>IFERROR(__xludf.DUMMYFUNCTION("""COMPUTED_VALUE"""),2014.0)</f>
        <v>2014</v>
      </c>
      <c r="K1290" s="12">
        <f t="shared" si="2"/>
        <v>41806</v>
      </c>
      <c r="L1290" s="3" t="s">
        <v>825</v>
      </c>
      <c r="M1290" s="3" t="s">
        <v>482</v>
      </c>
      <c r="N1290" s="3">
        <v>7940.0</v>
      </c>
      <c r="O1290" s="3" t="s">
        <v>815</v>
      </c>
      <c r="P1290" s="10">
        <v>478.0</v>
      </c>
      <c r="Q1290" s="13">
        <v>668.27</v>
      </c>
      <c r="R1290" s="13">
        <v>502.54</v>
      </c>
      <c r="S1290" s="13">
        <f t="shared" si="3"/>
        <v>319433.06</v>
      </c>
      <c r="T1290" s="13">
        <f t="shared" si="4"/>
        <v>240214.12</v>
      </c>
      <c r="U1290" s="13">
        <f t="shared" si="5"/>
        <v>79218.94</v>
      </c>
      <c r="V1290" s="3" t="str">
        <f>VLOOKUP(N1290,products!A:B,2,0)</f>
        <v>Household</v>
      </c>
      <c r="W1290" s="3" t="s">
        <v>28</v>
      </c>
      <c r="X1290" s="3" t="s">
        <v>79</v>
      </c>
      <c r="Y1290" s="14">
        <f t="shared" si="10"/>
        <v>0.2479985635</v>
      </c>
      <c r="Z1290" s="3">
        <f t="shared" si="7"/>
        <v>47</v>
      </c>
      <c r="AA1290" s="15">
        <f t="shared" si="8"/>
        <v>4</v>
      </c>
    </row>
    <row r="1291" ht="15.75" customHeight="1">
      <c r="A1291" s="3">
        <v>9.71899354E8</v>
      </c>
      <c r="B1291" s="9">
        <v>41280.0</v>
      </c>
      <c r="C1291" s="3">
        <f>IFERROR(__xludf.DUMMYFUNCTION("split(B1291,""/"")"),6.0)</f>
        <v>6</v>
      </c>
      <c r="D1291" s="10">
        <f>IFERROR(__xludf.DUMMYFUNCTION("""COMPUTED_VALUE"""),1.0)</f>
        <v>1</v>
      </c>
      <c r="E1291" s="11">
        <f>IFERROR(__xludf.DUMMYFUNCTION("""COMPUTED_VALUE"""),2013.0)</f>
        <v>2013</v>
      </c>
      <c r="F1291" s="12">
        <f t="shared" si="1"/>
        <v>41426</v>
      </c>
      <c r="G1291" s="9">
        <v>41280.0</v>
      </c>
      <c r="H1291" s="3">
        <f>IFERROR(__xludf.DUMMYFUNCTION("split(G1291,""/"")"),6.0)</f>
        <v>6</v>
      </c>
      <c r="I1291" s="3">
        <f>IFERROR(__xludf.DUMMYFUNCTION("""COMPUTED_VALUE"""),1.0)</f>
        <v>1</v>
      </c>
      <c r="J1291" s="3">
        <f>IFERROR(__xludf.DUMMYFUNCTION("""COMPUTED_VALUE"""),2013.0)</f>
        <v>2013</v>
      </c>
      <c r="K1291" s="12">
        <f t="shared" si="2"/>
        <v>41426</v>
      </c>
      <c r="L1291" s="3" t="s">
        <v>817</v>
      </c>
      <c r="M1291" s="3" t="s">
        <v>686</v>
      </c>
      <c r="N1291" s="3">
        <v>8969.0</v>
      </c>
      <c r="O1291" s="3" t="s">
        <v>815</v>
      </c>
      <c r="P1291" s="10">
        <v>5471.0</v>
      </c>
      <c r="Q1291" s="13">
        <v>152.58</v>
      </c>
      <c r="R1291" s="13">
        <v>97.44</v>
      </c>
      <c r="S1291" s="13">
        <f t="shared" si="3"/>
        <v>834765.18</v>
      </c>
      <c r="T1291" s="13">
        <f t="shared" si="4"/>
        <v>533094.24</v>
      </c>
      <c r="U1291" s="13">
        <f t="shared" si="5"/>
        <v>301670.94</v>
      </c>
      <c r="V1291" s="3" t="str">
        <f>VLOOKUP(N1291,products!A:B,2,0)</f>
        <v>Snacks</v>
      </c>
      <c r="W1291" s="3" t="s">
        <v>28</v>
      </c>
      <c r="X1291" s="3" t="s">
        <v>29</v>
      </c>
      <c r="Y1291" s="14">
        <f t="shared" si="10"/>
        <v>0.3613841919</v>
      </c>
      <c r="Z1291" s="3">
        <f t="shared" si="7"/>
        <v>0</v>
      </c>
      <c r="AA1291" s="15">
        <f t="shared" si="8"/>
        <v>7</v>
      </c>
    </row>
    <row r="1292" ht="15.75" customHeight="1">
      <c r="A1292" s="3">
        <v>9.72419059E8</v>
      </c>
      <c r="B1292" s="3" t="s">
        <v>1473</v>
      </c>
      <c r="C1292" s="3">
        <f>IFERROR(__xludf.DUMMYFUNCTION("split(B1292,""/"")"),7.0)</f>
        <v>7</v>
      </c>
      <c r="D1292" s="10">
        <f>IFERROR(__xludf.DUMMYFUNCTION("""COMPUTED_VALUE"""),22.0)</f>
        <v>22</v>
      </c>
      <c r="E1292" s="11">
        <f>IFERROR(__xludf.DUMMYFUNCTION("""COMPUTED_VALUE"""),2012.0)</f>
        <v>2012</v>
      </c>
      <c r="F1292" s="12">
        <f t="shared" si="1"/>
        <v>41112</v>
      </c>
      <c r="G1292" s="3" t="s">
        <v>1854</v>
      </c>
      <c r="H1292" s="3">
        <f>IFERROR(__xludf.DUMMYFUNCTION("split(G1292,""/"")"),8.0)</f>
        <v>8</v>
      </c>
      <c r="I1292" s="3">
        <f>IFERROR(__xludf.DUMMYFUNCTION("""COMPUTED_VALUE"""),17.0)</f>
        <v>17</v>
      </c>
      <c r="J1292" s="3">
        <f>IFERROR(__xludf.DUMMYFUNCTION("""COMPUTED_VALUE"""),2012.0)</f>
        <v>2012</v>
      </c>
      <c r="K1292" s="12">
        <f t="shared" si="2"/>
        <v>41138</v>
      </c>
      <c r="L1292" s="3" t="s">
        <v>827</v>
      </c>
      <c r="M1292" s="3" t="s">
        <v>653</v>
      </c>
      <c r="N1292" s="3">
        <v>2103.0</v>
      </c>
      <c r="O1292" s="3" t="s">
        <v>815</v>
      </c>
      <c r="P1292" s="10">
        <v>9264.0</v>
      </c>
      <c r="Q1292" s="13">
        <v>205.7</v>
      </c>
      <c r="R1292" s="13">
        <v>117.11</v>
      </c>
      <c r="S1292" s="13">
        <f t="shared" si="3"/>
        <v>1905604.8</v>
      </c>
      <c r="T1292" s="13">
        <f t="shared" si="4"/>
        <v>1084907.04</v>
      </c>
      <c r="U1292" s="13">
        <f t="shared" si="5"/>
        <v>820697.76</v>
      </c>
      <c r="V1292" s="3" t="str">
        <f>VLOOKUP(N1292,products!A:B,2,0)</f>
        <v>Cereal</v>
      </c>
      <c r="W1292" s="3" t="s">
        <v>28</v>
      </c>
      <c r="X1292" s="3" t="s">
        <v>33</v>
      </c>
      <c r="Y1292" s="14">
        <f t="shared" si="10"/>
        <v>0.4306757414</v>
      </c>
      <c r="Z1292" s="3">
        <f t="shared" si="7"/>
        <v>26</v>
      </c>
      <c r="AA1292" s="15">
        <f t="shared" si="8"/>
        <v>1</v>
      </c>
    </row>
    <row r="1293" ht="15.75" customHeight="1">
      <c r="A1293" s="3">
        <v>9.72452533E8</v>
      </c>
      <c r="B1293" s="3" t="s">
        <v>1855</v>
      </c>
      <c r="C1293" s="3">
        <f>IFERROR(__xludf.DUMMYFUNCTION("split(B1293,""/"")"),8.0)</f>
        <v>8</v>
      </c>
      <c r="D1293" s="10">
        <f>IFERROR(__xludf.DUMMYFUNCTION("""COMPUTED_VALUE"""),22.0)</f>
        <v>22</v>
      </c>
      <c r="E1293" s="11">
        <f>IFERROR(__xludf.DUMMYFUNCTION("""COMPUTED_VALUE"""),2015.0)</f>
        <v>2015</v>
      </c>
      <c r="F1293" s="12">
        <f t="shared" si="1"/>
        <v>42238</v>
      </c>
      <c r="G1293" s="9">
        <v>42104.0</v>
      </c>
      <c r="H1293" s="3">
        <f>IFERROR(__xludf.DUMMYFUNCTION("split(G1293,""/"")"),10.0)</f>
        <v>10</v>
      </c>
      <c r="I1293" s="3">
        <f>IFERROR(__xludf.DUMMYFUNCTION("""COMPUTED_VALUE"""),4.0)</f>
        <v>4</v>
      </c>
      <c r="J1293" s="3">
        <f>IFERROR(__xludf.DUMMYFUNCTION("""COMPUTED_VALUE"""),2015.0)</f>
        <v>2015</v>
      </c>
      <c r="K1293" s="12">
        <f t="shared" si="2"/>
        <v>42281</v>
      </c>
      <c r="L1293" s="3" t="s">
        <v>825</v>
      </c>
      <c r="M1293" s="3" t="s">
        <v>267</v>
      </c>
      <c r="N1293" s="3">
        <v>5988.0</v>
      </c>
      <c r="O1293" s="3" t="s">
        <v>815</v>
      </c>
      <c r="P1293" s="10">
        <v>9169.0</v>
      </c>
      <c r="Q1293" s="13">
        <v>154.06</v>
      </c>
      <c r="R1293" s="13">
        <v>90.93</v>
      </c>
      <c r="S1293" s="13">
        <f t="shared" si="3"/>
        <v>1412576.14</v>
      </c>
      <c r="T1293" s="13">
        <f t="shared" si="4"/>
        <v>833737.17</v>
      </c>
      <c r="U1293" s="13">
        <f t="shared" si="5"/>
        <v>578838.97</v>
      </c>
      <c r="V1293" s="3" t="str">
        <f>VLOOKUP(N1293,products!A:B,2,0)</f>
        <v>Vegetables</v>
      </c>
      <c r="W1293" s="3" t="s">
        <v>28</v>
      </c>
      <c r="X1293" s="3" t="s">
        <v>29</v>
      </c>
      <c r="Y1293" s="14">
        <f t="shared" si="10"/>
        <v>0.4097754122</v>
      </c>
      <c r="Z1293" s="3">
        <f t="shared" si="7"/>
        <v>43</v>
      </c>
      <c r="AA1293" s="15">
        <f t="shared" si="8"/>
        <v>7</v>
      </c>
    </row>
    <row r="1294" ht="15.75" customHeight="1">
      <c r="A1294" s="3">
        <v>9.72981679E8</v>
      </c>
      <c r="B1294" s="3" t="s">
        <v>1823</v>
      </c>
      <c r="C1294" s="3">
        <f>IFERROR(__xludf.DUMMYFUNCTION("split(B1294,""/"")"),3.0)</f>
        <v>3</v>
      </c>
      <c r="D1294" s="10">
        <f>IFERROR(__xludf.DUMMYFUNCTION("""COMPUTED_VALUE"""),15.0)</f>
        <v>15</v>
      </c>
      <c r="E1294" s="11">
        <f>IFERROR(__xludf.DUMMYFUNCTION("""COMPUTED_VALUE"""),2017.0)</f>
        <v>2017</v>
      </c>
      <c r="F1294" s="12">
        <f t="shared" si="1"/>
        <v>42809</v>
      </c>
      <c r="G1294" s="9">
        <v>42982.0</v>
      </c>
      <c r="H1294" s="3">
        <f>IFERROR(__xludf.DUMMYFUNCTION("split(G1294,""/"")"),4.0)</f>
        <v>4</v>
      </c>
      <c r="I1294" s="3">
        <f>IFERROR(__xludf.DUMMYFUNCTION("""COMPUTED_VALUE"""),9.0)</f>
        <v>9</v>
      </c>
      <c r="J1294" s="3">
        <f>IFERROR(__xludf.DUMMYFUNCTION("""COMPUTED_VALUE"""),2017.0)</f>
        <v>2017</v>
      </c>
      <c r="K1294" s="12">
        <f t="shared" si="2"/>
        <v>42834</v>
      </c>
      <c r="L1294" s="3" t="s">
        <v>817</v>
      </c>
      <c r="M1294" s="3" t="s">
        <v>413</v>
      </c>
      <c r="N1294" s="3">
        <v>8969.0</v>
      </c>
      <c r="O1294" s="3" t="s">
        <v>815</v>
      </c>
      <c r="P1294" s="10">
        <v>5755.0</v>
      </c>
      <c r="Q1294" s="13">
        <v>152.58</v>
      </c>
      <c r="R1294" s="13">
        <v>97.44</v>
      </c>
      <c r="S1294" s="13">
        <f t="shared" si="3"/>
        <v>878097.9</v>
      </c>
      <c r="T1294" s="13">
        <f t="shared" si="4"/>
        <v>560767.2</v>
      </c>
      <c r="U1294" s="13">
        <f t="shared" si="5"/>
        <v>317330.7</v>
      </c>
      <c r="V1294" s="3" t="str">
        <f>VLOOKUP(N1294,products!A:B,2,0)</f>
        <v>Snacks</v>
      </c>
      <c r="W1294" s="3" t="s">
        <v>28</v>
      </c>
      <c r="X1294" s="3" t="s">
        <v>29</v>
      </c>
      <c r="Y1294" s="14">
        <f t="shared" si="10"/>
        <v>0.3613841919</v>
      </c>
      <c r="Z1294" s="3">
        <f t="shared" si="7"/>
        <v>25</v>
      </c>
      <c r="AA1294" s="15">
        <f t="shared" si="8"/>
        <v>4</v>
      </c>
    </row>
    <row r="1295" ht="15.75" customHeight="1">
      <c r="A1295" s="3">
        <v>9.73268353E8</v>
      </c>
      <c r="B1295" s="9">
        <v>42496.0</v>
      </c>
      <c r="C1295" s="3">
        <f>IFERROR(__xludf.DUMMYFUNCTION("split(B1295,""/"")"),6.0)</f>
        <v>6</v>
      </c>
      <c r="D1295" s="10">
        <f>IFERROR(__xludf.DUMMYFUNCTION("""COMPUTED_VALUE"""),5.0)</f>
        <v>5</v>
      </c>
      <c r="E1295" s="11">
        <f>IFERROR(__xludf.DUMMYFUNCTION("""COMPUTED_VALUE"""),2016.0)</f>
        <v>2016</v>
      </c>
      <c r="F1295" s="12">
        <f t="shared" si="1"/>
        <v>42526</v>
      </c>
      <c r="G1295" s="3" t="s">
        <v>929</v>
      </c>
      <c r="H1295" s="3">
        <f>IFERROR(__xludf.DUMMYFUNCTION("split(G1295,""/"")"),6.0)</f>
        <v>6</v>
      </c>
      <c r="I1295" s="3">
        <f>IFERROR(__xludf.DUMMYFUNCTION("""COMPUTED_VALUE"""),26.0)</f>
        <v>26</v>
      </c>
      <c r="J1295" s="3">
        <f>IFERROR(__xludf.DUMMYFUNCTION("""COMPUTED_VALUE"""),2016.0)</f>
        <v>2016</v>
      </c>
      <c r="K1295" s="12">
        <f t="shared" si="2"/>
        <v>42547</v>
      </c>
      <c r="L1295" s="3" t="s">
        <v>827</v>
      </c>
      <c r="M1295" s="3" t="s">
        <v>221</v>
      </c>
      <c r="N1295" s="3">
        <v>1270.0</v>
      </c>
      <c r="O1295" s="3" t="s">
        <v>815</v>
      </c>
      <c r="P1295" s="10">
        <v>589.0</v>
      </c>
      <c r="Q1295" s="13">
        <v>47.45</v>
      </c>
      <c r="R1295" s="13">
        <v>31.79</v>
      </c>
      <c r="S1295" s="13">
        <f t="shared" si="3"/>
        <v>27948.05</v>
      </c>
      <c r="T1295" s="13">
        <f t="shared" si="4"/>
        <v>18724.31</v>
      </c>
      <c r="U1295" s="13">
        <f t="shared" si="5"/>
        <v>9223.74</v>
      </c>
      <c r="V1295" s="3" t="str">
        <f>VLOOKUP(N1295,products!A:B,2,0)</f>
        <v>Beverages</v>
      </c>
      <c r="W1295" s="3" t="s">
        <v>28</v>
      </c>
      <c r="X1295" s="3" t="s">
        <v>29</v>
      </c>
      <c r="Y1295" s="14">
        <f t="shared" si="10"/>
        <v>0.3300316122</v>
      </c>
      <c r="Z1295" s="3">
        <f t="shared" si="7"/>
        <v>21</v>
      </c>
      <c r="AA1295" s="15">
        <f t="shared" si="8"/>
        <v>1</v>
      </c>
    </row>
    <row r="1296" ht="15.75" customHeight="1">
      <c r="A1296" s="3">
        <v>9.7414726E8</v>
      </c>
      <c r="B1296" s="3" t="s">
        <v>1589</v>
      </c>
      <c r="C1296" s="3">
        <f>IFERROR(__xludf.DUMMYFUNCTION("split(B1296,""/"")"),5.0)</f>
        <v>5</v>
      </c>
      <c r="D1296" s="10">
        <f>IFERROR(__xludf.DUMMYFUNCTION("""COMPUTED_VALUE"""),18.0)</f>
        <v>18</v>
      </c>
      <c r="E1296" s="11">
        <f>IFERROR(__xludf.DUMMYFUNCTION("""COMPUTED_VALUE"""),2011.0)</f>
        <v>2011</v>
      </c>
      <c r="F1296" s="12">
        <f t="shared" si="1"/>
        <v>40681</v>
      </c>
      <c r="G1296" s="9">
        <v>40761.0</v>
      </c>
      <c r="H1296" s="3">
        <f>IFERROR(__xludf.DUMMYFUNCTION("split(G1296,""/"")"),6.0)</f>
        <v>6</v>
      </c>
      <c r="I1296" s="3">
        <f>IFERROR(__xludf.DUMMYFUNCTION("""COMPUTED_VALUE"""),8.0)</f>
        <v>8</v>
      </c>
      <c r="J1296" s="3">
        <f>IFERROR(__xludf.DUMMYFUNCTION("""COMPUTED_VALUE"""),2011.0)</f>
        <v>2011</v>
      </c>
      <c r="K1296" s="12">
        <f t="shared" si="2"/>
        <v>40702</v>
      </c>
      <c r="L1296" s="3" t="s">
        <v>825</v>
      </c>
      <c r="M1296" s="3" t="s">
        <v>46</v>
      </c>
      <c r="N1296" s="3">
        <v>2455.0</v>
      </c>
      <c r="O1296" s="3" t="s">
        <v>818</v>
      </c>
      <c r="P1296" s="10">
        <v>677.0</v>
      </c>
      <c r="Q1296" s="13">
        <v>109.28</v>
      </c>
      <c r="R1296" s="13">
        <v>35.84</v>
      </c>
      <c r="S1296" s="13">
        <f t="shared" si="3"/>
        <v>73982.56</v>
      </c>
      <c r="T1296" s="13">
        <f t="shared" si="4"/>
        <v>24263.68</v>
      </c>
      <c r="U1296" s="13">
        <f t="shared" si="5"/>
        <v>49718.88</v>
      </c>
      <c r="V1296" s="3" t="str">
        <f>VLOOKUP(N1296,products!A:B,2,0)</f>
        <v>Clothes</v>
      </c>
      <c r="W1296" s="3" t="s">
        <v>28</v>
      </c>
      <c r="X1296" s="3" t="s">
        <v>33</v>
      </c>
      <c r="Y1296" s="14">
        <f t="shared" si="10"/>
        <v>0.6720351391</v>
      </c>
      <c r="Z1296" s="3">
        <f t="shared" si="7"/>
        <v>21</v>
      </c>
      <c r="AA1296" s="15">
        <f t="shared" si="8"/>
        <v>4</v>
      </c>
    </row>
    <row r="1297" ht="15.75" customHeight="1">
      <c r="A1297" s="3">
        <v>9.7442063E8</v>
      </c>
      <c r="B1297" s="3" t="s">
        <v>885</v>
      </c>
      <c r="C1297" s="3">
        <f>IFERROR(__xludf.DUMMYFUNCTION("split(B1297,""/"")"),4.0)</f>
        <v>4</v>
      </c>
      <c r="D1297" s="10">
        <f>IFERROR(__xludf.DUMMYFUNCTION("""COMPUTED_VALUE"""),26.0)</f>
        <v>26</v>
      </c>
      <c r="E1297" s="11">
        <f>IFERROR(__xludf.DUMMYFUNCTION("""COMPUTED_VALUE"""),2011.0)</f>
        <v>2011</v>
      </c>
      <c r="F1297" s="12">
        <f t="shared" si="1"/>
        <v>40659</v>
      </c>
      <c r="G1297" s="3" t="s">
        <v>1856</v>
      </c>
      <c r="H1297" s="3">
        <f>IFERROR(__xludf.DUMMYFUNCTION("split(G1297,""/"")"),6.0)</f>
        <v>6</v>
      </c>
      <c r="I1297" s="3">
        <f>IFERROR(__xludf.DUMMYFUNCTION("""COMPUTED_VALUE"""),15.0)</f>
        <v>15</v>
      </c>
      <c r="J1297" s="3">
        <f>IFERROR(__xludf.DUMMYFUNCTION("""COMPUTED_VALUE"""),2011.0)</f>
        <v>2011</v>
      </c>
      <c r="K1297" s="12">
        <f t="shared" si="2"/>
        <v>40709</v>
      </c>
      <c r="L1297" s="3" t="s">
        <v>827</v>
      </c>
      <c r="M1297" s="3" t="s">
        <v>428</v>
      </c>
      <c r="N1297" s="3">
        <v>4594.0</v>
      </c>
      <c r="O1297" s="3" t="s">
        <v>818</v>
      </c>
      <c r="P1297" s="10">
        <v>1573.0</v>
      </c>
      <c r="Q1297" s="13">
        <v>9.33</v>
      </c>
      <c r="R1297" s="13">
        <v>6.92</v>
      </c>
      <c r="S1297" s="13">
        <f t="shared" si="3"/>
        <v>14676.09</v>
      </c>
      <c r="T1297" s="13">
        <f t="shared" si="4"/>
        <v>10885.16</v>
      </c>
      <c r="U1297" s="13">
        <f t="shared" si="5"/>
        <v>3790.93</v>
      </c>
      <c r="V1297" s="3" t="str">
        <f>VLOOKUP(N1297,products!A:B,2,0)</f>
        <v>Fruits</v>
      </c>
      <c r="W1297" s="3" t="s">
        <v>28</v>
      </c>
      <c r="X1297" s="3" t="s">
        <v>79</v>
      </c>
      <c r="Y1297" s="14">
        <f t="shared" si="10"/>
        <v>0.258306538</v>
      </c>
      <c r="Z1297" s="3">
        <f t="shared" si="7"/>
        <v>50</v>
      </c>
      <c r="AA1297" s="15">
        <f t="shared" si="8"/>
        <v>3</v>
      </c>
    </row>
    <row r="1298" ht="15.75" customHeight="1">
      <c r="A1298" s="3">
        <v>9.75080668E8</v>
      </c>
      <c r="B1298" s="3" t="s">
        <v>1623</v>
      </c>
      <c r="C1298" s="3">
        <f>IFERROR(__xludf.DUMMYFUNCTION("split(B1298,""/"")"),7.0)</f>
        <v>7</v>
      </c>
      <c r="D1298" s="10">
        <f>IFERROR(__xludf.DUMMYFUNCTION("""COMPUTED_VALUE"""),23.0)</f>
        <v>23</v>
      </c>
      <c r="E1298" s="11">
        <f>IFERROR(__xludf.DUMMYFUNCTION("""COMPUTED_VALUE"""),2017.0)</f>
        <v>2017</v>
      </c>
      <c r="F1298" s="12">
        <f t="shared" si="1"/>
        <v>42939</v>
      </c>
      <c r="G1298" s="3" t="s">
        <v>996</v>
      </c>
      <c r="H1298" s="3">
        <f>IFERROR(__xludf.DUMMYFUNCTION("split(G1298,""/"")"),8.0)</f>
        <v>8</v>
      </c>
      <c r="I1298" s="3">
        <f>IFERROR(__xludf.DUMMYFUNCTION("""COMPUTED_VALUE"""),20.0)</f>
        <v>20</v>
      </c>
      <c r="J1298" s="3">
        <f>IFERROR(__xludf.DUMMYFUNCTION("""COMPUTED_VALUE"""),2017.0)</f>
        <v>2017</v>
      </c>
      <c r="K1298" s="12">
        <f t="shared" si="2"/>
        <v>42967</v>
      </c>
      <c r="L1298" s="3" t="s">
        <v>817</v>
      </c>
      <c r="M1298" s="3" t="s">
        <v>821</v>
      </c>
      <c r="N1298" s="3">
        <v>5988.0</v>
      </c>
      <c r="O1298" s="3" t="s">
        <v>818</v>
      </c>
      <c r="P1298" s="10">
        <v>6893.0</v>
      </c>
      <c r="Q1298" s="13">
        <v>154.06</v>
      </c>
      <c r="R1298" s="13">
        <v>90.93</v>
      </c>
      <c r="S1298" s="13">
        <f t="shared" si="3"/>
        <v>1061935.58</v>
      </c>
      <c r="T1298" s="13">
        <f t="shared" si="4"/>
        <v>626780.49</v>
      </c>
      <c r="U1298" s="13">
        <f t="shared" si="5"/>
        <v>435155.09</v>
      </c>
      <c r="V1298" s="3" t="str">
        <f>VLOOKUP(N1298,products!A:B,2,0)</f>
        <v>Vegetables</v>
      </c>
      <c r="W1298" s="3" t="s">
        <v>821</v>
      </c>
      <c r="X1298" s="3" t="s">
        <v>821</v>
      </c>
      <c r="Y1298" s="14">
        <f t="shared" si="10"/>
        <v>0.4097754122</v>
      </c>
      <c r="Z1298" s="3">
        <f t="shared" si="7"/>
        <v>28</v>
      </c>
      <c r="AA1298" s="15">
        <f t="shared" si="8"/>
        <v>1</v>
      </c>
    </row>
    <row r="1299" ht="15.75" customHeight="1">
      <c r="A1299" s="3">
        <v>9.75823962E8</v>
      </c>
      <c r="B1299" s="9">
        <v>41946.0</v>
      </c>
      <c r="C1299" s="3">
        <f>IFERROR(__xludf.DUMMYFUNCTION("split(B1299,""/"")"),3.0)</f>
        <v>3</v>
      </c>
      <c r="D1299" s="10">
        <f>IFERROR(__xludf.DUMMYFUNCTION("""COMPUTED_VALUE"""),11.0)</f>
        <v>11</v>
      </c>
      <c r="E1299" s="11">
        <f>IFERROR(__xludf.DUMMYFUNCTION("""COMPUTED_VALUE"""),2014.0)</f>
        <v>2014</v>
      </c>
      <c r="F1299" s="12">
        <f t="shared" si="1"/>
        <v>41709</v>
      </c>
      <c r="G1299" s="9">
        <v>41855.0</v>
      </c>
      <c r="H1299" s="3">
        <f>IFERROR(__xludf.DUMMYFUNCTION("split(G1299,""/"")"),4.0)</f>
        <v>4</v>
      </c>
      <c r="I1299" s="3">
        <f>IFERROR(__xludf.DUMMYFUNCTION("""COMPUTED_VALUE"""),8.0)</f>
        <v>8</v>
      </c>
      <c r="J1299" s="3">
        <f>IFERROR(__xludf.DUMMYFUNCTION("""COMPUTED_VALUE"""),2014.0)</f>
        <v>2014</v>
      </c>
      <c r="K1299" s="12">
        <f t="shared" si="2"/>
        <v>41737</v>
      </c>
      <c r="L1299" s="3" t="s">
        <v>825</v>
      </c>
      <c r="M1299" s="3" t="s">
        <v>300</v>
      </c>
      <c r="N1299" s="3">
        <v>8681.0</v>
      </c>
      <c r="O1299" s="3" t="s">
        <v>815</v>
      </c>
      <c r="P1299" s="10">
        <v>6850.0</v>
      </c>
      <c r="Q1299" s="13">
        <v>651.21</v>
      </c>
      <c r="R1299" s="13">
        <v>524.96</v>
      </c>
      <c r="S1299" s="13">
        <f t="shared" si="3"/>
        <v>4460788.5</v>
      </c>
      <c r="T1299" s="13">
        <f t="shared" si="4"/>
        <v>3595976</v>
      </c>
      <c r="U1299" s="13">
        <f t="shared" si="5"/>
        <v>864812.5</v>
      </c>
      <c r="V1299" s="3" t="str">
        <f>VLOOKUP(N1299,products!A:B,2,0)</f>
        <v>Office Supplies</v>
      </c>
      <c r="W1299" s="3" t="s">
        <v>28</v>
      </c>
      <c r="X1299" s="3" t="s">
        <v>33</v>
      </c>
      <c r="Y1299" s="14">
        <f t="shared" si="10"/>
        <v>0.193869873</v>
      </c>
      <c r="Z1299" s="3">
        <f t="shared" si="7"/>
        <v>28</v>
      </c>
      <c r="AA1299" s="15">
        <f t="shared" si="8"/>
        <v>3</v>
      </c>
    </row>
    <row r="1300" ht="15.75" customHeight="1">
      <c r="A1300" s="3">
        <v>9.76323497E8</v>
      </c>
      <c r="B1300" s="9">
        <v>42888.0</v>
      </c>
      <c r="C1300" s="3">
        <f>IFERROR(__xludf.DUMMYFUNCTION("split(B1300,""/"")"),2.0)</f>
        <v>2</v>
      </c>
      <c r="D1300" s="10">
        <f>IFERROR(__xludf.DUMMYFUNCTION("""COMPUTED_VALUE"""),6.0)</f>
        <v>6</v>
      </c>
      <c r="E1300" s="11">
        <f>IFERROR(__xludf.DUMMYFUNCTION("""COMPUTED_VALUE"""),2017.0)</f>
        <v>2017</v>
      </c>
      <c r="F1300" s="12">
        <f t="shared" si="1"/>
        <v>42772</v>
      </c>
      <c r="G1300" s="9">
        <v>43010.0</v>
      </c>
      <c r="H1300" s="3">
        <f>IFERROR(__xludf.DUMMYFUNCTION("split(G1300,""/"")"),2.0)</f>
        <v>2</v>
      </c>
      <c r="I1300" s="3">
        <f>IFERROR(__xludf.DUMMYFUNCTION("""COMPUTED_VALUE"""),10.0)</f>
        <v>10</v>
      </c>
      <c r="J1300" s="3">
        <f>IFERROR(__xludf.DUMMYFUNCTION("""COMPUTED_VALUE"""),2017.0)</f>
        <v>2017</v>
      </c>
      <c r="K1300" s="12">
        <f t="shared" si="2"/>
        <v>42776</v>
      </c>
      <c r="L1300" s="3" t="s">
        <v>814</v>
      </c>
      <c r="M1300" s="3" t="s">
        <v>206</v>
      </c>
      <c r="N1300" s="3">
        <v>1270.0</v>
      </c>
      <c r="O1300" s="3" t="s">
        <v>815</v>
      </c>
      <c r="P1300" s="10">
        <v>4674.0</v>
      </c>
      <c r="Q1300" s="13">
        <v>47.45</v>
      </c>
      <c r="R1300" s="13">
        <v>31.79</v>
      </c>
      <c r="S1300" s="13">
        <f t="shared" si="3"/>
        <v>221781.3</v>
      </c>
      <c r="T1300" s="13">
        <f t="shared" si="4"/>
        <v>148586.46</v>
      </c>
      <c r="U1300" s="13">
        <f t="shared" si="5"/>
        <v>73194.84</v>
      </c>
      <c r="V1300" s="3" t="str">
        <f>VLOOKUP(N1300,products!A:B,2,0)</f>
        <v>Beverages</v>
      </c>
      <c r="W1300" s="3" t="s">
        <v>28</v>
      </c>
      <c r="X1300" s="3" t="s">
        <v>33</v>
      </c>
      <c r="Y1300" s="14">
        <f t="shared" si="10"/>
        <v>0.3300316122</v>
      </c>
      <c r="Z1300" s="3">
        <f t="shared" si="7"/>
        <v>4</v>
      </c>
      <c r="AA1300" s="15">
        <f t="shared" si="8"/>
        <v>2</v>
      </c>
    </row>
    <row r="1301" ht="15.75" customHeight="1">
      <c r="A1301" s="3">
        <v>9.77324712E8</v>
      </c>
      <c r="B1301" s="9">
        <v>40545.0</v>
      </c>
      <c r="C1301" s="3">
        <f>IFERROR(__xludf.DUMMYFUNCTION("split(B1301,""/"")"),2.0)</f>
        <v>2</v>
      </c>
      <c r="D1301" s="10">
        <f>IFERROR(__xludf.DUMMYFUNCTION("""COMPUTED_VALUE"""),1.0)</f>
        <v>1</v>
      </c>
      <c r="E1301" s="11">
        <f>IFERROR(__xludf.DUMMYFUNCTION("""COMPUTED_VALUE"""),2011.0)</f>
        <v>2011</v>
      </c>
      <c r="F1301" s="12">
        <f t="shared" si="1"/>
        <v>40575</v>
      </c>
      <c r="G1301" s="9">
        <v>40819.0</v>
      </c>
      <c r="H1301" s="3">
        <f>IFERROR(__xludf.DUMMYFUNCTION("split(G1301,""/"")"),3.0)</f>
        <v>3</v>
      </c>
      <c r="I1301" s="3">
        <f>IFERROR(__xludf.DUMMYFUNCTION("""COMPUTED_VALUE"""),10.0)</f>
        <v>10</v>
      </c>
      <c r="J1301" s="3">
        <f>IFERROR(__xludf.DUMMYFUNCTION("""COMPUTED_VALUE"""),2011.0)</f>
        <v>2011</v>
      </c>
      <c r="K1301" s="12">
        <f t="shared" si="2"/>
        <v>40612</v>
      </c>
      <c r="L1301" s="3" t="s">
        <v>827</v>
      </c>
      <c r="M1301" s="3" t="s">
        <v>434</v>
      </c>
      <c r="N1301" s="3">
        <v>8969.0</v>
      </c>
      <c r="O1301" s="3" t="s">
        <v>815</v>
      </c>
      <c r="P1301" s="10">
        <v>955.0</v>
      </c>
      <c r="Q1301" s="13">
        <v>152.58</v>
      </c>
      <c r="R1301" s="13">
        <v>97.44</v>
      </c>
      <c r="S1301" s="13">
        <f t="shared" si="3"/>
        <v>145713.9</v>
      </c>
      <c r="T1301" s="13">
        <f t="shared" si="4"/>
        <v>93055.2</v>
      </c>
      <c r="U1301" s="13">
        <f t="shared" si="5"/>
        <v>52658.7</v>
      </c>
      <c r="V1301" s="3" t="str">
        <f>VLOOKUP(N1301,products!A:B,2,0)</f>
        <v>Snacks</v>
      </c>
      <c r="W1301" s="3" t="s">
        <v>28</v>
      </c>
      <c r="X1301" s="3" t="s">
        <v>79</v>
      </c>
      <c r="Y1301" s="14">
        <f t="shared" si="10"/>
        <v>0.3613841919</v>
      </c>
      <c r="Z1301" s="3">
        <f t="shared" si="7"/>
        <v>37</v>
      </c>
      <c r="AA1301" s="15">
        <f t="shared" si="8"/>
        <v>3</v>
      </c>
    </row>
    <row r="1302" ht="15.75" customHeight="1">
      <c r="A1302" s="3">
        <v>9.79073941E8</v>
      </c>
      <c r="B1302" s="3" t="s">
        <v>1111</v>
      </c>
      <c r="C1302" s="3">
        <f>IFERROR(__xludf.DUMMYFUNCTION("split(B1302,""/"")"),6.0)</f>
        <v>6</v>
      </c>
      <c r="D1302" s="10">
        <f>IFERROR(__xludf.DUMMYFUNCTION("""COMPUTED_VALUE"""),26.0)</f>
        <v>26</v>
      </c>
      <c r="E1302" s="11">
        <f>IFERROR(__xludf.DUMMYFUNCTION("""COMPUTED_VALUE"""),2010.0)</f>
        <v>2010</v>
      </c>
      <c r="F1302" s="12">
        <f t="shared" si="1"/>
        <v>40355</v>
      </c>
      <c r="G1302" s="3" t="s">
        <v>1015</v>
      </c>
      <c r="H1302" s="3">
        <f>IFERROR(__xludf.DUMMYFUNCTION("split(G1302,""/"")"),7.0)</f>
        <v>7</v>
      </c>
      <c r="I1302" s="3">
        <f>IFERROR(__xludf.DUMMYFUNCTION("""COMPUTED_VALUE"""),18.0)</f>
        <v>18</v>
      </c>
      <c r="J1302" s="3">
        <f>IFERROR(__xludf.DUMMYFUNCTION("""COMPUTED_VALUE"""),2010.0)</f>
        <v>2010</v>
      </c>
      <c r="K1302" s="12">
        <f t="shared" si="2"/>
        <v>40377</v>
      </c>
      <c r="L1302" s="3" t="s">
        <v>817</v>
      </c>
      <c r="M1302" s="3" t="s">
        <v>689</v>
      </c>
      <c r="N1302" s="3">
        <v>7331.0</v>
      </c>
      <c r="O1302" s="3" t="s">
        <v>815</v>
      </c>
      <c r="P1302" s="10">
        <v>8591.0</v>
      </c>
      <c r="Q1302" s="13">
        <v>255.28</v>
      </c>
      <c r="R1302" s="13">
        <v>159.42</v>
      </c>
      <c r="S1302" s="13">
        <f t="shared" si="3"/>
        <v>2193110.48</v>
      </c>
      <c r="T1302" s="13">
        <f t="shared" si="4"/>
        <v>1369577.22</v>
      </c>
      <c r="U1302" s="13">
        <f t="shared" si="5"/>
        <v>823533.26</v>
      </c>
      <c r="V1302" s="3" t="str">
        <f>VLOOKUP(N1302,products!A:B,2,0)</f>
        <v>Baby Food</v>
      </c>
      <c r="W1302" s="3" t="s">
        <v>28</v>
      </c>
      <c r="X1302" s="3" t="s">
        <v>79</v>
      </c>
      <c r="Y1302" s="14">
        <f t="shared" si="10"/>
        <v>0.3755092448</v>
      </c>
      <c r="Z1302" s="3">
        <f t="shared" si="7"/>
        <v>22</v>
      </c>
      <c r="AA1302" s="15">
        <f t="shared" si="8"/>
        <v>7</v>
      </c>
    </row>
    <row r="1303" ht="15.75" customHeight="1">
      <c r="A1303" s="3">
        <v>9.79200112E8</v>
      </c>
      <c r="B1303" s="3" t="s">
        <v>1190</v>
      </c>
      <c r="C1303" s="3">
        <f>IFERROR(__xludf.DUMMYFUNCTION("split(B1303,""/"")"),12.0)</f>
        <v>12</v>
      </c>
      <c r="D1303" s="10">
        <f>IFERROR(__xludf.DUMMYFUNCTION("""COMPUTED_VALUE"""),14.0)</f>
        <v>14</v>
      </c>
      <c r="E1303" s="11">
        <f>IFERROR(__xludf.DUMMYFUNCTION("""COMPUTED_VALUE"""),2013.0)</f>
        <v>2013</v>
      </c>
      <c r="F1303" s="12">
        <f t="shared" si="1"/>
        <v>41622</v>
      </c>
      <c r="G1303" s="3" t="s">
        <v>1780</v>
      </c>
      <c r="H1303" s="3">
        <f>IFERROR(__xludf.DUMMYFUNCTION("split(G1303,""/"")"),12.0)</f>
        <v>12</v>
      </c>
      <c r="I1303" s="3">
        <f>IFERROR(__xludf.DUMMYFUNCTION("""COMPUTED_VALUE"""),30.0)</f>
        <v>30</v>
      </c>
      <c r="J1303" s="3">
        <f>IFERROR(__xludf.DUMMYFUNCTION("""COMPUTED_VALUE"""),2013.0)</f>
        <v>2013</v>
      </c>
      <c r="K1303" s="12">
        <f t="shared" si="2"/>
        <v>41638</v>
      </c>
      <c r="L1303" s="3" t="s">
        <v>817</v>
      </c>
      <c r="M1303" s="3" t="s">
        <v>536</v>
      </c>
      <c r="N1303" s="3">
        <v>8875.0</v>
      </c>
      <c r="O1303" s="3" t="s">
        <v>815</v>
      </c>
      <c r="P1303" s="10">
        <v>5928.0</v>
      </c>
      <c r="Q1303" s="13">
        <v>421.89</v>
      </c>
      <c r="R1303" s="13">
        <v>364.69</v>
      </c>
      <c r="S1303" s="13">
        <f t="shared" si="3"/>
        <v>2500963.92</v>
      </c>
      <c r="T1303" s="13">
        <f t="shared" si="4"/>
        <v>2161882.32</v>
      </c>
      <c r="U1303" s="13">
        <f t="shared" si="5"/>
        <v>339081.6</v>
      </c>
      <c r="V1303" s="3" t="str">
        <f>VLOOKUP(N1303,products!A:B,2,0)</f>
        <v>Meat</v>
      </c>
      <c r="W1303" s="3" t="s">
        <v>28</v>
      </c>
      <c r="X1303" s="3" t="s">
        <v>33</v>
      </c>
      <c r="Y1303" s="14">
        <f t="shared" si="10"/>
        <v>0.1355803646</v>
      </c>
      <c r="Z1303" s="3">
        <f t="shared" si="7"/>
        <v>16</v>
      </c>
      <c r="AA1303" s="15">
        <f t="shared" si="8"/>
        <v>7</v>
      </c>
    </row>
    <row r="1304" ht="15.75" customHeight="1">
      <c r="A1304" s="3">
        <v>9.80381143E8</v>
      </c>
      <c r="B1304" s="3" t="s">
        <v>1847</v>
      </c>
      <c r="C1304" s="3">
        <f>IFERROR(__xludf.DUMMYFUNCTION("split(B1304,""/"")"),9.0)</f>
        <v>9</v>
      </c>
      <c r="D1304" s="10">
        <f>IFERROR(__xludf.DUMMYFUNCTION("""COMPUTED_VALUE"""),18.0)</f>
        <v>18</v>
      </c>
      <c r="E1304" s="11">
        <f>IFERROR(__xludf.DUMMYFUNCTION("""COMPUTED_VALUE"""),2010.0)</f>
        <v>2010</v>
      </c>
      <c r="F1304" s="12">
        <f t="shared" si="1"/>
        <v>40439</v>
      </c>
      <c r="G1304" s="3" t="s">
        <v>1410</v>
      </c>
      <c r="H1304" s="3">
        <f>IFERROR(__xludf.DUMMYFUNCTION("split(G1304,""/"")"),9.0)</f>
        <v>9</v>
      </c>
      <c r="I1304" s="3">
        <f>IFERROR(__xludf.DUMMYFUNCTION("""COMPUTED_VALUE"""),26.0)</f>
        <v>26</v>
      </c>
      <c r="J1304" s="3">
        <f>IFERROR(__xludf.DUMMYFUNCTION("""COMPUTED_VALUE"""),2010.0)</f>
        <v>2010</v>
      </c>
      <c r="K1304" s="12">
        <f t="shared" si="2"/>
        <v>40447</v>
      </c>
      <c r="L1304" s="3" t="s">
        <v>817</v>
      </c>
      <c r="M1304" s="3" t="s">
        <v>142</v>
      </c>
      <c r="N1304" s="3">
        <v>7331.0</v>
      </c>
      <c r="O1304" s="3" t="s">
        <v>818</v>
      </c>
      <c r="P1304" s="10">
        <v>5421.0</v>
      </c>
      <c r="Q1304" s="13">
        <v>255.28</v>
      </c>
      <c r="R1304" s="13">
        <v>159.42</v>
      </c>
      <c r="S1304" s="13">
        <f t="shared" si="3"/>
        <v>1383872.88</v>
      </c>
      <c r="T1304" s="13">
        <f t="shared" si="4"/>
        <v>864215.82</v>
      </c>
      <c r="U1304" s="13">
        <f t="shared" si="5"/>
        <v>519657.06</v>
      </c>
      <c r="V1304" s="3" t="str">
        <f>VLOOKUP(N1304,products!A:B,2,0)</f>
        <v>Baby Food</v>
      </c>
      <c r="W1304" s="3" t="s">
        <v>28</v>
      </c>
      <c r="X1304" s="3" t="s">
        <v>98</v>
      </c>
      <c r="Y1304" s="14">
        <f t="shared" si="10"/>
        <v>0.3755092448</v>
      </c>
      <c r="Z1304" s="3">
        <f t="shared" si="7"/>
        <v>8</v>
      </c>
      <c r="AA1304" s="15">
        <f t="shared" si="8"/>
        <v>7</v>
      </c>
    </row>
    <row r="1305" ht="15.75" customHeight="1">
      <c r="A1305" s="3">
        <v>9.80598723E8</v>
      </c>
      <c r="B1305" s="3" t="s">
        <v>1698</v>
      </c>
      <c r="C1305" s="3">
        <f>IFERROR(__xludf.DUMMYFUNCTION("split(B1305,""/"")"),8.0)</f>
        <v>8</v>
      </c>
      <c r="D1305" s="10">
        <f>IFERROR(__xludf.DUMMYFUNCTION("""COMPUTED_VALUE"""),13.0)</f>
        <v>13</v>
      </c>
      <c r="E1305" s="11">
        <f>IFERROR(__xludf.DUMMYFUNCTION("""COMPUTED_VALUE"""),2015.0)</f>
        <v>2015</v>
      </c>
      <c r="F1305" s="12">
        <f t="shared" si="1"/>
        <v>42229</v>
      </c>
      <c r="G1305" s="3" t="s">
        <v>1857</v>
      </c>
      <c r="H1305" s="3">
        <f>IFERROR(__xludf.DUMMYFUNCTION("split(G1305,""/"")"),9.0)</f>
        <v>9</v>
      </c>
      <c r="I1305" s="3">
        <f>IFERROR(__xludf.DUMMYFUNCTION("""COMPUTED_VALUE"""),24.0)</f>
        <v>24</v>
      </c>
      <c r="J1305" s="3">
        <f>IFERROR(__xludf.DUMMYFUNCTION("""COMPUTED_VALUE"""),2015.0)</f>
        <v>2015</v>
      </c>
      <c r="K1305" s="12">
        <f t="shared" si="2"/>
        <v>42271</v>
      </c>
      <c r="L1305" s="3" t="s">
        <v>817</v>
      </c>
      <c r="M1305" s="3" t="s">
        <v>270</v>
      </c>
      <c r="N1305" s="3">
        <v>3127.0</v>
      </c>
      <c r="O1305" s="3" t="s">
        <v>818</v>
      </c>
      <c r="P1305" s="10">
        <v>9808.0</v>
      </c>
      <c r="Q1305" s="13">
        <v>81.73</v>
      </c>
      <c r="R1305" s="13">
        <v>56.67</v>
      </c>
      <c r="S1305" s="13">
        <f t="shared" si="3"/>
        <v>801607.84</v>
      </c>
      <c r="T1305" s="13">
        <f t="shared" si="4"/>
        <v>555819.36</v>
      </c>
      <c r="U1305" s="13">
        <f t="shared" si="5"/>
        <v>245788.48</v>
      </c>
      <c r="V1305" s="3" t="str">
        <f>VLOOKUP(N1305,products!A:B,2,0)</f>
        <v>Personal Care</v>
      </c>
      <c r="W1305" s="3" t="s">
        <v>28</v>
      </c>
      <c r="X1305" s="3" t="s">
        <v>79</v>
      </c>
      <c r="Y1305" s="14">
        <f t="shared" si="10"/>
        <v>0.3066193564</v>
      </c>
      <c r="Z1305" s="3">
        <f t="shared" si="7"/>
        <v>42</v>
      </c>
      <c r="AA1305" s="15">
        <f t="shared" si="8"/>
        <v>5</v>
      </c>
    </row>
    <row r="1306" ht="15.75" customHeight="1">
      <c r="A1306" s="3">
        <v>9.80961358E8</v>
      </c>
      <c r="B1306" s="9">
        <v>41434.0</v>
      </c>
      <c r="C1306" s="3">
        <f>IFERROR(__xludf.DUMMYFUNCTION("split(B1306,""/"")"),9.0)</f>
        <v>9</v>
      </c>
      <c r="D1306" s="10">
        <f>IFERROR(__xludf.DUMMYFUNCTION("""COMPUTED_VALUE"""),6.0)</f>
        <v>6</v>
      </c>
      <c r="E1306" s="11">
        <f>IFERROR(__xludf.DUMMYFUNCTION("""COMPUTED_VALUE"""),2013.0)</f>
        <v>2013</v>
      </c>
      <c r="F1306" s="12">
        <f t="shared" si="1"/>
        <v>41523</v>
      </c>
      <c r="G1306" s="9">
        <v>41496.0</v>
      </c>
      <c r="H1306" s="3">
        <f>IFERROR(__xludf.DUMMYFUNCTION("split(G1306,""/"")"),10.0)</f>
        <v>10</v>
      </c>
      <c r="I1306" s="3">
        <f>IFERROR(__xludf.DUMMYFUNCTION("""COMPUTED_VALUE"""),8.0)</f>
        <v>8</v>
      </c>
      <c r="J1306" s="3">
        <f>IFERROR(__xludf.DUMMYFUNCTION("""COMPUTED_VALUE"""),2013.0)</f>
        <v>2013</v>
      </c>
      <c r="K1306" s="12">
        <f t="shared" si="2"/>
        <v>41555</v>
      </c>
      <c r="L1306" s="3" t="s">
        <v>817</v>
      </c>
      <c r="M1306" s="3" t="s">
        <v>434</v>
      </c>
      <c r="N1306" s="3">
        <v>8293.0</v>
      </c>
      <c r="O1306" s="3" t="s">
        <v>815</v>
      </c>
      <c r="P1306" s="10">
        <v>7120.0</v>
      </c>
      <c r="Q1306" s="13">
        <v>437.2</v>
      </c>
      <c r="R1306" s="13">
        <v>263.33</v>
      </c>
      <c r="S1306" s="13">
        <f t="shared" si="3"/>
        <v>3112864</v>
      </c>
      <c r="T1306" s="13">
        <f t="shared" si="4"/>
        <v>1874909.6</v>
      </c>
      <c r="U1306" s="13">
        <f t="shared" si="5"/>
        <v>1237954.4</v>
      </c>
      <c r="V1306" s="3" t="str">
        <f>VLOOKUP(N1306,products!A:B,2,0)</f>
        <v>Cosmetics</v>
      </c>
      <c r="W1306" s="3" t="s">
        <v>28</v>
      </c>
      <c r="X1306" s="3" t="s">
        <v>79</v>
      </c>
      <c r="Y1306" s="14">
        <f t="shared" si="10"/>
        <v>0.3976898445</v>
      </c>
      <c r="Z1306" s="3">
        <f t="shared" si="7"/>
        <v>32</v>
      </c>
      <c r="AA1306" s="15">
        <f t="shared" si="8"/>
        <v>6</v>
      </c>
    </row>
    <row r="1307" ht="15.75" customHeight="1">
      <c r="A1307" s="3">
        <v>9.81154048E8</v>
      </c>
      <c r="B1307" s="3" t="s">
        <v>1858</v>
      </c>
      <c r="C1307" s="3">
        <f>IFERROR(__xludf.DUMMYFUNCTION("split(B1307,""/"")"),7.0)</f>
        <v>7</v>
      </c>
      <c r="D1307" s="10">
        <f>IFERROR(__xludf.DUMMYFUNCTION("""COMPUTED_VALUE"""),27.0)</f>
        <v>27</v>
      </c>
      <c r="E1307" s="11">
        <f>IFERROR(__xludf.DUMMYFUNCTION("""COMPUTED_VALUE"""),2013.0)</f>
        <v>2013</v>
      </c>
      <c r="F1307" s="12">
        <f t="shared" si="1"/>
        <v>41482</v>
      </c>
      <c r="G1307" s="9">
        <v>41525.0</v>
      </c>
      <c r="H1307" s="3">
        <f>IFERROR(__xludf.DUMMYFUNCTION("split(G1307,""/"")"),8.0)</f>
        <v>8</v>
      </c>
      <c r="I1307" s="3">
        <f>IFERROR(__xludf.DUMMYFUNCTION("""COMPUTED_VALUE"""),9.0)</f>
        <v>9</v>
      </c>
      <c r="J1307" s="3">
        <f>IFERROR(__xludf.DUMMYFUNCTION("""COMPUTED_VALUE"""),2013.0)</f>
        <v>2013</v>
      </c>
      <c r="K1307" s="12">
        <f t="shared" si="2"/>
        <v>41495</v>
      </c>
      <c r="L1307" s="3" t="s">
        <v>817</v>
      </c>
      <c r="M1307" s="3" t="s">
        <v>373</v>
      </c>
      <c r="N1307" s="3">
        <v>1270.0</v>
      </c>
      <c r="O1307" s="3" t="s">
        <v>818</v>
      </c>
      <c r="P1307" s="10">
        <v>4141.0</v>
      </c>
      <c r="Q1307" s="13">
        <v>47.45</v>
      </c>
      <c r="R1307" s="13">
        <v>31.79</v>
      </c>
      <c r="S1307" s="13">
        <f t="shared" si="3"/>
        <v>196490.45</v>
      </c>
      <c r="T1307" s="13">
        <f t="shared" si="4"/>
        <v>131642.39</v>
      </c>
      <c r="U1307" s="13">
        <f t="shared" si="5"/>
        <v>64848.06</v>
      </c>
      <c r="V1307" s="3" t="str">
        <f>VLOOKUP(N1307,products!A:B,2,0)</f>
        <v>Beverages</v>
      </c>
      <c r="W1307" s="3" t="s">
        <v>28</v>
      </c>
      <c r="X1307" s="3" t="s">
        <v>33</v>
      </c>
      <c r="Y1307" s="14">
        <f t="shared" si="10"/>
        <v>0.3300316122</v>
      </c>
      <c r="Z1307" s="3">
        <f t="shared" si="7"/>
        <v>13</v>
      </c>
      <c r="AA1307" s="15">
        <f t="shared" si="8"/>
        <v>7</v>
      </c>
    </row>
    <row r="1308" ht="15.75" customHeight="1">
      <c r="A1308" s="3">
        <v>9.81808078E8</v>
      </c>
      <c r="B1308" s="3" t="s">
        <v>976</v>
      </c>
      <c r="C1308" s="3">
        <f>IFERROR(__xludf.DUMMYFUNCTION("split(B1308,""/"")"),1.0)</f>
        <v>1</v>
      </c>
      <c r="D1308" s="10">
        <f>IFERROR(__xludf.DUMMYFUNCTION("""COMPUTED_VALUE"""),27.0)</f>
        <v>27</v>
      </c>
      <c r="E1308" s="11">
        <f>IFERROR(__xludf.DUMMYFUNCTION("""COMPUTED_VALUE"""),2012.0)</f>
        <v>2012</v>
      </c>
      <c r="F1308" s="12">
        <f t="shared" si="1"/>
        <v>40935</v>
      </c>
      <c r="G1308" s="3" t="s">
        <v>1196</v>
      </c>
      <c r="H1308" s="3">
        <f>IFERROR(__xludf.DUMMYFUNCTION("split(G1308,""/"")"),1.0)</f>
        <v>1</v>
      </c>
      <c r="I1308" s="3">
        <f>IFERROR(__xludf.DUMMYFUNCTION("""COMPUTED_VALUE"""),28.0)</f>
        <v>28</v>
      </c>
      <c r="J1308" s="3">
        <f>IFERROR(__xludf.DUMMYFUNCTION("""COMPUTED_VALUE"""),2012.0)</f>
        <v>2012</v>
      </c>
      <c r="K1308" s="12">
        <f t="shared" si="2"/>
        <v>40936</v>
      </c>
      <c r="L1308" s="3" t="s">
        <v>825</v>
      </c>
      <c r="M1308" s="3" t="s">
        <v>455</v>
      </c>
      <c r="N1308" s="3">
        <v>8969.0</v>
      </c>
      <c r="O1308" s="3" t="s">
        <v>815</v>
      </c>
      <c r="P1308" s="10">
        <v>7683.0</v>
      </c>
      <c r="Q1308" s="13">
        <v>152.58</v>
      </c>
      <c r="R1308" s="13">
        <v>97.44</v>
      </c>
      <c r="S1308" s="13">
        <f t="shared" si="3"/>
        <v>1172272.14</v>
      </c>
      <c r="T1308" s="13">
        <f t="shared" si="4"/>
        <v>748631.52</v>
      </c>
      <c r="U1308" s="13">
        <f t="shared" si="5"/>
        <v>423640.62</v>
      </c>
      <c r="V1308" s="3" t="str">
        <f>VLOOKUP(N1308,products!A:B,2,0)</f>
        <v>Snacks</v>
      </c>
      <c r="W1308" s="3" t="s">
        <v>28</v>
      </c>
      <c r="X1308" s="3" t="s">
        <v>33</v>
      </c>
      <c r="Y1308" s="14">
        <f t="shared" si="10"/>
        <v>0.3613841919</v>
      </c>
      <c r="Z1308" s="3">
        <f t="shared" si="7"/>
        <v>1</v>
      </c>
      <c r="AA1308" s="15">
        <f t="shared" si="8"/>
        <v>6</v>
      </c>
    </row>
    <row r="1309" ht="15.75" customHeight="1">
      <c r="A1309" s="3">
        <v>9.82566821E8</v>
      </c>
      <c r="B1309" s="3" t="s">
        <v>1395</v>
      </c>
      <c r="C1309" s="3">
        <f>IFERROR(__xludf.DUMMYFUNCTION("split(B1309,""/"")"),4.0)</f>
        <v>4</v>
      </c>
      <c r="D1309" s="10">
        <f>IFERROR(__xludf.DUMMYFUNCTION("""COMPUTED_VALUE"""),17.0)</f>
        <v>17</v>
      </c>
      <c r="E1309" s="11">
        <f>IFERROR(__xludf.DUMMYFUNCTION("""COMPUTED_VALUE"""),2011.0)</f>
        <v>2011</v>
      </c>
      <c r="F1309" s="12">
        <f t="shared" si="1"/>
        <v>40650</v>
      </c>
      <c r="G1309" s="9">
        <v>40669.0</v>
      </c>
      <c r="H1309" s="3">
        <f>IFERROR(__xludf.DUMMYFUNCTION("split(G1309,""/"")"),6.0)</f>
        <v>6</v>
      </c>
      <c r="I1309" s="3">
        <f>IFERROR(__xludf.DUMMYFUNCTION("""COMPUTED_VALUE"""),5.0)</f>
        <v>5</v>
      </c>
      <c r="J1309" s="3">
        <f>IFERROR(__xludf.DUMMYFUNCTION("""COMPUTED_VALUE"""),2011.0)</f>
        <v>2011</v>
      </c>
      <c r="K1309" s="12">
        <f t="shared" si="2"/>
        <v>40699</v>
      </c>
      <c r="L1309" s="3" t="s">
        <v>814</v>
      </c>
      <c r="M1309" s="3" t="s">
        <v>431</v>
      </c>
      <c r="N1309" s="3">
        <v>8681.0</v>
      </c>
      <c r="O1309" s="3" t="s">
        <v>815</v>
      </c>
      <c r="P1309" s="10">
        <v>2212.0</v>
      </c>
      <c r="Q1309" s="13">
        <v>651.21</v>
      </c>
      <c r="R1309" s="13">
        <v>524.96</v>
      </c>
      <c r="S1309" s="13">
        <f t="shared" si="3"/>
        <v>1440476.52</v>
      </c>
      <c r="T1309" s="13">
        <f t="shared" si="4"/>
        <v>1161211.52</v>
      </c>
      <c r="U1309" s="13">
        <f t="shared" si="5"/>
        <v>279265</v>
      </c>
      <c r="V1309" s="3" t="str">
        <f>VLOOKUP(N1309,products!A:B,2,0)</f>
        <v>Office Supplies</v>
      </c>
      <c r="W1309" s="3" t="s">
        <v>28</v>
      </c>
      <c r="X1309" s="3" t="s">
        <v>29</v>
      </c>
      <c r="Y1309" s="14">
        <f t="shared" si="10"/>
        <v>0.193869873</v>
      </c>
      <c r="Z1309" s="3">
        <f t="shared" si="7"/>
        <v>49</v>
      </c>
      <c r="AA1309" s="15">
        <f t="shared" si="8"/>
        <v>1</v>
      </c>
    </row>
    <row r="1310" ht="15.75" customHeight="1">
      <c r="A1310" s="3">
        <v>9.85039174E8</v>
      </c>
      <c r="B1310" s="9">
        <v>40635.0</v>
      </c>
      <c r="C1310" s="3">
        <f>IFERROR(__xludf.DUMMYFUNCTION("split(B1310,""/"")"),2.0)</f>
        <v>2</v>
      </c>
      <c r="D1310" s="10">
        <f>IFERROR(__xludf.DUMMYFUNCTION("""COMPUTED_VALUE"""),4.0)</f>
        <v>4</v>
      </c>
      <c r="E1310" s="11">
        <f>IFERROR(__xludf.DUMMYFUNCTION("""COMPUTED_VALUE"""),2011.0)</f>
        <v>2011</v>
      </c>
      <c r="F1310" s="12">
        <f t="shared" si="1"/>
        <v>40578</v>
      </c>
      <c r="G1310" s="9">
        <v>40819.0</v>
      </c>
      <c r="H1310" s="3">
        <f>IFERROR(__xludf.DUMMYFUNCTION("split(G1310,""/"")"),3.0)</f>
        <v>3</v>
      </c>
      <c r="I1310" s="3">
        <f>IFERROR(__xludf.DUMMYFUNCTION("""COMPUTED_VALUE"""),10.0)</f>
        <v>10</v>
      </c>
      <c r="J1310" s="3">
        <f>IFERROR(__xludf.DUMMYFUNCTION("""COMPUTED_VALUE"""),2011.0)</f>
        <v>2011</v>
      </c>
      <c r="K1310" s="12">
        <f t="shared" si="2"/>
        <v>40612</v>
      </c>
      <c r="L1310" s="3" t="s">
        <v>827</v>
      </c>
      <c r="M1310" s="3" t="s">
        <v>512</v>
      </c>
      <c r="N1310" s="3">
        <v>1270.0</v>
      </c>
      <c r="O1310" s="3" t="s">
        <v>815</v>
      </c>
      <c r="P1310" s="10">
        <v>3836.0</v>
      </c>
      <c r="Q1310" s="13">
        <v>47.45</v>
      </c>
      <c r="R1310" s="13">
        <v>31.79</v>
      </c>
      <c r="S1310" s="13">
        <f t="shared" si="3"/>
        <v>182018.2</v>
      </c>
      <c r="T1310" s="13">
        <f t="shared" si="4"/>
        <v>121946.44</v>
      </c>
      <c r="U1310" s="13">
        <f t="shared" si="5"/>
        <v>60071.76</v>
      </c>
      <c r="V1310" s="3" t="str">
        <f>VLOOKUP(N1310,products!A:B,2,0)</f>
        <v>Beverages</v>
      </c>
      <c r="W1310" s="3" t="s">
        <v>28</v>
      </c>
      <c r="X1310" s="3" t="s">
        <v>79</v>
      </c>
      <c r="Y1310" s="14">
        <f t="shared" si="10"/>
        <v>0.3300316122</v>
      </c>
      <c r="Z1310" s="3">
        <f t="shared" si="7"/>
        <v>34</v>
      </c>
      <c r="AA1310" s="15">
        <f t="shared" si="8"/>
        <v>6</v>
      </c>
    </row>
    <row r="1311" ht="15.75" customHeight="1">
      <c r="A1311" s="3">
        <v>9.85417258E8</v>
      </c>
      <c r="B1311" s="9">
        <v>40553.0</v>
      </c>
      <c r="C1311" s="3">
        <f>IFERROR(__xludf.DUMMYFUNCTION("split(B1311,""/"")"),10.0)</f>
        <v>10</v>
      </c>
      <c r="D1311" s="10">
        <f>IFERROR(__xludf.DUMMYFUNCTION("""COMPUTED_VALUE"""),1.0)</f>
        <v>1</v>
      </c>
      <c r="E1311" s="11">
        <f>IFERROR(__xludf.DUMMYFUNCTION("""COMPUTED_VALUE"""),2011.0)</f>
        <v>2011</v>
      </c>
      <c r="F1311" s="12">
        <f t="shared" si="1"/>
        <v>40817</v>
      </c>
      <c r="G1311" s="3" t="s">
        <v>1490</v>
      </c>
      <c r="H1311" s="3">
        <f>IFERROR(__xludf.DUMMYFUNCTION("split(G1311,""/"")"),10.0)</f>
        <v>10</v>
      </c>
      <c r="I1311" s="3">
        <f>IFERROR(__xludf.DUMMYFUNCTION("""COMPUTED_VALUE"""),21.0)</f>
        <v>21</v>
      </c>
      <c r="J1311" s="3">
        <f>IFERROR(__xludf.DUMMYFUNCTION("""COMPUTED_VALUE"""),2011.0)</f>
        <v>2011</v>
      </c>
      <c r="K1311" s="12">
        <f t="shared" si="2"/>
        <v>40837</v>
      </c>
      <c r="L1311" s="3" t="s">
        <v>814</v>
      </c>
      <c r="M1311" s="3" t="s">
        <v>746</v>
      </c>
      <c r="N1311" s="3">
        <v>2103.0</v>
      </c>
      <c r="O1311" s="3" t="s">
        <v>815</v>
      </c>
      <c r="P1311" s="10">
        <v>5720.0</v>
      </c>
      <c r="Q1311" s="13">
        <v>205.7</v>
      </c>
      <c r="R1311" s="13">
        <v>117.11</v>
      </c>
      <c r="S1311" s="13">
        <f t="shared" si="3"/>
        <v>1176604</v>
      </c>
      <c r="T1311" s="13">
        <f t="shared" si="4"/>
        <v>669869.2</v>
      </c>
      <c r="U1311" s="13">
        <f t="shared" si="5"/>
        <v>506734.8</v>
      </c>
      <c r="V1311" s="3" t="str">
        <f>VLOOKUP(N1311,products!A:B,2,0)</f>
        <v>Cereal</v>
      </c>
      <c r="W1311" s="3" t="s">
        <v>28</v>
      </c>
      <c r="X1311" s="3" t="s">
        <v>29</v>
      </c>
      <c r="Y1311" s="14">
        <f t="shared" si="10"/>
        <v>0.4306757414</v>
      </c>
      <c r="Z1311" s="3">
        <f t="shared" si="7"/>
        <v>20</v>
      </c>
      <c r="AA1311" s="15">
        <f t="shared" si="8"/>
        <v>7</v>
      </c>
    </row>
    <row r="1312" ht="15.75" customHeight="1">
      <c r="A1312" s="3">
        <v>9.86449801E8</v>
      </c>
      <c r="B1312" s="3" t="s">
        <v>1308</v>
      </c>
      <c r="C1312" s="3">
        <f>IFERROR(__xludf.DUMMYFUNCTION("split(B1312,""/"")"),1.0)</f>
        <v>1</v>
      </c>
      <c r="D1312" s="10">
        <f>IFERROR(__xludf.DUMMYFUNCTION("""COMPUTED_VALUE"""),31.0)</f>
        <v>31</v>
      </c>
      <c r="E1312" s="11">
        <f>IFERROR(__xludf.DUMMYFUNCTION("""COMPUTED_VALUE"""),2013.0)</f>
        <v>2013</v>
      </c>
      <c r="F1312" s="12">
        <f t="shared" si="1"/>
        <v>41305</v>
      </c>
      <c r="G1312" s="3" t="s">
        <v>1859</v>
      </c>
      <c r="H1312" s="3">
        <f>IFERROR(__xludf.DUMMYFUNCTION("split(G1312,""/"")"),3.0)</f>
        <v>3</v>
      </c>
      <c r="I1312" s="3">
        <f>IFERROR(__xludf.DUMMYFUNCTION("""COMPUTED_VALUE"""),13.0)</f>
        <v>13</v>
      </c>
      <c r="J1312" s="3">
        <f>IFERROR(__xludf.DUMMYFUNCTION("""COMPUTED_VALUE"""),2013.0)</f>
        <v>2013</v>
      </c>
      <c r="K1312" s="12">
        <f t="shared" si="2"/>
        <v>41346</v>
      </c>
      <c r="L1312" s="3" t="s">
        <v>827</v>
      </c>
      <c r="M1312" s="3" t="s">
        <v>32</v>
      </c>
      <c r="N1312" s="3">
        <v>8875.0</v>
      </c>
      <c r="O1312" s="3" t="s">
        <v>818</v>
      </c>
      <c r="P1312" s="10">
        <v>1272.0</v>
      </c>
      <c r="Q1312" s="13">
        <v>421.89</v>
      </c>
      <c r="R1312" s="13">
        <v>364.69</v>
      </c>
      <c r="S1312" s="13">
        <f t="shared" si="3"/>
        <v>536644.08</v>
      </c>
      <c r="T1312" s="13">
        <f t="shared" si="4"/>
        <v>463885.68</v>
      </c>
      <c r="U1312" s="13">
        <f t="shared" si="5"/>
        <v>72758.4</v>
      </c>
      <c r="V1312" s="3" t="str">
        <f>VLOOKUP(N1312,products!A:B,2,0)</f>
        <v>Meat</v>
      </c>
      <c r="W1312" s="3" t="s">
        <v>28</v>
      </c>
      <c r="X1312" s="3" t="s">
        <v>33</v>
      </c>
      <c r="Y1312" s="14">
        <f t="shared" si="10"/>
        <v>0.1355803646</v>
      </c>
      <c r="Z1312" s="3">
        <f t="shared" si="7"/>
        <v>41</v>
      </c>
      <c r="AA1312" s="15">
        <f t="shared" si="8"/>
        <v>5</v>
      </c>
    </row>
    <row r="1313" ht="15.75" customHeight="1">
      <c r="A1313" s="3">
        <v>9.87050187E8</v>
      </c>
      <c r="B1313" s="9">
        <v>41247.0</v>
      </c>
      <c r="C1313" s="3">
        <f>IFERROR(__xludf.DUMMYFUNCTION("split(B1313,""/"")"),4.0)</f>
        <v>4</v>
      </c>
      <c r="D1313" s="10">
        <f>IFERROR(__xludf.DUMMYFUNCTION("""COMPUTED_VALUE"""),12.0)</f>
        <v>12</v>
      </c>
      <c r="E1313" s="11">
        <f>IFERROR(__xludf.DUMMYFUNCTION("""COMPUTED_VALUE"""),2012.0)</f>
        <v>2012</v>
      </c>
      <c r="F1313" s="12">
        <f t="shared" si="1"/>
        <v>41011</v>
      </c>
      <c r="G1313" s="3" t="s">
        <v>1860</v>
      </c>
      <c r="H1313" s="3">
        <f>IFERROR(__xludf.DUMMYFUNCTION("split(G1313,""/"")"),4.0)</f>
        <v>4</v>
      </c>
      <c r="I1313" s="3">
        <f>IFERROR(__xludf.DUMMYFUNCTION("""COMPUTED_VALUE"""),25.0)</f>
        <v>25</v>
      </c>
      <c r="J1313" s="3">
        <f>IFERROR(__xludf.DUMMYFUNCTION("""COMPUTED_VALUE"""),2012.0)</f>
        <v>2012</v>
      </c>
      <c r="K1313" s="12">
        <f t="shared" si="2"/>
        <v>41024</v>
      </c>
      <c r="L1313" s="3" t="s">
        <v>817</v>
      </c>
      <c r="M1313" s="3" t="s">
        <v>536</v>
      </c>
      <c r="N1313" s="3">
        <v>5988.0</v>
      </c>
      <c r="O1313" s="3" t="s">
        <v>815</v>
      </c>
      <c r="P1313" s="10">
        <v>8940.0</v>
      </c>
      <c r="Q1313" s="13">
        <v>154.06</v>
      </c>
      <c r="R1313" s="13">
        <v>90.93</v>
      </c>
      <c r="S1313" s="13">
        <f t="shared" si="3"/>
        <v>1377296.4</v>
      </c>
      <c r="T1313" s="13">
        <f t="shared" si="4"/>
        <v>812914.2</v>
      </c>
      <c r="U1313" s="13">
        <f t="shared" si="5"/>
        <v>564382.2</v>
      </c>
      <c r="V1313" s="3" t="str">
        <f>VLOOKUP(N1313,products!A:B,2,0)</f>
        <v>Vegetables</v>
      </c>
      <c r="W1313" s="3" t="s">
        <v>28</v>
      </c>
      <c r="X1313" s="3" t="s">
        <v>33</v>
      </c>
      <c r="Y1313" s="14">
        <f t="shared" si="10"/>
        <v>0.4097754122</v>
      </c>
      <c r="Z1313" s="3">
        <f t="shared" si="7"/>
        <v>13</v>
      </c>
      <c r="AA1313" s="15">
        <f t="shared" si="8"/>
        <v>5</v>
      </c>
    </row>
    <row r="1314" ht="15.75" customHeight="1">
      <c r="A1314" s="3">
        <v>9.87410676E8</v>
      </c>
      <c r="B1314" s="3" t="s">
        <v>1861</v>
      </c>
      <c r="C1314" s="3">
        <f>IFERROR(__xludf.DUMMYFUNCTION("split(B1314,""/"")"),8.0)</f>
        <v>8</v>
      </c>
      <c r="D1314" s="10">
        <f>IFERROR(__xludf.DUMMYFUNCTION("""COMPUTED_VALUE"""),13.0)</f>
        <v>13</v>
      </c>
      <c r="E1314" s="11">
        <f>IFERROR(__xludf.DUMMYFUNCTION("""COMPUTED_VALUE"""),2014.0)</f>
        <v>2014</v>
      </c>
      <c r="F1314" s="12">
        <f t="shared" si="1"/>
        <v>41864</v>
      </c>
      <c r="G1314" s="9">
        <v>41799.0</v>
      </c>
      <c r="H1314" s="3">
        <f>IFERROR(__xludf.DUMMYFUNCTION("split(G1314,""/"")"),9.0)</f>
        <v>9</v>
      </c>
      <c r="I1314" s="3">
        <f>IFERROR(__xludf.DUMMYFUNCTION("""COMPUTED_VALUE"""),6.0)</f>
        <v>6</v>
      </c>
      <c r="J1314" s="3">
        <f>IFERROR(__xludf.DUMMYFUNCTION("""COMPUTED_VALUE"""),2014.0)</f>
        <v>2014</v>
      </c>
      <c r="K1314" s="12">
        <f t="shared" si="2"/>
        <v>41888</v>
      </c>
      <c r="L1314" s="3" t="s">
        <v>817</v>
      </c>
      <c r="M1314" s="3" t="s">
        <v>78</v>
      </c>
      <c r="N1314" s="3">
        <v>2103.0</v>
      </c>
      <c r="O1314" s="3" t="s">
        <v>818</v>
      </c>
      <c r="P1314" s="10">
        <v>5616.0</v>
      </c>
      <c r="Q1314" s="13">
        <v>205.7</v>
      </c>
      <c r="R1314" s="13">
        <v>117.11</v>
      </c>
      <c r="S1314" s="13">
        <f t="shared" si="3"/>
        <v>1155211.2</v>
      </c>
      <c r="T1314" s="13">
        <f t="shared" si="4"/>
        <v>657689.76</v>
      </c>
      <c r="U1314" s="13">
        <f t="shared" si="5"/>
        <v>497521.44</v>
      </c>
      <c r="V1314" s="3" t="str">
        <f>VLOOKUP(N1314,products!A:B,2,0)</f>
        <v>Cereal</v>
      </c>
      <c r="W1314" s="3" t="s">
        <v>28</v>
      </c>
      <c r="X1314" s="3" t="s">
        <v>79</v>
      </c>
      <c r="Y1314" s="14">
        <f t="shared" si="10"/>
        <v>0.4306757414</v>
      </c>
      <c r="Z1314" s="3">
        <f t="shared" si="7"/>
        <v>24</v>
      </c>
      <c r="AA1314" s="15">
        <f t="shared" si="8"/>
        <v>4</v>
      </c>
    </row>
    <row r="1315" ht="15.75" customHeight="1">
      <c r="A1315" s="3">
        <v>9.8745917E8</v>
      </c>
      <c r="B1315" s="3" t="s">
        <v>1862</v>
      </c>
      <c r="C1315" s="3">
        <f>IFERROR(__xludf.DUMMYFUNCTION("split(B1315,""/"")"),7.0)</f>
        <v>7</v>
      </c>
      <c r="D1315" s="10">
        <f>IFERROR(__xludf.DUMMYFUNCTION("""COMPUTED_VALUE"""),16.0)</f>
        <v>16</v>
      </c>
      <c r="E1315" s="11">
        <f>IFERROR(__xludf.DUMMYFUNCTION("""COMPUTED_VALUE"""),2010.0)</f>
        <v>2010</v>
      </c>
      <c r="F1315" s="12">
        <f t="shared" si="1"/>
        <v>40375</v>
      </c>
      <c r="G1315" s="3" t="s">
        <v>1755</v>
      </c>
      <c r="H1315" s="3">
        <f>IFERROR(__xludf.DUMMYFUNCTION("split(G1315,""/"")"),8.0)</f>
        <v>8</v>
      </c>
      <c r="I1315" s="3">
        <f>IFERROR(__xludf.DUMMYFUNCTION("""COMPUTED_VALUE"""),27.0)</f>
        <v>27</v>
      </c>
      <c r="J1315" s="3">
        <f>IFERROR(__xludf.DUMMYFUNCTION("""COMPUTED_VALUE"""),2010.0)</f>
        <v>2010</v>
      </c>
      <c r="K1315" s="12">
        <f t="shared" si="2"/>
        <v>40417</v>
      </c>
      <c r="L1315" s="3" t="s">
        <v>814</v>
      </c>
      <c r="M1315" s="3" t="s">
        <v>740</v>
      </c>
      <c r="N1315" s="3">
        <v>3127.0</v>
      </c>
      <c r="O1315" s="3" t="s">
        <v>815</v>
      </c>
      <c r="P1315" s="10">
        <v>9967.0</v>
      </c>
      <c r="Q1315" s="13">
        <v>81.73</v>
      </c>
      <c r="R1315" s="13">
        <v>56.67</v>
      </c>
      <c r="S1315" s="13">
        <f t="shared" si="3"/>
        <v>814602.91</v>
      </c>
      <c r="T1315" s="13">
        <f t="shared" si="4"/>
        <v>564829.89</v>
      </c>
      <c r="U1315" s="13">
        <f t="shared" si="5"/>
        <v>249773.02</v>
      </c>
      <c r="V1315" s="3" t="str">
        <f>VLOOKUP(N1315,products!A:B,2,0)</f>
        <v>Personal Care</v>
      </c>
      <c r="W1315" s="3" t="s">
        <v>28</v>
      </c>
      <c r="X1315" s="3" t="s">
        <v>98</v>
      </c>
      <c r="Y1315" s="14">
        <f t="shared" si="10"/>
        <v>0.3066193564</v>
      </c>
      <c r="Z1315" s="3">
        <f t="shared" si="7"/>
        <v>42</v>
      </c>
      <c r="AA1315" s="15">
        <f t="shared" si="8"/>
        <v>6</v>
      </c>
    </row>
    <row r="1316" ht="15.75" customHeight="1">
      <c r="A1316" s="3">
        <v>9.87767302E8</v>
      </c>
      <c r="B1316" s="9">
        <v>41128.0</v>
      </c>
      <c r="C1316" s="3">
        <f>IFERROR(__xludf.DUMMYFUNCTION("split(B1316,""/"")"),7.0)</f>
        <v>7</v>
      </c>
      <c r="D1316" s="10">
        <f>IFERROR(__xludf.DUMMYFUNCTION("""COMPUTED_VALUE"""),8.0)</f>
        <v>8</v>
      </c>
      <c r="E1316" s="11">
        <f>IFERROR(__xludf.DUMMYFUNCTION("""COMPUTED_VALUE"""),2012.0)</f>
        <v>2012</v>
      </c>
      <c r="F1316" s="12">
        <f t="shared" si="1"/>
        <v>41098</v>
      </c>
      <c r="G1316" s="9">
        <v>40916.0</v>
      </c>
      <c r="H1316" s="3">
        <f>IFERROR(__xludf.DUMMYFUNCTION("split(G1316,""/"")"),8.0)</f>
        <v>8</v>
      </c>
      <c r="I1316" s="3">
        <f>IFERROR(__xludf.DUMMYFUNCTION("""COMPUTED_VALUE"""),1.0)</f>
        <v>1</v>
      </c>
      <c r="J1316" s="3">
        <f>IFERROR(__xludf.DUMMYFUNCTION("""COMPUTED_VALUE"""),2012.0)</f>
        <v>2012</v>
      </c>
      <c r="K1316" s="12">
        <f t="shared" si="2"/>
        <v>41122</v>
      </c>
      <c r="L1316" s="3" t="s">
        <v>817</v>
      </c>
      <c r="M1316" s="3" t="s">
        <v>431</v>
      </c>
      <c r="N1316" s="3">
        <v>8681.0</v>
      </c>
      <c r="O1316" s="3" t="s">
        <v>815</v>
      </c>
      <c r="P1316" s="10">
        <v>1150.0</v>
      </c>
      <c r="Q1316" s="13">
        <v>651.21</v>
      </c>
      <c r="R1316" s="13">
        <v>524.96</v>
      </c>
      <c r="S1316" s="13">
        <f t="shared" si="3"/>
        <v>748891.5</v>
      </c>
      <c r="T1316" s="13">
        <f t="shared" si="4"/>
        <v>603704</v>
      </c>
      <c r="U1316" s="13">
        <f t="shared" si="5"/>
        <v>145187.5</v>
      </c>
      <c r="V1316" s="3" t="str">
        <f>VLOOKUP(N1316,products!A:B,2,0)</f>
        <v>Office Supplies</v>
      </c>
      <c r="W1316" s="3" t="s">
        <v>28</v>
      </c>
      <c r="X1316" s="3" t="s">
        <v>29</v>
      </c>
      <c r="Y1316" s="14">
        <f t="shared" si="10"/>
        <v>0.193869873</v>
      </c>
      <c r="Z1316" s="3">
        <f t="shared" si="7"/>
        <v>24</v>
      </c>
      <c r="AA1316" s="15">
        <f t="shared" si="8"/>
        <v>1</v>
      </c>
    </row>
    <row r="1317" ht="15.75" customHeight="1">
      <c r="A1317" s="3">
        <v>9.8859986E8</v>
      </c>
      <c r="B1317" s="9">
        <v>41801.0</v>
      </c>
      <c r="C1317" s="3">
        <f>IFERROR(__xludf.DUMMYFUNCTION("split(B1317,""/"")"),11.0)</f>
        <v>11</v>
      </c>
      <c r="D1317" s="10">
        <f>IFERROR(__xludf.DUMMYFUNCTION("""COMPUTED_VALUE"""),6.0)</f>
        <v>6</v>
      </c>
      <c r="E1317" s="11">
        <f>IFERROR(__xludf.DUMMYFUNCTION("""COMPUTED_VALUE"""),2014.0)</f>
        <v>2014</v>
      </c>
      <c r="F1317" s="12">
        <f t="shared" si="1"/>
        <v>41949</v>
      </c>
      <c r="G1317" s="9">
        <v>41955.0</v>
      </c>
      <c r="H1317" s="3">
        <f>IFERROR(__xludf.DUMMYFUNCTION("split(G1317,""/"")"),12.0)</f>
        <v>12</v>
      </c>
      <c r="I1317" s="3">
        <f>IFERROR(__xludf.DUMMYFUNCTION("""COMPUTED_VALUE"""),11.0)</f>
        <v>11</v>
      </c>
      <c r="J1317" s="3">
        <f>IFERROR(__xludf.DUMMYFUNCTION("""COMPUTED_VALUE"""),2014.0)</f>
        <v>2014</v>
      </c>
      <c r="K1317" s="12">
        <f t="shared" si="2"/>
        <v>41984</v>
      </c>
      <c r="L1317" s="3" t="s">
        <v>827</v>
      </c>
      <c r="M1317" s="3" t="s">
        <v>218</v>
      </c>
      <c r="N1317" s="3">
        <v>7940.0</v>
      </c>
      <c r="O1317" s="3" t="s">
        <v>818</v>
      </c>
      <c r="P1317" s="10">
        <v>7522.0</v>
      </c>
      <c r="Q1317" s="13">
        <v>668.27</v>
      </c>
      <c r="R1317" s="13">
        <v>502.54</v>
      </c>
      <c r="S1317" s="13">
        <f t="shared" si="3"/>
        <v>5026726.94</v>
      </c>
      <c r="T1317" s="13">
        <f t="shared" si="4"/>
        <v>3780105.88</v>
      </c>
      <c r="U1317" s="13">
        <f t="shared" si="5"/>
        <v>1246621.06</v>
      </c>
      <c r="V1317" s="3" t="str">
        <f>VLOOKUP(N1317,products!A:B,2,0)</f>
        <v>Household</v>
      </c>
      <c r="W1317" s="3" t="s">
        <v>28</v>
      </c>
      <c r="X1317" s="3" t="s">
        <v>98</v>
      </c>
      <c r="Y1317" s="14">
        <f t="shared" si="10"/>
        <v>0.2479985635</v>
      </c>
      <c r="Z1317" s="3">
        <f t="shared" si="7"/>
        <v>35</v>
      </c>
      <c r="AA1317" s="15">
        <f t="shared" si="8"/>
        <v>5</v>
      </c>
    </row>
    <row r="1318" ht="15.75" customHeight="1">
      <c r="A1318" s="3">
        <v>9.88614022E8</v>
      </c>
      <c r="B1318" s="3" t="s">
        <v>1863</v>
      </c>
      <c r="C1318" s="3">
        <f>IFERROR(__xludf.DUMMYFUNCTION("split(B1318,""/"")"),11.0)</f>
        <v>11</v>
      </c>
      <c r="D1318" s="10">
        <f>IFERROR(__xludf.DUMMYFUNCTION("""COMPUTED_VALUE"""),28.0)</f>
        <v>28</v>
      </c>
      <c r="E1318" s="11">
        <f>IFERROR(__xludf.DUMMYFUNCTION("""COMPUTED_VALUE"""),2010.0)</f>
        <v>2010</v>
      </c>
      <c r="F1318" s="12">
        <f t="shared" si="1"/>
        <v>40510</v>
      </c>
      <c r="G1318" s="9">
        <v>40848.0</v>
      </c>
      <c r="H1318" s="3">
        <f>IFERROR(__xludf.DUMMYFUNCTION("split(G1318,""/"")"),1.0)</f>
        <v>1</v>
      </c>
      <c r="I1318" s="3">
        <f>IFERROR(__xludf.DUMMYFUNCTION("""COMPUTED_VALUE"""),11.0)</f>
        <v>11</v>
      </c>
      <c r="J1318" s="3">
        <f>IFERROR(__xludf.DUMMYFUNCTION("""COMPUTED_VALUE"""),2011.0)</f>
        <v>2011</v>
      </c>
      <c r="K1318" s="12">
        <f t="shared" si="2"/>
        <v>40554</v>
      </c>
      <c r="L1318" s="3" t="s">
        <v>825</v>
      </c>
      <c r="M1318" s="3" t="s">
        <v>536</v>
      </c>
      <c r="N1318" s="3">
        <v>2103.0</v>
      </c>
      <c r="O1318" s="3" t="s">
        <v>818</v>
      </c>
      <c r="P1318" s="10">
        <v>1713.0</v>
      </c>
      <c r="Q1318" s="13">
        <v>205.7</v>
      </c>
      <c r="R1318" s="13">
        <v>117.11</v>
      </c>
      <c r="S1318" s="13">
        <f t="shared" si="3"/>
        <v>352364.1</v>
      </c>
      <c r="T1318" s="13">
        <f t="shared" si="4"/>
        <v>200609.43</v>
      </c>
      <c r="U1318" s="13">
        <f t="shared" si="5"/>
        <v>151754.67</v>
      </c>
      <c r="V1318" s="3" t="str">
        <f>VLOOKUP(N1318,products!A:B,2,0)</f>
        <v>Cereal</v>
      </c>
      <c r="W1318" s="3" t="s">
        <v>28</v>
      </c>
      <c r="X1318" s="3" t="s">
        <v>33</v>
      </c>
      <c r="Y1318" s="14">
        <f t="shared" si="10"/>
        <v>0.4306757414</v>
      </c>
      <c r="Z1318" s="3">
        <f t="shared" si="7"/>
        <v>44</v>
      </c>
      <c r="AA1318" s="15">
        <f t="shared" si="8"/>
        <v>1</v>
      </c>
    </row>
    <row r="1319" ht="15.75" customHeight="1">
      <c r="A1319" s="3">
        <v>9.89102828E8</v>
      </c>
      <c r="B1319" s="9">
        <v>41219.0</v>
      </c>
      <c r="C1319" s="3">
        <f>IFERROR(__xludf.DUMMYFUNCTION("split(B1319,""/"")"),6.0)</f>
        <v>6</v>
      </c>
      <c r="D1319" s="10">
        <f>IFERROR(__xludf.DUMMYFUNCTION("""COMPUTED_VALUE"""),11.0)</f>
        <v>11</v>
      </c>
      <c r="E1319" s="11">
        <f>IFERROR(__xludf.DUMMYFUNCTION("""COMPUTED_VALUE"""),2012.0)</f>
        <v>2012</v>
      </c>
      <c r="F1319" s="12">
        <f t="shared" si="1"/>
        <v>41071</v>
      </c>
      <c r="G1319" s="9">
        <v>41128.0</v>
      </c>
      <c r="H1319" s="3">
        <f>IFERROR(__xludf.DUMMYFUNCTION("split(G1319,""/"")"),7.0)</f>
        <v>7</v>
      </c>
      <c r="I1319" s="3">
        <f>IFERROR(__xludf.DUMMYFUNCTION("""COMPUTED_VALUE"""),8.0)</f>
        <v>8</v>
      </c>
      <c r="J1319" s="3">
        <f>IFERROR(__xludf.DUMMYFUNCTION("""COMPUTED_VALUE"""),2012.0)</f>
        <v>2012</v>
      </c>
      <c r="K1319" s="12">
        <f t="shared" si="2"/>
        <v>41098</v>
      </c>
      <c r="L1319" s="3" t="s">
        <v>825</v>
      </c>
      <c r="M1319" s="3" t="s">
        <v>821</v>
      </c>
      <c r="N1319" s="3">
        <v>4594.0</v>
      </c>
      <c r="O1319" s="3" t="s">
        <v>815</v>
      </c>
      <c r="P1319" s="10">
        <v>6362.0</v>
      </c>
      <c r="Q1319" s="13">
        <v>9.33</v>
      </c>
      <c r="R1319" s="13">
        <v>6.92</v>
      </c>
      <c r="S1319" s="13">
        <f t="shared" si="3"/>
        <v>59357.46</v>
      </c>
      <c r="T1319" s="13">
        <f t="shared" si="4"/>
        <v>44025.04</v>
      </c>
      <c r="U1319" s="13">
        <f t="shared" si="5"/>
        <v>15332.42</v>
      </c>
      <c r="V1319" s="3" t="str">
        <f>VLOOKUP(N1319,products!A:B,2,0)</f>
        <v>Fruits</v>
      </c>
      <c r="W1319" s="3" t="s">
        <v>821</v>
      </c>
      <c r="X1319" s="3" t="s">
        <v>821</v>
      </c>
      <c r="Y1319" s="14">
        <f t="shared" si="10"/>
        <v>0.258306538</v>
      </c>
      <c r="Z1319" s="3">
        <f t="shared" si="7"/>
        <v>27</v>
      </c>
      <c r="AA1319" s="15">
        <f t="shared" si="8"/>
        <v>2</v>
      </c>
    </row>
    <row r="1320" ht="15.75" customHeight="1">
      <c r="A1320" s="3">
        <v>9.89403665E8</v>
      </c>
      <c r="B1320" s="3" t="s">
        <v>1864</v>
      </c>
      <c r="C1320" s="3">
        <f>IFERROR(__xludf.DUMMYFUNCTION("split(B1320,""/"")"),4.0)</f>
        <v>4</v>
      </c>
      <c r="D1320" s="10">
        <f>IFERROR(__xludf.DUMMYFUNCTION("""COMPUTED_VALUE"""),22.0)</f>
        <v>22</v>
      </c>
      <c r="E1320" s="11">
        <f>IFERROR(__xludf.DUMMYFUNCTION("""COMPUTED_VALUE"""),2015.0)</f>
        <v>2015</v>
      </c>
      <c r="F1320" s="12">
        <f t="shared" si="1"/>
        <v>42116</v>
      </c>
      <c r="G1320" s="3" t="s">
        <v>1865</v>
      </c>
      <c r="H1320" s="3">
        <f>IFERROR(__xludf.DUMMYFUNCTION("split(G1320,""/"")"),5.0)</f>
        <v>5</v>
      </c>
      <c r="I1320" s="3">
        <f>IFERROR(__xludf.DUMMYFUNCTION("""COMPUTED_VALUE"""),25.0)</f>
        <v>25</v>
      </c>
      <c r="J1320" s="3">
        <f>IFERROR(__xludf.DUMMYFUNCTION("""COMPUTED_VALUE"""),2015.0)</f>
        <v>2015</v>
      </c>
      <c r="K1320" s="12">
        <f t="shared" si="2"/>
        <v>42149</v>
      </c>
      <c r="L1320" s="3" t="s">
        <v>814</v>
      </c>
      <c r="M1320" s="3" t="s">
        <v>536</v>
      </c>
      <c r="N1320" s="3">
        <v>2455.0</v>
      </c>
      <c r="O1320" s="3" t="s">
        <v>815</v>
      </c>
      <c r="P1320" s="10">
        <v>5386.0</v>
      </c>
      <c r="Q1320" s="13">
        <v>109.28</v>
      </c>
      <c r="R1320" s="13">
        <v>35.84</v>
      </c>
      <c r="S1320" s="13">
        <f t="shared" si="3"/>
        <v>588582.08</v>
      </c>
      <c r="T1320" s="13">
        <f t="shared" si="4"/>
        <v>193034.24</v>
      </c>
      <c r="U1320" s="13">
        <f t="shared" si="5"/>
        <v>395547.84</v>
      </c>
      <c r="V1320" s="3" t="str">
        <f>VLOOKUP(N1320,products!A:B,2,0)</f>
        <v>Clothes</v>
      </c>
      <c r="W1320" s="3" t="s">
        <v>28</v>
      </c>
      <c r="X1320" s="3" t="s">
        <v>33</v>
      </c>
      <c r="Y1320" s="14">
        <f t="shared" si="10"/>
        <v>0.6720351391</v>
      </c>
      <c r="Z1320" s="3">
        <f t="shared" si="7"/>
        <v>33</v>
      </c>
      <c r="AA1320" s="15">
        <f t="shared" si="8"/>
        <v>4</v>
      </c>
    </row>
    <row r="1321" ht="15.75" customHeight="1">
      <c r="A1321" s="3">
        <v>9.9045509E8</v>
      </c>
      <c r="B1321" s="3" t="s">
        <v>1542</v>
      </c>
      <c r="C1321" s="3">
        <f>IFERROR(__xludf.DUMMYFUNCTION("split(B1321,""/"")"),11.0)</f>
        <v>11</v>
      </c>
      <c r="D1321" s="10">
        <f>IFERROR(__xludf.DUMMYFUNCTION("""COMPUTED_VALUE"""),30.0)</f>
        <v>30</v>
      </c>
      <c r="E1321" s="11">
        <f>IFERROR(__xludf.DUMMYFUNCTION("""COMPUTED_VALUE"""),2013.0)</f>
        <v>2013</v>
      </c>
      <c r="F1321" s="12">
        <f t="shared" si="1"/>
        <v>41608</v>
      </c>
      <c r="G1321" s="3" t="s">
        <v>1190</v>
      </c>
      <c r="H1321" s="3">
        <f>IFERROR(__xludf.DUMMYFUNCTION("split(G1321,""/"")"),12.0)</f>
        <v>12</v>
      </c>
      <c r="I1321" s="3">
        <f>IFERROR(__xludf.DUMMYFUNCTION("""COMPUTED_VALUE"""),14.0)</f>
        <v>14</v>
      </c>
      <c r="J1321" s="3">
        <f>IFERROR(__xludf.DUMMYFUNCTION("""COMPUTED_VALUE"""),2013.0)</f>
        <v>2013</v>
      </c>
      <c r="K1321" s="12">
        <f t="shared" si="2"/>
        <v>41622</v>
      </c>
      <c r="L1321" s="3" t="s">
        <v>814</v>
      </c>
      <c r="M1321" s="3" t="s">
        <v>97</v>
      </c>
      <c r="N1321" s="3">
        <v>7940.0</v>
      </c>
      <c r="O1321" s="3" t="s">
        <v>815</v>
      </c>
      <c r="P1321" s="10">
        <v>6526.0</v>
      </c>
      <c r="Q1321" s="13">
        <v>668.27</v>
      </c>
      <c r="R1321" s="13">
        <v>502.54</v>
      </c>
      <c r="S1321" s="13">
        <f t="shared" si="3"/>
        <v>4361130.02</v>
      </c>
      <c r="T1321" s="13">
        <f t="shared" si="4"/>
        <v>3279576.04</v>
      </c>
      <c r="U1321" s="13">
        <f t="shared" si="5"/>
        <v>1081553.98</v>
      </c>
      <c r="V1321" s="3" t="str">
        <f>VLOOKUP(N1321,products!A:B,2,0)</f>
        <v>Household</v>
      </c>
      <c r="W1321" s="3" t="s">
        <v>28</v>
      </c>
      <c r="X1321" s="3" t="s">
        <v>98</v>
      </c>
      <c r="Y1321" s="14">
        <f t="shared" si="10"/>
        <v>0.2479985635</v>
      </c>
      <c r="Z1321" s="3">
        <f t="shared" si="7"/>
        <v>14</v>
      </c>
      <c r="AA1321" s="15">
        <f t="shared" si="8"/>
        <v>7</v>
      </c>
    </row>
    <row r="1322" ht="15.75" customHeight="1">
      <c r="A1322" s="3">
        <v>9.9077481E8</v>
      </c>
      <c r="B1322" s="3" t="s">
        <v>1866</v>
      </c>
      <c r="C1322" s="3">
        <f>IFERROR(__xludf.DUMMYFUNCTION("split(B1322,""/"")"),1.0)</f>
        <v>1</v>
      </c>
      <c r="D1322" s="10">
        <f>IFERROR(__xludf.DUMMYFUNCTION("""COMPUTED_VALUE"""),17.0)</f>
        <v>17</v>
      </c>
      <c r="E1322" s="11">
        <f>IFERROR(__xludf.DUMMYFUNCTION("""COMPUTED_VALUE"""),2014.0)</f>
        <v>2014</v>
      </c>
      <c r="F1322" s="12">
        <f t="shared" si="1"/>
        <v>41656</v>
      </c>
      <c r="G1322" s="3" t="s">
        <v>1539</v>
      </c>
      <c r="H1322" s="3">
        <f>IFERROR(__xludf.DUMMYFUNCTION("split(G1322,""/"")"),2.0)</f>
        <v>2</v>
      </c>
      <c r="I1322" s="3">
        <f>IFERROR(__xludf.DUMMYFUNCTION("""COMPUTED_VALUE"""),18.0)</f>
        <v>18</v>
      </c>
      <c r="J1322" s="3">
        <f>IFERROR(__xludf.DUMMYFUNCTION("""COMPUTED_VALUE"""),2014.0)</f>
        <v>2014</v>
      </c>
      <c r="K1322" s="12">
        <f t="shared" si="2"/>
        <v>41688</v>
      </c>
      <c r="L1322" s="3" t="s">
        <v>817</v>
      </c>
      <c r="M1322" s="3" t="s">
        <v>512</v>
      </c>
      <c r="N1322" s="3">
        <v>7940.0</v>
      </c>
      <c r="O1322" s="3" t="s">
        <v>818</v>
      </c>
      <c r="P1322" s="10">
        <v>1138.0</v>
      </c>
      <c r="Q1322" s="13">
        <v>668.27</v>
      </c>
      <c r="R1322" s="13">
        <v>502.54</v>
      </c>
      <c r="S1322" s="13">
        <f t="shared" si="3"/>
        <v>760491.26</v>
      </c>
      <c r="T1322" s="13">
        <f t="shared" si="4"/>
        <v>571890.52</v>
      </c>
      <c r="U1322" s="13">
        <f t="shared" si="5"/>
        <v>188600.74</v>
      </c>
      <c r="V1322" s="3" t="str">
        <f>VLOOKUP(N1322,products!A:B,2,0)</f>
        <v>Household</v>
      </c>
      <c r="W1322" s="3" t="s">
        <v>28</v>
      </c>
      <c r="X1322" s="3" t="s">
        <v>79</v>
      </c>
      <c r="Y1322" s="14">
        <f t="shared" si="10"/>
        <v>0.2479985635</v>
      </c>
      <c r="Z1322" s="3">
        <f t="shared" si="7"/>
        <v>32</v>
      </c>
      <c r="AA1322" s="15">
        <f t="shared" si="8"/>
        <v>6</v>
      </c>
    </row>
    <row r="1323" ht="15.75" customHeight="1">
      <c r="A1323" s="3">
        <v>9.91761863E8</v>
      </c>
      <c r="B1323" s="3" t="s">
        <v>1320</v>
      </c>
      <c r="C1323" s="3">
        <f>IFERROR(__xludf.DUMMYFUNCTION("split(B1323,""/"")"),12.0)</f>
        <v>12</v>
      </c>
      <c r="D1323" s="10">
        <f>IFERROR(__xludf.DUMMYFUNCTION("""COMPUTED_VALUE"""),20.0)</f>
        <v>20</v>
      </c>
      <c r="E1323" s="11">
        <f>IFERROR(__xludf.DUMMYFUNCTION("""COMPUTED_VALUE"""),2011.0)</f>
        <v>2011</v>
      </c>
      <c r="F1323" s="12">
        <f t="shared" si="1"/>
        <v>40897</v>
      </c>
      <c r="G1323" s="3" t="s">
        <v>1152</v>
      </c>
      <c r="H1323" s="3">
        <f>IFERROR(__xludf.DUMMYFUNCTION("split(G1323,""/"")"),12.0)</f>
        <v>12</v>
      </c>
      <c r="I1323" s="3">
        <f>IFERROR(__xludf.DUMMYFUNCTION("""COMPUTED_VALUE"""),24.0)</f>
        <v>24</v>
      </c>
      <c r="J1323" s="3">
        <f>IFERROR(__xludf.DUMMYFUNCTION("""COMPUTED_VALUE"""),2011.0)</f>
        <v>2011</v>
      </c>
      <c r="K1323" s="12">
        <f t="shared" si="2"/>
        <v>40901</v>
      </c>
      <c r="L1323" s="3" t="s">
        <v>814</v>
      </c>
      <c r="M1323" s="3" t="s">
        <v>542</v>
      </c>
      <c r="N1323" s="3">
        <v>4594.0</v>
      </c>
      <c r="O1323" s="3" t="s">
        <v>818</v>
      </c>
      <c r="P1323" s="10">
        <v>3229.0</v>
      </c>
      <c r="Q1323" s="13">
        <v>9.33</v>
      </c>
      <c r="R1323" s="13">
        <v>6.92</v>
      </c>
      <c r="S1323" s="13">
        <f t="shared" si="3"/>
        <v>30126.57</v>
      </c>
      <c r="T1323" s="13">
        <f t="shared" si="4"/>
        <v>22344.68</v>
      </c>
      <c r="U1323" s="13">
        <f t="shared" si="5"/>
        <v>7781.89</v>
      </c>
      <c r="V1323" s="3" t="str">
        <f>VLOOKUP(N1323,products!A:B,2,0)</f>
        <v>Fruits</v>
      </c>
      <c r="W1323" s="3" t="s">
        <v>28</v>
      </c>
      <c r="X1323" s="3" t="s">
        <v>29</v>
      </c>
      <c r="Y1323" s="14">
        <f t="shared" si="10"/>
        <v>0.258306538</v>
      </c>
      <c r="Z1323" s="3">
        <f t="shared" si="7"/>
        <v>4</v>
      </c>
      <c r="AA1323" s="15">
        <f t="shared" si="8"/>
        <v>3</v>
      </c>
    </row>
    <row r="1324" ht="15.75" customHeight="1">
      <c r="A1324" s="3">
        <v>9.92992675E8</v>
      </c>
      <c r="B1324" s="9">
        <v>40758.0</v>
      </c>
      <c r="C1324" s="3">
        <f>IFERROR(__xludf.DUMMYFUNCTION("split(B1324,""/"")"),3.0)</f>
        <v>3</v>
      </c>
      <c r="D1324" s="10">
        <f>IFERROR(__xludf.DUMMYFUNCTION("""COMPUTED_VALUE"""),8.0)</f>
        <v>8</v>
      </c>
      <c r="E1324" s="11">
        <f>IFERROR(__xludf.DUMMYFUNCTION("""COMPUTED_VALUE"""),2011.0)</f>
        <v>2011</v>
      </c>
      <c r="F1324" s="12">
        <f t="shared" si="1"/>
        <v>40610</v>
      </c>
      <c r="G1324" s="9">
        <v>40789.0</v>
      </c>
      <c r="H1324" s="3">
        <f>IFERROR(__xludf.DUMMYFUNCTION("split(G1324,""/"")"),3.0)</f>
        <v>3</v>
      </c>
      <c r="I1324" s="3">
        <f>IFERROR(__xludf.DUMMYFUNCTION("""COMPUTED_VALUE"""),9.0)</f>
        <v>9</v>
      </c>
      <c r="J1324" s="3">
        <f>IFERROR(__xludf.DUMMYFUNCTION("""COMPUTED_VALUE"""),2011.0)</f>
        <v>2011</v>
      </c>
      <c r="K1324" s="12">
        <f t="shared" si="2"/>
        <v>40611</v>
      </c>
      <c r="L1324" s="3" t="s">
        <v>814</v>
      </c>
      <c r="M1324" s="3" t="s">
        <v>635</v>
      </c>
      <c r="N1324" s="3">
        <v>5988.0</v>
      </c>
      <c r="O1324" s="3" t="s">
        <v>818</v>
      </c>
      <c r="P1324" s="10">
        <v>7454.0</v>
      </c>
      <c r="Q1324" s="13">
        <v>154.06</v>
      </c>
      <c r="R1324" s="13">
        <v>90.93</v>
      </c>
      <c r="S1324" s="13">
        <f t="shared" si="3"/>
        <v>1148363.24</v>
      </c>
      <c r="T1324" s="13">
        <f t="shared" si="4"/>
        <v>677792.22</v>
      </c>
      <c r="U1324" s="13">
        <f t="shared" si="5"/>
        <v>470571.02</v>
      </c>
      <c r="V1324" s="3" t="str">
        <f>VLOOKUP(N1324,products!A:B,2,0)</f>
        <v>Vegetables</v>
      </c>
      <c r="W1324" s="3" t="s">
        <v>28</v>
      </c>
      <c r="X1324" s="3" t="s">
        <v>33</v>
      </c>
      <c r="Y1324" s="14">
        <f t="shared" si="10"/>
        <v>0.4097754122</v>
      </c>
      <c r="Z1324" s="3">
        <f t="shared" si="7"/>
        <v>1</v>
      </c>
      <c r="AA1324" s="15">
        <f t="shared" si="8"/>
        <v>3</v>
      </c>
    </row>
    <row r="1325" ht="15.75" customHeight="1">
      <c r="A1325" s="3">
        <v>9.93368613E8</v>
      </c>
      <c r="B1325" s="9">
        <v>42584.0</v>
      </c>
      <c r="C1325" s="3">
        <f>IFERROR(__xludf.DUMMYFUNCTION("split(B1325,""/"")"),2.0)</f>
        <v>2</v>
      </c>
      <c r="D1325" s="10">
        <f>IFERROR(__xludf.DUMMYFUNCTION("""COMPUTED_VALUE"""),8.0)</f>
        <v>8</v>
      </c>
      <c r="E1325" s="11">
        <f>IFERROR(__xludf.DUMMYFUNCTION("""COMPUTED_VALUE"""),2016.0)</f>
        <v>2016</v>
      </c>
      <c r="F1325" s="12">
        <f t="shared" si="1"/>
        <v>42408</v>
      </c>
      <c r="G1325" s="3" t="s">
        <v>1867</v>
      </c>
      <c r="H1325" s="3">
        <f>IFERROR(__xludf.DUMMYFUNCTION("split(G1325,""/"")"),2.0)</f>
        <v>2</v>
      </c>
      <c r="I1325" s="3">
        <f>IFERROR(__xludf.DUMMYFUNCTION("""COMPUTED_VALUE"""),16.0)</f>
        <v>16</v>
      </c>
      <c r="J1325" s="3">
        <f>IFERROR(__xludf.DUMMYFUNCTION("""COMPUTED_VALUE"""),2016.0)</f>
        <v>2016</v>
      </c>
      <c r="K1325" s="12">
        <f t="shared" si="2"/>
        <v>42416</v>
      </c>
      <c r="L1325" s="3" t="s">
        <v>827</v>
      </c>
      <c r="M1325" s="3" t="s">
        <v>291</v>
      </c>
      <c r="N1325" s="3">
        <v>3127.0</v>
      </c>
      <c r="O1325" s="3" t="s">
        <v>818</v>
      </c>
      <c r="P1325" s="10">
        <v>8702.0</v>
      </c>
      <c r="Q1325" s="13">
        <v>81.73</v>
      </c>
      <c r="R1325" s="13">
        <v>56.67</v>
      </c>
      <c r="S1325" s="13">
        <f t="shared" si="3"/>
        <v>711214.46</v>
      </c>
      <c r="T1325" s="13">
        <f t="shared" si="4"/>
        <v>493142.34</v>
      </c>
      <c r="U1325" s="13">
        <f t="shared" si="5"/>
        <v>218072.12</v>
      </c>
      <c r="V1325" s="3" t="str">
        <f>VLOOKUP(N1325,products!A:B,2,0)</f>
        <v>Personal Care</v>
      </c>
      <c r="W1325" s="3" t="s">
        <v>28</v>
      </c>
      <c r="X1325" s="3" t="s">
        <v>79</v>
      </c>
      <c r="Y1325" s="14">
        <f t="shared" si="10"/>
        <v>0.3066193564</v>
      </c>
      <c r="Z1325" s="3">
        <f t="shared" si="7"/>
        <v>8</v>
      </c>
      <c r="AA1325" s="15">
        <f t="shared" si="8"/>
        <v>2</v>
      </c>
    </row>
    <row r="1326" ht="15.75" customHeight="1">
      <c r="A1326" s="3">
        <v>9.94406735E8</v>
      </c>
      <c r="B1326" s="9">
        <v>42191.0</v>
      </c>
      <c r="C1326" s="3">
        <f>IFERROR(__xludf.DUMMYFUNCTION("split(B1326,""/"")"),6.0)</f>
        <v>6</v>
      </c>
      <c r="D1326" s="10">
        <f>IFERROR(__xludf.DUMMYFUNCTION("""COMPUTED_VALUE"""),7.0)</f>
        <v>7</v>
      </c>
      <c r="E1326" s="11">
        <f>IFERROR(__xludf.DUMMYFUNCTION("""COMPUTED_VALUE"""),2015.0)</f>
        <v>2015</v>
      </c>
      <c r="F1326" s="12">
        <f t="shared" si="1"/>
        <v>42162</v>
      </c>
      <c r="G1326" s="3" t="s">
        <v>1868</v>
      </c>
      <c r="H1326" s="3">
        <f>IFERROR(__xludf.DUMMYFUNCTION("split(G1326,""/"")"),6.0)</f>
        <v>6</v>
      </c>
      <c r="I1326" s="3">
        <f>IFERROR(__xludf.DUMMYFUNCTION("""COMPUTED_VALUE"""),30.0)</f>
        <v>30</v>
      </c>
      <c r="J1326" s="3">
        <f>IFERROR(__xludf.DUMMYFUNCTION("""COMPUTED_VALUE"""),2015.0)</f>
        <v>2015</v>
      </c>
      <c r="K1326" s="12">
        <f t="shared" si="2"/>
        <v>42185</v>
      </c>
      <c r="L1326" s="3" t="s">
        <v>814</v>
      </c>
      <c r="M1326" s="3" t="s">
        <v>455</v>
      </c>
      <c r="N1326" s="3">
        <v>1270.0</v>
      </c>
      <c r="O1326" s="3" t="s">
        <v>815</v>
      </c>
      <c r="P1326" s="10">
        <v>5906.0</v>
      </c>
      <c r="Q1326" s="13">
        <v>47.45</v>
      </c>
      <c r="R1326" s="13">
        <v>31.79</v>
      </c>
      <c r="S1326" s="13">
        <f t="shared" si="3"/>
        <v>280239.7</v>
      </c>
      <c r="T1326" s="13">
        <f t="shared" si="4"/>
        <v>187751.74</v>
      </c>
      <c r="U1326" s="13">
        <f t="shared" si="5"/>
        <v>92487.96</v>
      </c>
      <c r="V1326" s="3" t="str">
        <f>VLOOKUP(N1326,products!A:B,2,0)</f>
        <v>Beverages</v>
      </c>
      <c r="W1326" s="3" t="s">
        <v>28</v>
      </c>
      <c r="X1326" s="3" t="s">
        <v>33</v>
      </c>
      <c r="Y1326" s="14">
        <f t="shared" si="10"/>
        <v>0.3300316122</v>
      </c>
      <c r="Z1326" s="3">
        <f t="shared" si="7"/>
        <v>23</v>
      </c>
      <c r="AA1326" s="15">
        <f t="shared" si="8"/>
        <v>1</v>
      </c>
    </row>
    <row r="1327" ht="15.75" customHeight="1">
      <c r="A1327" s="3">
        <v>9.94504153E8</v>
      </c>
      <c r="B1327" s="9">
        <v>43009.0</v>
      </c>
      <c r="C1327" s="3">
        <f>IFERROR(__xludf.DUMMYFUNCTION("split(B1327,""/"")"),1.0)</f>
        <v>1</v>
      </c>
      <c r="D1327" s="10">
        <f>IFERROR(__xludf.DUMMYFUNCTION("""COMPUTED_VALUE"""),10.0)</f>
        <v>10</v>
      </c>
      <c r="E1327" s="11">
        <f>IFERROR(__xludf.DUMMYFUNCTION("""COMPUTED_VALUE"""),2017.0)</f>
        <v>2017</v>
      </c>
      <c r="F1327" s="12">
        <f t="shared" si="1"/>
        <v>42745</v>
      </c>
      <c r="G1327" s="3" t="s">
        <v>1869</v>
      </c>
      <c r="H1327" s="3">
        <f>IFERROR(__xludf.DUMMYFUNCTION("split(G1327,""/"")"),1.0)</f>
        <v>1</v>
      </c>
      <c r="I1327" s="3">
        <f>IFERROR(__xludf.DUMMYFUNCTION("""COMPUTED_VALUE"""),13.0)</f>
        <v>13</v>
      </c>
      <c r="J1327" s="3">
        <f>IFERROR(__xludf.DUMMYFUNCTION("""COMPUTED_VALUE"""),2017.0)</f>
        <v>2017</v>
      </c>
      <c r="K1327" s="12">
        <f t="shared" si="2"/>
        <v>42748</v>
      </c>
      <c r="L1327" s="3" t="s">
        <v>814</v>
      </c>
      <c r="M1327" s="3" t="s">
        <v>686</v>
      </c>
      <c r="N1327" s="3">
        <v>4594.0</v>
      </c>
      <c r="O1327" s="3" t="s">
        <v>815</v>
      </c>
      <c r="P1327" s="10">
        <v>4734.0</v>
      </c>
      <c r="Q1327" s="13">
        <v>9.33</v>
      </c>
      <c r="R1327" s="13">
        <v>6.92</v>
      </c>
      <c r="S1327" s="13">
        <f t="shared" si="3"/>
        <v>44168.22</v>
      </c>
      <c r="T1327" s="13">
        <f t="shared" si="4"/>
        <v>32759.28</v>
      </c>
      <c r="U1327" s="13">
        <f t="shared" si="5"/>
        <v>11408.94</v>
      </c>
      <c r="V1327" s="3" t="str">
        <f>VLOOKUP(N1327,products!A:B,2,0)</f>
        <v>Fruits</v>
      </c>
      <c r="W1327" s="3" t="s">
        <v>28</v>
      </c>
      <c r="X1327" s="3" t="s">
        <v>29</v>
      </c>
      <c r="Y1327" s="14">
        <f t="shared" si="10"/>
        <v>0.258306538</v>
      </c>
      <c r="Z1327" s="3">
        <f t="shared" si="7"/>
        <v>3</v>
      </c>
      <c r="AA1327" s="15">
        <f t="shared" si="8"/>
        <v>3</v>
      </c>
    </row>
    <row r="1328" ht="15.75" customHeight="1">
      <c r="A1328" s="3">
        <v>9.94978797E8</v>
      </c>
      <c r="B1328" s="9">
        <v>41771.0</v>
      </c>
      <c r="C1328" s="3">
        <f>IFERROR(__xludf.DUMMYFUNCTION("split(B1328,""/"")"),12.0)</f>
        <v>12</v>
      </c>
      <c r="D1328" s="10">
        <f>IFERROR(__xludf.DUMMYFUNCTION("""COMPUTED_VALUE"""),5.0)</f>
        <v>5</v>
      </c>
      <c r="E1328" s="11">
        <f>IFERROR(__xludf.DUMMYFUNCTION("""COMPUTED_VALUE"""),2014.0)</f>
        <v>2014</v>
      </c>
      <c r="F1328" s="12">
        <f t="shared" si="1"/>
        <v>41978</v>
      </c>
      <c r="G1328" s="9">
        <v>42036.0</v>
      </c>
      <c r="H1328" s="3">
        <f>IFERROR(__xludf.DUMMYFUNCTION("split(G1328,""/"")"),1.0)</f>
        <v>1</v>
      </c>
      <c r="I1328" s="3">
        <f>IFERROR(__xludf.DUMMYFUNCTION("""COMPUTED_VALUE"""),2.0)</f>
        <v>2</v>
      </c>
      <c r="J1328" s="3">
        <f>IFERROR(__xludf.DUMMYFUNCTION("""COMPUTED_VALUE"""),2015.0)</f>
        <v>2015</v>
      </c>
      <c r="K1328" s="12">
        <f t="shared" si="2"/>
        <v>42006</v>
      </c>
      <c r="L1328" s="3" t="s">
        <v>827</v>
      </c>
      <c r="M1328" s="3" t="s">
        <v>373</v>
      </c>
      <c r="N1328" s="3">
        <v>1270.0</v>
      </c>
      <c r="O1328" s="3" t="s">
        <v>818</v>
      </c>
      <c r="P1328" s="10">
        <v>5192.0</v>
      </c>
      <c r="Q1328" s="13">
        <v>47.45</v>
      </c>
      <c r="R1328" s="13">
        <v>31.79</v>
      </c>
      <c r="S1328" s="13">
        <f t="shared" si="3"/>
        <v>246360.4</v>
      </c>
      <c r="T1328" s="13">
        <f t="shared" si="4"/>
        <v>165053.68</v>
      </c>
      <c r="U1328" s="13">
        <f t="shared" si="5"/>
        <v>81306.72</v>
      </c>
      <c r="V1328" s="3" t="str">
        <f>VLOOKUP(N1328,products!A:B,2,0)</f>
        <v>Beverages</v>
      </c>
      <c r="W1328" s="3" t="s">
        <v>28</v>
      </c>
      <c r="X1328" s="3" t="s">
        <v>33</v>
      </c>
      <c r="Y1328" s="14">
        <f t="shared" si="10"/>
        <v>0.3300316122</v>
      </c>
      <c r="Z1328" s="3">
        <f t="shared" si="7"/>
        <v>28</v>
      </c>
      <c r="AA1328" s="15">
        <f t="shared" si="8"/>
        <v>6</v>
      </c>
    </row>
    <row r="1329" ht="15.75" customHeight="1">
      <c r="A1329" s="3">
        <v>9.96754205E8</v>
      </c>
      <c r="B1329" s="3" t="s">
        <v>1150</v>
      </c>
      <c r="C1329" s="3">
        <f>IFERROR(__xludf.DUMMYFUNCTION("split(B1329,""/"")"),9.0)</f>
        <v>9</v>
      </c>
      <c r="D1329" s="10">
        <f>IFERROR(__xludf.DUMMYFUNCTION("""COMPUTED_VALUE"""),20.0)</f>
        <v>20</v>
      </c>
      <c r="E1329" s="11">
        <f>IFERROR(__xludf.DUMMYFUNCTION("""COMPUTED_VALUE"""),2010.0)</f>
        <v>2010</v>
      </c>
      <c r="F1329" s="12">
        <f t="shared" si="1"/>
        <v>40441</v>
      </c>
      <c r="G1329" s="3" t="s">
        <v>1870</v>
      </c>
      <c r="H1329" s="3">
        <f>IFERROR(__xludf.DUMMYFUNCTION("split(G1329,""/"")"),9.0)</f>
        <v>9</v>
      </c>
      <c r="I1329" s="3">
        <f>IFERROR(__xludf.DUMMYFUNCTION("""COMPUTED_VALUE"""),22.0)</f>
        <v>22</v>
      </c>
      <c r="J1329" s="3">
        <f>IFERROR(__xludf.DUMMYFUNCTION("""COMPUTED_VALUE"""),2010.0)</f>
        <v>2010</v>
      </c>
      <c r="K1329" s="12">
        <f t="shared" si="2"/>
        <v>40443</v>
      </c>
      <c r="L1329" s="3" t="s">
        <v>825</v>
      </c>
      <c r="M1329" s="3" t="s">
        <v>593</v>
      </c>
      <c r="N1329" s="3">
        <v>7331.0</v>
      </c>
      <c r="O1329" s="3" t="s">
        <v>818</v>
      </c>
      <c r="P1329" s="10">
        <v>574.0</v>
      </c>
      <c r="Q1329" s="13">
        <v>255.28</v>
      </c>
      <c r="R1329" s="13">
        <v>159.42</v>
      </c>
      <c r="S1329" s="13">
        <f t="shared" si="3"/>
        <v>146530.72</v>
      </c>
      <c r="T1329" s="13">
        <f t="shared" si="4"/>
        <v>91507.08</v>
      </c>
      <c r="U1329" s="13">
        <f t="shared" si="5"/>
        <v>55023.64</v>
      </c>
      <c r="V1329" s="3" t="str">
        <f>VLOOKUP(N1329,products!A:B,2,0)</f>
        <v>Baby Food</v>
      </c>
      <c r="W1329" s="3" t="s">
        <v>28</v>
      </c>
      <c r="X1329" s="3" t="s">
        <v>98</v>
      </c>
      <c r="Y1329" s="14">
        <f t="shared" si="10"/>
        <v>0.3755092448</v>
      </c>
      <c r="Z1329" s="3">
        <f t="shared" si="7"/>
        <v>2</v>
      </c>
      <c r="AA1329" s="15">
        <f t="shared" si="8"/>
        <v>2</v>
      </c>
    </row>
    <row r="1330" ht="15.75" customHeight="1">
      <c r="A1330" s="3">
        <v>9.98043382E8</v>
      </c>
      <c r="B1330" s="3" t="s">
        <v>1014</v>
      </c>
      <c r="C1330" s="3">
        <f>IFERROR(__xludf.DUMMYFUNCTION("split(B1330,""/"")"),6.0)</f>
        <v>6</v>
      </c>
      <c r="D1330" s="10">
        <f>IFERROR(__xludf.DUMMYFUNCTION("""COMPUTED_VALUE"""),15.0)</f>
        <v>15</v>
      </c>
      <c r="E1330" s="11">
        <f>IFERROR(__xludf.DUMMYFUNCTION("""COMPUTED_VALUE"""),2010.0)</f>
        <v>2010</v>
      </c>
      <c r="F1330" s="12">
        <f t="shared" si="1"/>
        <v>40344</v>
      </c>
      <c r="G1330" s="9">
        <v>40244.0</v>
      </c>
      <c r="H1330" s="3">
        <f>IFERROR(__xludf.DUMMYFUNCTION("split(G1330,""/"")"),7.0)</f>
        <v>7</v>
      </c>
      <c r="I1330" s="3">
        <f>IFERROR(__xludf.DUMMYFUNCTION("""COMPUTED_VALUE"""),3.0)</f>
        <v>3</v>
      </c>
      <c r="J1330" s="3">
        <f>IFERROR(__xludf.DUMMYFUNCTION("""COMPUTED_VALUE"""),2010.0)</f>
        <v>2010</v>
      </c>
      <c r="K1330" s="12">
        <f t="shared" si="2"/>
        <v>40362</v>
      </c>
      <c r="L1330" s="3" t="s">
        <v>827</v>
      </c>
      <c r="M1330" s="3" t="s">
        <v>455</v>
      </c>
      <c r="N1330" s="3">
        <v>8293.0</v>
      </c>
      <c r="O1330" s="3" t="s">
        <v>815</v>
      </c>
      <c r="P1330" s="10">
        <v>2070.0</v>
      </c>
      <c r="Q1330" s="13">
        <v>437.2</v>
      </c>
      <c r="R1330" s="13">
        <v>263.33</v>
      </c>
      <c r="S1330" s="13">
        <f t="shared" si="3"/>
        <v>905004</v>
      </c>
      <c r="T1330" s="13">
        <f t="shared" si="4"/>
        <v>545093.1</v>
      </c>
      <c r="U1330" s="13">
        <f t="shared" si="5"/>
        <v>359910.9</v>
      </c>
      <c r="V1330" s="3" t="str">
        <f>VLOOKUP(N1330,products!A:B,2,0)</f>
        <v>Cosmetics</v>
      </c>
      <c r="W1330" s="3" t="s">
        <v>28</v>
      </c>
      <c r="X1330" s="3" t="s">
        <v>33</v>
      </c>
      <c r="Y1330" s="14">
        <f t="shared" si="10"/>
        <v>0.3976898445</v>
      </c>
      <c r="Z1330" s="3">
        <f t="shared" si="7"/>
        <v>18</v>
      </c>
      <c r="AA1330" s="15">
        <f t="shared" si="8"/>
        <v>3</v>
      </c>
    </row>
    <row r="1331" ht="15.75" customHeight="1">
      <c r="A1331" s="3">
        <v>9.99879729E8</v>
      </c>
      <c r="B1331" s="3" t="s">
        <v>1278</v>
      </c>
      <c r="C1331" s="3">
        <f>IFERROR(__xludf.DUMMYFUNCTION("split(B1331,""/"")"),3.0)</f>
        <v>3</v>
      </c>
      <c r="D1331" s="10">
        <f>IFERROR(__xludf.DUMMYFUNCTION("""COMPUTED_VALUE"""),31.0)</f>
        <v>31</v>
      </c>
      <c r="E1331" s="11">
        <f>IFERROR(__xludf.DUMMYFUNCTION("""COMPUTED_VALUE"""),2012.0)</f>
        <v>2012</v>
      </c>
      <c r="F1331" s="12">
        <f t="shared" si="1"/>
        <v>40999</v>
      </c>
      <c r="G1331" s="9">
        <v>41065.0</v>
      </c>
      <c r="H1331" s="3">
        <f>IFERROR(__xludf.DUMMYFUNCTION("split(G1331,""/"")"),5.0)</f>
        <v>5</v>
      </c>
      <c r="I1331" s="3">
        <f>IFERROR(__xludf.DUMMYFUNCTION("""COMPUTED_VALUE"""),6.0)</f>
        <v>6</v>
      </c>
      <c r="J1331" s="3">
        <f>IFERROR(__xludf.DUMMYFUNCTION("""COMPUTED_VALUE"""),2012.0)</f>
        <v>2012</v>
      </c>
      <c r="K1331" s="12">
        <f t="shared" si="2"/>
        <v>41035</v>
      </c>
      <c r="L1331" s="3" t="s">
        <v>814</v>
      </c>
      <c r="M1331" s="3" t="s">
        <v>32</v>
      </c>
      <c r="N1331" s="3">
        <v>7940.0</v>
      </c>
      <c r="O1331" s="3" t="s">
        <v>818</v>
      </c>
      <c r="P1331" s="10">
        <v>5486.0</v>
      </c>
      <c r="Q1331" s="13">
        <v>668.27</v>
      </c>
      <c r="R1331" s="13">
        <v>502.54</v>
      </c>
      <c r="S1331" s="13">
        <f t="shared" si="3"/>
        <v>3666129.22</v>
      </c>
      <c r="T1331" s="13">
        <f t="shared" si="4"/>
        <v>2756934.44</v>
      </c>
      <c r="U1331" s="13">
        <f t="shared" si="5"/>
        <v>909194.78</v>
      </c>
      <c r="V1331" s="3" t="str">
        <f>VLOOKUP(N1331,products!A:B,2,0)</f>
        <v>Household</v>
      </c>
      <c r="W1331" s="3" t="s">
        <v>28</v>
      </c>
      <c r="X1331" s="3" t="s">
        <v>33</v>
      </c>
      <c r="Y1331" s="14">
        <f t="shared" si="10"/>
        <v>0.2479985635</v>
      </c>
      <c r="Z1331" s="3">
        <f t="shared" si="7"/>
        <v>36</v>
      </c>
      <c r="AA1331" s="15">
        <f t="shared" si="8"/>
        <v>7</v>
      </c>
    </row>
    <row r="1332" ht="15.75" customHeight="1">
      <c r="A1332" s="18">
        <f>COUNTA(A2:A1331)</f>
        <v>1330</v>
      </c>
      <c r="B1332" s="18"/>
      <c r="C1332" s="18"/>
      <c r="D1332" s="19"/>
      <c r="E1332" s="20"/>
      <c r="F1332" s="21"/>
      <c r="G1332" s="22"/>
      <c r="H1332" s="18"/>
      <c r="I1332" s="18"/>
      <c r="J1332" s="18"/>
      <c r="K1332" s="21"/>
      <c r="L1332" s="18"/>
      <c r="M1332" s="18">
        <f t="array" ref="M1332">COUNTA(unique(M2:M1331))</f>
        <v>46</v>
      </c>
      <c r="N1332" s="18"/>
      <c r="O1332" s="18"/>
      <c r="P1332" s="19"/>
      <c r="Q1332" s="23">
        <f t="shared" ref="Q1332:U1332" si="11">SUM(Q2:Q1331)</f>
        <v>352308.41</v>
      </c>
      <c r="R1332" s="23">
        <f t="shared" si="11"/>
        <v>249038.26</v>
      </c>
      <c r="S1332" s="23">
        <f t="shared" si="11"/>
        <v>1702129408</v>
      </c>
      <c r="T1332" s="23">
        <f t="shared" si="11"/>
        <v>1200694949</v>
      </c>
      <c r="U1332" s="23">
        <f t="shared" si="11"/>
        <v>501434459</v>
      </c>
      <c r="Y1332" s="24">
        <f t="shared" si="10"/>
        <v>0.294592442</v>
      </c>
      <c r="Z1332" s="3">
        <f t="shared" si="7"/>
        <v>0</v>
      </c>
      <c r="AA1332" s="15">
        <f t="shared" si="8"/>
        <v>7</v>
      </c>
    </row>
    <row r="1333" ht="15.75" customHeight="1">
      <c r="A1333" s="15"/>
      <c r="B1333" s="15"/>
      <c r="C1333" s="15"/>
      <c r="D1333" s="10"/>
      <c r="E1333" s="11"/>
      <c r="F1333" s="12"/>
      <c r="G1333" s="9"/>
      <c r="H1333" s="3"/>
      <c r="I1333" s="3"/>
      <c r="J1333" s="3"/>
      <c r="K1333" s="12"/>
      <c r="L1333" s="3"/>
      <c r="M1333" s="3"/>
      <c r="N1333" s="3"/>
      <c r="O1333" s="3"/>
      <c r="P1333" s="10"/>
      <c r="Q1333" s="13"/>
      <c r="R1333" s="13"/>
      <c r="S1333" s="13"/>
      <c r="Y1333" s="14"/>
      <c r="AA1333" s="15"/>
    </row>
    <row r="1334" ht="15.75" customHeight="1">
      <c r="A1334" s="25"/>
      <c r="B1334" s="25"/>
      <c r="C1334" s="15"/>
      <c r="D1334" s="10"/>
      <c r="E1334" s="11"/>
      <c r="F1334" s="12"/>
      <c r="G1334" s="9"/>
      <c r="H1334" s="3"/>
      <c r="I1334" s="3"/>
      <c r="J1334" s="3"/>
      <c r="K1334" s="12"/>
      <c r="L1334" s="3"/>
      <c r="M1334" s="3"/>
      <c r="N1334" s="3"/>
      <c r="O1334" s="3"/>
      <c r="P1334" s="10"/>
      <c r="Q1334" s="13"/>
      <c r="R1334" s="13"/>
      <c r="S1334" s="13"/>
      <c r="Y1334" s="14"/>
      <c r="AA1334" s="15"/>
    </row>
    <row r="1335" ht="15.75" customHeight="1">
      <c r="A1335" s="15"/>
      <c r="B1335" s="26"/>
      <c r="C1335" s="25"/>
      <c r="D1335" s="10"/>
      <c r="E1335" s="11"/>
      <c r="F1335" s="12"/>
      <c r="G1335" s="9"/>
      <c r="H1335" s="3"/>
      <c r="I1335" s="3"/>
      <c r="J1335" s="3"/>
      <c r="K1335" s="12"/>
      <c r="L1335" s="3"/>
      <c r="M1335" s="3"/>
      <c r="N1335" s="3"/>
      <c r="O1335" s="3"/>
      <c r="P1335" s="10"/>
      <c r="Q1335" s="13"/>
      <c r="R1335" s="13"/>
      <c r="S1335" s="13"/>
      <c r="Y1335" s="14"/>
      <c r="AA1335" s="15"/>
    </row>
    <row r="1336" ht="15.75" customHeight="1">
      <c r="A1336" s="15"/>
      <c r="B1336" s="15"/>
      <c r="C1336" s="15"/>
      <c r="D1336" s="10"/>
      <c r="E1336" s="11"/>
      <c r="F1336" s="12"/>
      <c r="G1336" s="9"/>
      <c r="H1336" s="3"/>
      <c r="I1336" s="3"/>
      <c r="J1336" s="3"/>
      <c r="K1336" s="12"/>
      <c r="L1336" s="3"/>
      <c r="M1336" s="3"/>
      <c r="N1336" s="3"/>
      <c r="O1336" s="3"/>
      <c r="P1336" s="10"/>
      <c r="Q1336" s="13"/>
      <c r="R1336" s="13"/>
      <c r="S1336" s="13"/>
      <c r="Y1336" s="14"/>
      <c r="AA1336" s="15"/>
    </row>
    <row r="1337" ht="15.75" customHeight="1">
      <c r="A1337" s="15"/>
      <c r="B1337" s="15"/>
      <c r="C1337" s="15"/>
      <c r="D1337" s="10"/>
      <c r="E1337" s="11"/>
      <c r="F1337" s="12"/>
      <c r="G1337" s="9"/>
      <c r="H1337" s="3"/>
      <c r="I1337" s="3"/>
      <c r="J1337" s="3"/>
      <c r="K1337" s="12"/>
      <c r="L1337" s="3"/>
      <c r="M1337" s="3"/>
      <c r="N1337" s="3"/>
      <c r="O1337" s="3"/>
      <c r="P1337" s="10"/>
      <c r="Q1337" s="13"/>
      <c r="R1337" s="13"/>
      <c r="S1337" s="13"/>
      <c r="Y1337" s="14"/>
      <c r="AA1337" s="15"/>
    </row>
    <row r="1338" ht="15.75" customHeight="1">
      <c r="A1338" s="15"/>
      <c r="B1338" s="15"/>
      <c r="C1338" s="15"/>
      <c r="D1338" s="10"/>
      <c r="E1338" s="11"/>
      <c r="F1338" s="12"/>
      <c r="G1338" s="9"/>
      <c r="H1338" s="3"/>
      <c r="I1338" s="3"/>
      <c r="J1338" s="3"/>
      <c r="K1338" s="12"/>
      <c r="L1338" s="3"/>
      <c r="M1338" s="3"/>
      <c r="N1338" s="3"/>
      <c r="O1338" s="3"/>
      <c r="P1338" s="10"/>
      <c r="Q1338" s="13"/>
      <c r="R1338" s="13"/>
      <c r="S1338" s="13"/>
      <c r="Y1338" s="14"/>
      <c r="AA1338" s="15"/>
    </row>
    <row r="1339" ht="15.75" customHeight="1">
      <c r="A1339" s="15"/>
      <c r="B1339" s="15"/>
      <c r="C1339" s="15"/>
      <c r="D1339" s="10"/>
      <c r="E1339" s="11"/>
      <c r="F1339" s="12"/>
      <c r="G1339" s="9"/>
      <c r="H1339" s="3"/>
      <c r="I1339" s="3"/>
      <c r="J1339" s="3"/>
      <c r="K1339" s="12"/>
      <c r="L1339" s="3"/>
      <c r="M1339" s="3"/>
      <c r="N1339" s="3"/>
      <c r="O1339" s="3"/>
      <c r="P1339" s="10"/>
      <c r="Q1339" s="13"/>
      <c r="R1339" s="13"/>
      <c r="S1339" s="13"/>
      <c r="Y1339" s="14"/>
      <c r="AA1339" s="15"/>
    </row>
    <row r="1340" ht="15.75" customHeight="1">
      <c r="A1340" s="15"/>
      <c r="B1340" s="15"/>
      <c r="C1340" s="15"/>
      <c r="D1340" s="10"/>
      <c r="E1340" s="11"/>
      <c r="F1340" s="12"/>
      <c r="G1340" s="9"/>
      <c r="H1340" s="3"/>
      <c r="I1340" s="3"/>
      <c r="J1340" s="3"/>
      <c r="K1340" s="12"/>
      <c r="L1340" s="3"/>
      <c r="M1340" s="3"/>
      <c r="N1340" s="3"/>
      <c r="O1340" s="3"/>
      <c r="P1340" s="10"/>
      <c r="Q1340" s="13"/>
      <c r="R1340" s="13"/>
      <c r="S1340" s="13"/>
      <c r="Y1340" s="14"/>
      <c r="AA1340" s="15"/>
    </row>
    <row r="1341" ht="15.75" customHeight="1">
      <c r="A1341" s="15"/>
      <c r="B1341" s="15"/>
      <c r="C1341" s="15"/>
      <c r="D1341" s="10"/>
      <c r="E1341" s="11"/>
      <c r="F1341" s="12"/>
      <c r="G1341" s="9"/>
      <c r="H1341" s="3"/>
      <c r="I1341" s="3"/>
      <c r="J1341" s="3"/>
      <c r="K1341" s="12"/>
      <c r="L1341" s="3"/>
      <c r="M1341" s="3"/>
      <c r="N1341" s="3"/>
      <c r="O1341" s="3"/>
      <c r="P1341" s="10"/>
      <c r="Q1341" s="13"/>
      <c r="R1341" s="13"/>
      <c r="S1341" s="13"/>
      <c r="Y1341" s="14"/>
      <c r="AA1341" s="15"/>
    </row>
    <row r="1342" ht="15.75" customHeight="1">
      <c r="A1342" s="15"/>
      <c r="B1342" s="15"/>
      <c r="C1342" s="15"/>
      <c r="D1342" s="10"/>
      <c r="E1342" s="11"/>
      <c r="F1342" s="12"/>
      <c r="G1342" s="9"/>
      <c r="H1342" s="3"/>
      <c r="I1342" s="3"/>
      <c r="J1342" s="3"/>
      <c r="K1342" s="12"/>
      <c r="L1342" s="3"/>
      <c r="M1342" s="3"/>
      <c r="N1342" s="3"/>
      <c r="O1342" s="3"/>
      <c r="P1342" s="10"/>
      <c r="Q1342" s="13"/>
      <c r="R1342" s="13"/>
      <c r="S1342" s="13"/>
      <c r="Y1342" s="14"/>
      <c r="AA1342" s="15"/>
    </row>
    <row r="1343" ht="15.75" customHeight="1">
      <c r="A1343" s="15"/>
      <c r="B1343" s="15"/>
      <c r="C1343" s="15"/>
      <c r="D1343" s="10"/>
      <c r="E1343" s="11"/>
      <c r="F1343" s="12"/>
      <c r="G1343" s="9"/>
      <c r="H1343" s="3"/>
      <c r="I1343" s="3"/>
      <c r="J1343" s="3"/>
      <c r="K1343" s="12"/>
      <c r="L1343" s="3"/>
      <c r="M1343" s="3"/>
      <c r="N1343" s="3"/>
      <c r="O1343" s="3"/>
      <c r="P1343" s="10"/>
      <c r="Q1343" s="13"/>
      <c r="R1343" s="13"/>
      <c r="S1343" s="13"/>
      <c r="Y1343" s="14"/>
      <c r="AA1343" s="15"/>
    </row>
    <row r="1344" ht="15.75" customHeight="1">
      <c r="A1344" s="15"/>
      <c r="B1344" s="15"/>
      <c r="C1344" s="15"/>
      <c r="D1344" s="10"/>
      <c r="E1344" s="11"/>
      <c r="F1344" s="12"/>
      <c r="G1344" s="9"/>
      <c r="H1344" s="3"/>
      <c r="I1344" s="3"/>
      <c r="J1344" s="3"/>
      <c r="K1344" s="12"/>
      <c r="L1344" s="3"/>
      <c r="M1344" s="3"/>
      <c r="N1344" s="3"/>
      <c r="O1344" s="3"/>
      <c r="P1344" s="10"/>
      <c r="Q1344" s="13"/>
      <c r="R1344" s="13"/>
      <c r="S1344" s="13"/>
      <c r="Y1344" s="14"/>
      <c r="AA1344" s="15"/>
    </row>
    <row r="1345" ht="15.75" customHeight="1">
      <c r="A1345" s="15"/>
      <c r="B1345" s="15"/>
      <c r="C1345" s="15"/>
      <c r="D1345" s="10"/>
      <c r="E1345" s="11"/>
      <c r="F1345" s="12"/>
      <c r="G1345" s="9"/>
      <c r="H1345" s="3"/>
      <c r="I1345" s="3"/>
      <c r="J1345" s="3"/>
      <c r="K1345" s="12"/>
      <c r="L1345" s="3"/>
      <c r="M1345" s="3"/>
      <c r="N1345" s="3"/>
      <c r="O1345" s="3"/>
      <c r="P1345" s="10"/>
      <c r="Q1345" s="13"/>
      <c r="R1345" s="13"/>
      <c r="S1345" s="13"/>
      <c r="Y1345" s="14"/>
      <c r="AA1345" s="15"/>
    </row>
    <row r="1346" ht="15.75" customHeight="1">
      <c r="A1346" s="15"/>
      <c r="B1346" s="15"/>
      <c r="C1346" s="15"/>
      <c r="D1346" s="10"/>
      <c r="E1346" s="11"/>
      <c r="F1346" s="12"/>
      <c r="G1346" s="9"/>
      <c r="H1346" s="3"/>
      <c r="I1346" s="3"/>
      <c r="J1346" s="3"/>
      <c r="K1346" s="12"/>
      <c r="L1346" s="3"/>
      <c r="M1346" s="3"/>
      <c r="N1346" s="3"/>
      <c r="O1346" s="3"/>
      <c r="P1346" s="10"/>
      <c r="Q1346" s="13"/>
      <c r="R1346" s="13"/>
      <c r="S1346" s="13"/>
      <c r="Y1346" s="14"/>
      <c r="AA1346" s="15"/>
    </row>
    <row r="1347" ht="15.75" customHeight="1">
      <c r="A1347" s="15"/>
      <c r="B1347" s="15"/>
      <c r="C1347" s="15"/>
      <c r="D1347" s="10"/>
      <c r="E1347" s="11"/>
      <c r="F1347" s="12"/>
      <c r="G1347" s="9"/>
      <c r="H1347" s="3"/>
      <c r="I1347" s="3"/>
      <c r="J1347" s="3"/>
      <c r="K1347" s="12"/>
      <c r="L1347" s="3"/>
      <c r="M1347" s="3"/>
      <c r="N1347" s="3"/>
      <c r="O1347" s="3"/>
      <c r="P1347" s="10"/>
      <c r="Q1347" s="13"/>
      <c r="R1347" s="13"/>
      <c r="S1347" s="13"/>
      <c r="Y1347" s="14"/>
      <c r="AA1347" s="15"/>
    </row>
    <row r="1348" ht="15.75" customHeight="1">
      <c r="A1348" s="15"/>
      <c r="B1348" s="15"/>
      <c r="C1348" s="15"/>
      <c r="D1348" s="10"/>
      <c r="E1348" s="11"/>
      <c r="F1348" s="12"/>
      <c r="G1348" s="9"/>
      <c r="H1348" s="3"/>
      <c r="I1348" s="3"/>
      <c r="J1348" s="3"/>
      <c r="K1348" s="12"/>
      <c r="L1348" s="3"/>
      <c r="M1348" s="3"/>
      <c r="N1348" s="3"/>
      <c r="O1348" s="3"/>
      <c r="P1348" s="10"/>
      <c r="Q1348" s="13"/>
      <c r="R1348" s="13"/>
      <c r="S1348" s="13"/>
      <c r="Y1348" s="14"/>
      <c r="AA1348" s="15"/>
    </row>
    <row r="1349" ht="15.75" customHeight="1">
      <c r="A1349" s="15"/>
      <c r="B1349" s="15"/>
      <c r="C1349" s="15"/>
      <c r="D1349" s="10"/>
      <c r="E1349" s="11"/>
      <c r="F1349" s="12"/>
      <c r="G1349" s="9"/>
      <c r="H1349" s="3"/>
      <c r="I1349" s="3"/>
      <c r="J1349" s="3"/>
      <c r="K1349" s="12"/>
      <c r="L1349" s="3"/>
      <c r="M1349" s="3"/>
      <c r="N1349" s="3"/>
      <c r="O1349" s="3"/>
      <c r="P1349" s="10"/>
      <c r="Q1349" s="13"/>
      <c r="R1349" s="13"/>
      <c r="S1349" s="13"/>
      <c r="Y1349" s="14"/>
      <c r="AA1349" s="15"/>
    </row>
    <row r="1350" ht="15.75" customHeight="1">
      <c r="A1350" s="15"/>
      <c r="B1350" s="15"/>
      <c r="C1350" s="15"/>
      <c r="D1350" s="10"/>
      <c r="E1350" s="11"/>
      <c r="F1350" s="12"/>
      <c r="G1350" s="9"/>
      <c r="H1350" s="3"/>
      <c r="I1350" s="3"/>
      <c r="J1350" s="3"/>
      <c r="K1350" s="12"/>
      <c r="L1350" s="3"/>
      <c r="M1350" s="3"/>
      <c r="N1350" s="3"/>
      <c r="O1350" s="3"/>
      <c r="P1350" s="10"/>
      <c r="Q1350" s="13"/>
      <c r="R1350" s="13"/>
      <c r="S1350" s="13"/>
      <c r="Y1350" s="14"/>
      <c r="AA1350" s="15"/>
    </row>
    <row r="1351" ht="15.75" customHeight="1">
      <c r="A1351" s="15"/>
      <c r="B1351" s="15"/>
      <c r="C1351" s="15"/>
      <c r="D1351" s="10"/>
      <c r="E1351" s="11"/>
      <c r="F1351" s="12"/>
      <c r="G1351" s="9"/>
      <c r="H1351" s="3"/>
      <c r="I1351" s="3"/>
      <c r="J1351" s="3"/>
      <c r="K1351" s="12"/>
      <c r="L1351" s="3"/>
      <c r="M1351" s="3"/>
      <c r="N1351" s="3"/>
      <c r="O1351" s="3"/>
      <c r="P1351" s="10"/>
      <c r="Q1351" s="13"/>
      <c r="R1351" s="13"/>
      <c r="S1351" s="13"/>
      <c r="Y1351" s="14"/>
      <c r="AA1351" s="15"/>
    </row>
    <row r="1352" ht="15.75" customHeight="1">
      <c r="A1352" s="15"/>
      <c r="B1352" s="15"/>
      <c r="C1352" s="15"/>
      <c r="D1352" s="10"/>
      <c r="E1352" s="11"/>
      <c r="F1352" s="12"/>
      <c r="G1352" s="9"/>
      <c r="H1352" s="3"/>
      <c r="I1352" s="3"/>
      <c r="J1352" s="3"/>
      <c r="K1352" s="12"/>
      <c r="L1352" s="3"/>
      <c r="M1352" s="3"/>
      <c r="N1352" s="3"/>
      <c r="O1352" s="3"/>
      <c r="P1352" s="10"/>
      <c r="Q1352" s="13"/>
      <c r="R1352" s="13"/>
      <c r="S1352" s="13"/>
      <c r="Y1352" s="14"/>
      <c r="AA1352" s="15"/>
    </row>
    <row r="1353" ht="15.75" customHeight="1">
      <c r="A1353" s="15"/>
      <c r="B1353" s="15"/>
      <c r="C1353" s="15"/>
      <c r="D1353" s="10"/>
      <c r="E1353" s="11"/>
      <c r="F1353" s="12"/>
      <c r="G1353" s="9"/>
      <c r="H1353" s="3"/>
      <c r="I1353" s="3"/>
      <c r="J1353" s="3"/>
      <c r="K1353" s="12"/>
      <c r="L1353" s="3"/>
      <c r="M1353" s="3"/>
      <c r="N1353" s="3"/>
      <c r="O1353" s="3"/>
      <c r="P1353" s="10"/>
      <c r="Q1353" s="13"/>
      <c r="R1353" s="13"/>
      <c r="S1353" s="13"/>
      <c r="Y1353" s="14"/>
      <c r="AA1353" s="15"/>
    </row>
    <row r="1354" ht="15.75" customHeight="1">
      <c r="A1354" s="15"/>
      <c r="B1354" s="15"/>
      <c r="C1354" s="15"/>
      <c r="D1354" s="10"/>
      <c r="E1354" s="11"/>
      <c r="F1354" s="12"/>
      <c r="G1354" s="9"/>
      <c r="H1354" s="3"/>
      <c r="I1354" s="3"/>
      <c r="J1354" s="3"/>
      <c r="K1354" s="12"/>
      <c r="L1354" s="3"/>
      <c r="M1354" s="3"/>
      <c r="N1354" s="3"/>
      <c r="O1354" s="3"/>
      <c r="P1354" s="10"/>
      <c r="Q1354" s="13"/>
      <c r="R1354" s="13"/>
      <c r="S1354" s="13"/>
      <c r="Y1354" s="14"/>
      <c r="AA1354" s="15"/>
    </row>
    <row r="1355" ht="15.75" customHeight="1">
      <c r="A1355" s="15"/>
      <c r="B1355" s="15"/>
      <c r="C1355" s="15"/>
      <c r="D1355" s="10"/>
      <c r="E1355" s="11"/>
      <c r="F1355" s="12"/>
      <c r="G1355" s="9"/>
      <c r="H1355" s="3"/>
      <c r="I1355" s="3"/>
      <c r="J1355" s="3"/>
      <c r="K1355" s="12"/>
      <c r="L1355" s="3"/>
      <c r="M1355" s="3"/>
      <c r="N1355" s="3"/>
      <c r="O1355" s="3"/>
      <c r="P1355" s="10"/>
      <c r="Q1355" s="13"/>
      <c r="R1355" s="13"/>
      <c r="S1355" s="13"/>
      <c r="Y1355" s="14"/>
      <c r="AA1355" s="15"/>
    </row>
    <row r="1356" ht="15.75" customHeight="1">
      <c r="A1356" s="15"/>
      <c r="B1356" s="15"/>
      <c r="C1356" s="15"/>
      <c r="D1356" s="10"/>
      <c r="E1356" s="11"/>
      <c r="F1356" s="12"/>
      <c r="G1356" s="9"/>
      <c r="H1356" s="3"/>
      <c r="I1356" s="3"/>
      <c r="J1356" s="3"/>
      <c r="K1356" s="12"/>
      <c r="L1356" s="3"/>
      <c r="M1356" s="3"/>
      <c r="N1356" s="3"/>
      <c r="O1356" s="3"/>
      <c r="P1356" s="10"/>
      <c r="Q1356" s="13"/>
      <c r="R1356" s="13"/>
      <c r="S1356" s="13"/>
      <c r="Y1356" s="14"/>
      <c r="AA1356" s="15"/>
    </row>
    <row r="1357" ht="15.75" customHeight="1">
      <c r="A1357" s="15"/>
      <c r="B1357" s="15"/>
      <c r="C1357" s="15"/>
      <c r="D1357" s="10"/>
      <c r="E1357" s="11"/>
      <c r="F1357" s="12"/>
      <c r="G1357" s="9"/>
      <c r="H1357" s="3"/>
      <c r="I1357" s="3"/>
      <c r="J1357" s="3"/>
      <c r="K1357" s="12"/>
      <c r="L1357" s="3"/>
      <c r="M1357" s="3"/>
      <c r="N1357" s="3"/>
      <c r="O1357" s="3"/>
      <c r="P1357" s="10"/>
      <c r="Q1357" s="13"/>
      <c r="R1357" s="13"/>
      <c r="S1357" s="13"/>
      <c r="Y1357" s="14"/>
      <c r="AA1357" s="15"/>
    </row>
    <row r="1358" ht="15.75" customHeight="1">
      <c r="A1358" s="15"/>
      <c r="B1358" s="15"/>
      <c r="C1358" s="15"/>
      <c r="D1358" s="10"/>
      <c r="E1358" s="11"/>
      <c r="F1358" s="12"/>
      <c r="G1358" s="9"/>
      <c r="H1358" s="3"/>
      <c r="I1358" s="3"/>
      <c r="J1358" s="3"/>
      <c r="K1358" s="12"/>
      <c r="L1358" s="3"/>
      <c r="M1358" s="3"/>
      <c r="N1358" s="3"/>
      <c r="O1358" s="3"/>
      <c r="P1358" s="10"/>
      <c r="Q1358" s="13"/>
      <c r="R1358" s="13"/>
      <c r="S1358" s="13"/>
      <c r="Y1358" s="14"/>
      <c r="AA1358" s="15"/>
    </row>
    <row r="1359" ht="15.75" customHeight="1">
      <c r="A1359" s="15"/>
      <c r="B1359" s="15"/>
      <c r="C1359" s="15"/>
      <c r="D1359" s="10"/>
      <c r="E1359" s="11"/>
      <c r="F1359" s="12"/>
      <c r="G1359" s="9"/>
      <c r="H1359" s="3"/>
      <c r="I1359" s="3"/>
      <c r="J1359" s="3"/>
      <c r="K1359" s="12"/>
      <c r="L1359" s="3"/>
      <c r="M1359" s="3"/>
      <c r="N1359" s="3"/>
      <c r="O1359" s="3"/>
      <c r="P1359" s="10"/>
      <c r="Q1359" s="13"/>
      <c r="R1359" s="13"/>
      <c r="S1359" s="13"/>
      <c r="Y1359" s="14"/>
      <c r="AA1359" s="15"/>
    </row>
    <row r="1360" ht="15.75" customHeight="1">
      <c r="A1360" s="15"/>
      <c r="B1360" s="15"/>
      <c r="C1360" s="15"/>
      <c r="D1360" s="10"/>
      <c r="E1360" s="11"/>
      <c r="F1360" s="12"/>
      <c r="G1360" s="9"/>
      <c r="H1360" s="3"/>
      <c r="I1360" s="3"/>
      <c r="J1360" s="3"/>
      <c r="K1360" s="12"/>
      <c r="L1360" s="3"/>
      <c r="M1360" s="3"/>
      <c r="N1360" s="3"/>
      <c r="O1360" s="3"/>
      <c r="P1360" s="10"/>
      <c r="Q1360" s="13"/>
      <c r="R1360" s="13"/>
      <c r="S1360" s="13"/>
      <c r="Y1360" s="14"/>
      <c r="AA1360" s="15"/>
    </row>
    <row r="1361" ht="15.75" customHeight="1">
      <c r="A1361" s="15"/>
      <c r="B1361" s="15"/>
      <c r="C1361" s="15"/>
      <c r="D1361" s="10"/>
      <c r="E1361" s="11"/>
      <c r="F1361" s="12"/>
      <c r="G1361" s="9"/>
      <c r="H1361" s="3"/>
      <c r="I1361" s="3"/>
      <c r="J1361" s="3"/>
      <c r="K1361" s="12"/>
      <c r="L1361" s="3"/>
      <c r="M1361" s="3"/>
      <c r="N1361" s="3"/>
      <c r="O1361" s="3"/>
      <c r="P1361" s="10"/>
      <c r="Q1361" s="13"/>
      <c r="R1361" s="13"/>
      <c r="S1361" s="13"/>
      <c r="Y1361" s="14"/>
      <c r="AA1361" s="15"/>
    </row>
    <row r="1362" ht="15.75" customHeight="1">
      <c r="A1362" s="15"/>
      <c r="B1362" s="15"/>
      <c r="C1362" s="15"/>
      <c r="D1362" s="10"/>
      <c r="E1362" s="11"/>
      <c r="F1362" s="12"/>
      <c r="G1362" s="9"/>
      <c r="H1362" s="3"/>
      <c r="I1362" s="3"/>
      <c r="J1362" s="3"/>
      <c r="K1362" s="12"/>
      <c r="L1362" s="3"/>
      <c r="M1362" s="3"/>
      <c r="N1362" s="3"/>
      <c r="O1362" s="3"/>
      <c r="P1362" s="10"/>
      <c r="Q1362" s="13"/>
      <c r="R1362" s="13"/>
      <c r="S1362" s="13"/>
      <c r="Y1362" s="14"/>
      <c r="AA1362" s="15"/>
    </row>
    <row r="1363" ht="15.75" customHeight="1">
      <c r="A1363" s="15"/>
      <c r="B1363" s="15"/>
      <c r="C1363" s="15"/>
      <c r="D1363" s="10"/>
      <c r="E1363" s="11"/>
      <c r="F1363" s="12"/>
      <c r="G1363" s="9"/>
      <c r="H1363" s="3"/>
      <c r="I1363" s="3"/>
      <c r="J1363" s="3"/>
      <c r="K1363" s="12"/>
      <c r="L1363" s="3"/>
      <c r="M1363" s="3"/>
      <c r="N1363" s="3"/>
      <c r="O1363" s="3"/>
      <c r="P1363" s="10"/>
      <c r="Q1363" s="13"/>
      <c r="R1363" s="13"/>
      <c r="S1363" s="13"/>
      <c r="Y1363" s="14"/>
      <c r="AA1363" s="15"/>
    </row>
    <row r="1364" ht="15.75" customHeight="1">
      <c r="A1364" s="15"/>
      <c r="B1364" s="15"/>
      <c r="C1364" s="15"/>
      <c r="D1364" s="10"/>
      <c r="E1364" s="11"/>
      <c r="F1364" s="12"/>
      <c r="G1364" s="9"/>
      <c r="H1364" s="3"/>
      <c r="I1364" s="3"/>
      <c r="J1364" s="3"/>
      <c r="K1364" s="12"/>
      <c r="L1364" s="3"/>
      <c r="M1364" s="3"/>
      <c r="N1364" s="3"/>
      <c r="O1364" s="3"/>
      <c r="P1364" s="10"/>
      <c r="Q1364" s="13"/>
      <c r="R1364" s="13"/>
      <c r="S1364" s="13"/>
      <c r="Y1364" s="14"/>
      <c r="AA1364" s="15"/>
    </row>
    <row r="1365" ht="15.75" customHeight="1">
      <c r="A1365" s="15"/>
      <c r="B1365" s="15"/>
      <c r="C1365" s="15"/>
      <c r="D1365" s="10"/>
      <c r="E1365" s="11"/>
      <c r="F1365" s="12"/>
      <c r="G1365" s="9"/>
      <c r="H1365" s="3"/>
      <c r="I1365" s="3"/>
      <c r="J1365" s="3"/>
      <c r="K1365" s="12"/>
      <c r="L1365" s="3"/>
      <c r="M1365" s="3"/>
      <c r="N1365" s="3"/>
      <c r="O1365" s="3"/>
      <c r="P1365" s="10"/>
      <c r="Q1365" s="13"/>
      <c r="R1365" s="13"/>
      <c r="S1365" s="13"/>
      <c r="Y1365" s="14"/>
      <c r="AA1365" s="15"/>
    </row>
    <row r="1366" ht="15.75" customHeight="1">
      <c r="A1366" s="15"/>
      <c r="B1366" s="15"/>
      <c r="C1366" s="15"/>
      <c r="D1366" s="10"/>
      <c r="E1366" s="11"/>
      <c r="F1366" s="12"/>
      <c r="G1366" s="9"/>
      <c r="H1366" s="3"/>
      <c r="I1366" s="3"/>
      <c r="J1366" s="3"/>
      <c r="K1366" s="12"/>
      <c r="L1366" s="3"/>
      <c r="M1366" s="3"/>
      <c r="N1366" s="3"/>
      <c r="O1366" s="3"/>
      <c r="P1366" s="10"/>
      <c r="Q1366" s="13"/>
      <c r="R1366" s="13"/>
      <c r="S1366" s="13"/>
      <c r="Y1366" s="14"/>
      <c r="AA1366" s="15"/>
    </row>
    <row r="1367" ht="15.75" customHeight="1">
      <c r="A1367" s="15"/>
      <c r="B1367" s="15"/>
      <c r="C1367" s="15"/>
      <c r="D1367" s="10"/>
      <c r="E1367" s="11"/>
      <c r="F1367" s="12"/>
      <c r="G1367" s="9"/>
      <c r="H1367" s="3"/>
      <c r="I1367" s="3"/>
      <c r="J1367" s="3"/>
      <c r="K1367" s="12"/>
      <c r="L1367" s="3"/>
      <c r="M1367" s="3"/>
      <c r="N1367" s="3"/>
      <c r="O1367" s="3"/>
      <c r="P1367" s="10"/>
      <c r="Q1367" s="13"/>
      <c r="R1367" s="13"/>
      <c r="S1367" s="13"/>
      <c r="Y1367" s="14"/>
      <c r="AA1367" s="15"/>
    </row>
    <row r="1368" ht="15.75" customHeight="1">
      <c r="A1368" s="15"/>
      <c r="B1368" s="15"/>
      <c r="C1368" s="15"/>
      <c r="D1368" s="10"/>
      <c r="E1368" s="11"/>
      <c r="F1368" s="12"/>
      <c r="G1368" s="9"/>
      <c r="H1368" s="3"/>
      <c r="I1368" s="3"/>
      <c r="J1368" s="3"/>
      <c r="K1368" s="12"/>
      <c r="L1368" s="3"/>
      <c r="M1368" s="3"/>
      <c r="N1368" s="3"/>
      <c r="O1368" s="3"/>
      <c r="P1368" s="10"/>
      <c r="Q1368" s="13"/>
      <c r="R1368" s="13"/>
      <c r="S1368" s="13"/>
      <c r="Y1368" s="14"/>
      <c r="AA1368" s="15"/>
    </row>
    <row r="1369" ht="15.75" customHeight="1">
      <c r="A1369" s="15"/>
      <c r="B1369" s="15"/>
      <c r="C1369" s="15"/>
      <c r="D1369" s="10"/>
      <c r="E1369" s="11"/>
      <c r="F1369" s="12"/>
      <c r="G1369" s="9"/>
      <c r="H1369" s="3"/>
      <c r="I1369" s="3"/>
      <c r="J1369" s="3"/>
      <c r="K1369" s="12"/>
      <c r="L1369" s="3"/>
      <c r="M1369" s="3"/>
      <c r="N1369" s="3"/>
      <c r="O1369" s="3"/>
      <c r="P1369" s="10"/>
      <c r="Q1369" s="13"/>
      <c r="R1369" s="13"/>
      <c r="S1369" s="13"/>
      <c r="Y1369" s="14"/>
      <c r="AA1369" s="15"/>
    </row>
    <row r="1370" ht="15.75" customHeight="1">
      <c r="A1370" s="15"/>
      <c r="B1370" s="15"/>
      <c r="C1370" s="15"/>
      <c r="D1370" s="10"/>
      <c r="E1370" s="11"/>
      <c r="F1370" s="12"/>
      <c r="G1370" s="9"/>
      <c r="H1370" s="3"/>
      <c r="I1370" s="3"/>
      <c r="J1370" s="3"/>
      <c r="K1370" s="12"/>
      <c r="L1370" s="3"/>
      <c r="M1370" s="3"/>
      <c r="N1370" s="3"/>
      <c r="O1370" s="3"/>
      <c r="P1370" s="10"/>
      <c r="Q1370" s="13"/>
      <c r="R1370" s="13"/>
      <c r="S1370" s="13"/>
      <c r="Y1370" s="14"/>
      <c r="AA1370" s="15"/>
    </row>
    <row r="1371" ht="15.75" customHeight="1">
      <c r="A1371" s="15"/>
      <c r="B1371" s="15"/>
      <c r="C1371" s="15"/>
      <c r="D1371" s="10"/>
      <c r="E1371" s="11"/>
      <c r="F1371" s="12"/>
      <c r="G1371" s="9"/>
      <c r="H1371" s="3"/>
      <c r="I1371" s="3"/>
      <c r="J1371" s="3"/>
      <c r="K1371" s="12"/>
      <c r="L1371" s="3"/>
      <c r="M1371" s="3"/>
      <c r="N1371" s="3"/>
      <c r="O1371" s="3"/>
      <c r="P1371" s="10"/>
      <c r="Q1371" s="13"/>
      <c r="R1371" s="13"/>
      <c r="S1371" s="13"/>
      <c r="Y1371" s="14"/>
      <c r="AA1371" s="15"/>
    </row>
    <row r="1372" ht="15.75" customHeight="1">
      <c r="A1372" s="15"/>
      <c r="B1372" s="15"/>
      <c r="C1372" s="15"/>
      <c r="D1372" s="10"/>
      <c r="E1372" s="11"/>
      <c r="F1372" s="12"/>
      <c r="G1372" s="9"/>
      <c r="H1372" s="3"/>
      <c r="I1372" s="3"/>
      <c r="J1372" s="3"/>
      <c r="K1372" s="12"/>
      <c r="L1372" s="3"/>
      <c r="M1372" s="3"/>
      <c r="N1372" s="3"/>
      <c r="O1372" s="3"/>
      <c r="P1372" s="10"/>
      <c r="Q1372" s="13"/>
      <c r="R1372" s="13"/>
      <c r="S1372" s="13"/>
      <c r="Y1372" s="14"/>
      <c r="AA1372" s="15"/>
    </row>
    <row r="1373" ht="15.75" customHeight="1">
      <c r="A1373" s="15"/>
      <c r="B1373" s="15"/>
      <c r="C1373" s="15"/>
      <c r="D1373" s="10"/>
      <c r="E1373" s="11"/>
      <c r="F1373" s="12"/>
      <c r="G1373" s="9"/>
      <c r="H1373" s="3"/>
      <c r="I1373" s="3"/>
      <c r="J1373" s="3"/>
      <c r="K1373" s="12"/>
      <c r="L1373" s="3"/>
      <c r="M1373" s="3"/>
      <c r="N1373" s="3"/>
      <c r="O1373" s="3"/>
      <c r="P1373" s="10"/>
      <c r="Q1373" s="13"/>
      <c r="R1373" s="13"/>
      <c r="S1373" s="13"/>
      <c r="Y1373" s="14"/>
      <c r="AA1373" s="15"/>
    </row>
    <row r="1374" ht="15.75" customHeight="1">
      <c r="A1374" s="15"/>
      <c r="B1374" s="15"/>
      <c r="C1374" s="15"/>
      <c r="D1374" s="10"/>
      <c r="E1374" s="11"/>
      <c r="F1374" s="12"/>
      <c r="G1374" s="9"/>
      <c r="H1374" s="3"/>
      <c r="I1374" s="3"/>
      <c r="J1374" s="3"/>
      <c r="K1374" s="12"/>
      <c r="L1374" s="3"/>
      <c r="M1374" s="3"/>
      <c r="N1374" s="3"/>
      <c r="O1374" s="3"/>
      <c r="P1374" s="10"/>
      <c r="Q1374" s="13"/>
      <c r="R1374" s="13"/>
      <c r="S1374" s="13"/>
      <c r="Y1374" s="14"/>
      <c r="AA1374" s="15"/>
    </row>
    <row r="1375" ht="15.75" customHeight="1">
      <c r="A1375" s="15"/>
      <c r="B1375" s="15"/>
      <c r="C1375" s="15"/>
      <c r="D1375" s="10"/>
      <c r="E1375" s="11"/>
      <c r="F1375" s="12"/>
      <c r="G1375" s="9"/>
      <c r="H1375" s="3"/>
      <c r="I1375" s="3"/>
      <c r="J1375" s="3"/>
      <c r="K1375" s="12"/>
      <c r="L1375" s="3"/>
      <c r="M1375" s="3"/>
      <c r="N1375" s="3"/>
      <c r="O1375" s="3"/>
      <c r="P1375" s="10"/>
      <c r="Q1375" s="13"/>
      <c r="R1375" s="13"/>
      <c r="S1375" s="13"/>
      <c r="Y1375" s="14"/>
      <c r="AA1375" s="15"/>
    </row>
    <row r="1376" ht="15.75" customHeight="1">
      <c r="A1376" s="15"/>
      <c r="B1376" s="15"/>
      <c r="C1376" s="15"/>
      <c r="D1376" s="10"/>
      <c r="E1376" s="11"/>
      <c r="F1376" s="12"/>
      <c r="G1376" s="9"/>
      <c r="H1376" s="3"/>
      <c r="I1376" s="3"/>
      <c r="J1376" s="3"/>
      <c r="K1376" s="12"/>
      <c r="L1376" s="3"/>
      <c r="M1376" s="3"/>
      <c r="N1376" s="3"/>
      <c r="O1376" s="3"/>
      <c r="P1376" s="10"/>
      <c r="Q1376" s="13"/>
      <c r="R1376" s="13"/>
      <c r="S1376" s="13"/>
      <c r="Y1376" s="14"/>
      <c r="AA1376" s="15"/>
    </row>
    <row r="1377" ht="15.75" customHeight="1">
      <c r="A1377" s="15"/>
      <c r="B1377" s="15"/>
      <c r="C1377" s="15"/>
      <c r="D1377" s="10"/>
      <c r="E1377" s="11"/>
      <c r="F1377" s="12"/>
      <c r="G1377" s="9"/>
      <c r="H1377" s="3"/>
      <c r="I1377" s="3"/>
      <c r="J1377" s="3"/>
      <c r="K1377" s="12"/>
      <c r="L1377" s="3"/>
      <c r="M1377" s="3"/>
      <c r="N1377" s="3"/>
      <c r="O1377" s="3"/>
      <c r="P1377" s="10"/>
      <c r="Q1377" s="13"/>
      <c r="R1377" s="13"/>
      <c r="S1377" s="13"/>
      <c r="Y1377" s="14"/>
      <c r="AA1377" s="15"/>
    </row>
    <row r="1378" ht="15.75" customHeight="1">
      <c r="A1378" s="15"/>
      <c r="B1378" s="15"/>
      <c r="C1378" s="15"/>
      <c r="D1378" s="10"/>
      <c r="E1378" s="11"/>
      <c r="F1378" s="12"/>
      <c r="G1378" s="9"/>
      <c r="H1378" s="3"/>
      <c r="I1378" s="3"/>
      <c r="J1378" s="3"/>
      <c r="K1378" s="12"/>
      <c r="L1378" s="3"/>
      <c r="M1378" s="3"/>
      <c r="N1378" s="3"/>
      <c r="O1378" s="3"/>
      <c r="P1378" s="10"/>
      <c r="Q1378" s="13"/>
      <c r="R1378" s="13"/>
      <c r="S1378" s="13"/>
      <c r="Y1378" s="14"/>
      <c r="AA1378" s="15"/>
    </row>
    <row r="1379" ht="15.75" customHeight="1">
      <c r="A1379" s="15"/>
      <c r="B1379" s="15"/>
      <c r="C1379" s="15"/>
      <c r="D1379" s="10"/>
      <c r="E1379" s="11"/>
      <c r="F1379" s="12"/>
      <c r="G1379" s="9"/>
      <c r="H1379" s="3"/>
      <c r="I1379" s="3"/>
      <c r="J1379" s="3"/>
      <c r="K1379" s="12"/>
      <c r="L1379" s="3"/>
      <c r="M1379" s="3"/>
      <c r="N1379" s="3"/>
      <c r="O1379" s="3"/>
      <c r="P1379" s="10"/>
      <c r="Q1379" s="13"/>
      <c r="R1379" s="13"/>
      <c r="S1379" s="13"/>
      <c r="Y1379" s="14"/>
      <c r="AA1379" s="15"/>
    </row>
    <row r="1380" ht="15.75" customHeight="1">
      <c r="A1380" s="15"/>
      <c r="B1380" s="15"/>
      <c r="C1380" s="15"/>
      <c r="D1380" s="10"/>
      <c r="E1380" s="11"/>
      <c r="F1380" s="12"/>
      <c r="G1380" s="9"/>
      <c r="H1380" s="3"/>
      <c r="I1380" s="3"/>
      <c r="J1380" s="3"/>
      <c r="K1380" s="12"/>
      <c r="L1380" s="3"/>
      <c r="M1380" s="3"/>
      <c r="N1380" s="3"/>
      <c r="O1380" s="3"/>
      <c r="P1380" s="10"/>
      <c r="Q1380" s="13"/>
      <c r="R1380" s="13"/>
      <c r="S1380" s="13"/>
      <c r="Y1380" s="14"/>
      <c r="AA1380" s="15"/>
    </row>
    <row r="1381" ht="15.75" customHeight="1">
      <c r="A1381" s="15"/>
      <c r="B1381" s="15"/>
      <c r="C1381" s="15"/>
      <c r="D1381" s="10"/>
      <c r="E1381" s="11"/>
      <c r="F1381" s="12"/>
      <c r="G1381" s="9"/>
      <c r="H1381" s="3"/>
      <c r="I1381" s="3"/>
      <c r="J1381" s="3"/>
      <c r="K1381" s="12"/>
      <c r="L1381" s="3"/>
      <c r="M1381" s="3"/>
      <c r="N1381" s="3"/>
      <c r="O1381" s="3"/>
      <c r="P1381" s="10"/>
      <c r="Q1381" s="13"/>
      <c r="R1381" s="13"/>
      <c r="S1381" s="13"/>
      <c r="Y1381" s="14"/>
      <c r="AA1381" s="15"/>
    </row>
    <row r="1382" ht="15.75" customHeight="1">
      <c r="A1382" s="15"/>
      <c r="B1382" s="15"/>
      <c r="C1382" s="15"/>
      <c r="D1382" s="10"/>
      <c r="E1382" s="11"/>
      <c r="F1382" s="12"/>
      <c r="G1382" s="9"/>
      <c r="H1382" s="3"/>
      <c r="I1382" s="3"/>
      <c r="J1382" s="3"/>
      <c r="K1382" s="12"/>
      <c r="L1382" s="3"/>
      <c r="M1382" s="3"/>
      <c r="N1382" s="3"/>
      <c r="O1382" s="3"/>
      <c r="P1382" s="10"/>
      <c r="Q1382" s="13"/>
      <c r="R1382" s="13"/>
      <c r="S1382" s="13"/>
      <c r="Y1382" s="14"/>
      <c r="AA1382" s="15"/>
    </row>
    <row r="1383" ht="15.75" customHeight="1">
      <c r="A1383" s="15"/>
      <c r="B1383" s="15"/>
      <c r="C1383" s="15"/>
      <c r="D1383" s="10"/>
      <c r="E1383" s="11"/>
      <c r="F1383" s="12"/>
      <c r="G1383" s="9"/>
      <c r="H1383" s="3"/>
      <c r="I1383" s="3"/>
      <c r="J1383" s="3"/>
      <c r="K1383" s="12"/>
      <c r="L1383" s="3"/>
      <c r="M1383" s="3"/>
      <c r="N1383" s="3"/>
      <c r="O1383" s="3"/>
      <c r="P1383" s="10"/>
      <c r="Q1383" s="13"/>
      <c r="R1383" s="13"/>
      <c r="S1383" s="13"/>
      <c r="Y1383" s="14"/>
      <c r="AA1383" s="15"/>
    </row>
    <row r="1384" ht="15.75" customHeight="1">
      <c r="A1384" s="15"/>
      <c r="B1384" s="15"/>
      <c r="C1384" s="15"/>
      <c r="D1384" s="10"/>
      <c r="E1384" s="11"/>
      <c r="F1384" s="12"/>
      <c r="G1384" s="9"/>
      <c r="H1384" s="3"/>
      <c r="I1384" s="3"/>
      <c r="J1384" s="3"/>
      <c r="K1384" s="12"/>
      <c r="L1384" s="3"/>
      <c r="M1384" s="3"/>
      <c r="N1384" s="3"/>
      <c r="O1384" s="3"/>
      <c r="P1384" s="10"/>
      <c r="Q1384" s="13"/>
      <c r="R1384" s="13"/>
      <c r="S1384" s="13"/>
      <c r="Y1384" s="14"/>
      <c r="AA1384" s="15"/>
    </row>
    <row r="1385" ht="15.75" customHeight="1">
      <c r="A1385" s="15"/>
      <c r="B1385" s="15"/>
      <c r="C1385" s="15"/>
      <c r="D1385" s="10"/>
      <c r="E1385" s="11"/>
      <c r="F1385" s="12"/>
      <c r="G1385" s="9"/>
      <c r="H1385" s="3"/>
      <c r="I1385" s="3"/>
      <c r="J1385" s="3"/>
      <c r="K1385" s="12"/>
      <c r="L1385" s="3"/>
      <c r="M1385" s="3"/>
      <c r="N1385" s="3"/>
      <c r="O1385" s="3"/>
      <c r="P1385" s="10"/>
      <c r="Q1385" s="13"/>
      <c r="R1385" s="13"/>
      <c r="S1385" s="13"/>
      <c r="Y1385" s="14"/>
      <c r="AA1385" s="15"/>
    </row>
    <row r="1386" ht="15.75" customHeight="1">
      <c r="A1386" s="15"/>
      <c r="B1386" s="15"/>
      <c r="C1386" s="15"/>
      <c r="D1386" s="10"/>
      <c r="E1386" s="11"/>
      <c r="F1386" s="12"/>
      <c r="G1386" s="9"/>
      <c r="H1386" s="3"/>
      <c r="I1386" s="3"/>
      <c r="J1386" s="3"/>
      <c r="K1386" s="12"/>
      <c r="L1386" s="3"/>
      <c r="M1386" s="3"/>
      <c r="N1386" s="3"/>
      <c r="O1386" s="3"/>
      <c r="P1386" s="10"/>
      <c r="Q1386" s="13"/>
      <c r="R1386" s="13"/>
      <c r="S1386" s="13"/>
      <c r="Y1386" s="14"/>
      <c r="AA1386" s="15"/>
    </row>
    <row r="1387" ht="15.75" customHeight="1">
      <c r="A1387" s="15"/>
      <c r="B1387" s="15"/>
      <c r="C1387" s="15"/>
      <c r="D1387" s="10"/>
      <c r="E1387" s="11"/>
      <c r="F1387" s="12"/>
      <c r="G1387" s="9"/>
      <c r="H1387" s="3"/>
      <c r="I1387" s="3"/>
      <c r="J1387" s="3"/>
      <c r="K1387" s="12"/>
      <c r="L1387" s="3"/>
      <c r="M1387" s="3"/>
      <c r="N1387" s="3"/>
      <c r="O1387" s="3"/>
      <c r="P1387" s="10"/>
      <c r="Q1387" s="13"/>
      <c r="R1387" s="13"/>
      <c r="S1387" s="13"/>
      <c r="Y1387" s="14"/>
      <c r="AA1387" s="15"/>
    </row>
    <row r="1388" ht="15.75" customHeight="1">
      <c r="A1388" s="15"/>
      <c r="B1388" s="15"/>
      <c r="C1388" s="15"/>
      <c r="D1388" s="10"/>
      <c r="E1388" s="11"/>
      <c r="F1388" s="12"/>
      <c r="G1388" s="9"/>
      <c r="H1388" s="3"/>
      <c r="I1388" s="3"/>
      <c r="J1388" s="3"/>
      <c r="K1388" s="12"/>
      <c r="L1388" s="3"/>
      <c r="M1388" s="3"/>
      <c r="N1388" s="3"/>
      <c r="O1388" s="3"/>
      <c r="P1388" s="10"/>
      <c r="Q1388" s="13"/>
      <c r="R1388" s="13"/>
      <c r="S1388" s="13"/>
      <c r="Y1388" s="14"/>
      <c r="AA1388" s="15"/>
    </row>
    <row r="1389" ht="15.75" customHeight="1">
      <c r="A1389" s="15"/>
      <c r="B1389" s="15"/>
      <c r="C1389" s="15"/>
      <c r="D1389" s="10"/>
      <c r="E1389" s="11"/>
      <c r="F1389" s="12"/>
      <c r="G1389" s="9"/>
      <c r="H1389" s="3"/>
      <c r="I1389" s="3"/>
      <c r="J1389" s="3"/>
      <c r="K1389" s="12"/>
      <c r="L1389" s="3"/>
      <c r="M1389" s="3"/>
      <c r="N1389" s="3"/>
      <c r="O1389" s="3"/>
      <c r="P1389" s="10"/>
      <c r="Q1389" s="13"/>
      <c r="R1389" s="13"/>
      <c r="S1389" s="13"/>
      <c r="Y1389" s="14"/>
      <c r="AA1389" s="15"/>
    </row>
    <row r="1390" ht="15.75" customHeight="1">
      <c r="A1390" s="15"/>
      <c r="B1390" s="15"/>
      <c r="C1390" s="15"/>
      <c r="D1390" s="10"/>
      <c r="E1390" s="11"/>
      <c r="F1390" s="12"/>
      <c r="G1390" s="9"/>
      <c r="H1390" s="3"/>
      <c r="I1390" s="3"/>
      <c r="J1390" s="3"/>
      <c r="K1390" s="12"/>
      <c r="L1390" s="3"/>
      <c r="M1390" s="3"/>
      <c r="N1390" s="3"/>
      <c r="O1390" s="3"/>
      <c r="P1390" s="10"/>
      <c r="Q1390" s="13"/>
      <c r="R1390" s="13"/>
      <c r="S1390" s="13"/>
      <c r="Y1390" s="14"/>
      <c r="AA1390" s="15"/>
    </row>
    <row r="1391" ht="15.75" customHeight="1">
      <c r="A1391" s="15"/>
      <c r="B1391" s="15"/>
      <c r="C1391" s="15"/>
      <c r="D1391" s="10"/>
      <c r="E1391" s="11"/>
      <c r="F1391" s="12"/>
      <c r="G1391" s="9"/>
      <c r="H1391" s="3"/>
      <c r="I1391" s="3"/>
      <c r="J1391" s="3"/>
      <c r="K1391" s="12"/>
      <c r="L1391" s="3"/>
      <c r="M1391" s="3"/>
      <c r="N1391" s="3"/>
      <c r="O1391" s="3"/>
      <c r="P1391" s="10"/>
      <c r="Q1391" s="13"/>
      <c r="R1391" s="13"/>
      <c r="S1391" s="13"/>
      <c r="Y1391" s="14"/>
      <c r="AA1391" s="15"/>
    </row>
    <row r="1392" ht="15.75" customHeight="1">
      <c r="A1392" s="15"/>
      <c r="B1392" s="15"/>
      <c r="C1392" s="15"/>
      <c r="D1392" s="10"/>
      <c r="E1392" s="11"/>
      <c r="F1392" s="12"/>
      <c r="G1392" s="9"/>
      <c r="H1392" s="3"/>
      <c r="I1392" s="3"/>
      <c r="J1392" s="3"/>
      <c r="K1392" s="12"/>
      <c r="L1392" s="3"/>
      <c r="M1392" s="3"/>
      <c r="N1392" s="3"/>
      <c r="O1392" s="3"/>
      <c r="P1392" s="10"/>
      <c r="Q1392" s="13"/>
      <c r="R1392" s="13"/>
      <c r="S1392" s="13"/>
      <c r="Y1392" s="14"/>
      <c r="AA1392" s="15"/>
    </row>
    <row r="1393" ht="15.75" customHeight="1">
      <c r="A1393" s="15"/>
      <c r="B1393" s="15"/>
      <c r="C1393" s="15"/>
      <c r="D1393" s="10"/>
      <c r="E1393" s="11"/>
      <c r="F1393" s="12"/>
      <c r="G1393" s="9"/>
      <c r="H1393" s="3"/>
      <c r="I1393" s="3"/>
      <c r="J1393" s="3"/>
      <c r="K1393" s="12"/>
      <c r="L1393" s="3"/>
      <c r="M1393" s="3"/>
      <c r="N1393" s="3"/>
      <c r="O1393" s="3"/>
      <c r="P1393" s="10"/>
      <c r="Q1393" s="13"/>
      <c r="R1393" s="13"/>
      <c r="S1393" s="13"/>
      <c r="Y1393" s="14"/>
      <c r="AA1393" s="15"/>
    </row>
    <row r="1394" ht="15.75" customHeight="1">
      <c r="A1394" s="15"/>
      <c r="B1394" s="15"/>
      <c r="C1394" s="15"/>
      <c r="D1394" s="10"/>
      <c r="E1394" s="11"/>
      <c r="F1394" s="12"/>
      <c r="G1394" s="9"/>
      <c r="H1394" s="3"/>
      <c r="I1394" s="3"/>
      <c r="J1394" s="3"/>
      <c r="K1394" s="12"/>
      <c r="L1394" s="3"/>
      <c r="M1394" s="3"/>
      <c r="N1394" s="3"/>
      <c r="O1394" s="3"/>
      <c r="P1394" s="10"/>
      <c r="Q1394" s="13"/>
      <c r="R1394" s="13"/>
      <c r="S1394" s="13"/>
      <c r="Y1394" s="14"/>
      <c r="AA1394" s="15"/>
    </row>
    <row r="1395" ht="15.75" customHeight="1">
      <c r="A1395" s="15"/>
      <c r="B1395" s="15"/>
      <c r="C1395" s="15"/>
      <c r="D1395" s="10"/>
      <c r="E1395" s="11"/>
      <c r="F1395" s="12"/>
      <c r="G1395" s="9"/>
      <c r="H1395" s="3"/>
      <c r="I1395" s="3"/>
      <c r="J1395" s="3"/>
      <c r="K1395" s="12"/>
      <c r="L1395" s="3"/>
      <c r="M1395" s="3"/>
      <c r="N1395" s="3"/>
      <c r="O1395" s="3"/>
      <c r="P1395" s="10"/>
      <c r="Q1395" s="13"/>
      <c r="R1395" s="13"/>
      <c r="S1395" s="13"/>
      <c r="Y1395" s="14"/>
      <c r="AA1395" s="15"/>
    </row>
    <row r="1396" ht="15.75" customHeight="1">
      <c r="A1396" s="15"/>
      <c r="B1396" s="15"/>
      <c r="C1396" s="15"/>
      <c r="D1396" s="10"/>
      <c r="E1396" s="11"/>
      <c r="F1396" s="12"/>
      <c r="G1396" s="9"/>
      <c r="H1396" s="3"/>
      <c r="I1396" s="3"/>
      <c r="J1396" s="3"/>
      <c r="K1396" s="12"/>
      <c r="L1396" s="3"/>
      <c r="M1396" s="3"/>
      <c r="N1396" s="3"/>
      <c r="O1396" s="3"/>
      <c r="P1396" s="10"/>
      <c r="Q1396" s="13"/>
      <c r="R1396" s="13"/>
      <c r="S1396" s="13"/>
      <c r="Y1396" s="14"/>
      <c r="AA1396" s="15"/>
    </row>
    <row r="1397" ht="15.75" customHeight="1">
      <c r="A1397" s="3"/>
      <c r="B1397" s="3"/>
      <c r="C1397" s="3"/>
      <c r="D1397" s="10"/>
      <c r="E1397" s="11"/>
      <c r="F1397" s="12"/>
      <c r="G1397" s="9"/>
      <c r="H1397" s="3"/>
      <c r="I1397" s="3"/>
      <c r="J1397" s="3"/>
      <c r="K1397" s="12"/>
      <c r="L1397" s="3"/>
      <c r="M1397" s="3"/>
      <c r="N1397" s="3"/>
      <c r="O1397" s="3"/>
      <c r="P1397" s="10"/>
      <c r="Q1397" s="13"/>
      <c r="R1397" s="13"/>
      <c r="S1397" s="13"/>
      <c r="Y1397" s="14"/>
      <c r="AA1397" s="15"/>
    </row>
    <row r="1398" ht="15.75" customHeight="1">
      <c r="A1398" s="3"/>
      <c r="B1398" s="3"/>
      <c r="C1398" s="3"/>
      <c r="D1398" s="10"/>
      <c r="E1398" s="11"/>
      <c r="F1398" s="12"/>
      <c r="G1398" s="9"/>
      <c r="H1398" s="3"/>
      <c r="I1398" s="3"/>
      <c r="J1398" s="3"/>
      <c r="K1398" s="12"/>
      <c r="L1398" s="3"/>
      <c r="M1398" s="3"/>
      <c r="N1398" s="3"/>
      <c r="O1398" s="3"/>
      <c r="P1398" s="10"/>
      <c r="Q1398" s="13"/>
      <c r="R1398" s="13"/>
      <c r="S1398" s="13"/>
      <c r="Y1398" s="14"/>
      <c r="AA1398" s="15"/>
    </row>
    <row r="1399" ht="15.75" customHeight="1">
      <c r="A1399" s="3"/>
      <c r="B1399" s="3"/>
      <c r="C1399" s="3"/>
      <c r="D1399" s="10"/>
      <c r="E1399" s="11"/>
      <c r="F1399" s="12"/>
      <c r="G1399" s="9"/>
      <c r="H1399" s="3"/>
      <c r="I1399" s="3"/>
      <c r="J1399" s="3"/>
      <c r="K1399" s="12"/>
      <c r="L1399" s="3"/>
      <c r="M1399" s="3"/>
      <c r="N1399" s="3"/>
      <c r="O1399" s="3"/>
      <c r="P1399" s="10"/>
      <c r="Q1399" s="13"/>
      <c r="R1399" s="13"/>
      <c r="S1399" s="13"/>
      <c r="Y1399" s="14"/>
      <c r="AA1399" s="15"/>
    </row>
    <row r="1400" ht="15.75" customHeight="1">
      <c r="A1400" s="3"/>
      <c r="B1400" s="3"/>
      <c r="C1400" s="3"/>
      <c r="D1400" s="10"/>
      <c r="E1400" s="11"/>
      <c r="F1400" s="12"/>
      <c r="G1400" s="9"/>
      <c r="H1400" s="3"/>
      <c r="I1400" s="3"/>
      <c r="J1400" s="3"/>
      <c r="K1400" s="12"/>
      <c r="L1400" s="3"/>
      <c r="M1400" s="3"/>
      <c r="N1400" s="3"/>
      <c r="O1400" s="3"/>
      <c r="P1400" s="10"/>
      <c r="Q1400" s="13"/>
      <c r="R1400" s="13"/>
      <c r="S1400" s="13"/>
      <c r="Y1400" s="14"/>
      <c r="AA1400" s="15"/>
    </row>
    <row r="1401" ht="15.75" customHeight="1">
      <c r="A1401" s="3"/>
      <c r="B1401" s="3"/>
      <c r="C1401" s="3"/>
      <c r="D1401" s="10"/>
      <c r="E1401" s="11"/>
      <c r="F1401" s="12"/>
      <c r="G1401" s="9"/>
      <c r="H1401" s="3"/>
      <c r="I1401" s="3"/>
      <c r="J1401" s="3"/>
      <c r="K1401" s="12"/>
      <c r="L1401" s="3"/>
      <c r="M1401" s="3"/>
      <c r="N1401" s="3"/>
      <c r="O1401" s="3"/>
      <c r="P1401" s="10"/>
      <c r="Q1401" s="13"/>
      <c r="R1401" s="13"/>
      <c r="S1401" s="13"/>
      <c r="Y1401" s="14"/>
      <c r="AA1401" s="15"/>
    </row>
    <row r="1402" ht="15.75" customHeight="1">
      <c r="A1402" s="3"/>
      <c r="B1402" s="3"/>
      <c r="C1402" s="3"/>
      <c r="D1402" s="10"/>
      <c r="E1402" s="11"/>
      <c r="F1402" s="12"/>
      <c r="G1402" s="9"/>
      <c r="H1402" s="3"/>
      <c r="I1402" s="3"/>
      <c r="J1402" s="3"/>
      <c r="K1402" s="12"/>
      <c r="L1402" s="3"/>
      <c r="M1402" s="3"/>
      <c r="N1402" s="3"/>
      <c r="O1402" s="3"/>
      <c r="P1402" s="10"/>
      <c r="Q1402" s="13"/>
      <c r="R1402" s="13"/>
      <c r="S1402" s="13"/>
      <c r="Y1402" s="14"/>
      <c r="AA1402" s="15"/>
    </row>
    <row r="1403" ht="15.75" customHeight="1">
      <c r="A1403" s="3"/>
      <c r="B1403" s="3"/>
      <c r="C1403" s="3"/>
      <c r="D1403" s="10"/>
      <c r="E1403" s="11"/>
      <c r="F1403" s="12"/>
      <c r="G1403" s="9"/>
      <c r="H1403" s="3"/>
      <c r="I1403" s="3"/>
      <c r="J1403" s="3"/>
      <c r="K1403" s="12"/>
      <c r="L1403" s="3"/>
      <c r="M1403" s="3"/>
      <c r="N1403" s="3"/>
      <c r="O1403" s="3"/>
      <c r="P1403" s="10"/>
      <c r="Q1403" s="13"/>
      <c r="R1403" s="13"/>
      <c r="S1403" s="13"/>
      <c r="Y1403" s="14"/>
      <c r="AA1403" s="15"/>
    </row>
    <row r="1404" ht="15.75" customHeight="1">
      <c r="A1404" s="3"/>
      <c r="B1404" s="3"/>
      <c r="C1404" s="3"/>
      <c r="D1404" s="10"/>
      <c r="E1404" s="11"/>
      <c r="F1404" s="12"/>
      <c r="G1404" s="9"/>
      <c r="H1404" s="3"/>
      <c r="I1404" s="3"/>
      <c r="J1404" s="3"/>
      <c r="K1404" s="12"/>
      <c r="L1404" s="3"/>
      <c r="M1404" s="3"/>
      <c r="N1404" s="3"/>
      <c r="O1404" s="3"/>
      <c r="P1404" s="10"/>
      <c r="Q1404" s="13"/>
      <c r="R1404" s="13"/>
      <c r="S1404" s="13"/>
      <c r="Y1404" s="14"/>
      <c r="AA1404" s="15"/>
    </row>
    <row r="1405" ht="15.75" customHeight="1">
      <c r="A1405" s="3"/>
      <c r="B1405" s="3"/>
      <c r="C1405" s="3"/>
      <c r="D1405" s="10"/>
      <c r="E1405" s="11"/>
      <c r="F1405" s="12"/>
      <c r="G1405" s="9"/>
      <c r="H1405" s="3"/>
      <c r="I1405" s="3"/>
      <c r="J1405" s="3"/>
      <c r="K1405" s="12"/>
      <c r="L1405" s="3"/>
      <c r="M1405" s="3"/>
      <c r="N1405" s="3"/>
      <c r="O1405" s="3"/>
      <c r="P1405" s="10"/>
      <c r="Q1405" s="13"/>
      <c r="R1405" s="13"/>
      <c r="S1405" s="13"/>
      <c r="Y1405" s="14"/>
      <c r="AA1405" s="15"/>
    </row>
    <row r="1406" ht="15.75" customHeight="1">
      <c r="A1406" s="3"/>
      <c r="B1406" s="3"/>
      <c r="C1406" s="3"/>
      <c r="D1406" s="10"/>
      <c r="E1406" s="11"/>
      <c r="F1406" s="12"/>
      <c r="G1406" s="9"/>
      <c r="H1406" s="3"/>
      <c r="I1406" s="3"/>
      <c r="J1406" s="3"/>
      <c r="K1406" s="12"/>
      <c r="L1406" s="3"/>
      <c r="M1406" s="3"/>
      <c r="N1406" s="3"/>
      <c r="O1406" s="3"/>
      <c r="P1406" s="10"/>
      <c r="Q1406" s="13"/>
      <c r="R1406" s="13"/>
      <c r="S1406" s="13"/>
      <c r="Y1406" s="14"/>
      <c r="AA1406" s="15"/>
    </row>
    <row r="1407" ht="15.75" customHeight="1">
      <c r="A1407" s="3"/>
      <c r="B1407" s="3"/>
      <c r="C1407" s="3"/>
      <c r="D1407" s="10"/>
      <c r="E1407" s="11"/>
      <c r="F1407" s="12"/>
      <c r="G1407" s="9"/>
      <c r="H1407" s="3"/>
      <c r="I1407" s="3"/>
      <c r="J1407" s="3"/>
      <c r="K1407" s="12"/>
      <c r="L1407" s="3"/>
      <c r="M1407" s="3"/>
      <c r="N1407" s="3"/>
      <c r="O1407" s="3"/>
      <c r="P1407" s="10"/>
      <c r="Q1407" s="13"/>
      <c r="R1407" s="13"/>
      <c r="S1407" s="13"/>
      <c r="Y1407" s="14"/>
      <c r="AA1407" s="15"/>
    </row>
    <row r="1408" ht="15.75" customHeight="1">
      <c r="A1408" s="3"/>
      <c r="B1408" s="3"/>
      <c r="C1408" s="3"/>
      <c r="D1408" s="10"/>
      <c r="E1408" s="11"/>
      <c r="F1408" s="12"/>
      <c r="G1408" s="9"/>
      <c r="H1408" s="3"/>
      <c r="I1408" s="3"/>
      <c r="J1408" s="3"/>
      <c r="K1408" s="12"/>
      <c r="L1408" s="3"/>
      <c r="M1408" s="3"/>
      <c r="N1408" s="3"/>
      <c r="O1408" s="3"/>
      <c r="P1408" s="10"/>
      <c r="Q1408" s="13"/>
      <c r="R1408" s="13"/>
      <c r="S1408" s="13"/>
      <c r="Y1408" s="14"/>
      <c r="AA1408" s="15"/>
    </row>
    <row r="1409" ht="15.75" customHeight="1">
      <c r="A1409" s="3"/>
      <c r="B1409" s="3"/>
      <c r="C1409" s="3"/>
      <c r="D1409" s="10"/>
      <c r="E1409" s="11"/>
      <c r="F1409" s="12"/>
      <c r="G1409" s="9"/>
      <c r="H1409" s="3"/>
      <c r="I1409" s="3"/>
      <c r="J1409" s="3"/>
      <c r="K1409" s="12"/>
      <c r="L1409" s="3"/>
      <c r="M1409" s="3"/>
      <c r="N1409" s="3"/>
      <c r="O1409" s="3"/>
      <c r="P1409" s="10"/>
      <c r="Q1409" s="13"/>
      <c r="R1409" s="13"/>
      <c r="S1409" s="13"/>
      <c r="Y1409" s="14"/>
      <c r="AA1409" s="15"/>
    </row>
    <row r="1410" ht="15.75" customHeight="1">
      <c r="A1410" s="3"/>
      <c r="B1410" s="3"/>
      <c r="C1410" s="3"/>
      <c r="D1410" s="10"/>
      <c r="E1410" s="11"/>
      <c r="F1410" s="12"/>
      <c r="G1410" s="9"/>
      <c r="H1410" s="3"/>
      <c r="I1410" s="3"/>
      <c r="J1410" s="3"/>
      <c r="K1410" s="12"/>
      <c r="L1410" s="3"/>
      <c r="M1410" s="3"/>
      <c r="N1410" s="3"/>
      <c r="O1410" s="3"/>
      <c r="P1410" s="10"/>
      <c r="Q1410" s="13"/>
      <c r="R1410" s="13"/>
      <c r="S1410" s="13"/>
      <c r="Y1410" s="14"/>
      <c r="AA1410" s="15"/>
    </row>
    <row r="1411" ht="15.75" customHeight="1">
      <c r="A1411" s="3"/>
      <c r="B1411" s="3"/>
      <c r="C1411" s="3"/>
      <c r="D1411" s="10"/>
      <c r="E1411" s="11"/>
      <c r="F1411" s="12"/>
      <c r="G1411" s="9"/>
      <c r="H1411" s="3"/>
      <c r="I1411" s="3"/>
      <c r="J1411" s="3"/>
      <c r="K1411" s="12"/>
      <c r="L1411" s="3"/>
      <c r="M1411" s="3"/>
      <c r="N1411" s="3"/>
      <c r="O1411" s="3"/>
      <c r="P1411" s="10"/>
      <c r="Q1411" s="13"/>
      <c r="R1411" s="13"/>
      <c r="S1411" s="13"/>
      <c r="Y1411" s="14"/>
      <c r="AA1411" s="15"/>
    </row>
    <row r="1412" ht="15.75" customHeight="1">
      <c r="A1412" s="3"/>
      <c r="B1412" s="3"/>
      <c r="C1412" s="3"/>
      <c r="D1412" s="10"/>
      <c r="E1412" s="11"/>
      <c r="F1412" s="12"/>
      <c r="G1412" s="9"/>
      <c r="H1412" s="3"/>
      <c r="I1412" s="3"/>
      <c r="J1412" s="3"/>
      <c r="K1412" s="12"/>
      <c r="L1412" s="3"/>
      <c r="M1412" s="3"/>
      <c r="N1412" s="3"/>
      <c r="O1412" s="3"/>
      <c r="P1412" s="10"/>
      <c r="Q1412" s="13"/>
      <c r="R1412" s="13"/>
      <c r="S1412" s="13"/>
      <c r="Y1412" s="14"/>
      <c r="AA1412" s="15"/>
    </row>
    <row r="1413" ht="15.75" customHeight="1">
      <c r="A1413" s="3"/>
      <c r="B1413" s="3"/>
      <c r="C1413" s="3"/>
      <c r="D1413" s="10"/>
      <c r="E1413" s="11"/>
      <c r="F1413" s="12"/>
      <c r="G1413" s="9"/>
      <c r="H1413" s="3"/>
      <c r="I1413" s="3"/>
      <c r="J1413" s="3"/>
      <c r="K1413" s="12"/>
      <c r="L1413" s="3"/>
      <c r="M1413" s="3"/>
      <c r="N1413" s="3"/>
      <c r="O1413" s="3"/>
      <c r="P1413" s="10"/>
      <c r="Q1413" s="13"/>
      <c r="R1413" s="13"/>
      <c r="S1413" s="13"/>
      <c r="Y1413" s="14"/>
      <c r="AA1413" s="15"/>
    </row>
    <row r="1414" ht="15.75" customHeight="1">
      <c r="A1414" s="3"/>
      <c r="B1414" s="3"/>
      <c r="C1414" s="3"/>
      <c r="D1414" s="10"/>
      <c r="E1414" s="11"/>
      <c r="F1414" s="12"/>
      <c r="G1414" s="9"/>
      <c r="H1414" s="3"/>
      <c r="I1414" s="3"/>
      <c r="J1414" s="3"/>
      <c r="K1414" s="12"/>
      <c r="L1414" s="3"/>
      <c r="M1414" s="3"/>
      <c r="N1414" s="3"/>
      <c r="O1414" s="3"/>
      <c r="P1414" s="10"/>
      <c r="Q1414" s="13"/>
      <c r="R1414" s="13"/>
      <c r="S1414" s="13"/>
      <c r="Y1414" s="14"/>
      <c r="AA1414" s="15"/>
    </row>
    <row r="1415" ht="15.75" customHeight="1">
      <c r="A1415" s="3"/>
      <c r="B1415" s="3"/>
      <c r="C1415" s="3"/>
      <c r="D1415" s="10"/>
      <c r="E1415" s="11"/>
      <c r="F1415" s="12"/>
      <c r="G1415" s="9"/>
      <c r="H1415" s="3"/>
      <c r="I1415" s="3"/>
      <c r="J1415" s="3"/>
      <c r="K1415" s="12"/>
      <c r="L1415" s="3"/>
      <c r="M1415" s="3"/>
      <c r="N1415" s="3"/>
      <c r="O1415" s="3"/>
      <c r="P1415" s="10"/>
      <c r="Q1415" s="13"/>
      <c r="R1415" s="13"/>
      <c r="S1415" s="13"/>
      <c r="Y1415" s="14"/>
      <c r="AA1415" s="15"/>
    </row>
    <row r="1416" ht="15.75" customHeight="1">
      <c r="A1416" s="3"/>
      <c r="B1416" s="3"/>
      <c r="C1416" s="3"/>
      <c r="D1416" s="10"/>
      <c r="E1416" s="11"/>
      <c r="F1416" s="12"/>
      <c r="G1416" s="9"/>
      <c r="H1416" s="3"/>
      <c r="I1416" s="3"/>
      <c r="J1416" s="3"/>
      <c r="K1416" s="12"/>
      <c r="L1416" s="3"/>
      <c r="M1416" s="3"/>
      <c r="N1416" s="3"/>
      <c r="O1416" s="3"/>
      <c r="P1416" s="10"/>
      <c r="Q1416" s="13"/>
      <c r="R1416" s="13"/>
      <c r="S1416" s="13"/>
      <c r="Y1416" s="14"/>
      <c r="AA1416" s="15"/>
    </row>
    <row r="1417" ht="15.75" customHeight="1">
      <c r="A1417" s="3"/>
      <c r="B1417" s="3"/>
      <c r="C1417" s="3"/>
      <c r="D1417" s="10"/>
      <c r="E1417" s="11"/>
      <c r="F1417" s="12"/>
      <c r="G1417" s="9"/>
      <c r="H1417" s="3"/>
      <c r="I1417" s="3"/>
      <c r="J1417" s="3"/>
      <c r="K1417" s="12"/>
      <c r="L1417" s="3"/>
      <c r="M1417" s="3"/>
      <c r="N1417" s="3"/>
      <c r="O1417" s="3"/>
      <c r="P1417" s="10"/>
      <c r="Q1417" s="13"/>
      <c r="R1417" s="13"/>
      <c r="S1417" s="13"/>
      <c r="Y1417" s="14"/>
      <c r="AA1417" s="15"/>
    </row>
    <row r="1418" ht="15.75" customHeight="1">
      <c r="A1418" s="3"/>
      <c r="B1418" s="3"/>
      <c r="C1418" s="3"/>
      <c r="D1418" s="10"/>
      <c r="E1418" s="11"/>
      <c r="F1418" s="12"/>
      <c r="G1418" s="9"/>
      <c r="H1418" s="3"/>
      <c r="I1418" s="3"/>
      <c r="J1418" s="3"/>
      <c r="K1418" s="12"/>
      <c r="L1418" s="3"/>
      <c r="M1418" s="3"/>
      <c r="N1418" s="3"/>
      <c r="O1418" s="3"/>
      <c r="P1418" s="10"/>
      <c r="Q1418" s="13"/>
      <c r="R1418" s="13"/>
      <c r="S1418" s="13"/>
      <c r="Y1418" s="14"/>
      <c r="AA1418" s="15"/>
    </row>
    <row r="1419" ht="15.75" customHeight="1">
      <c r="A1419" s="3"/>
      <c r="B1419" s="3"/>
      <c r="C1419" s="3"/>
      <c r="D1419" s="10"/>
      <c r="E1419" s="11"/>
      <c r="F1419" s="12"/>
      <c r="G1419" s="9"/>
      <c r="H1419" s="3"/>
      <c r="I1419" s="3"/>
      <c r="J1419" s="3"/>
      <c r="K1419" s="12"/>
      <c r="L1419" s="3"/>
      <c r="M1419" s="3"/>
      <c r="N1419" s="3"/>
      <c r="O1419" s="3"/>
      <c r="P1419" s="10"/>
      <c r="Q1419" s="13"/>
      <c r="R1419" s="13"/>
      <c r="S1419" s="13"/>
      <c r="Y1419" s="14"/>
      <c r="AA1419" s="15"/>
    </row>
    <row r="1420" ht="15.75" customHeight="1">
      <c r="A1420" s="3"/>
      <c r="B1420" s="3"/>
      <c r="C1420" s="3"/>
      <c r="D1420" s="10"/>
      <c r="E1420" s="11"/>
      <c r="F1420" s="12"/>
      <c r="G1420" s="9"/>
      <c r="H1420" s="3"/>
      <c r="I1420" s="3"/>
      <c r="J1420" s="3"/>
      <c r="K1420" s="12"/>
      <c r="L1420" s="3"/>
      <c r="M1420" s="3"/>
      <c r="N1420" s="3"/>
      <c r="O1420" s="3"/>
      <c r="P1420" s="10"/>
      <c r="Q1420" s="13"/>
      <c r="R1420" s="13"/>
      <c r="S1420" s="13"/>
      <c r="Y1420" s="14"/>
      <c r="AA1420" s="15"/>
    </row>
    <row r="1421" ht="15.75" customHeight="1">
      <c r="A1421" s="3"/>
      <c r="B1421" s="3"/>
      <c r="C1421" s="3"/>
      <c r="D1421" s="10"/>
      <c r="E1421" s="11"/>
      <c r="F1421" s="12"/>
      <c r="G1421" s="9"/>
      <c r="H1421" s="3"/>
      <c r="I1421" s="3"/>
      <c r="J1421" s="3"/>
      <c r="K1421" s="12"/>
      <c r="L1421" s="3"/>
      <c r="M1421" s="3"/>
      <c r="N1421" s="3"/>
      <c r="O1421" s="3"/>
      <c r="P1421" s="10"/>
      <c r="Q1421" s="13"/>
      <c r="R1421" s="13"/>
      <c r="S1421" s="13"/>
      <c r="Y1421" s="14"/>
      <c r="AA1421" s="15"/>
    </row>
    <row r="1422" ht="15.75" customHeight="1">
      <c r="A1422" s="3"/>
      <c r="B1422" s="3"/>
      <c r="C1422" s="3"/>
      <c r="D1422" s="10"/>
      <c r="E1422" s="11"/>
      <c r="F1422" s="12"/>
      <c r="G1422" s="9"/>
      <c r="H1422" s="3"/>
      <c r="I1422" s="3"/>
      <c r="J1422" s="3"/>
      <c r="K1422" s="12"/>
      <c r="L1422" s="3"/>
      <c r="M1422" s="3"/>
      <c r="N1422" s="3"/>
      <c r="O1422" s="3"/>
      <c r="P1422" s="10"/>
      <c r="Q1422" s="13"/>
      <c r="R1422" s="13"/>
      <c r="S1422" s="13"/>
      <c r="Y1422" s="14"/>
      <c r="AA1422" s="15"/>
    </row>
    <row r="1423" ht="15.75" customHeight="1">
      <c r="A1423" s="3"/>
      <c r="B1423" s="3"/>
      <c r="C1423" s="3"/>
      <c r="D1423" s="10"/>
      <c r="E1423" s="11"/>
      <c r="F1423" s="12"/>
      <c r="G1423" s="9"/>
      <c r="H1423" s="3"/>
      <c r="I1423" s="3"/>
      <c r="J1423" s="3"/>
      <c r="K1423" s="12"/>
      <c r="L1423" s="3"/>
      <c r="M1423" s="3"/>
      <c r="N1423" s="3"/>
      <c r="O1423" s="3"/>
      <c r="P1423" s="10"/>
      <c r="Q1423" s="13"/>
      <c r="R1423" s="13"/>
      <c r="S1423" s="13"/>
      <c r="Y1423" s="14"/>
      <c r="AA1423" s="15"/>
    </row>
    <row r="1424" ht="15.75" customHeight="1">
      <c r="A1424" s="3"/>
      <c r="B1424" s="3"/>
      <c r="C1424" s="3"/>
      <c r="D1424" s="10"/>
      <c r="E1424" s="11"/>
      <c r="F1424" s="12"/>
      <c r="G1424" s="9"/>
      <c r="H1424" s="3"/>
      <c r="I1424" s="3"/>
      <c r="J1424" s="3"/>
      <c r="K1424" s="12"/>
      <c r="L1424" s="3"/>
      <c r="M1424" s="3"/>
      <c r="N1424" s="3"/>
      <c r="O1424" s="3"/>
      <c r="P1424" s="10"/>
      <c r="Q1424" s="13"/>
      <c r="R1424" s="13"/>
      <c r="S1424" s="13"/>
      <c r="Y1424" s="14"/>
      <c r="AA1424" s="15"/>
    </row>
    <row r="1425" ht="15.75" customHeight="1">
      <c r="A1425" s="3"/>
      <c r="B1425" s="3"/>
      <c r="C1425" s="3"/>
      <c r="D1425" s="10"/>
      <c r="E1425" s="11"/>
      <c r="F1425" s="12"/>
      <c r="G1425" s="9"/>
      <c r="H1425" s="3"/>
      <c r="I1425" s="3"/>
      <c r="J1425" s="3"/>
      <c r="K1425" s="12"/>
      <c r="L1425" s="3"/>
      <c r="M1425" s="3"/>
      <c r="N1425" s="3"/>
      <c r="O1425" s="3"/>
      <c r="P1425" s="10"/>
      <c r="Q1425" s="13"/>
      <c r="R1425" s="13"/>
      <c r="S1425" s="13"/>
      <c r="Y1425" s="14"/>
      <c r="AA1425" s="15"/>
    </row>
    <row r="1426" ht="15.75" customHeight="1">
      <c r="A1426" s="3"/>
      <c r="B1426" s="3"/>
      <c r="C1426" s="3"/>
      <c r="D1426" s="10"/>
      <c r="E1426" s="11"/>
      <c r="F1426" s="12"/>
      <c r="G1426" s="9"/>
      <c r="H1426" s="3"/>
      <c r="I1426" s="3"/>
      <c r="J1426" s="3"/>
      <c r="K1426" s="12"/>
      <c r="L1426" s="3"/>
      <c r="M1426" s="3"/>
      <c r="N1426" s="3"/>
      <c r="O1426" s="3"/>
      <c r="P1426" s="10"/>
      <c r="Q1426" s="13"/>
      <c r="R1426" s="13"/>
      <c r="S1426" s="13"/>
      <c r="Y1426" s="14"/>
      <c r="AA1426" s="15"/>
    </row>
    <row r="1427" ht="15.75" customHeight="1">
      <c r="A1427" s="3"/>
      <c r="B1427" s="3"/>
      <c r="C1427" s="3"/>
      <c r="D1427" s="10"/>
      <c r="E1427" s="11"/>
      <c r="F1427" s="12"/>
      <c r="G1427" s="9"/>
      <c r="H1427" s="3"/>
      <c r="I1427" s="3"/>
      <c r="J1427" s="3"/>
      <c r="K1427" s="12"/>
      <c r="L1427" s="3"/>
      <c r="M1427" s="3"/>
      <c r="N1427" s="3"/>
      <c r="O1427" s="3"/>
      <c r="P1427" s="10"/>
      <c r="Q1427" s="13"/>
      <c r="R1427" s="13"/>
      <c r="S1427" s="13"/>
      <c r="Y1427" s="14"/>
      <c r="AA1427" s="15"/>
    </row>
    <row r="1428" ht="15.75" customHeight="1">
      <c r="A1428" s="3"/>
      <c r="B1428" s="3"/>
      <c r="C1428" s="3"/>
      <c r="D1428" s="10"/>
      <c r="E1428" s="11"/>
      <c r="F1428" s="12"/>
      <c r="G1428" s="9"/>
      <c r="H1428" s="3"/>
      <c r="I1428" s="3"/>
      <c r="J1428" s="3"/>
      <c r="K1428" s="12"/>
      <c r="L1428" s="3"/>
      <c r="M1428" s="3"/>
      <c r="N1428" s="3"/>
      <c r="O1428" s="3"/>
      <c r="P1428" s="10"/>
      <c r="Q1428" s="13"/>
      <c r="R1428" s="13"/>
      <c r="S1428" s="13"/>
      <c r="Y1428" s="14"/>
      <c r="AA1428" s="15"/>
    </row>
    <row r="1429" ht="15.75" customHeight="1">
      <c r="A1429" s="3"/>
      <c r="B1429" s="3"/>
      <c r="C1429" s="3"/>
      <c r="D1429" s="10"/>
      <c r="E1429" s="11"/>
      <c r="F1429" s="12"/>
      <c r="G1429" s="9"/>
      <c r="H1429" s="3"/>
      <c r="I1429" s="3"/>
      <c r="J1429" s="3"/>
      <c r="K1429" s="12"/>
      <c r="L1429" s="3"/>
      <c r="M1429" s="3"/>
      <c r="N1429" s="3"/>
      <c r="O1429" s="3"/>
      <c r="P1429" s="10"/>
      <c r="Q1429" s="13"/>
      <c r="R1429" s="13"/>
      <c r="S1429" s="13"/>
      <c r="Y1429" s="14"/>
      <c r="AA1429" s="15"/>
    </row>
    <row r="1430" ht="15.75" customHeight="1">
      <c r="A1430" s="3"/>
      <c r="B1430" s="3"/>
      <c r="C1430" s="3"/>
      <c r="D1430" s="10"/>
      <c r="E1430" s="11"/>
      <c r="F1430" s="12"/>
      <c r="G1430" s="9"/>
      <c r="H1430" s="3"/>
      <c r="I1430" s="3"/>
      <c r="J1430" s="3"/>
      <c r="K1430" s="12"/>
      <c r="L1430" s="3"/>
      <c r="M1430" s="3"/>
      <c r="N1430" s="3"/>
      <c r="O1430" s="3"/>
      <c r="P1430" s="10"/>
      <c r="Q1430" s="13"/>
      <c r="R1430" s="13"/>
      <c r="S1430" s="13"/>
      <c r="Y1430" s="14"/>
      <c r="AA1430" s="15"/>
    </row>
    <row r="1431" ht="15.75" customHeight="1">
      <c r="A1431" s="3"/>
      <c r="B1431" s="3"/>
      <c r="C1431" s="3"/>
      <c r="D1431" s="10"/>
      <c r="E1431" s="11"/>
      <c r="F1431" s="12"/>
      <c r="G1431" s="9"/>
      <c r="H1431" s="3"/>
      <c r="I1431" s="3"/>
      <c r="J1431" s="3"/>
      <c r="K1431" s="12"/>
      <c r="L1431" s="3"/>
      <c r="M1431" s="3"/>
      <c r="N1431" s="3"/>
      <c r="O1431" s="3"/>
      <c r="P1431" s="10"/>
      <c r="Q1431" s="13"/>
      <c r="R1431" s="13"/>
      <c r="S1431" s="13"/>
      <c r="Y1431" s="14"/>
      <c r="AA1431" s="15"/>
    </row>
    <row r="1432" ht="15.75" customHeight="1">
      <c r="A1432" s="3"/>
      <c r="B1432" s="3"/>
      <c r="C1432" s="3"/>
      <c r="D1432" s="10"/>
      <c r="E1432" s="11"/>
      <c r="F1432" s="12"/>
      <c r="G1432" s="9"/>
      <c r="H1432" s="3"/>
      <c r="I1432" s="3"/>
      <c r="J1432" s="3"/>
      <c r="K1432" s="12"/>
      <c r="L1432" s="3"/>
      <c r="M1432" s="3"/>
      <c r="N1432" s="3"/>
      <c r="O1432" s="3"/>
      <c r="P1432" s="10"/>
      <c r="Q1432" s="13"/>
      <c r="R1432" s="13"/>
      <c r="S1432" s="13"/>
      <c r="Y1432" s="14"/>
      <c r="AA1432" s="15"/>
    </row>
    <row r="1433" ht="15.75" customHeight="1">
      <c r="A1433" s="3"/>
      <c r="B1433" s="3"/>
      <c r="C1433" s="3"/>
      <c r="D1433" s="10"/>
      <c r="E1433" s="11"/>
      <c r="F1433" s="12"/>
      <c r="G1433" s="9"/>
      <c r="H1433" s="3"/>
      <c r="I1433" s="3"/>
      <c r="J1433" s="3"/>
      <c r="K1433" s="12"/>
      <c r="L1433" s="3"/>
      <c r="M1433" s="3"/>
      <c r="N1433" s="3"/>
      <c r="O1433" s="3"/>
      <c r="P1433" s="10"/>
      <c r="Q1433" s="13"/>
      <c r="R1433" s="13"/>
      <c r="S1433" s="13"/>
      <c r="Y1433" s="14"/>
      <c r="AA1433" s="15"/>
    </row>
    <row r="1434" ht="15.75" customHeight="1">
      <c r="A1434" s="3"/>
      <c r="B1434" s="3"/>
      <c r="C1434" s="3"/>
      <c r="D1434" s="10"/>
      <c r="E1434" s="11"/>
      <c r="F1434" s="12"/>
      <c r="G1434" s="9"/>
      <c r="H1434" s="3"/>
      <c r="I1434" s="3"/>
      <c r="J1434" s="3"/>
      <c r="K1434" s="12"/>
      <c r="L1434" s="3"/>
      <c r="M1434" s="3"/>
      <c r="N1434" s="3"/>
      <c r="O1434" s="3"/>
      <c r="P1434" s="10"/>
      <c r="Q1434" s="13"/>
      <c r="R1434" s="13"/>
      <c r="S1434" s="13"/>
      <c r="Y1434" s="14"/>
      <c r="AA1434" s="15"/>
    </row>
    <row r="1435" ht="15.75" customHeight="1">
      <c r="A1435" s="3"/>
      <c r="B1435" s="3"/>
      <c r="C1435" s="3"/>
      <c r="D1435" s="10"/>
      <c r="E1435" s="11"/>
      <c r="F1435" s="12"/>
      <c r="G1435" s="9"/>
      <c r="H1435" s="3"/>
      <c r="I1435" s="3"/>
      <c r="J1435" s="3"/>
      <c r="K1435" s="12"/>
      <c r="L1435" s="3"/>
      <c r="M1435" s="3"/>
      <c r="N1435" s="3"/>
      <c r="O1435" s="3"/>
      <c r="P1435" s="10"/>
      <c r="Q1435" s="13"/>
      <c r="R1435" s="13"/>
      <c r="S1435" s="13"/>
      <c r="Y1435" s="14"/>
      <c r="AA1435" s="15"/>
    </row>
    <row r="1436" ht="15.75" customHeight="1">
      <c r="A1436" s="3"/>
      <c r="B1436" s="3"/>
      <c r="C1436" s="3"/>
      <c r="D1436" s="10"/>
      <c r="E1436" s="11"/>
      <c r="F1436" s="12"/>
      <c r="G1436" s="9"/>
      <c r="H1436" s="3"/>
      <c r="I1436" s="3"/>
      <c r="J1436" s="3"/>
      <c r="K1436" s="12"/>
      <c r="L1436" s="3"/>
      <c r="M1436" s="3"/>
      <c r="N1436" s="3"/>
      <c r="O1436" s="3"/>
      <c r="P1436" s="10"/>
      <c r="Q1436" s="13"/>
      <c r="R1436" s="13"/>
      <c r="S1436" s="13"/>
      <c r="Y1436" s="14"/>
      <c r="AA1436" s="15"/>
    </row>
    <row r="1437" ht="15.75" customHeight="1">
      <c r="A1437" s="3"/>
      <c r="B1437" s="3"/>
      <c r="C1437" s="3"/>
      <c r="D1437" s="10"/>
      <c r="E1437" s="11"/>
      <c r="F1437" s="12"/>
      <c r="G1437" s="9"/>
      <c r="H1437" s="3"/>
      <c r="I1437" s="3"/>
      <c r="J1437" s="3"/>
      <c r="K1437" s="12"/>
      <c r="L1437" s="3"/>
      <c r="M1437" s="3"/>
      <c r="N1437" s="3"/>
      <c r="O1437" s="3"/>
      <c r="P1437" s="10"/>
      <c r="Q1437" s="13"/>
      <c r="R1437" s="13"/>
      <c r="S1437" s="13"/>
      <c r="Y1437" s="14"/>
      <c r="AA1437" s="15"/>
    </row>
    <row r="1438" ht="15.75" customHeight="1">
      <c r="A1438" s="3"/>
      <c r="B1438" s="3"/>
      <c r="C1438" s="3"/>
      <c r="D1438" s="10"/>
      <c r="E1438" s="11"/>
      <c r="F1438" s="12"/>
      <c r="G1438" s="9"/>
      <c r="H1438" s="3"/>
      <c r="I1438" s="3"/>
      <c r="J1438" s="3"/>
      <c r="K1438" s="12"/>
      <c r="L1438" s="3"/>
      <c r="M1438" s="3"/>
      <c r="N1438" s="3"/>
      <c r="O1438" s="3"/>
      <c r="P1438" s="10"/>
      <c r="Q1438" s="13"/>
      <c r="R1438" s="13"/>
      <c r="S1438" s="13"/>
      <c r="Y1438" s="14"/>
      <c r="AA1438" s="15"/>
    </row>
    <row r="1439" ht="15.75" customHeight="1">
      <c r="A1439" s="3"/>
      <c r="B1439" s="3"/>
      <c r="C1439" s="3"/>
      <c r="D1439" s="10"/>
      <c r="E1439" s="11"/>
      <c r="F1439" s="12"/>
      <c r="G1439" s="9"/>
      <c r="H1439" s="3"/>
      <c r="I1439" s="3"/>
      <c r="J1439" s="3"/>
      <c r="K1439" s="12"/>
      <c r="L1439" s="3"/>
      <c r="M1439" s="3"/>
      <c r="N1439" s="3"/>
      <c r="O1439" s="3"/>
      <c r="P1439" s="10"/>
      <c r="Q1439" s="13"/>
      <c r="R1439" s="13"/>
      <c r="S1439" s="13"/>
      <c r="Y1439" s="14"/>
      <c r="AA1439" s="15"/>
    </row>
    <row r="1440" ht="15.75" customHeight="1">
      <c r="A1440" s="3"/>
      <c r="B1440" s="3"/>
      <c r="C1440" s="3"/>
      <c r="D1440" s="10"/>
      <c r="E1440" s="11"/>
      <c r="F1440" s="12"/>
      <c r="G1440" s="9"/>
      <c r="H1440" s="3"/>
      <c r="I1440" s="3"/>
      <c r="J1440" s="3"/>
      <c r="K1440" s="12"/>
      <c r="L1440" s="3"/>
      <c r="M1440" s="3"/>
      <c r="N1440" s="3"/>
      <c r="O1440" s="3"/>
      <c r="P1440" s="10"/>
      <c r="Q1440" s="13"/>
      <c r="R1440" s="13"/>
      <c r="S1440" s="13"/>
      <c r="Y1440" s="14"/>
      <c r="AA1440" s="15"/>
    </row>
    <row r="1441" ht="15.75" customHeight="1">
      <c r="A1441" s="3"/>
      <c r="B1441" s="3"/>
      <c r="C1441" s="3"/>
      <c r="D1441" s="10"/>
      <c r="E1441" s="11"/>
      <c r="F1441" s="12"/>
      <c r="G1441" s="9"/>
      <c r="H1441" s="3"/>
      <c r="I1441" s="3"/>
      <c r="J1441" s="3"/>
      <c r="K1441" s="12"/>
      <c r="L1441" s="3"/>
      <c r="M1441" s="3"/>
      <c r="N1441" s="3"/>
      <c r="O1441" s="3"/>
      <c r="P1441" s="10"/>
      <c r="Q1441" s="13"/>
      <c r="R1441" s="13"/>
      <c r="S1441" s="13"/>
      <c r="Y1441" s="14"/>
      <c r="AA1441" s="15"/>
    </row>
    <row r="1442" ht="15.75" customHeight="1">
      <c r="A1442" s="3"/>
      <c r="B1442" s="3"/>
      <c r="C1442" s="3"/>
      <c r="D1442" s="10"/>
      <c r="E1442" s="11"/>
      <c r="F1442" s="12"/>
      <c r="G1442" s="9"/>
      <c r="H1442" s="3"/>
      <c r="I1442" s="3"/>
      <c r="J1442" s="3"/>
      <c r="K1442" s="12"/>
      <c r="L1442" s="3"/>
      <c r="M1442" s="3"/>
      <c r="N1442" s="3"/>
      <c r="O1442" s="3"/>
      <c r="P1442" s="10"/>
      <c r="Q1442" s="13"/>
      <c r="R1442" s="13"/>
      <c r="S1442" s="13"/>
      <c r="Y1442" s="14"/>
      <c r="AA1442" s="15"/>
    </row>
    <row r="1443" ht="15.75" customHeight="1">
      <c r="A1443" s="3"/>
      <c r="B1443" s="3"/>
      <c r="C1443" s="3"/>
      <c r="D1443" s="10"/>
      <c r="E1443" s="11"/>
      <c r="F1443" s="12"/>
      <c r="G1443" s="9"/>
      <c r="H1443" s="3"/>
      <c r="I1443" s="3"/>
      <c r="J1443" s="3"/>
      <c r="K1443" s="12"/>
      <c r="L1443" s="3"/>
      <c r="M1443" s="3"/>
      <c r="N1443" s="3"/>
      <c r="O1443" s="3"/>
      <c r="P1443" s="10"/>
      <c r="Q1443" s="13"/>
      <c r="R1443" s="13"/>
      <c r="S1443" s="13"/>
      <c r="Y1443" s="14"/>
      <c r="AA1443" s="15"/>
    </row>
    <row r="1444" ht="15.75" customHeight="1">
      <c r="A1444" s="3"/>
      <c r="B1444" s="3"/>
      <c r="C1444" s="3"/>
      <c r="D1444" s="10"/>
      <c r="E1444" s="11"/>
      <c r="F1444" s="12"/>
      <c r="G1444" s="9"/>
      <c r="H1444" s="3"/>
      <c r="I1444" s="3"/>
      <c r="J1444" s="3"/>
      <c r="K1444" s="12"/>
      <c r="L1444" s="3"/>
      <c r="M1444" s="3"/>
      <c r="N1444" s="3"/>
      <c r="O1444" s="3"/>
      <c r="P1444" s="10"/>
      <c r="Q1444" s="13"/>
      <c r="R1444" s="13"/>
      <c r="S1444" s="13"/>
      <c r="Y1444" s="14"/>
      <c r="AA1444" s="15"/>
    </row>
    <row r="1445" ht="15.75" customHeight="1">
      <c r="A1445" s="3"/>
      <c r="B1445" s="3"/>
      <c r="C1445" s="3"/>
      <c r="D1445" s="10"/>
      <c r="E1445" s="11"/>
      <c r="F1445" s="12"/>
      <c r="G1445" s="9"/>
      <c r="H1445" s="3"/>
      <c r="I1445" s="3"/>
      <c r="J1445" s="3"/>
      <c r="K1445" s="12"/>
      <c r="L1445" s="3"/>
      <c r="M1445" s="3"/>
      <c r="N1445" s="3"/>
      <c r="O1445" s="3"/>
      <c r="P1445" s="10"/>
      <c r="Q1445" s="13"/>
      <c r="R1445" s="13"/>
      <c r="S1445" s="13"/>
      <c r="Y1445" s="14"/>
      <c r="AA1445" s="15"/>
    </row>
    <row r="1446" ht="15.75" customHeight="1">
      <c r="A1446" s="3"/>
      <c r="B1446" s="3"/>
      <c r="C1446" s="3"/>
      <c r="D1446" s="10"/>
      <c r="E1446" s="11"/>
      <c r="F1446" s="12"/>
      <c r="G1446" s="9"/>
      <c r="H1446" s="3"/>
      <c r="I1446" s="3"/>
      <c r="J1446" s="3"/>
      <c r="K1446" s="12"/>
      <c r="L1446" s="3"/>
      <c r="M1446" s="3"/>
      <c r="N1446" s="3"/>
      <c r="O1446" s="3"/>
      <c r="P1446" s="10"/>
      <c r="Q1446" s="13"/>
      <c r="R1446" s="13"/>
      <c r="S1446" s="13"/>
      <c r="Y1446" s="14"/>
      <c r="AA1446" s="15"/>
    </row>
    <row r="1447" ht="15.75" customHeight="1">
      <c r="A1447" s="3"/>
      <c r="B1447" s="3"/>
      <c r="C1447" s="3"/>
      <c r="D1447" s="10"/>
      <c r="E1447" s="11"/>
      <c r="F1447" s="12"/>
      <c r="G1447" s="9"/>
      <c r="H1447" s="3"/>
      <c r="I1447" s="3"/>
      <c r="J1447" s="3"/>
      <c r="K1447" s="12"/>
      <c r="L1447" s="3"/>
      <c r="M1447" s="3"/>
      <c r="N1447" s="3"/>
      <c r="O1447" s="3"/>
      <c r="P1447" s="10"/>
      <c r="Q1447" s="13"/>
      <c r="R1447" s="13"/>
      <c r="S1447" s="13"/>
      <c r="Y1447" s="14"/>
      <c r="AA1447" s="15"/>
    </row>
    <row r="1448" ht="15.75" customHeight="1">
      <c r="A1448" s="3"/>
      <c r="B1448" s="3"/>
      <c r="C1448" s="3"/>
      <c r="D1448" s="10"/>
      <c r="E1448" s="11"/>
      <c r="F1448" s="12"/>
      <c r="G1448" s="9"/>
      <c r="H1448" s="3"/>
      <c r="I1448" s="3"/>
      <c r="J1448" s="3"/>
      <c r="K1448" s="12"/>
      <c r="L1448" s="3"/>
      <c r="M1448" s="3"/>
      <c r="N1448" s="3"/>
      <c r="O1448" s="3"/>
      <c r="P1448" s="10"/>
      <c r="Q1448" s="13"/>
      <c r="R1448" s="13"/>
      <c r="S1448" s="13"/>
      <c r="Y1448" s="14"/>
      <c r="AA1448" s="15"/>
    </row>
    <row r="1449" ht="15.75" customHeight="1">
      <c r="A1449" s="3"/>
      <c r="B1449" s="3"/>
      <c r="C1449" s="3"/>
      <c r="D1449" s="10"/>
      <c r="E1449" s="11"/>
      <c r="F1449" s="12"/>
      <c r="G1449" s="9"/>
      <c r="H1449" s="3"/>
      <c r="I1449" s="3"/>
      <c r="J1449" s="3"/>
      <c r="K1449" s="12"/>
      <c r="L1449" s="3"/>
      <c r="M1449" s="3"/>
      <c r="N1449" s="3"/>
      <c r="O1449" s="3"/>
      <c r="P1449" s="10"/>
      <c r="Q1449" s="13"/>
      <c r="R1449" s="13"/>
      <c r="S1449" s="13"/>
      <c r="Y1449" s="14"/>
      <c r="AA1449" s="15"/>
    </row>
    <row r="1450" ht="15.75" customHeight="1">
      <c r="A1450" s="3"/>
      <c r="B1450" s="3"/>
      <c r="C1450" s="3"/>
      <c r="D1450" s="10"/>
      <c r="E1450" s="11"/>
      <c r="F1450" s="12"/>
      <c r="G1450" s="9"/>
      <c r="H1450" s="3"/>
      <c r="I1450" s="3"/>
      <c r="J1450" s="3"/>
      <c r="K1450" s="12"/>
      <c r="L1450" s="3"/>
      <c r="M1450" s="3"/>
      <c r="N1450" s="3"/>
      <c r="O1450" s="3"/>
      <c r="P1450" s="10"/>
      <c r="Q1450" s="13"/>
      <c r="R1450" s="13"/>
      <c r="S1450" s="13"/>
      <c r="Y1450" s="14"/>
      <c r="AA1450" s="15"/>
    </row>
    <row r="1451" ht="15.75" customHeight="1">
      <c r="A1451" s="3"/>
      <c r="B1451" s="3"/>
      <c r="C1451" s="3"/>
      <c r="D1451" s="10"/>
      <c r="E1451" s="11"/>
      <c r="F1451" s="12"/>
      <c r="G1451" s="9"/>
      <c r="H1451" s="3"/>
      <c r="I1451" s="3"/>
      <c r="J1451" s="3"/>
      <c r="K1451" s="12"/>
      <c r="L1451" s="3"/>
      <c r="M1451" s="3"/>
      <c r="N1451" s="3"/>
      <c r="O1451" s="3"/>
      <c r="P1451" s="10"/>
      <c r="Q1451" s="13"/>
      <c r="R1451" s="13"/>
      <c r="S1451" s="13"/>
      <c r="Y1451" s="14"/>
      <c r="AA1451" s="15"/>
    </row>
    <row r="1452" ht="15.75" customHeight="1">
      <c r="A1452" s="3"/>
      <c r="B1452" s="3"/>
      <c r="C1452" s="3"/>
      <c r="D1452" s="10"/>
      <c r="E1452" s="11"/>
      <c r="F1452" s="12"/>
      <c r="G1452" s="9"/>
      <c r="H1452" s="3"/>
      <c r="I1452" s="3"/>
      <c r="J1452" s="3"/>
      <c r="K1452" s="12"/>
      <c r="L1452" s="3"/>
      <c r="M1452" s="3"/>
      <c r="N1452" s="3"/>
      <c r="O1452" s="3"/>
      <c r="P1452" s="10"/>
      <c r="Q1452" s="13"/>
      <c r="R1452" s="13"/>
      <c r="S1452" s="13"/>
      <c r="Y1452" s="14"/>
      <c r="AA1452" s="15"/>
    </row>
    <row r="1453" ht="15.75" customHeight="1">
      <c r="A1453" s="3"/>
      <c r="B1453" s="3"/>
      <c r="C1453" s="3"/>
      <c r="D1453" s="10"/>
      <c r="E1453" s="11"/>
      <c r="F1453" s="12"/>
      <c r="G1453" s="9"/>
      <c r="H1453" s="3"/>
      <c r="I1453" s="3"/>
      <c r="J1453" s="3"/>
      <c r="K1453" s="12"/>
      <c r="L1453" s="3"/>
      <c r="M1453" s="3"/>
      <c r="N1453" s="3"/>
      <c r="O1453" s="3"/>
      <c r="P1453" s="10"/>
      <c r="Q1453" s="13"/>
      <c r="R1453" s="13"/>
      <c r="S1453" s="13"/>
      <c r="Y1453" s="14"/>
      <c r="AA1453" s="15"/>
    </row>
    <row r="1454" ht="15.75" customHeight="1">
      <c r="A1454" s="3"/>
      <c r="B1454" s="3"/>
      <c r="C1454" s="3"/>
      <c r="D1454" s="10"/>
      <c r="E1454" s="11"/>
      <c r="F1454" s="12"/>
      <c r="G1454" s="9"/>
      <c r="H1454" s="3"/>
      <c r="I1454" s="3"/>
      <c r="J1454" s="3"/>
      <c r="K1454" s="12"/>
      <c r="L1454" s="3"/>
      <c r="M1454" s="3"/>
      <c r="N1454" s="3"/>
      <c r="O1454" s="3"/>
      <c r="P1454" s="10"/>
      <c r="Q1454" s="13"/>
      <c r="R1454" s="13"/>
      <c r="S1454" s="13"/>
      <c r="Y1454" s="14"/>
      <c r="AA1454" s="15"/>
    </row>
    <row r="1455" ht="15.75" customHeight="1">
      <c r="A1455" s="3"/>
      <c r="B1455" s="3"/>
      <c r="C1455" s="3"/>
      <c r="D1455" s="10"/>
      <c r="E1455" s="11"/>
      <c r="F1455" s="12"/>
      <c r="G1455" s="9"/>
      <c r="H1455" s="3"/>
      <c r="I1455" s="3"/>
      <c r="J1455" s="3"/>
      <c r="K1455" s="12"/>
      <c r="L1455" s="3"/>
      <c r="M1455" s="3"/>
      <c r="N1455" s="3"/>
      <c r="O1455" s="3"/>
      <c r="P1455" s="10"/>
      <c r="Q1455" s="13"/>
      <c r="R1455" s="13"/>
      <c r="S1455" s="13"/>
      <c r="Y1455" s="14"/>
      <c r="AA1455" s="15"/>
    </row>
    <row r="1456" ht="15.75" customHeight="1">
      <c r="A1456" s="3"/>
      <c r="B1456" s="3"/>
      <c r="C1456" s="3"/>
      <c r="D1456" s="10"/>
      <c r="E1456" s="11"/>
      <c r="F1456" s="12"/>
      <c r="G1456" s="9"/>
      <c r="H1456" s="3"/>
      <c r="I1456" s="3"/>
      <c r="J1456" s="3"/>
      <c r="K1456" s="12"/>
      <c r="L1456" s="3"/>
      <c r="M1456" s="3"/>
      <c r="N1456" s="3"/>
      <c r="O1456" s="3"/>
      <c r="P1456" s="10"/>
      <c r="Q1456" s="13"/>
      <c r="R1456" s="13"/>
      <c r="S1456" s="13"/>
      <c r="Y1456" s="14"/>
      <c r="AA1456" s="15"/>
    </row>
    <row r="1457" ht="15.75" customHeight="1">
      <c r="A1457" s="3"/>
      <c r="B1457" s="3"/>
      <c r="C1457" s="3"/>
      <c r="D1457" s="10"/>
      <c r="E1457" s="11"/>
      <c r="F1457" s="12"/>
      <c r="G1457" s="9"/>
      <c r="H1457" s="3"/>
      <c r="I1457" s="3"/>
      <c r="J1457" s="3"/>
      <c r="K1457" s="12"/>
      <c r="L1457" s="3"/>
      <c r="M1457" s="3"/>
      <c r="N1457" s="3"/>
      <c r="O1457" s="3"/>
      <c r="P1457" s="10"/>
      <c r="Q1457" s="13"/>
      <c r="R1457" s="13"/>
      <c r="S1457" s="13"/>
      <c r="Y1457" s="14"/>
      <c r="AA1457" s="15"/>
    </row>
    <row r="1458" ht="15.75" customHeight="1">
      <c r="A1458" s="3"/>
      <c r="B1458" s="3"/>
      <c r="C1458" s="3"/>
      <c r="D1458" s="10"/>
      <c r="E1458" s="11"/>
      <c r="F1458" s="12"/>
      <c r="G1458" s="9"/>
      <c r="H1458" s="3"/>
      <c r="I1458" s="3"/>
      <c r="J1458" s="3"/>
      <c r="K1458" s="12"/>
      <c r="L1458" s="3"/>
      <c r="M1458" s="3"/>
      <c r="N1458" s="3"/>
      <c r="O1458" s="3"/>
      <c r="P1458" s="10"/>
      <c r="Q1458" s="13"/>
      <c r="R1458" s="13"/>
      <c r="S1458" s="13"/>
      <c r="Y1458" s="14"/>
      <c r="AA1458" s="15"/>
    </row>
    <row r="1459" ht="15.75" customHeight="1">
      <c r="A1459" s="3"/>
      <c r="B1459" s="3"/>
      <c r="C1459" s="3"/>
      <c r="D1459" s="10"/>
      <c r="E1459" s="11"/>
      <c r="F1459" s="12"/>
      <c r="G1459" s="9"/>
      <c r="H1459" s="3"/>
      <c r="I1459" s="3"/>
      <c r="J1459" s="3"/>
      <c r="K1459" s="12"/>
      <c r="L1459" s="3"/>
      <c r="M1459" s="3"/>
      <c r="N1459" s="3"/>
      <c r="O1459" s="3"/>
      <c r="P1459" s="10"/>
      <c r="Q1459" s="13"/>
      <c r="R1459" s="13"/>
      <c r="S1459" s="13"/>
      <c r="Y1459" s="14"/>
      <c r="AA1459" s="15"/>
    </row>
    <row r="1460" ht="15.75" customHeight="1">
      <c r="A1460" s="3"/>
      <c r="B1460" s="3"/>
      <c r="C1460" s="3"/>
      <c r="D1460" s="10"/>
      <c r="E1460" s="11"/>
      <c r="F1460" s="12"/>
      <c r="G1460" s="9"/>
      <c r="H1460" s="3"/>
      <c r="I1460" s="3"/>
      <c r="J1460" s="3"/>
      <c r="K1460" s="12"/>
      <c r="L1460" s="3"/>
      <c r="M1460" s="3"/>
      <c r="N1460" s="3"/>
      <c r="O1460" s="3"/>
      <c r="P1460" s="10"/>
      <c r="Q1460" s="13"/>
      <c r="R1460" s="13"/>
      <c r="S1460" s="13"/>
      <c r="Y1460" s="14"/>
      <c r="AA1460" s="15"/>
    </row>
    <row r="1461" ht="15.75" customHeight="1">
      <c r="A1461" s="3"/>
      <c r="B1461" s="3"/>
      <c r="C1461" s="3"/>
      <c r="D1461" s="10"/>
      <c r="E1461" s="11"/>
      <c r="F1461" s="12"/>
      <c r="G1461" s="9"/>
      <c r="H1461" s="3"/>
      <c r="I1461" s="3"/>
      <c r="J1461" s="3"/>
      <c r="K1461" s="12"/>
      <c r="L1461" s="3"/>
      <c r="M1461" s="3"/>
      <c r="N1461" s="3"/>
      <c r="O1461" s="3"/>
      <c r="P1461" s="10"/>
      <c r="Q1461" s="13"/>
      <c r="R1461" s="13"/>
      <c r="S1461" s="13"/>
      <c r="Y1461" s="14"/>
      <c r="AA1461" s="15"/>
    </row>
    <row r="1462" ht="15.75" customHeight="1">
      <c r="A1462" s="3"/>
      <c r="B1462" s="3"/>
      <c r="C1462" s="3"/>
      <c r="D1462" s="10"/>
      <c r="E1462" s="11"/>
      <c r="F1462" s="12"/>
      <c r="G1462" s="9"/>
      <c r="H1462" s="3"/>
      <c r="I1462" s="3"/>
      <c r="J1462" s="3"/>
      <c r="K1462" s="12"/>
      <c r="L1462" s="3"/>
      <c r="M1462" s="3"/>
      <c r="N1462" s="3"/>
      <c r="O1462" s="3"/>
      <c r="P1462" s="10"/>
      <c r="Q1462" s="13"/>
      <c r="R1462" s="13"/>
      <c r="S1462" s="13"/>
      <c r="Y1462" s="14"/>
      <c r="AA1462" s="15"/>
    </row>
    <row r="1463" ht="15.75" customHeight="1">
      <c r="A1463" s="3"/>
      <c r="B1463" s="3"/>
      <c r="C1463" s="3"/>
      <c r="D1463" s="10"/>
      <c r="E1463" s="11"/>
      <c r="F1463" s="12"/>
      <c r="G1463" s="9"/>
      <c r="H1463" s="3"/>
      <c r="I1463" s="3"/>
      <c r="J1463" s="3"/>
      <c r="K1463" s="12"/>
      <c r="L1463" s="3"/>
      <c r="M1463" s="3"/>
      <c r="N1463" s="3"/>
      <c r="O1463" s="3"/>
      <c r="P1463" s="10"/>
      <c r="Q1463" s="13"/>
      <c r="R1463" s="13"/>
      <c r="S1463" s="13"/>
      <c r="Y1463" s="14"/>
      <c r="AA1463" s="15"/>
    </row>
    <row r="1464" ht="15.75" customHeight="1">
      <c r="A1464" s="3"/>
      <c r="B1464" s="3"/>
      <c r="C1464" s="3"/>
      <c r="D1464" s="10"/>
      <c r="E1464" s="11"/>
      <c r="F1464" s="12"/>
      <c r="G1464" s="9"/>
      <c r="H1464" s="3"/>
      <c r="I1464" s="3"/>
      <c r="J1464" s="3"/>
      <c r="K1464" s="12"/>
      <c r="L1464" s="3"/>
      <c r="M1464" s="3"/>
      <c r="N1464" s="3"/>
      <c r="O1464" s="3"/>
      <c r="P1464" s="10"/>
      <c r="Q1464" s="13"/>
      <c r="R1464" s="13"/>
      <c r="S1464" s="13"/>
      <c r="Y1464" s="14"/>
      <c r="AA1464" s="15"/>
    </row>
    <row r="1465" ht="15.75" customHeight="1">
      <c r="A1465" s="3"/>
      <c r="B1465" s="3"/>
      <c r="C1465" s="3"/>
      <c r="D1465" s="10"/>
      <c r="E1465" s="11"/>
      <c r="F1465" s="12"/>
      <c r="G1465" s="9"/>
      <c r="H1465" s="3"/>
      <c r="I1465" s="3"/>
      <c r="J1465" s="3"/>
      <c r="K1465" s="12"/>
      <c r="L1465" s="3"/>
      <c r="M1465" s="3"/>
      <c r="N1465" s="3"/>
      <c r="O1465" s="3"/>
      <c r="P1465" s="10"/>
      <c r="Q1465" s="13"/>
      <c r="R1465" s="13"/>
      <c r="S1465" s="13"/>
      <c r="Y1465" s="14"/>
      <c r="AA1465" s="15"/>
    </row>
    <row r="1466" ht="15.75" customHeight="1">
      <c r="A1466" s="3"/>
      <c r="B1466" s="3"/>
      <c r="C1466" s="3"/>
      <c r="D1466" s="10"/>
      <c r="E1466" s="11"/>
      <c r="F1466" s="12"/>
      <c r="G1466" s="9"/>
      <c r="H1466" s="3"/>
      <c r="I1466" s="3"/>
      <c r="J1466" s="3"/>
      <c r="K1466" s="12"/>
      <c r="L1466" s="3"/>
      <c r="M1466" s="3"/>
      <c r="N1466" s="3"/>
      <c r="O1466" s="3"/>
      <c r="P1466" s="10"/>
      <c r="Q1466" s="13"/>
      <c r="R1466" s="13"/>
      <c r="S1466" s="13"/>
      <c r="Y1466" s="14"/>
      <c r="AA1466" s="15"/>
    </row>
    <row r="1467" ht="15.75" customHeight="1">
      <c r="A1467" s="3"/>
      <c r="B1467" s="3"/>
      <c r="C1467" s="3"/>
      <c r="D1467" s="10"/>
      <c r="E1467" s="11"/>
      <c r="F1467" s="12"/>
      <c r="G1467" s="9"/>
      <c r="H1467" s="3"/>
      <c r="I1467" s="3"/>
      <c r="J1467" s="3"/>
      <c r="K1467" s="12"/>
      <c r="L1467" s="3"/>
      <c r="M1467" s="3"/>
      <c r="N1467" s="3"/>
      <c r="O1467" s="3"/>
      <c r="P1467" s="10"/>
      <c r="Q1467" s="13"/>
      <c r="R1467" s="13"/>
      <c r="S1467" s="13"/>
      <c r="Y1467" s="14"/>
      <c r="AA1467" s="15"/>
    </row>
    <row r="1468" ht="15.75" customHeight="1">
      <c r="A1468" s="3"/>
      <c r="B1468" s="3"/>
      <c r="C1468" s="3"/>
      <c r="D1468" s="10"/>
      <c r="E1468" s="11"/>
      <c r="F1468" s="12"/>
      <c r="G1468" s="9"/>
      <c r="H1468" s="3"/>
      <c r="I1468" s="3"/>
      <c r="J1468" s="3"/>
      <c r="K1468" s="12"/>
      <c r="L1468" s="3"/>
      <c r="M1468" s="3"/>
      <c r="N1468" s="3"/>
      <c r="O1468" s="3"/>
      <c r="P1468" s="10"/>
      <c r="Q1468" s="13"/>
      <c r="R1468" s="13"/>
      <c r="S1468" s="13"/>
      <c r="Y1468" s="14"/>
      <c r="AA1468" s="15"/>
    </row>
    <row r="1469" ht="15.75" customHeight="1">
      <c r="A1469" s="3"/>
      <c r="B1469" s="3"/>
      <c r="C1469" s="3"/>
      <c r="D1469" s="10"/>
      <c r="E1469" s="11"/>
      <c r="F1469" s="12"/>
      <c r="G1469" s="9"/>
      <c r="H1469" s="3"/>
      <c r="I1469" s="3"/>
      <c r="J1469" s="3"/>
      <c r="K1469" s="12"/>
      <c r="L1469" s="3"/>
      <c r="M1469" s="3"/>
      <c r="N1469" s="3"/>
      <c r="O1469" s="3"/>
      <c r="P1469" s="10"/>
      <c r="Q1469" s="13"/>
      <c r="R1469" s="13"/>
      <c r="S1469" s="13"/>
      <c r="Y1469" s="14"/>
      <c r="AA1469" s="15"/>
    </row>
    <row r="1470" ht="15.75" customHeight="1">
      <c r="A1470" s="3"/>
      <c r="B1470" s="3"/>
      <c r="C1470" s="3"/>
      <c r="D1470" s="10"/>
      <c r="E1470" s="11"/>
      <c r="F1470" s="12"/>
      <c r="G1470" s="9"/>
      <c r="H1470" s="3"/>
      <c r="I1470" s="3"/>
      <c r="J1470" s="3"/>
      <c r="K1470" s="12"/>
      <c r="L1470" s="3"/>
      <c r="M1470" s="3"/>
      <c r="N1470" s="3"/>
      <c r="O1470" s="3"/>
      <c r="P1470" s="10"/>
      <c r="Q1470" s="13"/>
      <c r="R1470" s="13"/>
      <c r="S1470" s="13"/>
      <c r="Y1470" s="14"/>
      <c r="AA1470" s="15"/>
    </row>
    <row r="1471" ht="15.75" customHeight="1">
      <c r="A1471" s="3"/>
      <c r="B1471" s="3"/>
      <c r="C1471" s="3"/>
      <c r="D1471" s="10"/>
      <c r="E1471" s="11"/>
      <c r="F1471" s="12"/>
      <c r="G1471" s="9"/>
      <c r="H1471" s="3"/>
      <c r="I1471" s="3"/>
      <c r="J1471" s="3"/>
      <c r="K1471" s="12"/>
      <c r="L1471" s="3"/>
      <c r="M1471" s="3"/>
      <c r="N1471" s="3"/>
      <c r="O1471" s="3"/>
      <c r="P1471" s="10"/>
      <c r="Q1471" s="13"/>
      <c r="R1471" s="13"/>
      <c r="S1471" s="13"/>
      <c r="Y1471" s="14"/>
      <c r="AA1471" s="15"/>
    </row>
    <row r="1472" ht="15.75" customHeight="1">
      <c r="A1472" s="3"/>
      <c r="B1472" s="3"/>
      <c r="C1472" s="3"/>
      <c r="D1472" s="10"/>
      <c r="E1472" s="11"/>
      <c r="F1472" s="12"/>
      <c r="G1472" s="9"/>
      <c r="H1472" s="3"/>
      <c r="I1472" s="3"/>
      <c r="J1472" s="3"/>
      <c r="K1472" s="12"/>
      <c r="L1472" s="3"/>
      <c r="M1472" s="3"/>
      <c r="N1472" s="3"/>
      <c r="O1472" s="3"/>
      <c r="P1472" s="10"/>
      <c r="Q1472" s="13"/>
      <c r="R1472" s="13"/>
      <c r="S1472" s="13"/>
      <c r="Y1472" s="14"/>
      <c r="AA1472" s="15"/>
    </row>
    <row r="1473" ht="15.75" customHeight="1">
      <c r="A1473" s="3"/>
      <c r="B1473" s="3"/>
      <c r="C1473" s="3"/>
      <c r="D1473" s="10"/>
      <c r="E1473" s="11"/>
      <c r="F1473" s="12"/>
      <c r="G1473" s="9"/>
      <c r="H1473" s="3"/>
      <c r="I1473" s="3"/>
      <c r="J1473" s="3"/>
      <c r="K1473" s="12"/>
      <c r="L1473" s="3"/>
      <c r="M1473" s="3"/>
      <c r="N1473" s="3"/>
      <c r="O1473" s="3"/>
      <c r="P1473" s="10"/>
      <c r="Q1473" s="13"/>
      <c r="R1473" s="13"/>
      <c r="S1473" s="13"/>
      <c r="Y1473" s="14"/>
      <c r="AA1473" s="15"/>
    </row>
    <row r="1474" ht="15.75" customHeight="1">
      <c r="A1474" s="3"/>
      <c r="B1474" s="3"/>
      <c r="C1474" s="3"/>
      <c r="D1474" s="10"/>
      <c r="E1474" s="11"/>
      <c r="F1474" s="12"/>
      <c r="G1474" s="9"/>
      <c r="H1474" s="3"/>
      <c r="I1474" s="3"/>
      <c r="J1474" s="3"/>
      <c r="K1474" s="12"/>
      <c r="L1474" s="3"/>
      <c r="M1474" s="3"/>
      <c r="N1474" s="3"/>
      <c r="O1474" s="3"/>
      <c r="P1474" s="10"/>
      <c r="Q1474" s="13"/>
      <c r="R1474" s="13"/>
      <c r="S1474" s="13"/>
      <c r="Y1474" s="14"/>
      <c r="AA1474" s="15"/>
    </row>
    <row r="1475" ht="15.75" customHeight="1">
      <c r="A1475" s="3"/>
      <c r="B1475" s="3"/>
      <c r="C1475" s="3"/>
      <c r="D1475" s="10"/>
      <c r="E1475" s="11"/>
      <c r="F1475" s="12"/>
      <c r="G1475" s="9"/>
      <c r="H1475" s="3"/>
      <c r="I1475" s="3"/>
      <c r="J1475" s="3"/>
      <c r="K1475" s="12"/>
      <c r="L1475" s="3"/>
      <c r="M1475" s="3"/>
      <c r="N1475" s="3"/>
      <c r="O1475" s="3"/>
      <c r="P1475" s="10"/>
      <c r="Q1475" s="13"/>
      <c r="R1475" s="13"/>
      <c r="S1475" s="13"/>
      <c r="Y1475" s="14"/>
      <c r="AA1475" s="15"/>
    </row>
    <row r="1476" ht="15.75" customHeight="1">
      <c r="A1476" s="3"/>
      <c r="B1476" s="3"/>
      <c r="C1476" s="3"/>
      <c r="D1476" s="10"/>
      <c r="E1476" s="11"/>
      <c r="F1476" s="12"/>
      <c r="G1476" s="9"/>
      <c r="H1476" s="3"/>
      <c r="I1476" s="3"/>
      <c r="J1476" s="3"/>
      <c r="K1476" s="12"/>
      <c r="L1476" s="3"/>
      <c r="M1476" s="3"/>
      <c r="N1476" s="3"/>
      <c r="O1476" s="3"/>
      <c r="P1476" s="10"/>
      <c r="Q1476" s="13"/>
      <c r="R1476" s="13"/>
      <c r="S1476" s="13"/>
      <c r="Y1476" s="14"/>
      <c r="AA1476" s="15"/>
    </row>
    <row r="1477" ht="15.75" customHeight="1">
      <c r="A1477" s="3"/>
      <c r="B1477" s="3"/>
      <c r="C1477" s="3"/>
      <c r="D1477" s="10"/>
      <c r="E1477" s="11"/>
      <c r="F1477" s="12"/>
      <c r="G1477" s="9"/>
      <c r="H1477" s="3"/>
      <c r="I1477" s="3"/>
      <c r="J1477" s="3"/>
      <c r="K1477" s="12"/>
      <c r="L1477" s="3"/>
      <c r="M1477" s="3"/>
      <c r="N1477" s="3"/>
      <c r="O1477" s="3"/>
      <c r="P1477" s="10"/>
      <c r="Q1477" s="13"/>
      <c r="R1477" s="13"/>
      <c r="S1477" s="13"/>
      <c r="Y1477" s="14"/>
      <c r="AA1477" s="15"/>
    </row>
    <row r="1478" ht="15.75" customHeight="1">
      <c r="A1478" s="3"/>
      <c r="B1478" s="3"/>
      <c r="C1478" s="3"/>
      <c r="D1478" s="10"/>
      <c r="E1478" s="11"/>
      <c r="F1478" s="12"/>
      <c r="G1478" s="9"/>
      <c r="H1478" s="3"/>
      <c r="I1478" s="3"/>
      <c r="J1478" s="3"/>
      <c r="K1478" s="12"/>
      <c r="L1478" s="3"/>
      <c r="M1478" s="3"/>
      <c r="N1478" s="3"/>
      <c r="O1478" s="3"/>
      <c r="P1478" s="10"/>
      <c r="Q1478" s="13"/>
      <c r="R1478" s="13"/>
      <c r="S1478" s="13"/>
      <c r="Y1478" s="14"/>
      <c r="AA1478" s="15"/>
    </row>
    <row r="1479" ht="15.75" customHeight="1">
      <c r="A1479" s="3"/>
      <c r="B1479" s="3"/>
      <c r="C1479" s="3"/>
      <c r="D1479" s="10"/>
      <c r="E1479" s="11"/>
      <c r="F1479" s="12"/>
      <c r="G1479" s="9"/>
      <c r="H1479" s="3"/>
      <c r="I1479" s="3"/>
      <c r="J1479" s="3"/>
      <c r="K1479" s="12"/>
      <c r="L1479" s="3"/>
      <c r="M1479" s="3"/>
      <c r="N1479" s="3"/>
      <c r="O1479" s="3"/>
      <c r="P1479" s="10"/>
      <c r="Q1479" s="13"/>
      <c r="R1479" s="13"/>
      <c r="S1479" s="13"/>
      <c r="Y1479" s="14"/>
      <c r="AA1479" s="15"/>
    </row>
    <row r="1480" ht="15.75" customHeight="1">
      <c r="A1480" s="3"/>
      <c r="B1480" s="3"/>
      <c r="C1480" s="3"/>
      <c r="D1480" s="10"/>
      <c r="E1480" s="11"/>
      <c r="F1480" s="12"/>
      <c r="G1480" s="9"/>
      <c r="H1480" s="3"/>
      <c r="I1480" s="3"/>
      <c r="J1480" s="3"/>
      <c r="K1480" s="12"/>
      <c r="L1480" s="3"/>
      <c r="M1480" s="3"/>
      <c r="N1480" s="3"/>
      <c r="O1480" s="3"/>
      <c r="P1480" s="10"/>
      <c r="Q1480" s="13"/>
      <c r="R1480" s="13"/>
      <c r="S1480" s="13"/>
      <c r="Y1480" s="14"/>
      <c r="AA1480" s="15"/>
    </row>
    <row r="1481" ht="15.75" customHeight="1">
      <c r="A1481" s="3"/>
      <c r="B1481" s="3"/>
      <c r="C1481" s="3"/>
      <c r="D1481" s="10"/>
      <c r="E1481" s="11"/>
      <c r="F1481" s="12"/>
      <c r="G1481" s="9"/>
      <c r="H1481" s="3"/>
      <c r="I1481" s="3"/>
      <c r="J1481" s="3"/>
      <c r="K1481" s="12"/>
      <c r="L1481" s="3"/>
      <c r="M1481" s="3"/>
      <c r="N1481" s="3"/>
      <c r="O1481" s="3"/>
      <c r="P1481" s="10"/>
      <c r="Q1481" s="13"/>
      <c r="R1481" s="13"/>
      <c r="S1481" s="13"/>
      <c r="Y1481" s="14"/>
      <c r="AA1481" s="15"/>
    </row>
    <row r="1482" ht="15.75" customHeight="1">
      <c r="A1482" s="3"/>
      <c r="B1482" s="3"/>
      <c r="C1482" s="3"/>
      <c r="D1482" s="10"/>
      <c r="E1482" s="11"/>
      <c r="F1482" s="12"/>
      <c r="G1482" s="9"/>
      <c r="H1482" s="3"/>
      <c r="I1482" s="3"/>
      <c r="J1482" s="3"/>
      <c r="K1482" s="12"/>
      <c r="L1482" s="3"/>
      <c r="M1482" s="3"/>
      <c r="N1482" s="3"/>
      <c r="O1482" s="3"/>
      <c r="P1482" s="10"/>
      <c r="Q1482" s="13"/>
      <c r="R1482" s="13"/>
      <c r="S1482" s="13"/>
      <c r="Y1482" s="14"/>
      <c r="AA1482" s="15"/>
    </row>
    <row r="1483" ht="15.75" customHeight="1">
      <c r="A1483" s="3"/>
      <c r="B1483" s="3"/>
      <c r="C1483" s="3"/>
      <c r="D1483" s="10"/>
      <c r="E1483" s="11"/>
      <c r="F1483" s="12"/>
      <c r="G1483" s="9"/>
      <c r="H1483" s="3"/>
      <c r="I1483" s="3"/>
      <c r="J1483" s="3"/>
      <c r="K1483" s="12"/>
      <c r="L1483" s="3"/>
      <c r="M1483" s="3"/>
      <c r="N1483" s="3"/>
      <c r="O1483" s="3"/>
      <c r="P1483" s="10"/>
      <c r="Q1483" s="13"/>
      <c r="R1483" s="13"/>
      <c r="S1483" s="13"/>
      <c r="Y1483" s="14"/>
      <c r="AA1483" s="15"/>
    </row>
    <row r="1484" ht="15.75" customHeight="1">
      <c r="A1484" s="3"/>
      <c r="B1484" s="3"/>
      <c r="C1484" s="3"/>
      <c r="D1484" s="10"/>
      <c r="E1484" s="11"/>
      <c r="F1484" s="12"/>
      <c r="G1484" s="9"/>
      <c r="H1484" s="3"/>
      <c r="I1484" s="3"/>
      <c r="J1484" s="3"/>
      <c r="K1484" s="12"/>
      <c r="L1484" s="3"/>
      <c r="M1484" s="3"/>
      <c r="N1484" s="3"/>
      <c r="O1484" s="3"/>
      <c r="P1484" s="10"/>
      <c r="Q1484" s="13"/>
      <c r="R1484" s="13"/>
      <c r="S1484" s="13"/>
      <c r="Y1484" s="14"/>
      <c r="AA1484" s="15"/>
    </row>
    <row r="1485" ht="15.75" customHeight="1">
      <c r="A1485" s="3"/>
      <c r="B1485" s="3"/>
      <c r="C1485" s="3"/>
      <c r="D1485" s="10"/>
      <c r="E1485" s="11"/>
      <c r="F1485" s="12"/>
      <c r="G1485" s="9"/>
      <c r="H1485" s="3"/>
      <c r="I1485" s="3"/>
      <c r="J1485" s="3"/>
      <c r="K1485" s="12"/>
      <c r="L1485" s="3"/>
      <c r="M1485" s="3"/>
      <c r="N1485" s="3"/>
      <c r="O1485" s="3"/>
      <c r="P1485" s="10"/>
      <c r="Q1485" s="13"/>
      <c r="R1485" s="13"/>
      <c r="S1485" s="13"/>
      <c r="Y1485" s="14"/>
      <c r="AA1485" s="15"/>
    </row>
    <row r="1486" ht="15.75" customHeight="1">
      <c r="A1486" s="3"/>
      <c r="B1486" s="3"/>
      <c r="C1486" s="3"/>
      <c r="D1486" s="10"/>
      <c r="E1486" s="11"/>
      <c r="F1486" s="12"/>
      <c r="G1486" s="9"/>
      <c r="H1486" s="3"/>
      <c r="I1486" s="3"/>
      <c r="J1486" s="3"/>
      <c r="K1486" s="12"/>
      <c r="L1486" s="3"/>
      <c r="M1486" s="3"/>
      <c r="N1486" s="3"/>
      <c r="O1486" s="3"/>
      <c r="P1486" s="10"/>
      <c r="Q1486" s="13"/>
      <c r="R1486" s="13"/>
      <c r="S1486" s="13"/>
      <c r="Y1486" s="14"/>
      <c r="AA1486" s="15"/>
    </row>
    <row r="1487" ht="15.75" customHeight="1">
      <c r="A1487" s="3"/>
      <c r="B1487" s="3"/>
      <c r="C1487" s="3"/>
      <c r="D1487" s="10"/>
      <c r="E1487" s="11"/>
      <c r="F1487" s="12"/>
      <c r="G1487" s="9"/>
      <c r="H1487" s="3"/>
      <c r="I1487" s="3"/>
      <c r="J1487" s="3"/>
      <c r="K1487" s="12"/>
      <c r="L1487" s="3"/>
      <c r="M1487" s="3"/>
      <c r="N1487" s="3"/>
      <c r="O1487" s="3"/>
      <c r="P1487" s="10"/>
      <c r="Q1487" s="13"/>
      <c r="R1487" s="13"/>
      <c r="S1487" s="13"/>
      <c r="Y1487" s="14"/>
      <c r="AA1487" s="15"/>
    </row>
    <row r="1488" ht="15.75" customHeight="1">
      <c r="A1488" s="3"/>
      <c r="B1488" s="3"/>
      <c r="C1488" s="3"/>
      <c r="D1488" s="10"/>
      <c r="E1488" s="11"/>
      <c r="F1488" s="12"/>
      <c r="G1488" s="9"/>
      <c r="H1488" s="3"/>
      <c r="I1488" s="3"/>
      <c r="J1488" s="3"/>
      <c r="K1488" s="12"/>
      <c r="L1488" s="3"/>
      <c r="M1488" s="3"/>
      <c r="N1488" s="3"/>
      <c r="O1488" s="3"/>
      <c r="P1488" s="10"/>
      <c r="Q1488" s="13"/>
      <c r="R1488" s="13"/>
      <c r="S1488" s="13"/>
      <c r="Y1488" s="14"/>
      <c r="AA1488" s="15"/>
    </row>
    <row r="1489" ht="15.75" customHeight="1">
      <c r="A1489" s="3"/>
      <c r="B1489" s="3"/>
      <c r="C1489" s="3"/>
      <c r="D1489" s="10"/>
      <c r="E1489" s="11"/>
      <c r="F1489" s="12"/>
      <c r="G1489" s="9"/>
      <c r="H1489" s="3"/>
      <c r="I1489" s="3"/>
      <c r="J1489" s="3"/>
      <c r="K1489" s="12"/>
      <c r="L1489" s="3"/>
      <c r="M1489" s="3"/>
      <c r="N1489" s="3"/>
      <c r="O1489" s="3"/>
      <c r="P1489" s="10"/>
      <c r="Q1489" s="13"/>
      <c r="R1489" s="13"/>
      <c r="S1489" s="13"/>
      <c r="Y1489" s="14"/>
      <c r="AA1489" s="15"/>
    </row>
    <row r="1490" ht="15.75" customHeight="1">
      <c r="A1490" s="3"/>
      <c r="B1490" s="3"/>
      <c r="C1490" s="3"/>
      <c r="D1490" s="10"/>
      <c r="E1490" s="11"/>
      <c r="F1490" s="12"/>
      <c r="G1490" s="9"/>
      <c r="H1490" s="3"/>
      <c r="I1490" s="3"/>
      <c r="J1490" s="3"/>
      <c r="K1490" s="12"/>
      <c r="L1490" s="3"/>
      <c r="M1490" s="3"/>
      <c r="N1490" s="3"/>
      <c r="O1490" s="3"/>
      <c r="P1490" s="10"/>
      <c r="Q1490" s="13"/>
      <c r="R1490" s="13"/>
      <c r="S1490" s="13"/>
      <c r="Y1490" s="14"/>
      <c r="AA1490" s="15"/>
    </row>
    <row r="1491" ht="15.75" customHeight="1">
      <c r="A1491" s="3"/>
      <c r="B1491" s="3"/>
      <c r="C1491" s="3"/>
      <c r="D1491" s="10"/>
      <c r="E1491" s="11"/>
      <c r="F1491" s="12"/>
      <c r="G1491" s="9"/>
      <c r="H1491" s="3"/>
      <c r="I1491" s="3"/>
      <c r="J1491" s="3"/>
      <c r="K1491" s="12"/>
      <c r="L1491" s="3"/>
      <c r="M1491" s="3"/>
      <c r="N1491" s="3"/>
      <c r="O1491" s="3"/>
      <c r="P1491" s="10"/>
      <c r="Q1491" s="13"/>
      <c r="R1491" s="13"/>
      <c r="S1491" s="13"/>
      <c r="Y1491" s="14"/>
      <c r="AA1491" s="15"/>
    </row>
    <row r="1492" ht="15.75" customHeight="1">
      <c r="A1492" s="3"/>
      <c r="B1492" s="3"/>
      <c r="C1492" s="3"/>
      <c r="D1492" s="10"/>
      <c r="E1492" s="11"/>
      <c r="F1492" s="12"/>
      <c r="G1492" s="9"/>
      <c r="H1492" s="3"/>
      <c r="I1492" s="3"/>
      <c r="J1492" s="3"/>
      <c r="K1492" s="12"/>
      <c r="L1492" s="3"/>
      <c r="M1492" s="3"/>
      <c r="N1492" s="3"/>
      <c r="O1492" s="3"/>
      <c r="P1492" s="10"/>
      <c r="Q1492" s="13"/>
      <c r="R1492" s="13"/>
      <c r="S1492" s="13"/>
      <c r="Y1492" s="14"/>
      <c r="AA1492" s="15"/>
    </row>
    <row r="1493" ht="15.75" customHeight="1">
      <c r="A1493" s="3"/>
      <c r="B1493" s="3"/>
      <c r="C1493" s="3"/>
      <c r="D1493" s="10"/>
      <c r="E1493" s="11"/>
      <c r="F1493" s="12"/>
      <c r="G1493" s="9"/>
      <c r="H1493" s="3"/>
      <c r="I1493" s="3"/>
      <c r="J1493" s="3"/>
      <c r="K1493" s="12"/>
      <c r="L1493" s="3"/>
      <c r="M1493" s="3"/>
      <c r="N1493" s="3"/>
      <c r="O1493" s="3"/>
      <c r="P1493" s="10"/>
      <c r="Q1493" s="13"/>
      <c r="R1493" s="13"/>
      <c r="S1493" s="13"/>
      <c r="Y1493" s="14"/>
      <c r="AA1493" s="15"/>
    </row>
    <row r="1494" ht="15.75" customHeight="1">
      <c r="A1494" s="3"/>
      <c r="B1494" s="3"/>
      <c r="C1494" s="3"/>
      <c r="D1494" s="10"/>
      <c r="E1494" s="11"/>
      <c r="F1494" s="12"/>
      <c r="G1494" s="9"/>
      <c r="H1494" s="3"/>
      <c r="I1494" s="3"/>
      <c r="J1494" s="3"/>
      <c r="K1494" s="12"/>
      <c r="L1494" s="3"/>
      <c r="M1494" s="3"/>
      <c r="N1494" s="3"/>
      <c r="O1494" s="3"/>
      <c r="P1494" s="10"/>
      <c r="Q1494" s="13"/>
      <c r="R1494" s="13"/>
      <c r="S1494" s="13"/>
      <c r="Y1494" s="14"/>
      <c r="AA1494" s="15"/>
    </row>
    <row r="1495" ht="15.75" customHeight="1">
      <c r="A1495" s="3"/>
      <c r="B1495" s="3"/>
      <c r="C1495" s="3"/>
      <c r="D1495" s="10"/>
      <c r="E1495" s="11"/>
      <c r="F1495" s="12"/>
      <c r="G1495" s="9"/>
      <c r="H1495" s="3"/>
      <c r="I1495" s="3"/>
      <c r="J1495" s="3"/>
      <c r="K1495" s="12"/>
      <c r="L1495" s="3"/>
      <c r="M1495" s="3"/>
      <c r="N1495" s="3"/>
      <c r="O1495" s="3"/>
      <c r="P1495" s="10"/>
      <c r="Q1495" s="13"/>
      <c r="R1495" s="13"/>
      <c r="S1495" s="13"/>
      <c r="Y1495" s="14"/>
      <c r="AA1495" s="15"/>
    </row>
    <row r="1496" ht="15.75" customHeight="1">
      <c r="A1496" s="3"/>
      <c r="B1496" s="3"/>
      <c r="C1496" s="3"/>
      <c r="D1496" s="10"/>
      <c r="E1496" s="11"/>
      <c r="F1496" s="12"/>
      <c r="G1496" s="9"/>
      <c r="H1496" s="3"/>
      <c r="I1496" s="3"/>
      <c r="J1496" s="3"/>
      <c r="K1496" s="12"/>
      <c r="L1496" s="3"/>
      <c r="M1496" s="3"/>
      <c r="N1496" s="3"/>
      <c r="O1496" s="3"/>
      <c r="P1496" s="10"/>
      <c r="Q1496" s="13"/>
      <c r="R1496" s="13"/>
      <c r="S1496" s="13"/>
      <c r="Y1496" s="14"/>
      <c r="AA1496" s="15"/>
    </row>
    <row r="1497" ht="15.75" customHeight="1">
      <c r="A1497" s="3"/>
      <c r="B1497" s="3"/>
      <c r="C1497" s="3"/>
      <c r="D1497" s="10"/>
      <c r="E1497" s="11"/>
      <c r="F1497" s="12"/>
      <c r="G1497" s="9"/>
      <c r="H1497" s="3"/>
      <c r="I1497" s="3"/>
      <c r="J1497" s="3"/>
      <c r="K1497" s="12"/>
      <c r="L1497" s="3"/>
      <c r="M1497" s="3"/>
      <c r="N1497" s="3"/>
      <c r="O1497" s="3"/>
      <c r="P1497" s="10"/>
      <c r="Q1497" s="13"/>
      <c r="R1497" s="13"/>
      <c r="S1497" s="13"/>
      <c r="Y1497" s="14"/>
      <c r="AA1497" s="15"/>
    </row>
    <row r="1498" ht="15.75" customHeight="1">
      <c r="A1498" s="3"/>
      <c r="B1498" s="3"/>
      <c r="C1498" s="3"/>
      <c r="D1498" s="10"/>
      <c r="E1498" s="11"/>
      <c r="F1498" s="12"/>
      <c r="G1498" s="9"/>
      <c r="H1498" s="3"/>
      <c r="I1498" s="3"/>
      <c r="J1498" s="3"/>
      <c r="K1498" s="12"/>
      <c r="L1498" s="3"/>
      <c r="M1498" s="3"/>
      <c r="N1498" s="3"/>
      <c r="O1498" s="3"/>
      <c r="P1498" s="10"/>
      <c r="Q1498" s="13"/>
      <c r="R1498" s="13"/>
      <c r="S1498" s="13"/>
      <c r="Y1498" s="14"/>
      <c r="AA1498" s="15"/>
    </row>
    <row r="1499" ht="15.75" customHeight="1">
      <c r="A1499" s="3"/>
      <c r="B1499" s="3"/>
      <c r="C1499" s="3"/>
      <c r="D1499" s="10"/>
      <c r="E1499" s="11"/>
      <c r="F1499" s="12"/>
      <c r="G1499" s="9"/>
      <c r="H1499" s="3"/>
      <c r="I1499" s="3"/>
      <c r="J1499" s="3"/>
      <c r="K1499" s="12"/>
      <c r="L1499" s="3"/>
      <c r="M1499" s="3"/>
      <c r="N1499" s="3"/>
      <c r="O1499" s="3"/>
      <c r="P1499" s="10"/>
      <c r="Q1499" s="13"/>
      <c r="R1499" s="13"/>
      <c r="S1499" s="13"/>
      <c r="Y1499" s="14"/>
      <c r="AA1499" s="15"/>
    </row>
    <row r="1500" ht="15.75" customHeight="1">
      <c r="A1500" s="3"/>
      <c r="B1500" s="3"/>
      <c r="C1500" s="3"/>
      <c r="D1500" s="10"/>
      <c r="E1500" s="11"/>
      <c r="F1500" s="12"/>
      <c r="G1500" s="9"/>
      <c r="H1500" s="3"/>
      <c r="I1500" s="3"/>
      <c r="J1500" s="3"/>
      <c r="K1500" s="12"/>
      <c r="L1500" s="3"/>
      <c r="M1500" s="3"/>
      <c r="N1500" s="3"/>
      <c r="O1500" s="3"/>
      <c r="P1500" s="10"/>
      <c r="Q1500" s="13"/>
      <c r="R1500" s="13"/>
      <c r="S1500" s="13"/>
      <c r="Y1500" s="14"/>
      <c r="AA1500" s="15"/>
    </row>
    <row r="1501" ht="15.75" customHeight="1">
      <c r="A1501" s="3"/>
      <c r="B1501" s="3"/>
      <c r="C1501" s="3"/>
      <c r="D1501" s="10"/>
      <c r="E1501" s="11"/>
      <c r="F1501" s="12"/>
      <c r="G1501" s="9"/>
      <c r="H1501" s="3"/>
      <c r="I1501" s="3"/>
      <c r="J1501" s="3"/>
      <c r="K1501" s="12"/>
      <c r="L1501" s="3"/>
      <c r="M1501" s="3"/>
      <c r="N1501" s="3"/>
      <c r="O1501" s="3"/>
      <c r="P1501" s="10"/>
      <c r="Q1501" s="13"/>
      <c r="R1501" s="13"/>
      <c r="S1501" s="13"/>
      <c r="Y1501" s="14"/>
      <c r="AA1501" s="15"/>
    </row>
    <row r="1502" ht="15.75" customHeight="1">
      <c r="A1502" s="3"/>
      <c r="B1502" s="3"/>
      <c r="C1502" s="3"/>
      <c r="D1502" s="10"/>
      <c r="E1502" s="11"/>
      <c r="F1502" s="12"/>
      <c r="G1502" s="9"/>
      <c r="H1502" s="3"/>
      <c r="I1502" s="3"/>
      <c r="J1502" s="3"/>
      <c r="K1502" s="12"/>
      <c r="L1502" s="3"/>
      <c r="M1502" s="3"/>
      <c r="N1502" s="3"/>
      <c r="O1502" s="3"/>
      <c r="P1502" s="10"/>
      <c r="Q1502" s="13"/>
      <c r="R1502" s="13"/>
      <c r="S1502" s="13"/>
      <c r="Y1502" s="14"/>
      <c r="AA1502" s="15"/>
    </row>
    <row r="1503" ht="15.75" customHeight="1">
      <c r="A1503" s="3"/>
      <c r="B1503" s="3"/>
      <c r="C1503" s="3"/>
      <c r="D1503" s="10"/>
      <c r="E1503" s="11"/>
      <c r="F1503" s="12"/>
      <c r="G1503" s="9"/>
      <c r="H1503" s="3"/>
      <c r="I1503" s="3"/>
      <c r="J1503" s="3"/>
      <c r="K1503" s="12"/>
      <c r="L1503" s="3"/>
      <c r="M1503" s="3"/>
      <c r="N1503" s="3"/>
      <c r="O1503" s="3"/>
      <c r="P1503" s="10"/>
      <c r="Q1503" s="13"/>
      <c r="R1503" s="13"/>
      <c r="S1503" s="13"/>
      <c r="Y1503" s="14"/>
      <c r="AA1503" s="15"/>
    </row>
    <row r="1504" ht="15.75" customHeight="1">
      <c r="A1504" s="3"/>
      <c r="B1504" s="3"/>
      <c r="C1504" s="3"/>
      <c r="D1504" s="10"/>
      <c r="E1504" s="11"/>
      <c r="F1504" s="12"/>
      <c r="G1504" s="9"/>
      <c r="H1504" s="3"/>
      <c r="I1504" s="3"/>
      <c r="J1504" s="3"/>
      <c r="K1504" s="12"/>
      <c r="L1504" s="3"/>
      <c r="M1504" s="3"/>
      <c r="N1504" s="3"/>
      <c r="O1504" s="3"/>
      <c r="P1504" s="10"/>
      <c r="Q1504" s="13"/>
      <c r="R1504" s="13"/>
      <c r="S1504" s="13"/>
      <c r="Y1504" s="14"/>
      <c r="AA1504" s="15"/>
    </row>
    <row r="1505" ht="15.75" customHeight="1">
      <c r="A1505" s="3"/>
      <c r="B1505" s="3"/>
      <c r="C1505" s="3"/>
      <c r="D1505" s="10"/>
      <c r="E1505" s="11"/>
      <c r="F1505" s="12"/>
      <c r="G1505" s="9"/>
      <c r="H1505" s="3"/>
      <c r="I1505" s="3"/>
      <c r="J1505" s="3"/>
      <c r="K1505" s="12"/>
      <c r="L1505" s="3"/>
      <c r="M1505" s="3"/>
      <c r="N1505" s="3"/>
      <c r="O1505" s="3"/>
      <c r="P1505" s="10"/>
      <c r="Q1505" s="13"/>
      <c r="R1505" s="13"/>
      <c r="S1505" s="13"/>
      <c r="Y1505" s="14"/>
      <c r="AA1505" s="15"/>
    </row>
    <row r="1506" ht="15.75" customHeight="1">
      <c r="A1506" s="3"/>
      <c r="B1506" s="3"/>
      <c r="C1506" s="3"/>
      <c r="D1506" s="10"/>
      <c r="E1506" s="11"/>
      <c r="F1506" s="12"/>
      <c r="G1506" s="9"/>
      <c r="H1506" s="3"/>
      <c r="I1506" s="3"/>
      <c r="J1506" s="3"/>
      <c r="K1506" s="12"/>
      <c r="L1506" s="3"/>
      <c r="M1506" s="3"/>
      <c r="N1506" s="3"/>
      <c r="O1506" s="3"/>
      <c r="P1506" s="10"/>
      <c r="Q1506" s="13"/>
      <c r="R1506" s="13"/>
      <c r="S1506" s="13"/>
      <c r="Y1506" s="14"/>
      <c r="AA1506" s="15"/>
    </row>
    <row r="1507" ht="15.75" customHeight="1">
      <c r="A1507" s="3"/>
      <c r="B1507" s="3"/>
      <c r="C1507" s="3"/>
      <c r="D1507" s="10"/>
      <c r="E1507" s="11"/>
      <c r="F1507" s="12"/>
      <c r="G1507" s="9"/>
      <c r="H1507" s="3"/>
      <c r="I1507" s="3"/>
      <c r="J1507" s="3"/>
      <c r="K1507" s="12"/>
      <c r="L1507" s="3"/>
      <c r="M1507" s="3"/>
      <c r="N1507" s="3"/>
      <c r="O1507" s="3"/>
      <c r="P1507" s="10"/>
      <c r="Q1507" s="13"/>
      <c r="R1507" s="13"/>
      <c r="S1507" s="13"/>
      <c r="Y1507" s="14"/>
      <c r="AA1507" s="15"/>
    </row>
    <row r="1508" ht="15.75" customHeight="1">
      <c r="A1508" s="3"/>
      <c r="B1508" s="3"/>
      <c r="C1508" s="3"/>
      <c r="D1508" s="10"/>
      <c r="E1508" s="11"/>
      <c r="F1508" s="12"/>
      <c r="G1508" s="9"/>
      <c r="H1508" s="3"/>
      <c r="I1508" s="3"/>
      <c r="J1508" s="3"/>
      <c r="K1508" s="12"/>
      <c r="L1508" s="3"/>
      <c r="M1508" s="3"/>
      <c r="N1508" s="3"/>
      <c r="O1508" s="3"/>
      <c r="P1508" s="10"/>
      <c r="Q1508" s="13"/>
      <c r="R1508" s="13"/>
      <c r="S1508" s="13"/>
      <c r="Y1508" s="14"/>
      <c r="AA1508" s="15"/>
    </row>
    <row r="1509" ht="15.75" customHeight="1">
      <c r="A1509" s="3"/>
      <c r="B1509" s="3"/>
      <c r="C1509" s="3"/>
      <c r="D1509" s="10"/>
      <c r="E1509" s="11"/>
      <c r="F1509" s="12"/>
      <c r="G1509" s="9"/>
      <c r="H1509" s="3"/>
      <c r="I1509" s="3"/>
      <c r="J1509" s="3"/>
      <c r="K1509" s="12"/>
      <c r="L1509" s="3"/>
      <c r="M1509" s="3"/>
      <c r="N1509" s="3"/>
      <c r="O1509" s="3"/>
      <c r="P1509" s="10"/>
      <c r="Q1509" s="13"/>
      <c r="R1509" s="13"/>
      <c r="S1509" s="13"/>
      <c r="Y1509" s="14"/>
      <c r="AA1509" s="15"/>
    </row>
    <row r="1510" ht="15.75" customHeight="1">
      <c r="A1510" s="3"/>
      <c r="B1510" s="3"/>
      <c r="C1510" s="3"/>
      <c r="D1510" s="10"/>
      <c r="E1510" s="11"/>
      <c r="F1510" s="12"/>
      <c r="G1510" s="9"/>
      <c r="H1510" s="3"/>
      <c r="I1510" s="3"/>
      <c r="J1510" s="3"/>
      <c r="K1510" s="12"/>
      <c r="L1510" s="3"/>
      <c r="M1510" s="3"/>
      <c r="N1510" s="3"/>
      <c r="O1510" s="3"/>
      <c r="P1510" s="10"/>
      <c r="Q1510" s="13"/>
      <c r="R1510" s="13"/>
      <c r="S1510" s="13"/>
      <c r="Y1510" s="14"/>
      <c r="AA1510" s="15"/>
    </row>
    <row r="1511" ht="15.75" customHeight="1">
      <c r="A1511" s="3"/>
      <c r="B1511" s="3"/>
      <c r="C1511" s="3"/>
      <c r="D1511" s="10"/>
      <c r="E1511" s="11"/>
      <c r="F1511" s="12"/>
      <c r="G1511" s="9"/>
      <c r="H1511" s="3"/>
      <c r="I1511" s="3"/>
      <c r="J1511" s="3"/>
      <c r="K1511" s="12"/>
      <c r="L1511" s="3"/>
      <c r="M1511" s="3"/>
      <c r="N1511" s="3"/>
      <c r="O1511" s="3"/>
      <c r="P1511" s="10"/>
      <c r="Q1511" s="13"/>
      <c r="R1511" s="13"/>
      <c r="S1511" s="13"/>
      <c r="Y1511" s="14"/>
      <c r="AA1511" s="15"/>
    </row>
    <row r="1512" ht="15.75" customHeight="1">
      <c r="A1512" s="3"/>
      <c r="B1512" s="3"/>
      <c r="C1512" s="3"/>
      <c r="D1512" s="10"/>
      <c r="E1512" s="11"/>
      <c r="F1512" s="12"/>
      <c r="G1512" s="9"/>
      <c r="H1512" s="3"/>
      <c r="I1512" s="3"/>
      <c r="J1512" s="3"/>
      <c r="K1512" s="12"/>
      <c r="L1512" s="3"/>
      <c r="M1512" s="3"/>
      <c r="N1512" s="3"/>
      <c r="O1512" s="3"/>
      <c r="P1512" s="10"/>
      <c r="Q1512" s="13"/>
      <c r="R1512" s="13"/>
      <c r="S1512" s="13"/>
      <c r="Y1512" s="14"/>
      <c r="AA1512" s="15"/>
    </row>
    <row r="1513" ht="15.75" customHeight="1">
      <c r="A1513" s="3"/>
      <c r="B1513" s="3"/>
      <c r="C1513" s="3"/>
      <c r="D1513" s="10"/>
      <c r="E1513" s="11"/>
      <c r="F1513" s="12"/>
      <c r="G1513" s="9"/>
      <c r="H1513" s="3"/>
      <c r="I1513" s="3"/>
      <c r="J1513" s="3"/>
      <c r="K1513" s="12"/>
      <c r="L1513" s="3"/>
      <c r="M1513" s="3"/>
      <c r="N1513" s="3"/>
      <c r="O1513" s="3"/>
      <c r="P1513" s="10"/>
      <c r="Q1513" s="13"/>
      <c r="R1513" s="13"/>
      <c r="S1513" s="13"/>
      <c r="Y1513" s="14"/>
      <c r="AA1513" s="15"/>
    </row>
    <row r="1514" ht="15.75" customHeight="1">
      <c r="A1514" s="3"/>
      <c r="B1514" s="3"/>
      <c r="C1514" s="3"/>
      <c r="D1514" s="10"/>
      <c r="E1514" s="11"/>
      <c r="F1514" s="12"/>
      <c r="G1514" s="9"/>
      <c r="H1514" s="3"/>
      <c r="I1514" s="3"/>
      <c r="J1514" s="3"/>
      <c r="K1514" s="12"/>
      <c r="L1514" s="3"/>
      <c r="M1514" s="3"/>
      <c r="N1514" s="3"/>
      <c r="O1514" s="3"/>
      <c r="P1514" s="10"/>
      <c r="Q1514" s="13"/>
      <c r="R1514" s="13"/>
      <c r="S1514" s="13"/>
      <c r="Y1514" s="14"/>
      <c r="AA1514" s="15"/>
    </row>
    <row r="1515" ht="15.75" customHeight="1">
      <c r="A1515" s="3"/>
      <c r="B1515" s="3"/>
      <c r="C1515" s="3"/>
      <c r="D1515" s="10"/>
      <c r="E1515" s="11"/>
      <c r="F1515" s="12"/>
      <c r="G1515" s="9"/>
      <c r="H1515" s="3"/>
      <c r="I1515" s="3"/>
      <c r="J1515" s="3"/>
      <c r="K1515" s="12"/>
      <c r="L1515" s="3"/>
      <c r="M1515" s="3"/>
      <c r="N1515" s="3"/>
      <c r="O1515" s="3"/>
      <c r="P1515" s="10"/>
      <c r="Q1515" s="13"/>
      <c r="R1515" s="13"/>
      <c r="S1515" s="13"/>
      <c r="Y1515" s="14"/>
      <c r="AA1515" s="15"/>
    </row>
    <row r="1516" ht="15.75" customHeight="1">
      <c r="A1516" s="3"/>
      <c r="B1516" s="3"/>
      <c r="C1516" s="3"/>
      <c r="D1516" s="10"/>
      <c r="E1516" s="11"/>
      <c r="F1516" s="12"/>
      <c r="G1516" s="9"/>
      <c r="H1516" s="3"/>
      <c r="I1516" s="3"/>
      <c r="J1516" s="3"/>
      <c r="K1516" s="12"/>
      <c r="L1516" s="3"/>
      <c r="M1516" s="3"/>
      <c r="N1516" s="3"/>
      <c r="O1516" s="3"/>
      <c r="P1516" s="10"/>
      <c r="Q1516" s="13"/>
      <c r="R1516" s="13"/>
      <c r="S1516" s="13"/>
      <c r="Y1516" s="14"/>
      <c r="AA1516" s="15"/>
    </row>
    <row r="1517" ht="15.75" customHeight="1">
      <c r="A1517" s="3"/>
      <c r="B1517" s="3"/>
      <c r="C1517" s="3"/>
      <c r="D1517" s="10"/>
      <c r="E1517" s="11"/>
      <c r="F1517" s="12"/>
      <c r="G1517" s="9"/>
      <c r="H1517" s="3"/>
      <c r="I1517" s="3"/>
      <c r="J1517" s="3"/>
      <c r="K1517" s="12"/>
      <c r="L1517" s="3"/>
      <c r="M1517" s="3"/>
      <c r="N1517" s="3"/>
      <c r="O1517" s="3"/>
      <c r="P1517" s="10"/>
      <c r="Q1517" s="13"/>
      <c r="R1517" s="13"/>
      <c r="S1517" s="13"/>
      <c r="Y1517" s="14"/>
      <c r="AA1517" s="15"/>
    </row>
    <row r="1518" ht="15.75" customHeight="1">
      <c r="A1518" s="3"/>
      <c r="B1518" s="3"/>
      <c r="C1518" s="3"/>
      <c r="D1518" s="10"/>
      <c r="E1518" s="11"/>
      <c r="F1518" s="12"/>
      <c r="G1518" s="9"/>
      <c r="H1518" s="3"/>
      <c r="I1518" s="3"/>
      <c r="J1518" s="3"/>
      <c r="K1518" s="12"/>
      <c r="L1518" s="3"/>
      <c r="M1518" s="3"/>
      <c r="N1518" s="3"/>
      <c r="O1518" s="3"/>
      <c r="P1518" s="10"/>
      <c r="Q1518" s="13"/>
      <c r="R1518" s="13"/>
      <c r="S1518" s="13"/>
      <c r="Y1518" s="14"/>
      <c r="AA1518" s="15"/>
    </row>
    <row r="1519" ht="15.75" customHeight="1">
      <c r="A1519" s="3"/>
      <c r="B1519" s="3"/>
      <c r="C1519" s="3"/>
      <c r="D1519" s="10"/>
      <c r="E1519" s="11"/>
      <c r="F1519" s="12"/>
      <c r="G1519" s="9"/>
      <c r="H1519" s="3"/>
      <c r="I1519" s="3"/>
      <c r="J1519" s="3"/>
      <c r="K1519" s="12"/>
      <c r="L1519" s="3"/>
      <c r="M1519" s="3"/>
      <c r="N1519" s="3"/>
      <c r="O1519" s="3"/>
      <c r="P1519" s="10"/>
      <c r="Q1519" s="13"/>
      <c r="R1519" s="13"/>
      <c r="S1519" s="13"/>
      <c r="Y1519" s="14"/>
      <c r="AA1519" s="15"/>
    </row>
    <row r="1520" ht="15.75" customHeight="1">
      <c r="A1520" s="3"/>
      <c r="B1520" s="3"/>
      <c r="C1520" s="3"/>
      <c r="D1520" s="10"/>
      <c r="E1520" s="11"/>
      <c r="F1520" s="12"/>
      <c r="G1520" s="9"/>
      <c r="H1520" s="3"/>
      <c r="I1520" s="3"/>
      <c r="J1520" s="3"/>
      <c r="K1520" s="12"/>
      <c r="L1520" s="3"/>
      <c r="M1520" s="3"/>
      <c r="N1520" s="3"/>
      <c r="O1520" s="3"/>
      <c r="P1520" s="10"/>
      <c r="Q1520" s="13"/>
      <c r="R1520" s="13"/>
      <c r="S1520" s="13"/>
      <c r="Y1520" s="14"/>
      <c r="AA1520" s="15"/>
    </row>
    <row r="1521" ht="15.75" customHeight="1">
      <c r="A1521" s="3"/>
      <c r="B1521" s="3"/>
      <c r="C1521" s="3"/>
      <c r="D1521" s="10"/>
      <c r="E1521" s="11"/>
      <c r="F1521" s="12"/>
      <c r="G1521" s="9"/>
      <c r="H1521" s="3"/>
      <c r="I1521" s="3"/>
      <c r="J1521" s="3"/>
      <c r="K1521" s="12"/>
      <c r="L1521" s="3"/>
      <c r="M1521" s="3"/>
      <c r="N1521" s="3"/>
      <c r="O1521" s="3"/>
      <c r="P1521" s="10"/>
      <c r="Q1521" s="13"/>
      <c r="R1521" s="13"/>
      <c r="S1521" s="13"/>
      <c r="Y1521" s="14"/>
      <c r="AA1521" s="15"/>
    </row>
    <row r="1522" ht="15.75" customHeight="1">
      <c r="A1522" s="3"/>
      <c r="B1522" s="3"/>
      <c r="C1522" s="3"/>
      <c r="D1522" s="10"/>
      <c r="E1522" s="11"/>
      <c r="F1522" s="12"/>
      <c r="G1522" s="9"/>
      <c r="H1522" s="3"/>
      <c r="I1522" s="3"/>
      <c r="J1522" s="3"/>
      <c r="K1522" s="12"/>
      <c r="L1522" s="3"/>
      <c r="M1522" s="3"/>
      <c r="N1522" s="3"/>
      <c r="O1522" s="3"/>
      <c r="P1522" s="10"/>
      <c r="Q1522" s="13"/>
      <c r="R1522" s="13"/>
      <c r="S1522" s="13"/>
      <c r="Y1522" s="14"/>
      <c r="AA1522" s="15"/>
    </row>
    <row r="1523" ht="15.75" customHeight="1">
      <c r="A1523" s="3"/>
      <c r="B1523" s="3"/>
      <c r="C1523" s="3"/>
      <c r="D1523" s="10"/>
      <c r="E1523" s="11"/>
      <c r="F1523" s="12"/>
      <c r="G1523" s="9"/>
      <c r="H1523" s="3"/>
      <c r="I1523" s="3"/>
      <c r="J1523" s="3"/>
      <c r="K1523" s="12"/>
      <c r="L1523" s="3"/>
      <c r="M1523" s="3"/>
      <c r="N1523" s="3"/>
      <c r="O1523" s="3"/>
      <c r="P1523" s="10"/>
      <c r="Q1523" s="13"/>
      <c r="R1523" s="13"/>
      <c r="S1523" s="13"/>
      <c r="Y1523" s="14"/>
      <c r="AA1523" s="15"/>
    </row>
    <row r="1524" ht="15.75" customHeight="1">
      <c r="A1524" s="3"/>
      <c r="B1524" s="3"/>
      <c r="C1524" s="3"/>
      <c r="D1524" s="10"/>
      <c r="E1524" s="11"/>
      <c r="F1524" s="12"/>
      <c r="G1524" s="9"/>
      <c r="H1524" s="3"/>
      <c r="I1524" s="3"/>
      <c r="J1524" s="3"/>
      <c r="K1524" s="12"/>
      <c r="L1524" s="3"/>
      <c r="M1524" s="3"/>
      <c r="N1524" s="3"/>
      <c r="O1524" s="3"/>
      <c r="P1524" s="10"/>
      <c r="Q1524" s="13"/>
      <c r="R1524" s="13"/>
      <c r="S1524" s="13"/>
      <c r="Y1524" s="14"/>
      <c r="AA1524" s="15"/>
    </row>
    <row r="1525" ht="15.75" customHeight="1">
      <c r="A1525" s="3"/>
      <c r="B1525" s="3"/>
      <c r="C1525" s="3"/>
      <c r="D1525" s="10"/>
      <c r="E1525" s="11"/>
      <c r="F1525" s="12"/>
      <c r="G1525" s="9"/>
      <c r="H1525" s="3"/>
      <c r="I1525" s="3"/>
      <c r="J1525" s="3"/>
      <c r="K1525" s="12"/>
      <c r="L1525" s="3"/>
      <c r="M1525" s="3"/>
      <c r="N1525" s="3"/>
      <c r="O1525" s="3"/>
      <c r="P1525" s="10"/>
      <c r="Q1525" s="13"/>
      <c r="R1525" s="13"/>
      <c r="S1525" s="13"/>
      <c r="Y1525" s="14"/>
      <c r="AA1525" s="15"/>
    </row>
    <row r="1526" ht="15.75" customHeight="1">
      <c r="A1526" s="3"/>
      <c r="B1526" s="3"/>
      <c r="C1526" s="3"/>
      <c r="D1526" s="10"/>
      <c r="E1526" s="11"/>
      <c r="F1526" s="12"/>
      <c r="G1526" s="9"/>
      <c r="H1526" s="3"/>
      <c r="I1526" s="3"/>
      <c r="J1526" s="3"/>
      <c r="K1526" s="12"/>
      <c r="L1526" s="3"/>
      <c r="M1526" s="3"/>
      <c r="N1526" s="3"/>
      <c r="O1526" s="3"/>
      <c r="P1526" s="10"/>
      <c r="Q1526" s="13"/>
      <c r="R1526" s="13"/>
      <c r="S1526" s="13"/>
      <c r="Y1526" s="14"/>
      <c r="AA1526" s="15"/>
    </row>
    <row r="1527" ht="15.75" customHeight="1">
      <c r="A1527" s="3"/>
      <c r="B1527" s="3"/>
      <c r="C1527" s="3"/>
      <c r="D1527" s="10"/>
      <c r="E1527" s="11"/>
      <c r="F1527" s="12"/>
      <c r="G1527" s="9"/>
      <c r="H1527" s="3"/>
      <c r="I1527" s="3"/>
      <c r="J1527" s="3"/>
      <c r="K1527" s="12"/>
      <c r="L1527" s="3"/>
      <c r="M1527" s="3"/>
      <c r="N1527" s="3"/>
      <c r="O1527" s="3"/>
      <c r="P1527" s="10"/>
      <c r="Q1527" s="13"/>
      <c r="R1527" s="13"/>
      <c r="S1527" s="13"/>
      <c r="Y1527" s="14"/>
      <c r="AA1527" s="15"/>
    </row>
    <row r="1528" ht="15.75" customHeight="1">
      <c r="A1528" s="3"/>
      <c r="B1528" s="3"/>
      <c r="C1528" s="3"/>
      <c r="D1528" s="10"/>
      <c r="E1528" s="11"/>
      <c r="F1528" s="12"/>
      <c r="G1528" s="9"/>
      <c r="H1528" s="3"/>
      <c r="I1528" s="3"/>
      <c r="J1528" s="3"/>
      <c r="K1528" s="12"/>
      <c r="L1528" s="3"/>
      <c r="M1528" s="3"/>
      <c r="N1528" s="3"/>
      <c r="O1528" s="3"/>
      <c r="P1528" s="10"/>
      <c r="Q1528" s="13"/>
      <c r="R1528" s="13"/>
      <c r="S1528" s="13"/>
      <c r="Y1528" s="14"/>
      <c r="AA1528" s="15"/>
    </row>
    <row r="1529" ht="15.75" customHeight="1">
      <c r="A1529" s="3"/>
      <c r="B1529" s="3"/>
      <c r="C1529" s="3"/>
      <c r="D1529" s="10"/>
      <c r="E1529" s="11"/>
      <c r="F1529" s="12"/>
      <c r="G1529" s="9"/>
      <c r="H1529" s="3"/>
      <c r="I1529" s="3"/>
      <c r="J1529" s="3"/>
      <c r="K1529" s="12"/>
      <c r="L1529" s="3"/>
      <c r="M1529" s="3"/>
      <c r="N1529" s="3"/>
      <c r="O1529" s="3"/>
      <c r="P1529" s="10"/>
      <c r="Q1529" s="13"/>
      <c r="R1529" s="13"/>
      <c r="S1529" s="13"/>
      <c r="Y1529" s="14"/>
      <c r="AA1529" s="15"/>
    </row>
    <row r="1530" ht="15.75" customHeight="1">
      <c r="A1530" s="3"/>
      <c r="B1530" s="3"/>
      <c r="C1530" s="3"/>
      <c r="D1530" s="10"/>
      <c r="E1530" s="11"/>
      <c r="F1530" s="12"/>
      <c r="G1530" s="9"/>
      <c r="H1530" s="3"/>
      <c r="I1530" s="3"/>
      <c r="J1530" s="3"/>
      <c r="K1530" s="12"/>
      <c r="L1530" s="3"/>
      <c r="M1530" s="3"/>
      <c r="N1530" s="3"/>
      <c r="O1530" s="3"/>
      <c r="P1530" s="10"/>
      <c r="Q1530" s="13"/>
      <c r="R1530" s="13"/>
      <c r="S1530" s="13"/>
      <c r="Y1530" s="14"/>
      <c r="AA1530" s="15"/>
    </row>
    <row r="1531" ht="15.75" customHeight="1">
      <c r="A1531" s="3"/>
      <c r="B1531" s="3"/>
      <c r="C1531" s="3"/>
      <c r="D1531" s="10"/>
      <c r="E1531" s="11"/>
      <c r="F1531" s="12"/>
      <c r="G1531" s="9"/>
      <c r="H1531" s="3"/>
      <c r="I1531" s="3"/>
      <c r="J1531" s="3"/>
      <c r="K1531" s="12"/>
      <c r="L1531" s="3"/>
      <c r="M1531" s="3"/>
      <c r="N1531" s="3"/>
      <c r="O1531" s="3"/>
      <c r="P1531" s="10"/>
      <c r="Q1531" s="13"/>
      <c r="R1531" s="13"/>
      <c r="S1531" s="13"/>
      <c r="Y1531" s="14"/>
      <c r="AA1531" s="15"/>
    </row>
    <row r="1532" ht="15.75" customHeight="1">
      <c r="A1532" s="3"/>
      <c r="B1532" s="3"/>
      <c r="C1532" s="3"/>
      <c r="D1532" s="10"/>
      <c r="E1532" s="11"/>
      <c r="F1532" s="12"/>
      <c r="G1532" s="9"/>
      <c r="H1532" s="3"/>
      <c r="I1532" s="3"/>
      <c r="J1532" s="3"/>
      <c r="K1532" s="12"/>
      <c r="L1532" s="3"/>
      <c r="M1532" s="3"/>
      <c r="N1532" s="3"/>
      <c r="O1532" s="3"/>
      <c r="P1532" s="10"/>
      <c r="Q1532" s="13"/>
      <c r="R1532" s="13"/>
      <c r="S1532" s="13"/>
      <c r="Y1532" s="14"/>
      <c r="AA1532" s="15"/>
    </row>
  </sheetData>
  <autoFilter ref="$A$1:$Z$133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4" t="s">
        <v>789</v>
      </c>
      <c r="B1" s="4" t="s">
        <v>790</v>
      </c>
      <c r="C1" s="4" t="s">
        <v>791</v>
      </c>
      <c r="D1" s="5" t="s">
        <v>792</v>
      </c>
      <c r="E1" s="6" t="s">
        <v>793</v>
      </c>
      <c r="F1" s="4" t="s">
        <v>794</v>
      </c>
      <c r="G1" s="4" t="s">
        <v>795</v>
      </c>
      <c r="H1" s="4" t="s">
        <v>796</v>
      </c>
      <c r="I1" s="4" t="s">
        <v>797</v>
      </c>
      <c r="J1" s="4" t="s">
        <v>798</v>
      </c>
      <c r="K1" s="4" t="s">
        <v>799</v>
      </c>
      <c r="L1" s="4" t="s">
        <v>800</v>
      </c>
      <c r="M1" s="4" t="s">
        <v>801</v>
      </c>
      <c r="N1" s="4" t="s">
        <v>802</v>
      </c>
      <c r="O1" s="4" t="s">
        <v>803</v>
      </c>
      <c r="P1" s="5" t="s">
        <v>804</v>
      </c>
      <c r="Q1" s="7" t="s">
        <v>805</v>
      </c>
      <c r="R1" s="7" t="s">
        <v>806</v>
      </c>
      <c r="S1" s="7" t="s">
        <v>807</v>
      </c>
      <c r="T1" s="4" t="s">
        <v>808</v>
      </c>
      <c r="U1" s="4" t="s">
        <v>809</v>
      </c>
      <c r="V1" s="4" t="s">
        <v>2</v>
      </c>
      <c r="W1" s="4" t="s">
        <v>18</v>
      </c>
      <c r="X1" s="4" t="s">
        <v>19</v>
      </c>
      <c r="Y1" s="4" t="s">
        <v>810</v>
      </c>
      <c r="Z1" s="4" t="s">
        <v>811</v>
      </c>
      <c r="AA1" s="8" t="s">
        <v>812</v>
      </c>
    </row>
    <row r="2">
      <c r="A2" s="27">
        <f>IFERROR(__xludf.DUMMYFUNCTION("FILTER(events!A:AA, events!E:E = MAX(events!E:E))"),1.02230632E8)</f>
        <v>102230632</v>
      </c>
      <c r="B2" s="27" t="str">
        <f>IFERROR(__xludf.DUMMYFUNCTION("""COMPUTED_VALUE"""),"5/13/2017")</f>
        <v>5/13/2017</v>
      </c>
      <c r="C2" s="27">
        <f>IFERROR(__xludf.DUMMYFUNCTION("""COMPUTED_VALUE"""),5.0)</f>
        <v>5</v>
      </c>
      <c r="D2" s="28">
        <f>IFERROR(__xludf.DUMMYFUNCTION("""COMPUTED_VALUE"""),13.0)</f>
        <v>13</v>
      </c>
      <c r="E2" s="29">
        <f>IFERROR(__xludf.DUMMYFUNCTION("""COMPUTED_VALUE"""),2017.0)</f>
        <v>2017</v>
      </c>
      <c r="F2" s="30">
        <f>IFERROR(__xludf.DUMMYFUNCTION("""COMPUTED_VALUE"""),42868.0)</f>
        <v>42868</v>
      </c>
      <c r="G2" s="27" t="str">
        <f>IFERROR(__xludf.DUMMYFUNCTION("""COMPUTED_VALUE"""),"6/13/2017")</f>
        <v>6/13/2017</v>
      </c>
      <c r="H2" s="27">
        <f>IFERROR(__xludf.DUMMYFUNCTION("""COMPUTED_VALUE"""),6.0)</f>
        <v>6</v>
      </c>
      <c r="I2" s="27">
        <f>IFERROR(__xludf.DUMMYFUNCTION("""COMPUTED_VALUE"""),13.0)</f>
        <v>13</v>
      </c>
      <c r="J2" s="27">
        <f>IFERROR(__xludf.DUMMYFUNCTION("""COMPUTED_VALUE"""),2017.0)</f>
        <v>2017</v>
      </c>
      <c r="K2" s="30">
        <f>IFERROR(__xludf.DUMMYFUNCTION("""COMPUTED_VALUE"""),42899.0)</f>
        <v>42899</v>
      </c>
      <c r="L2" s="27" t="str">
        <f>IFERROR(__xludf.DUMMYFUNCTION("""COMPUTED_VALUE"""),"L")</f>
        <v>L</v>
      </c>
      <c r="M2" s="27" t="str">
        <f>IFERROR(__xludf.DUMMYFUNCTION("""COMPUTED_VALUE"""),"MNE")</f>
        <v>MNE</v>
      </c>
      <c r="N2" s="27">
        <f>IFERROR(__xludf.DUMMYFUNCTION("""COMPUTED_VALUE"""),2455.0)</f>
        <v>2455</v>
      </c>
      <c r="O2" s="27" t="str">
        <f>IFERROR(__xludf.DUMMYFUNCTION("""COMPUTED_VALUE"""),"Online")</f>
        <v>Online</v>
      </c>
      <c r="P2" s="28">
        <f>IFERROR(__xludf.DUMMYFUNCTION("""COMPUTED_VALUE"""),1171.0)</f>
        <v>1171</v>
      </c>
      <c r="Q2" s="31">
        <f>IFERROR(__xludf.DUMMYFUNCTION("""COMPUTED_VALUE"""),109.28)</f>
        <v>109.28</v>
      </c>
      <c r="R2" s="31">
        <f>IFERROR(__xludf.DUMMYFUNCTION("""COMPUTED_VALUE"""),35.84)</f>
        <v>35.84</v>
      </c>
      <c r="S2" s="31">
        <f>IFERROR(__xludf.DUMMYFUNCTION("""COMPUTED_VALUE"""),127966.88)</f>
        <v>127966.88</v>
      </c>
      <c r="T2" s="31">
        <f>IFERROR(__xludf.DUMMYFUNCTION("""COMPUTED_VALUE"""),41968.64000000001)</f>
        <v>41968.64</v>
      </c>
      <c r="U2" s="31">
        <f>IFERROR(__xludf.DUMMYFUNCTION("""COMPUTED_VALUE"""),85998.23999999999)</f>
        <v>85998.24</v>
      </c>
      <c r="V2" s="27" t="str">
        <f>IFERROR(__xludf.DUMMYFUNCTION("""COMPUTED_VALUE"""),"Clothes")</f>
        <v>Clothes</v>
      </c>
      <c r="W2" s="27" t="str">
        <f>IFERROR(__xludf.DUMMYFUNCTION("""COMPUTED_VALUE"""),"Europe")</f>
        <v>Europe</v>
      </c>
      <c r="X2" s="27" t="str">
        <f>IFERROR(__xludf.DUMMYFUNCTION("""COMPUTED_VALUE"""),"Southern Europe")</f>
        <v>Southern Europe</v>
      </c>
      <c r="Y2" s="32">
        <f>IFERROR(__xludf.DUMMYFUNCTION("""COMPUTED_VALUE"""),0.67203513909224)</f>
        <v>0.6720351391</v>
      </c>
      <c r="Z2" s="27">
        <f>IFERROR(__xludf.DUMMYFUNCTION("""COMPUTED_VALUE"""),31.0)</f>
        <v>31</v>
      </c>
      <c r="AA2" s="27">
        <f>IFERROR(__xludf.DUMMYFUNCTION("""COMPUTED_VALUE"""),7.0)</f>
        <v>7</v>
      </c>
    </row>
    <row r="3">
      <c r="A3" s="27">
        <f>IFERROR(__xludf.DUMMYFUNCTION("""COMPUTED_VALUE"""),1.04190576E8)</f>
        <v>104190576</v>
      </c>
      <c r="B3" s="27" t="str">
        <f>IFERROR(__xludf.DUMMYFUNCTION("""COMPUTED_VALUE"""),"2/22/2017")</f>
        <v>2/22/2017</v>
      </c>
      <c r="C3" s="27">
        <f>IFERROR(__xludf.DUMMYFUNCTION("""COMPUTED_VALUE"""),2.0)</f>
        <v>2</v>
      </c>
      <c r="D3" s="28">
        <f>IFERROR(__xludf.DUMMYFUNCTION("""COMPUTED_VALUE"""),22.0)</f>
        <v>22</v>
      </c>
      <c r="E3" s="29">
        <f>IFERROR(__xludf.DUMMYFUNCTION("""COMPUTED_VALUE"""),2017.0)</f>
        <v>2017</v>
      </c>
      <c r="F3" s="30">
        <f>IFERROR(__xludf.DUMMYFUNCTION("""COMPUTED_VALUE"""),42788.0)</f>
        <v>42788</v>
      </c>
      <c r="G3" s="33">
        <f>IFERROR(__xludf.DUMMYFUNCTION("""COMPUTED_VALUE"""),43072.0)</f>
        <v>43072</v>
      </c>
      <c r="H3" s="27">
        <f>IFERROR(__xludf.DUMMYFUNCTION("""COMPUTED_VALUE"""),3.0)</f>
        <v>3</v>
      </c>
      <c r="I3" s="27">
        <f>IFERROR(__xludf.DUMMYFUNCTION("""COMPUTED_VALUE"""),12.0)</f>
        <v>12</v>
      </c>
      <c r="J3" s="27">
        <f>IFERROR(__xludf.DUMMYFUNCTION("""COMPUTED_VALUE"""),2017.0)</f>
        <v>2017</v>
      </c>
      <c r="K3" s="30">
        <f>IFERROR(__xludf.DUMMYFUNCTION("""COMPUTED_VALUE"""),42806.0)</f>
        <v>42806</v>
      </c>
      <c r="L3" s="27" t="str">
        <f>IFERROR(__xludf.DUMMYFUNCTION("""COMPUTED_VALUE"""),"C")</f>
        <v>C</v>
      </c>
      <c r="M3" s="27" t="str">
        <f>IFERROR(__xludf.DUMMYFUNCTION("""COMPUTED_VALUE"""),"GEO")</f>
        <v>GEO</v>
      </c>
      <c r="N3" s="27">
        <f>IFERROR(__xludf.DUMMYFUNCTION("""COMPUTED_VALUE"""),8875.0)</f>
        <v>8875</v>
      </c>
      <c r="O3" s="27" t="str">
        <f>IFERROR(__xludf.DUMMYFUNCTION("""COMPUTED_VALUE"""),"Offline")</f>
        <v>Offline</v>
      </c>
      <c r="P3" s="28">
        <f>IFERROR(__xludf.DUMMYFUNCTION("""COMPUTED_VALUE"""),1162.0)</f>
        <v>1162</v>
      </c>
      <c r="Q3" s="31">
        <f>IFERROR(__xludf.DUMMYFUNCTION("""COMPUTED_VALUE"""),421.89)</f>
        <v>421.89</v>
      </c>
      <c r="R3" s="31">
        <f>IFERROR(__xludf.DUMMYFUNCTION("""COMPUTED_VALUE"""),364.69)</f>
        <v>364.69</v>
      </c>
      <c r="S3" s="31">
        <f>IFERROR(__xludf.DUMMYFUNCTION("""COMPUTED_VALUE"""),490236.18)</f>
        <v>490236.18</v>
      </c>
      <c r="T3" s="31">
        <f>IFERROR(__xludf.DUMMYFUNCTION("""COMPUTED_VALUE"""),423769.77999999997)</f>
        <v>423769.78</v>
      </c>
      <c r="U3" s="31">
        <f>IFERROR(__xludf.DUMMYFUNCTION("""COMPUTED_VALUE"""),66466.40000000002)</f>
        <v>66466.4</v>
      </c>
      <c r="V3" s="27" t="str">
        <f>IFERROR(__xludf.DUMMYFUNCTION("""COMPUTED_VALUE"""),"Meat")</f>
        <v>Meat</v>
      </c>
      <c r="W3" s="27" t="str">
        <f>IFERROR(__xludf.DUMMYFUNCTION("""COMPUTED_VALUE"""),"Asia")</f>
        <v>Asia</v>
      </c>
      <c r="X3" s="27" t="str">
        <f>IFERROR(__xludf.DUMMYFUNCTION("""COMPUTED_VALUE"""),"Western Asia")</f>
        <v>Western Asia</v>
      </c>
      <c r="Y3" s="32">
        <f>IFERROR(__xludf.DUMMYFUNCTION("""COMPUTED_VALUE"""),0.13558036455000125)</f>
        <v>0.1355803646</v>
      </c>
      <c r="Z3" s="27">
        <f>IFERROR(__xludf.DUMMYFUNCTION("""COMPUTED_VALUE"""),18.0)</f>
        <v>18</v>
      </c>
      <c r="AA3" s="27">
        <f>IFERROR(__xludf.DUMMYFUNCTION("""COMPUTED_VALUE"""),4.0)</f>
        <v>4</v>
      </c>
    </row>
    <row r="4">
      <c r="A4" s="27">
        <f>IFERROR(__xludf.DUMMYFUNCTION("""COMPUTED_VALUE"""),1.11246287E8)</f>
        <v>111246287</v>
      </c>
      <c r="B4" s="33">
        <f>IFERROR(__xludf.DUMMYFUNCTION("""COMPUTED_VALUE"""),42984.0)</f>
        <v>42984</v>
      </c>
      <c r="C4" s="27">
        <f>IFERROR(__xludf.DUMMYFUNCTION("""COMPUTED_VALUE"""),6.0)</f>
        <v>6</v>
      </c>
      <c r="D4" s="28">
        <f>IFERROR(__xludf.DUMMYFUNCTION("""COMPUTED_VALUE"""),9.0)</f>
        <v>9</v>
      </c>
      <c r="E4" s="29">
        <f>IFERROR(__xludf.DUMMYFUNCTION("""COMPUTED_VALUE"""),2017.0)</f>
        <v>2017</v>
      </c>
      <c r="F4" s="30">
        <f>IFERROR(__xludf.DUMMYFUNCTION("""COMPUTED_VALUE"""),42895.0)</f>
        <v>42895</v>
      </c>
      <c r="G4" s="33">
        <f>IFERROR(__xludf.DUMMYFUNCTION("""COMPUTED_VALUE"""),42773.0)</f>
        <v>42773</v>
      </c>
      <c r="H4" s="27">
        <f>IFERROR(__xludf.DUMMYFUNCTION("""COMPUTED_VALUE"""),7.0)</f>
        <v>7</v>
      </c>
      <c r="I4" s="27">
        <f>IFERROR(__xludf.DUMMYFUNCTION("""COMPUTED_VALUE"""),2.0)</f>
        <v>2</v>
      </c>
      <c r="J4" s="27">
        <f>IFERROR(__xludf.DUMMYFUNCTION("""COMPUTED_VALUE"""),2017.0)</f>
        <v>2017</v>
      </c>
      <c r="K4" s="30">
        <f>IFERROR(__xludf.DUMMYFUNCTION("""COMPUTED_VALUE"""),42918.0)</f>
        <v>42918</v>
      </c>
      <c r="L4" s="27" t="str">
        <f>IFERROR(__xludf.DUMMYFUNCTION("""COMPUTED_VALUE"""),"M")</f>
        <v>M</v>
      </c>
      <c r="M4" s="27" t="str">
        <f>IFERROR(__xludf.DUMMYFUNCTION("""COMPUTED_VALUE"""),"CYP")</f>
        <v>CYP</v>
      </c>
      <c r="N4" s="27">
        <f>IFERROR(__xludf.DUMMYFUNCTION("""COMPUTED_VALUE"""),8875.0)</f>
        <v>8875</v>
      </c>
      <c r="O4" s="27" t="str">
        <f>IFERROR(__xludf.DUMMYFUNCTION("""COMPUTED_VALUE"""),"Offline")</f>
        <v>Offline</v>
      </c>
      <c r="P4" s="28">
        <f>IFERROR(__xludf.DUMMYFUNCTION("""COMPUTED_VALUE"""),9103.0)</f>
        <v>9103</v>
      </c>
      <c r="Q4" s="31">
        <f>IFERROR(__xludf.DUMMYFUNCTION("""COMPUTED_VALUE"""),421.89)</f>
        <v>421.89</v>
      </c>
      <c r="R4" s="31">
        <f>IFERROR(__xludf.DUMMYFUNCTION("""COMPUTED_VALUE"""),364.69)</f>
        <v>364.69</v>
      </c>
      <c r="S4" s="31">
        <f>IFERROR(__xludf.DUMMYFUNCTION("""COMPUTED_VALUE"""),3840464.67)</f>
        <v>3840464.67</v>
      </c>
      <c r="T4" s="31">
        <f>IFERROR(__xludf.DUMMYFUNCTION("""COMPUTED_VALUE"""),3319773.07)</f>
        <v>3319773.07</v>
      </c>
      <c r="U4" s="31">
        <f>IFERROR(__xludf.DUMMYFUNCTION("""COMPUTED_VALUE"""),520691.6000000001)</f>
        <v>520691.6</v>
      </c>
      <c r="V4" s="27" t="str">
        <f>IFERROR(__xludf.DUMMYFUNCTION("""COMPUTED_VALUE"""),"Meat")</f>
        <v>Meat</v>
      </c>
      <c r="W4" s="27" t="str">
        <f>IFERROR(__xludf.DUMMYFUNCTION("""COMPUTED_VALUE"""),"Asia")</f>
        <v>Asia</v>
      </c>
      <c r="X4" s="27" t="str">
        <f>IFERROR(__xludf.DUMMYFUNCTION("""COMPUTED_VALUE"""),"Western Asia")</f>
        <v>Western Asia</v>
      </c>
      <c r="Y4" s="32">
        <f>IFERROR(__xludf.DUMMYFUNCTION("""COMPUTED_VALUE"""),0.13558036455000122)</f>
        <v>0.1355803646</v>
      </c>
      <c r="Z4" s="27">
        <f>IFERROR(__xludf.DUMMYFUNCTION("""COMPUTED_VALUE"""),23.0)</f>
        <v>23</v>
      </c>
      <c r="AA4" s="27">
        <f>IFERROR(__xludf.DUMMYFUNCTION("""COMPUTED_VALUE"""),6.0)</f>
        <v>6</v>
      </c>
    </row>
    <row r="5">
      <c r="A5" s="27">
        <f>IFERROR(__xludf.DUMMYFUNCTION("""COMPUTED_VALUE"""),1.21945512E8)</f>
        <v>121945512</v>
      </c>
      <c r="B5" s="33">
        <f>IFERROR(__xludf.DUMMYFUNCTION("""COMPUTED_VALUE"""),42951.0)</f>
        <v>42951</v>
      </c>
      <c r="C5" s="27">
        <f>IFERROR(__xludf.DUMMYFUNCTION("""COMPUTED_VALUE"""),4.0)</f>
        <v>4</v>
      </c>
      <c r="D5" s="28">
        <f>IFERROR(__xludf.DUMMYFUNCTION("""COMPUTED_VALUE"""),8.0)</f>
        <v>8</v>
      </c>
      <c r="E5" s="29">
        <f>IFERROR(__xludf.DUMMYFUNCTION("""COMPUTED_VALUE"""),2017.0)</f>
        <v>2017</v>
      </c>
      <c r="F5" s="30">
        <f>IFERROR(__xludf.DUMMYFUNCTION("""COMPUTED_VALUE"""),42833.0)</f>
        <v>42833</v>
      </c>
      <c r="G5" s="33">
        <f>IFERROR(__xludf.DUMMYFUNCTION("""COMPUTED_VALUE"""),43073.0)</f>
        <v>43073</v>
      </c>
      <c r="H5" s="27">
        <f>IFERROR(__xludf.DUMMYFUNCTION("""COMPUTED_VALUE"""),4.0)</f>
        <v>4</v>
      </c>
      <c r="I5" s="27">
        <f>IFERROR(__xludf.DUMMYFUNCTION("""COMPUTED_VALUE"""),12.0)</f>
        <v>12</v>
      </c>
      <c r="J5" s="27">
        <f>IFERROR(__xludf.DUMMYFUNCTION("""COMPUTED_VALUE"""),2017.0)</f>
        <v>2017</v>
      </c>
      <c r="K5" s="30">
        <f>IFERROR(__xludf.DUMMYFUNCTION("""COMPUTED_VALUE"""),42837.0)</f>
        <v>42837</v>
      </c>
      <c r="L5" s="27" t="str">
        <f>IFERROR(__xludf.DUMMYFUNCTION("""COMPUTED_VALUE"""),"C")</f>
        <v>C</v>
      </c>
      <c r="M5" s="27" t="str">
        <f>IFERROR(__xludf.DUMMYFUNCTION("""COMPUTED_VALUE"""),"GBR")</f>
        <v>GBR</v>
      </c>
      <c r="N5" s="27">
        <f>IFERROR(__xludf.DUMMYFUNCTION("""COMPUTED_VALUE"""),1270.0)</f>
        <v>1270</v>
      </c>
      <c r="O5" s="27" t="str">
        <f>IFERROR(__xludf.DUMMYFUNCTION("""COMPUTED_VALUE"""),"Online")</f>
        <v>Online</v>
      </c>
      <c r="P5" s="28">
        <f>IFERROR(__xludf.DUMMYFUNCTION("""COMPUTED_VALUE"""),5242.0)</f>
        <v>5242</v>
      </c>
      <c r="Q5" s="31">
        <f>IFERROR(__xludf.DUMMYFUNCTION("""COMPUTED_VALUE"""),47.45)</f>
        <v>47.45</v>
      </c>
      <c r="R5" s="31">
        <f>IFERROR(__xludf.DUMMYFUNCTION("""COMPUTED_VALUE"""),31.79)</f>
        <v>31.79</v>
      </c>
      <c r="S5" s="31">
        <f>IFERROR(__xludf.DUMMYFUNCTION("""COMPUTED_VALUE"""),248732.90000000002)</f>
        <v>248732.9</v>
      </c>
      <c r="T5" s="31">
        <f>IFERROR(__xludf.DUMMYFUNCTION("""COMPUTED_VALUE"""),166643.18)</f>
        <v>166643.18</v>
      </c>
      <c r="U5" s="31">
        <f>IFERROR(__xludf.DUMMYFUNCTION("""COMPUTED_VALUE"""),82089.72000000003)</f>
        <v>82089.72</v>
      </c>
      <c r="V5" s="27" t="str">
        <f>IFERROR(__xludf.DUMMYFUNCTION("""COMPUTED_VALUE"""),"Beverages")</f>
        <v>Beverages</v>
      </c>
      <c r="W5" s="27" t="str">
        <f>IFERROR(__xludf.DUMMYFUNCTION("""COMPUTED_VALUE"""),"Europe")</f>
        <v>Europe</v>
      </c>
      <c r="X5" s="27" t="str">
        <f>IFERROR(__xludf.DUMMYFUNCTION("""COMPUTED_VALUE"""),"Northern Europe")</f>
        <v>Northern Europe</v>
      </c>
      <c r="Y5" s="32">
        <f>IFERROR(__xludf.DUMMYFUNCTION("""COMPUTED_VALUE"""),0.3300316122233931)</f>
        <v>0.3300316122</v>
      </c>
      <c r="Z5" s="27">
        <f>IFERROR(__xludf.DUMMYFUNCTION("""COMPUTED_VALUE"""),4.0)</f>
        <v>4</v>
      </c>
      <c r="AA5" s="27">
        <f>IFERROR(__xludf.DUMMYFUNCTION("""COMPUTED_VALUE"""),7.0)</f>
        <v>7</v>
      </c>
    </row>
    <row r="6">
      <c r="A6" s="27">
        <f>IFERROR(__xludf.DUMMYFUNCTION("""COMPUTED_VALUE"""),1.2214421E8)</f>
        <v>122144210</v>
      </c>
      <c r="B6" s="27" t="str">
        <f>IFERROR(__xludf.DUMMYFUNCTION("""COMPUTED_VALUE"""),"4/27/2017")</f>
        <v>4/27/2017</v>
      </c>
      <c r="C6" s="27">
        <f>IFERROR(__xludf.DUMMYFUNCTION("""COMPUTED_VALUE"""),4.0)</f>
        <v>4</v>
      </c>
      <c r="D6" s="28">
        <f>IFERROR(__xludf.DUMMYFUNCTION("""COMPUTED_VALUE"""),27.0)</f>
        <v>27</v>
      </c>
      <c r="E6" s="29">
        <f>IFERROR(__xludf.DUMMYFUNCTION("""COMPUTED_VALUE"""),2017.0)</f>
        <v>2017</v>
      </c>
      <c r="F6" s="30">
        <f>IFERROR(__xludf.DUMMYFUNCTION("""COMPUTED_VALUE"""),42852.0)</f>
        <v>42852</v>
      </c>
      <c r="G6" s="27" t="str">
        <f>IFERROR(__xludf.DUMMYFUNCTION("""COMPUTED_VALUE"""),"5/24/2017")</f>
        <v>5/24/2017</v>
      </c>
      <c r="H6" s="27">
        <f>IFERROR(__xludf.DUMMYFUNCTION("""COMPUTED_VALUE"""),5.0)</f>
        <v>5</v>
      </c>
      <c r="I6" s="27">
        <f>IFERROR(__xludf.DUMMYFUNCTION("""COMPUTED_VALUE"""),24.0)</f>
        <v>24</v>
      </c>
      <c r="J6" s="27">
        <f>IFERROR(__xludf.DUMMYFUNCTION("""COMPUTED_VALUE"""),2017.0)</f>
        <v>2017</v>
      </c>
      <c r="K6" s="30">
        <f>IFERROR(__xludf.DUMMYFUNCTION("""COMPUTED_VALUE"""),42879.0)</f>
        <v>42879</v>
      </c>
      <c r="L6" s="27" t="str">
        <f>IFERROR(__xludf.DUMMYFUNCTION("""COMPUTED_VALUE"""),"C")</f>
        <v>C</v>
      </c>
      <c r="M6" s="27" t="str">
        <f>IFERROR(__xludf.DUMMYFUNCTION("""COMPUTED_VALUE"""),"MNE")</f>
        <v>MNE</v>
      </c>
      <c r="N6" s="27">
        <f>IFERROR(__xludf.DUMMYFUNCTION("""COMPUTED_VALUE"""),1270.0)</f>
        <v>1270</v>
      </c>
      <c r="O6" s="27" t="str">
        <f>IFERROR(__xludf.DUMMYFUNCTION("""COMPUTED_VALUE"""),"Offline")</f>
        <v>Offline</v>
      </c>
      <c r="P6" s="28">
        <f>IFERROR(__xludf.DUMMYFUNCTION("""COMPUTED_VALUE"""),4041.0)</f>
        <v>4041</v>
      </c>
      <c r="Q6" s="31">
        <f>IFERROR(__xludf.DUMMYFUNCTION("""COMPUTED_VALUE"""),47.45)</f>
        <v>47.45</v>
      </c>
      <c r="R6" s="31">
        <f>IFERROR(__xludf.DUMMYFUNCTION("""COMPUTED_VALUE"""),31.79)</f>
        <v>31.79</v>
      </c>
      <c r="S6" s="31">
        <f>IFERROR(__xludf.DUMMYFUNCTION("""COMPUTED_VALUE"""),191745.45)</f>
        <v>191745.45</v>
      </c>
      <c r="T6" s="31">
        <f>IFERROR(__xludf.DUMMYFUNCTION("""COMPUTED_VALUE"""),128463.39)</f>
        <v>128463.39</v>
      </c>
      <c r="U6" s="31">
        <f>IFERROR(__xludf.DUMMYFUNCTION("""COMPUTED_VALUE"""),63282.06000000001)</f>
        <v>63282.06</v>
      </c>
      <c r="V6" s="27" t="str">
        <f>IFERROR(__xludf.DUMMYFUNCTION("""COMPUTED_VALUE"""),"Beverages")</f>
        <v>Beverages</v>
      </c>
      <c r="W6" s="27" t="str">
        <f>IFERROR(__xludf.DUMMYFUNCTION("""COMPUTED_VALUE"""),"Europe")</f>
        <v>Europe</v>
      </c>
      <c r="X6" s="27" t="str">
        <f>IFERROR(__xludf.DUMMYFUNCTION("""COMPUTED_VALUE"""),"Southern Europe")</f>
        <v>Southern Europe</v>
      </c>
      <c r="Y6" s="32">
        <f>IFERROR(__xludf.DUMMYFUNCTION("""COMPUTED_VALUE"""),0.3300316122233931)</f>
        <v>0.3300316122</v>
      </c>
      <c r="Z6" s="27">
        <f>IFERROR(__xludf.DUMMYFUNCTION("""COMPUTED_VALUE"""),27.0)</f>
        <v>27</v>
      </c>
      <c r="AA6" s="27">
        <f>IFERROR(__xludf.DUMMYFUNCTION("""COMPUTED_VALUE"""),5.0)</f>
        <v>5</v>
      </c>
    </row>
    <row r="7">
      <c r="A7" s="27">
        <f>IFERROR(__xludf.DUMMYFUNCTION("""COMPUTED_VALUE"""),1.22967326E8)</f>
        <v>122967326</v>
      </c>
      <c r="B7" s="27" t="str">
        <f>IFERROR(__xludf.DUMMYFUNCTION("""COMPUTED_VALUE"""),"3/24/2017")</f>
        <v>3/24/2017</v>
      </c>
      <c r="C7" s="27">
        <f>IFERROR(__xludf.DUMMYFUNCTION("""COMPUTED_VALUE"""),3.0)</f>
        <v>3</v>
      </c>
      <c r="D7" s="28">
        <f>IFERROR(__xludf.DUMMYFUNCTION("""COMPUTED_VALUE"""),24.0)</f>
        <v>24</v>
      </c>
      <c r="E7" s="29">
        <f>IFERROR(__xludf.DUMMYFUNCTION("""COMPUTED_VALUE"""),2017.0)</f>
        <v>2017</v>
      </c>
      <c r="F7" s="30">
        <f>IFERROR(__xludf.DUMMYFUNCTION("""COMPUTED_VALUE"""),42818.0)</f>
        <v>42818</v>
      </c>
      <c r="G7" s="27" t="str">
        <f>IFERROR(__xludf.DUMMYFUNCTION("""COMPUTED_VALUE"""),"4/25/2017")</f>
        <v>4/25/2017</v>
      </c>
      <c r="H7" s="27">
        <f>IFERROR(__xludf.DUMMYFUNCTION("""COMPUTED_VALUE"""),4.0)</f>
        <v>4</v>
      </c>
      <c r="I7" s="27">
        <f>IFERROR(__xludf.DUMMYFUNCTION("""COMPUTED_VALUE"""),25.0)</f>
        <v>25</v>
      </c>
      <c r="J7" s="27">
        <f>IFERROR(__xludf.DUMMYFUNCTION("""COMPUTED_VALUE"""),2017.0)</f>
        <v>2017</v>
      </c>
      <c r="K7" s="30">
        <f>IFERROR(__xludf.DUMMYFUNCTION("""COMPUTED_VALUE"""),42850.0)</f>
        <v>42850</v>
      </c>
      <c r="L7" s="27" t="str">
        <f>IFERROR(__xludf.DUMMYFUNCTION("""COMPUTED_VALUE"""),"H")</f>
        <v>H</v>
      </c>
      <c r="M7" s="27" t="str">
        <f>IFERROR(__xludf.DUMMYFUNCTION("""COMPUTED_VALUE"""),"BLR")</f>
        <v>BLR</v>
      </c>
      <c r="N7" s="27">
        <f>IFERROR(__xludf.DUMMYFUNCTION("""COMPUTED_VALUE"""),1270.0)</f>
        <v>1270</v>
      </c>
      <c r="O7" s="27" t="str">
        <f>IFERROR(__xludf.DUMMYFUNCTION("""COMPUTED_VALUE"""),"Online")</f>
        <v>Online</v>
      </c>
      <c r="P7" s="28">
        <f>IFERROR(__xludf.DUMMYFUNCTION("""COMPUTED_VALUE"""),7619.0)</f>
        <v>7619</v>
      </c>
      <c r="Q7" s="31">
        <f>IFERROR(__xludf.DUMMYFUNCTION("""COMPUTED_VALUE"""),47.45)</f>
        <v>47.45</v>
      </c>
      <c r="R7" s="31">
        <f>IFERROR(__xludf.DUMMYFUNCTION("""COMPUTED_VALUE"""),31.79)</f>
        <v>31.79</v>
      </c>
      <c r="S7" s="31">
        <f>IFERROR(__xludf.DUMMYFUNCTION("""COMPUTED_VALUE"""),361521.55000000005)</f>
        <v>361521.55</v>
      </c>
      <c r="T7" s="31">
        <f>IFERROR(__xludf.DUMMYFUNCTION("""COMPUTED_VALUE"""),242208.00999999998)</f>
        <v>242208.01</v>
      </c>
      <c r="U7" s="31">
        <f>IFERROR(__xludf.DUMMYFUNCTION("""COMPUTED_VALUE"""),119313.54000000007)</f>
        <v>119313.54</v>
      </c>
      <c r="V7" s="27" t="str">
        <f>IFERROR(__xludf.DUMMYFUNCTION("""COMPUTED_VALUE"""),"Beverages")</f>
        <v>Beverages</v>
      </c>
      <c r="W7" s="27" t="str">
        <f>IFERROR(__xludf.DUMMYFUNCTION("""COMPUTED_VALUE"""),"Europe")</f>
        <v>Europe</v>
      </c>
      <c r="X7" s="27" t="str">
        <f>IFERROR(__xludf.DUMMYFUNCTION("""COMPUTED_VALUE"""),"Eastern Europe")</f>
        <v>Eastern Europe</v>
      </c>
      <c r="Y7" s="32">
        <f>IFERROR(__xludf.DUMMYFUNCTION("""COMPUTED_VALUE"""),0.33003161222339317)</f>
        <v>0.3300316122</v>
      </c>
      <c r="Z7" s="27">
        <f>IFERROR(__xludf.DUMMYFUNCTION("""COMPUTED_VALUE"""),32.0)</f>
        <v>32</v>
      </c>
      <c r="AA7" s="27">
        <f>IFERROR(__xludf.DUMMYFUNCTION("""COMPUTED_VALUE"""),6.0)</f>
        <v>6</v>
      </c>
    </row>
    <row r="8">
      <c r="A8" s="27">
        <f>IFERROR(__xludf.DUMMYFUNCTION("""COMPUTED_VALUE"""),1.25339686E8)</f>
        <v>125339686</v>
      </c>
      <c r="B8" s="33">
        <f>IFERROR(__xludf.DUMMYFUNCTION("""COMPUTED_VALUE"""),43046.0)</f>
        <v>43046</v>
      </c>
      <c r="C8" s="27">
        <f>IFERROR(__xludf.DUMMYFUNCTION("""COMPUTED_VALUE"""),7.0)</f>
        <v>7</v>
      </c>
      <c r="D8" s="28">
        <f>IFERROR(__xludf.DUMMYFUNCTION("""COMPUTED_VALUE"""),11.0)</f>
        <v>11</v>
      </c>
      <c r="E8" s="29">
        <f>IFERROR(__xludf.DUMMYFUNCTION("""COMPUTED_VALUE"""),2017.0)</f>
        <v>2017</v>
      </c>
      <c r="F8" s="30">
        <f>IFERROR(__xludf.DUMMYFUNCTION("""COMPUTED_VALUE"""),42927.0)</f>
        <v>42927</v>
      </c>
      <c r="G8" s="27" t="str">
        <f>IFERROR(__xludf.DUMMYFUNCTION("""COMPUTED_VALUE"""),"7/24/2017")</f>
        <v>7/24/2017</v>
      </c>
      <c r="H8" s="27">
        <f>IFERROR(__xludf.DUMMYFUNCTION("""COMPUTED_VALUE"""),7.0)</f>
        <v>7</v>
      </c>
      <c r="I8" s="27">
        <f>IFERROR(__xludf.DUMMYFUNCTION("""COMPUTED_VALUE"""),24.0)</f>
        <v>24</v>
      </c>
      <c r="J8" s="27">
        <f>IFERROR(__xludf.DUMMYFUNCTION("""COMPUTED_VALUE"""),2017.0)</f>
        <v>2017</v>
      </c>
      <c r="K8" s="30">
        <f>IFERROR(__xludf.DUMMYFUNCTION("""COMPUTED_VALUE"""),42940.0)</f>
        <v>42940</v>
      </c>
      <c r="L8" s="27" t="str">
        <f>IFERROR(__xludf.DUMMYFUNCTION("""COMPUTED_VALUE"""),"L")</f>
        <v>L</v>
      </c>
      <c r="M8" s="27" t="str">
        <f>IFERROR(__xludf.DUMMYFUNCTION("""COMPUTED_VALUE"""),"MKD")</f>
        <v>MKD</v>
      </c>
      <c r="N8" s="27">
        <f>IFERROR(__xludf.DUMMYFUNCTION("""COMPUTED_VALUE"""),8969.0)</f>
        <v>8969</v>
      </c>
      <c r="O8" s="27" t="str">
        <f>IFERROR(__xludf.DUMMYFUNCTION("""COMPUTED_VALUE"""),"Online")</f>
        <v>Online</v>
      </c>
      <c r="P8" s="28">
        <f>IFERROR(__xludf.DUMMYFUNCTION("""COMPUTED_VALUE"""),9653.0)</f>
        <v>9653</v>
      </c>
      <c r="Q8" s="31">
        <f>IFERROR(__xludf.DUMMYFUNCTION("""COMPUTED_VALUE"""),152.58)</f>
        <v>152.58</v>
      </c>
      <c r="R8" s="31">
        <f>IFERROR(__xludf.DUMMYFUNCTION("""COMPUTED_VALUE"""),97.44)</f>
        <v>97.44</v>
      </c>
      <c r="S8" s="31">
        <f>IFERROR(__xludf.DUMMYFUNCTION("""COMPUTED_VALUE"""),1472854.7400000002)</f>
        <v>1472854.74</v>
      </c>
      <c r="T8" s="31">
        <f>IFERROR(__xludf.DUMMYFUNCTION("""COMPUTED_VALUE"""),940588.32)</f>
        <v>940588.32</v>
      </c>
      <c r="U8" s="31">
        <f>IFERROR(__xludf.DUMMYFUNCTION("""COMPUTED_VALUE"""),532266.4200000003)</f>
        <v>532266.42</v>
      </c>
      <c r="V8" s="27" t="str">
        <f>IFERROR(__xludf.DUMMYFUNCTION("""COMPUTED_VALUE"""),"Snacks")</f>
        <v>Snacks</v>
      </c>
      <c r="W8" s="27" t="str">
        <f>IFERROR(__xludf.DUMMYFUNCTION("""COMPUTED_VALUE"""),"Europe")</f>
        <v>Europe</v>
      </c>
      <c r="X8" s="27" t="str">
        <f>IFERROR(__xludf.DUMMYFUNCTION("""COMPUTED_VALUE"""),"Southern Europe")</f>
        <v>Southern Europe</v>
      </c>
      <c r="Y8" s="32">
        <f>IFERROR(__xludf.DUMMYFUNCTION("""COMPUTED_VALUE"""),0.36138419189933163)</f>
        <v>0.3613841919</v>
      </c>
      <c r="Z8" s="27">
        <f>IFERROR(__xludf.DUMMYFUNCTION("""COMPUTED_VALUE"""),13.0)</f>
        <v>13</v>
      </c>
      <c r="AA8" s="27">
        <f>IFERROR(__xludf.DUMMYFUNCTION("""COMPUTED_VALUE"""),3.0)</f>
        <v>3</v>
      </c>
    </row>
    <row r="9">
      <c r="A9" s="27">
        <f>IFERROR(__xludf.DUMMYFUNCTION("""COMPUTED_VALUE"""),1.26948583E8)</f>
        <v>126948583</v>
      </c>
      <c r="B9" s="27" t="str">
        <f>IFERROR(__xludf.DUMMYFUNCTION("""COMPUTED_VALUE"""),"5/24/2017")</f>
        <v>5/24/2017</v>
      </c>
      <c r="C9" s="27">
        <f>IFERROR(__xludf.DUMMYFUNCTION("""COMPUTED_VALUE"""),5.0)</f>
        <v>5</v>
      </c>
      <c r="D9" s="28">
        <f>IFERROR(__xludf.DUMMYFUNCTION("""COMPUTED_VALUE"""),24.0)</f>
        <v>24</v>
      </c>
      <c r="E9" s="29">
        <f>IFERROR(__xludf.DUMMYFUNCTION("""COMPUTED_VALUE"""),2017.0)</f>
        <v>2017</v>
      </c>
      <c r="F9" s="30">
        <f>IFERROR(__xludf.DUMMYFUNCTION("""COMPUTED_VALUE"""),42879.0)</f>
        <v>42879</v>
      </c>
      <c r="G9" s="33">
        <f>IFERROR(__xludf.DUMMYFUNCTION("""COMPUTED_VALUE"""),42985.0)</f>
        <v>42985</v>
      </c>
      <c r="H9" s="27">
        <f>IFERROR(__xludf.DUMMYFUNCTION("""COMPUTED_VALUE"""),7.0)</f>
        <v>7</v>
      </c>
      <c r="I9" s="27">
        <f>IFERROR(__xludf.DUMMYFUNCTION("""COMPUTED_VALUE"""),9.0)</f>
        <v>9</v>
      </c>
      <c r="J9" s="27">
        <f>IFERROR(__xludf.DUMMYFUNCTION("""COMPUTED_VALUE"""),2017.0)</f>
        <v>2017</v>
      </c>
      <c r="K9" s="30">
        <f>IFERROR(__xludf.DUMMYFUNCTION("""COMPUTED_VALUE"""),42925.0)</f>
        <v>42925</v>
      </c>
      <c r="L9" s="27" t="str">
        <f>IFERROR(__xludf.DUMMYFUNCTION("""COMPUTED_VALUE"""),"C")</f>
        <v>C</v>
      </c>
      <c r="M9" s="27" t="str">
        <f>IFERROR(__xludf.DUMMYFUNCTION("""COMPUTED_VALUE"""),"Desconhecido")</f>
        <v>Desconhecido</v>
      </c>
      <c r="N9" s="27">
        <f>IFERROR(__xludf.DUMMYFUNCTION("""COMPUTED_VALUE"""),7331.0)</f>
        <v>7331</v>
      </c>
      <c r="O9" s="27" t="str">
        <f>IFERROR(__xludf.DUMMYFUNCTION("""COMPUTED_VALUE"""),"Online")</f>
        <v>Online</v>
      </c>
      <c r="P9" s="28">
        <f>IFERROR(__xludf.DUMMYFUNCTION("""COMPUTED_VALUE"""),5762.0)</f>
        <v>5762</v>
      </c>
      <c r="Q9" s="31">
        <f>IFERROR(__xludf.DUMMYFUNCTION("""COMPUTED_VALUE"""),255.28)</f>
        <v>255.28</v>
      </c>
      <c r="R9" s="31">
        <f>IFERROR(__xludf.DUMMYFUNCTION("""COMPUTED_VALUE"""),159.42)</f>
        <v>159.42</v>
      </c>
      <c r="S9" s="31">
        <f>IFERROR(__xludf.DUMMYFUNCTION("""COMPUTED_VALUE"""),1470923.36)</f>
        <v>1470923.36</v>
      </c>
      <c r="T9" s="31">
        <f>IFERROR(__xludf.DUMMYFUNCTION("""COMPUTED_VALUE"""),918578.0399999999)</f>
        <v>918578.04</v>
      </c>
      <c r="U9" s="31">
        <f>IFERROR(__xludf.DUMMYFUNCTION("""COMPUTED_VALUE"""),552345.3200000002)</f>
        <v>552345.32</v>
      </c>
      <c r="V9" s="27" t="str">
        <f>IFERROR(__xludf.DUMMYFUNCTION("""COMPUTED_VALUE"""),"Baby Food")</f>
        <v>Baby Food</v>
      </c>
      <c r="W9" s="27" t="str">
        <f>IFERROR(__xludf.DUMMYFUNCTION("""COMPUTED_VALUE"""),"Desconhecido")</f>
        <v>Desconhecido</v>
      </c>
      <c r="X9" s="27" t="str">
        <f>IFERROR(__xludf.DUMMYFUNCTION("""COMPUTED_VALUE"""),"Desconhecido")</f>
        <v>Desconhecido</v>
      </c>
      <c r="Y9" s="32">
        <f>IFERROR(__xludf.DUMMYFUNCTION("""COMPUTED_VALUE"""),0.3755092447508619)</f>
        <v>0.3755092448</v>
      </c>
      <c r="Z9" s="27">
        <f>IFERROR(__xludf.DUMMYFUNCTION("""COMPUTED_VALUE"""),46.0)</f>
        <v>46</v>
      </c>
      <c r="AA9" s="27">
        <f>IFERROR(__xludf.DUMMYFUNCTION("""COMPUTED_VALUE"""),4.0)</f>
        <v>4</v>
      </c>
    </row>
    <row r="10">
      <c r="A10" s="27">
        <f>IFERROR(__xludf.DUMMYFUNCTION("""COMPUTED_VALUE"""),1.31585586E8)</f>
        <v>131585586</v>
      </c>
      <c r="B10" s="27" t="str">
        <f>IFERROR(__xludf.DUMMYFUNCTION("""COMPUTED_VALUE"""),"3/13/2017")</f>
        <v>3/13/2017</v>
      </c>
      <c r="C10" s="27">
        <f>IFERROR(__xludf.DUMMYFUNCTION("""COMPUTED_VALUE"""),3.0)</f>
        <v>3</v>
      </c>
      <c r="D10" s="28">
        <f>IFERROR(__xludf.DUMMYFUNCTION("""COMPUTED_VALUE"""),13.0)</f>
        <v>13</v>
      </c>
      <c r="E10" s="29">
        <f>IFERROR(__xludf.DUMMYFUNCTION("""COMPUTED_VALUE"""),2017.0)</f>
        <v>2017</v>
      </c>
      <c r="F10" s="30">
        <f>IFERROR(__xludf.DUMMYFUNCTION("""COMPUTED_VALUE"""),42807.0)</f>
        <v>42807</v>
      </c>
      <c r="G10" s="27" t="str">
        <f>IFERROR(__xludf.DUMMYFUNCTION("""COMPUTED_VALUE"""),"4/13/2017")</f>
        <v>4/13/2017</v>
      </c>
      <c r="H10" s="27">
        <f>IFERROR(__xludf.DUMMYFUNCTION("""COMPUTED_VALUE"""),4.0)</f>
        <v>4</v>
      </c>
      <c r="I10" s="27">
        <f>IFERROR(__xludf.DUMMYFUNCTION("""COMPUTED_VALUE"""),13.0)</f>
        <v>13</v>
      </c>
      <c r="J10" s="27">
        <f>IFERROR(__xludf.DUMMYFUNCTION("""COMPUTED_VALUE"""),2017.0)</f>
        <v>2017</v>
      </c>
      <c r="K10" s="30">
        <f>IFERROR(__xludf.DUMMYFUNCTION("""COMPUTED_VALUE"""),42838.0)</f>
        <v>42838</v>
      </c>
      <c r="L10" s="27" t="str">
        <f>IFERROR(__xludf.DUMMYFUNCTION("""COMPUTED_VALUE"""),"C")</f>
        <v>C</v>
      </c>
      <c r="M10" s="27" t="str">
        <f>IFERROR(__xludf.DUMMYFUNCTION("""COMPUTED_VALUE"""),"FRA")</f>
        <v>FRA</v>
      </c>
      <c r="N10" s="27">
        <f>IFERROR(__xludf.DUMMYFUNCTION("""COMPUTED_VALUE"""),3127.0)</f>
        <v>3127</v>
      </c>
      <c r="O10" s="27" t="str">
        <f>IFERROR(__xludf.DUMMYFUNCTION("""COMPUTED_VALUE"""),"Offline")</f>
        <v>Offline</v>
      </c>
      <c r="P10" s="28">
        <f>IFERROR(__xludf.DUMMYFUNCTION("""COMPUTED_VALUE"""),7954.0)</f>
        <v>7954</v>
      </c>
      <c r="Q10" s="31">
        <f>IFERROR(__xludf.DUMMYFUNCTION("""COMPUTED_VALUE"""),81.73)</f>
        <v>81.73</v>
      </c>
      <c r="R10" s="31">
        <f>IFERROR(__xludf.DUMMYFUNCTION("""COMPUTED_VALUE"""),56.67)</f>
        <v>56.67</v>
      </c>
      <c r="S10" s="31">
        <f>IFERROR(__xludf.DUMMYFUNCTION("""COMPUTED_VALUE"""),650080.42)</f>
        <v>650080.42</v>
      </c>
      <c r="T10" s="31">
        <f>IFERROR(__xludf.DUMMYFUNCTION("""COMPUTED_VALUE"""),450753.18)</f>
        <v>450753.18</v>
      </c>
      <c r="U10" s="31">
        <f>IFERROR(__xludf.DUMMYFUNCTION("""COMPUTED_VALUE"""),199327.24000000005)</f>
        <v>199327.24</v>
      </c>
      <c r="V10" s="27" t="str">
        <f>IFERROR(__xludf.DUMMYFUNCTION("""COMPUTED_VALUE"""),"Personal Care")</f>
        <v>Personal Care</v>
      </c>
      <c r="W10" s="27" t="str">
        <f>IFERROR(__xludf.DUMMYFUNCTION("""COMPUTED_VALUE"""),"Europe")</f>
        <v>Europe</v>
      </c>
      <c r="X10" s="27" t="str">
        <f>IFERROR(__xludf.DUMMYFUNCTION("""COMPUTED_VALUE"""),"Western Europe")</f>
        <v>Western Europe</v>
      </c>
      <c r="Y10" s="32">
        <f>IFERROR(__xludf.DUMMYFUNCTION("""COMPUTED_VALUE"""),0.30661935641747223)</f>
        <v>0.3066193564</v>
      </c>
      <c r="Z10" s="27">
        <f>IFERROR(__xludf.DUMMYFUNCTION("""COMPUTED_VALUE"""),31.0)</f>
        <v>31</v>
      </c>
      <c r="AA10" s="27">
        <f>IFERROR(__xludf.DUMMYFUNCTION("""COMPUTED_VALUE"""),2.0)</f>
        <v>2</v>
      </c>
    </row>
    <row r="11">
      <c r="A11" s="27">
        <f>IFERROR(__xludf.DUMMYFUNCTION("""COMPUTED_VALUE"""),1.32069671E8)</f>
        <v>132069671</v>
      </c>
      <c r="B11" s="33">
        <f>IFERROR(__xludf.DUMMYFUNCTION("""COMPUTED_VALUE"""),42985.0)</f>
        <v>42985</v>
      </c>
      <c r="C11" s="27">
        <f>IFERROR(__xludf.DUMMYFUNCTION("""COMPUTED_VALUE"""),7.0)</f>
        <v>7</v>
      </c>
      <c r="D11" s="28">
        <f>IFERROR(__xludf.DUMMYFUNCTION("""COMPUTED_VALUE"""),9.0)</f>
        <v>9</v>
      </c>
      <c r="E11" s="29">
        <f>IFERROR(__xludf.DUMMYFUNCTION("""COMPUTED_VALUE"""),2017.0)</f>
        <v>2017</v>
      </c>
      <c r="F11" s="30">
        <f>IFERROR(__xludf.DUMMYFUNCTION("""COMPUTED_VALUE"""),42925.0)</f>
        <v>42925</v>
      </c>
      <c r="G11" s="27" t="str">
        <f>IFERROR(__xludf.DUMMYFUNCTION("""COMPUTED_VALUE"""),"7/20/2017")</f>
        <v>7/20/2017</v>
      </c>
      <c r="H11" s="27">
        <f>IFERROR(__xludf.DUMMYFUNCTION("""COMPUTED_VALUE"""),7.0)</f>
        <v>7</v>
      </c>
      <c r="I11" s="27">
        <f>IFERROR(__xludf.DUMMYFUNCTION("""COMPUTED_VALUE"""),20.0)</f>
        <v>20</v>
      </c>
      <c r="J11" s="27">
        <f>IFERROR(__xludf.DUMMYFUNCTION("""COMPUTED_VALUE"""),2017.0)</f>
        <v>2017</v>
      </c>
      <c r="K11" s="30">
        <f>IFERROR(__xludf.DUMMYFUNCTION("""COMPUTED_VALUE"""),42936.0)</f>
        <v>42936</v>
      </c>
      <c r="L11" s="27" t="str">
        <f>IFERROR(__xludf.DUMMYFUNCTION("""COMPUTED_VALUE"""),"M")</f>
        <v>M</v>
      </c>
      <c r="M11" s="27" t="str">
        <f>IFERROR(__xludf.DUMMYFUNCTION("""COMPUTED_VALUE"""),"AUT")</f>
        <v>AUT</v>
      </c>
      <c r="N11" s="27">
        <f>IFERROR(__xludf.DUMMYFUNCTION("""COMPUTED_VALUE"""),3127.0)</f>
        <v>3127</v>
      </c>
      <c r="O11" s="27" t="str">
        <f>IFERROR(__xludf.DUMMYFUNCTION("""COMPUTED_VALUE"""),"Online")</f>
        <v>Online</v>
      </c>
      <c r="P11" s="28">
        <f>IFERROR(__xludf.DUMMYFUNCTION("""COMPUTED_VALUE"""),1205.0)</f>
        <v>1205</v>
      </c>
      <c r="Q11" s="31">
        <f>IFERROR(__xludf.DUMMYFUNCTION("""COMPUTED_VALUE"""),81.73)</f>
        <v>81.73</v>
      </c>
      <c r="R11" s="31">
        <f>IFERROR(__xludf.DUMMYFUNCTION("""COMPUTED_VALUE"""),56.67)</f>
        <v>56.67</v>
      </c>
      <c r="S11" s="31">
        <f>IFERROR(__xludf.DUMMYFUNCTION("""COMPUTED_VALUE"""),98484.65000000001)</f>
        <v>98484.65</v>
      </c>
      <c r="T11" s="31">
        <f>IFERROR(__xludf.DUMMYFUNCTION("""COMPUTED_VALUE"""),68287.35)</f>
        <v>68287.35</v>
      </c>
      <c r="U11" s="31">
        <f>IFERROR(__xludf.DUMMYFUNCTION("""COMPUTED_VALUE"""),30197.300000000003)</f>
        <v>30197.3</v>
      </c>
      <c r="V11" s="27" t="str">
        <f>IFERROR(__xludf.DUMMYFUNCTION("""COMPUTED_VALUE"""),"Personal Care")</f>
        <v>Personal Care</v>
      </c>
      <c r="W11" s="27" t="str">
        <f>IFERROR(__xludf.DUMMYFUNCTION("""COMPUTED_VALUE"""),"Europe")</f>
        <v>Europe</v>
      </c>
      <c r="X11" s="27" t="str">
        <f>IFERROR(__xludf.DUMMYFUNCTION("""COMPUTED_VALUE"""),"Western Europe")</f>
        <v>Western Europe</v>
      </c>
      <c r="Y11" s="32">
        <f>IFERROR(__xludf.DUMMYFUNCTION("""COMPUTED_VALUE"""),0.3066193564174722)</f>
        <v>0.3066193564</v>
      </c>
      <c r="Z11" s="27">
        <f>IFERROR(__xludf.DUMMYFUNCTION("""COMPUTED_VALUE"""),11.0)</f>
        <v>11</v>
      </c>
      <c r="AA11" s="27">
        <f>IFERROR(__xludf.DUMMYFUNCTION("""COMPUTED_VALUE"""),1.0)</f>
        <v>1</v>
      </c>
    </row>
    <row r="12">
      <c r="A12" s="27">
        <f>IFERROR(__xludf.DUMMYFUNCTION("""COMPUTED_VALUE"""),1.46349751E8)</f>
        <v>146349751</v>
      </c>
      <c r="B12" s="33">
        <f>IFERROR(__xludf.DUMMYFUNCTION("""COMPUTED_VALUE"""),42740.0)</f>
        <v>42740</v>
      </c>
      <c r="C12" s="27">
        <f>IFERROR(__xludf.DUMMYFUNCTION("""COMPUTED_VALUE"""),5.0)</f>
        <v>5</v>
      </c>
      <c r="D12" s="28">
        <f>IFERROR(__xludf.DUMMYFUNCTION("""COMPUTED_VALUE"""),1.0)</f>
        <v>1</v>
      </c>
      <c r="E12" s="29">
        <f>IFERROR(__xludf.DUMMYFUNCTION("""COMPUTED_VALUE"""),2017.0)</f>
        <v>2017</v>
      </c>
      <c r="F12" s="30">
        <f>IFERROR(__xludf.DUMMYFUNCTION("""COMPUTED_VALUE"""),42856.0)</f>
        <v>42856</v>
      </c>
      <c r="G12" s="27" t="str">
        <f>IFERROR(__xludf.DUMMYFUNCTION("""COMPUTED_VALUE"""),"6/13/2017")</f>
        <v>6/13/2017</v>
      </c>
      <c r="H12" s="27">
        <f>IFERROR(__xludf.DUMMYFUNCTION("""COMPUTED_VALUE"""),6.0)</f>
        <v>6</v>
      </c>
      <c r="I12" s="27">
        <f>IFERROR(__xludf.DUMMYFUNCTION("""COMPUTED_VALUE"""),13.0)</f>
        <v>13</v>
      </c>
      <c r="J12" s="27">
        <f>IFERROR(__xludf.DUMMYFUNCTION("""COMPUTED_VALUE"""),2017.0)</f>
        <v>2017</v>
      </c>
      <c r="K12" s="30">
        <f>IFERROR(__xludf.DUMMYFUNCTION("""COMPUTED_VALUE"""),42899.0)</f>
        <v>42899</v>
      </c>
      <c r="L12" s="27" t="str">
        <f>IFERROR(__xludf.DUMMYFUNCTION("""COMPUTED_VALUE"""),"M")</f>
        <v>M</v>
      </c>
      <c r="M12" s="27" t="str">
        <f>IFERROR(__xludf.DUMMYFUNCTION("""COMPUTED_VALUE"""),"LTU")</f>
        <v>LTU</v>
      </c>
      <c r="N12" s="27">
        <f>IFERROR(__xludf.DUMMYFUNCTION("""COMPUTED_VALUE"""),5988.0)</f>
        <v>5988</v>
      </c>
      <c r="O12" s="27" t="str">
        <f>IFERROR(__xludf.DUMMYFUNCTION("""COMPUTED_VALUE"""),"Online")</f>
        <v>Online</v>
      </c>
      <c r="P12" s="28">
        <f>IFERROR(__xludf.DUMMYFUNCTION("""COMPUTED_VALUE"""),6999.0)</f>
        <v>6999</v>
      </c>
      <c r="Q12" s="31">
        <f>IFERROR(__xludf.DUMMYFUNCTION("""COMPUTED_VALUE"""),154.06)</f>
        <v>154.06</v>
      </c>
      <c r="R12" s="31">
        <f>IFERROR(__xludf.DUMMYFUNCTION("""COMPUTED_VALUE"""),90.93)</f>
        <v>90.93</v>
      </c>
      <c r="S12" s="31">
        <f>IFERROR(__xludf.DUMMYFUNCTION("""COMPUTED_VALUE"""),1078265.94)</f>
        <v>1078265.94</v>
      </c>
      <c r="T12" s="31">
        <f>IFERROR(__xludf.DUMMYFUNCTION("""COMPUTED_VALUE"""),636419.0700000001)</f>
        <v>636419.07</v>
      </c>
      <c r="U12" s="31">
        <f>IFERROR(__xludf.DUMMYFUNCTION("""COMPUTED_VALUE"""),441846.8699999999)</f>
        <v>441846.87</v>
      </c>
      <c r="V12" s="27" t="str">
        <f>IFERROR(__xludf.DUMMYFUNCTION("""COMPUTED_VALUE"""),"Vegetables")</f>
        <v>Vegetables</v>
      </c>
      <c r="W12" s="27" t="str">
        <f>IFERROR(__xludf.DUMMYFUNCTION("""COMPUTED_VALUE"""),"Europe")</f>
        <v>Europe</v>
      </c>
      <c r="X12" s="27" t="str">
        <f>IFERROR(__xludf.DUMMYFUNCTION("""COMPUTED_VALUE"""),"Northern Europe")</f>
        <v>Northern Europe</v>
      </c>
      <c r="Y12" s="32">
        <f>IFERROR(__xludf.DUMMYFUNCTION("""COMPUTED_VALUE"""),0.40977541217707375)</f>
        <v>0.4097754122</v>
      </c>
      <c r="Z12" s="27">
        <f>IFERROR(__xludf.DUMMYFUNCTION("""COMPUTED_VALUE"""),43.0)</f>
        <v>43</v>
      </c>
      <c r="AA12" s="27">
        <f>IFERROR(__xludf.DUMMYFUNCTION("""COMPUTED_VALUE"""),2.0)</f>
        <v>2</v>
      </c>
    </row>
    <row r="13">
      <c r="A13" s="27">
        <f>IFERROR(__xludf.DUMMYFUNCTION("""COMPUTED_VALUE"""),1.51312482E8)</f>
        <v>151312482</v>
      </c>
      <c r="B13" s="33">
        <f>IFERROR(__xludf.DUMMYFUNCTION("""COMPUTED_VALUE"""),42892.0)</f>
        <v>42892</v>
      </c>
      <c r="C13" s="27">
        <f>IFERROR(__xludf.DUMMYFUNCTION("""COMPUTED_VALUE"""),6.0)</f>
        <v>6</v>
      </c>
      <c r="D13" s="28">
        <f>IFERROR(__xludf.DUMMYFUNCTION("""COMPUTED_VALUE"""),6.0)</f>
        <v>6</v>
      </c>
      <c r="E13" s="29">
        <f>IFERROR(__xludf.DUMMYFUNCTION("""COMPUTED_VALUE"""),2017.0)</f>
        <v>2017</v>
      </c>
      <c r="F13" s="30">
        <f>IFERROR(__xludf.DUMMYFUNCTION("""COMPUTED_VALUE"""),42892.0)</f>
        <v>42892</v>
      </c>
      <c r="G13" s="33">
        <f>IFERROR(__xludf.DUMMYFUNCTION("""COMPUTED_VALUE"""),43076.0)</f>
        <v>43076</v>
      </c>
      <c r="H13" s="27">
        <f>IFERROR(__xludf.DUMMYFUNCTION("""COMPUTED_VALUE"""),7.0)</f>
        <v>7</v>
      </c>
      <c r="I13" s="27">
        <f>IFERROR(__xludf.DUMMYFUNCTION("""COMPUTED_VALUE"""),12.0)</f>
        <v>12</v>
      </c>
      <c r="J13" s="27">
        <f>IFERROR(__xludf.DUMMYFUNCTION("""COMPUTED_VALUE"""),2017.0)</f>
        <v>2017</v>
      </c>
      <c r="K13" s="30">
        <f>IFERROR(__xludf.DUMMYFUNCTION("""COMPUTED_VALUE"""),42928.0)</f>
        <v>42928</v>
      </c>
      <c r="L13" s="27" t="str">
        <f>IFERROR(__xludf.DUMMYFUNCTION("""COMPUTED_VALUE"""),"H")</f>
        <v>H</v>
      </c>
      <c r="M13" s="27" t="str">
        <f>IFERROR(__xludf.DUMMYFUNCTION("""COMPUTED_VALUE"""),"CZE")</f>
        <v>CZE</v>
      </c>
      <c r="N13" s="27">
        <f>IFERROR(__xludf.DUMMYFUNCTION("""COMPUTED_VALUE"""),8293.0)</f>
        <v>8293</v>
      </c>
      <c r="O13" s="27" t="str">
        <f>IFERROR(__xludf.DUMMYFUNCTION("""COMPUTED_VALUE"""),"Online")</f>
        <v>Online</v>
      </c>
      <c r="P13" s="28">
        <f>IFERROR(__xludf.DUMMYFUNCTION("""COMPUTED_VALUE"""),5581.0)</f>
        <v>5581</v>
      </c>
      <c r="Q13" s="31">
        <f>IFERROR(__xludf.DUMMYFUNCTION("""COMPUTED_VALUE"""),437.2)</f>
        <v>437.2</v>
      </c>
      <c r="R13" s="31">
        <f>IFERROR(__xludf.DUMMYFUNCTION("""COMPUTED_VALUE"""),263.33)</f>
        <v>263.33</v>
      </c>
      <c r="S13" s="31">
        <f>IFERROR(__xludf.DUMMYFUNCTION("""COMPUTED_VALUE"""),2440013.1999999997)</f>
        <v>2440013.2</v>
      </c>
      <c r="T13" s="31">
        <f>IFERROR(__xludf.DUMMYFUNCTION("""COMPUTED_VALUE"""),1469644.73)</f>
        <v>1469644.73</v>
      </c>
      <c r="U13" s="31">
        <f>IFERROR(__xludf.DUMMYFUNCTION("""COMPUTED_VALUE"""),970368.4699999997)</f>
        <v>970368.47</v>
      </c>
      <c r="V13" s="27" t="str">
        <f>IFERROR(__xludf.DUMMYFUNCTION("""COMPUTED_VALUE"""),"Cosmetics")</f>
        <v>Cosmetics</v>
      </c>
      <c r="W13" s="27" t="str">
        <f>IFERROR(__xludf.DUMMYFUNCTION("""COMPUTED_VALUE"""),"Europe")</f>
        <v>Europe</v>
      </c>
      <c r="X13" s="27" t="str">
        <f>IFERROR(__xludf.DUMMYFUNCTION("""COMPUTED_VALUE"""),"Eastern Europe")</f>
        <v>Eastern Europe</v>
      </c>
      <c r="Y13" s="32">
        <f>IFERROR(__xludf.DUMMYFUNCTION("""COMPUTED_VALUE"""),0.3976898444647758)</f>
        <v>0.3976898445</v>
      </c>
      <c r="Z13" s="27">
        <f>IFERROR(__xludf.DUMMYFUNCTION("""COMPUTED_VALUE"""),36.0)</f>
        <v>36</v>
      </c>
      <c r="AA13" s="27">
        <f>IFERROR(__xludf.DUMMYFUNCTION("""COMPUTED_VALUE"""),3.0)</f>
        <v>3</v>
      </c>
    </row>
    <row r="14">
      <c r="A14" s="27">
        <f>IFERROR(__xludf.DUMMYFUNCTION("""COMPUTED_VALUE"""),1.63744628E8)</f>
        <v>163744628</v>
      </c>
      <c r="B14" s="27" t="str">
        <f>IFERROR(__xludf.DUMMYFUNCTION("""COMPUTED_VALUE"""),"4/17/2017")</f>
        <v>4/17/2017</v>
      </c>
      <c r="C14" s="27">
        <f>IFERROR(__xludf.DUMMYFUNCTION("""COMPUTED_VALUE"""),4.0)</f>
        <v>4</v>
      </c>
      <c r="D14" s="28">
        <f>IFERROR(__xludf.DUMMYFUNCTION("""COMPUTED_VALUE"""),17.0)</f>
        <v>17</v>
      </c>
      <c r="E14" s="29">
        <f>IFERROR(__xludf.DUMMYFUNCTION("""COMPUTED_VALUE"""),2017.0)</f>
        <v>2017</v>
      </c>
      <c r="F14" s="30">
        <f>IFERROR(__xludf.DUMMYFUNCTION("""COMPUTED_VALUE"""),42842.0)</f>
        <v>42842</v>
      </c>
      <c r="G14" s="33">
        <f>IFERROR(__xludf.DUMMYFUNCTION("""COMPUTED_VALUE"""),42740.0)</f>
        <v>42740</v>
      </c>
      <c r="H14" s="27">
        <f>IFERROR(__xludf.DUMMYFUNCTION("""COMPUTED_VALUE"""),5.0)</f>
        <v>5</v>
      </c>
      <c r="I14" s="27">
        <f>IFERROR(__xludf.DUMMYFUNCTION("""COMPUTED_VALUE"""),1.0)</f>
        <v>1</v>
      </c>
      <c r="J14" s="27">
        <f>IFERROR(__xludf.DUMMYFUNCTION("""COMPUTED_VALUE"""),2017.0)</f>
        <v>2017</v>
      </c>
      <c r="K14" s="30">
        <f>IFERROR(__xludf.DUMMYFUNCTION("""COMPUTED_VALUE"""),42856.0)</f>
        <v>42856</v>
      </c>
      <c r="L14" s="27" t="str">
        <f>IFERROR(__xludf.DUMMYFUNCTION("""COMPUTED_VALUE"""),"L")</f>
        <v>L</v>
      </c>
      <c r="M14" s="27" t="str">
        <f>IFERROR(__xludf.DUMMYFUNCTION("""COMPUTED_VALUE"""),"FIN")</f>
        <v>FIN</v>
      </c>
      <c r="N14" s="27">
        <f>IFERROR(__xludf.DUMMYFUNCTION("""COMPUTED_VALUE"""),8681.0)</f>
        <v>8681</v>
      </c>
      <c r="O14" s="27" t="str">
        <f>IFERROR(__xludf.DUMMYFUNCTION("""COMPUTED_VALUE"""),"Offline")</f>
        <v>Offline</v>
      </c>
      <c r="P14" s="28">
        <f>IFERROR(__xludf.DUMMYFUNCTION("""COMPUTED_VALUE"""),4529.0)</f>
        <v>4529</v>
      </c>
      <c r="Q14" s="31">
        <f>IFERROR(__xludf.DUMMYFUNCTION("""COMPUTED_VALUE"""),651.21)</f>
        <v>651.21</v>
      </c>
      <c r="R14" s="31">
        <f>IFERROR(__xludf.DUMMYFUNCTION("""COMPUTED_VALUE"""),524.96)</f>
        <v>524.96</v>
      </c>
      <c r="S14" s="31">
        <f>IFERROR(__xludf.DUMMYFUNCTION("""COMPUTED_VALUE"""),2949330.0900000003)</f>
        <v>2949330.09</v>
      </c>
      <c r="T14" s="31">
        <f>IFERROR(__xludf.DUMMYFUNCTION("""COMPUTED_VALUE"""),2377543.8400000003)</f>
        <v>2377543.84</v>
      </c>
      <c r="U14" s="31">
        <f>IFERROR(__xludf.DUMMYFUNCTION("""COMPUTED_VALUE"""),571786.25)</f>
        <v>571786.25</v>
      </c>
      <c r="V14" s="27" t="str">
        <f>IFERROR(__xludf.DUMMYFUNCTION("""COMPUTED_VALUE"""),"Office Supplies")</f>
        <v>Office Supplies</v>
      </c>
      <c r="W14" s="27" t="str">
        <f>IFERROR(__xludf.DUMMYFUNCTION("""COMPUTED_VALUE"""),"Europe")</f>
        <v>Europe</v>
      </c>
      <c r="X14" s="27" t="str">
        <f>IFERROR(__xludf.DUMMYFUNCTION("""COMPUTED_VALUE"""),"Northern Europe")</f>
        <v>Northern Europe</v>
      </c>
      <c r="Y14" s="32">
        <f>IFERROR(__xludf.DUMMYFUNCTION("""COMPUTED_VALUE"""),0.19386987300563563)</f>
        <v>0.193869873</v>
      </c>
      <c r="Z14" s="27">
        <f>IFERROR(__xludf.DUMMYFUNCTION("""COMPUTED_VALUE"""),14.0)</f>
        <v>14</v>
      </c>
      <c r="AA14" s="27">
        <f>IFERROR(__xludf.DUMMYFUNCTION("""COMPUTED_VALUE"""),2.0)</f>
        <v>2</v>
      </c>
    </row>
    <row r="15">
      <c r="A15" s="27">
        <f>IFERROR(__xludf.DUMMYFUNCTION("""COMPUTED_VALUE"""),1.74614226E8)</f>
        <v>174614226</v>
      </c>
      <c r="B15" s="27" t="str">
        <f>IFERROR(__xludf.DUMMYFUNCTION("""COMPUTED_VALUE"""),"6/24/2017")</f>
        <v>6/24/2017</v>
      </c>
      <c r="C15" s="27">
        <f>IFERROR(__xludf.DUMMYFUNCTION("""COMPUTED_VALUE"""),6.0)</f>
        <v>6</v>
      </c>
      <c r="D15" s="28">
        <f>IFERROR(__xludf.DUMMYFUNCTION("""COMPUTED_VALUE"""),24.0)</f>
        <v>24</v>
      </c>
      <c r="E15" s="29">
        <f>IFERROR(__xludf.DUMMYFUNCTION("""COMPUTED_VALUE"""),2017.0)</f>
        <v>2017</v>
      </c>
      <c r="F15" s="30">
        <f>IFERROR(__xludf.DUMMYFUNCTION("""COMPUTED_VALUE"""),42910.0)</f>
        <v>42910</v>
      </c>
      <c r="G15" s="27" t="str">
        <f>IFERROR(__xludf.DUMMYFUNCTION("""COMPUTED_VALUE"""),"8/13/2017")</f>
        <v>8/13/2017</v>
      </c>
      <c r="H15" s="27">
        <f>IFERROR(__xludf.DUMMYFUNCTION("""COMPUTED_VALUE"""),8.0)</f>
        <v>8</v>
      </c>
      <c r="I15" s="27">
        <f>IFERROR(__xludf.DUMMYFUNCTION("""COMPUTED_VALUE"""),13.0)</f>
        <v>13</v>
      </c>
      <c r="J15" s="27">
        <f>IFERROR(__xludf.DUMMYFUNCTION("""COMPUTED_VALUE"""),2017.0)</f>
        <v>2017</v>
      </c>
      <c r="K15" s="30">
        <f>IFERROR(__xludf.DUMMYFUNCTION("""COMPUTED_VALUE"""),42960.0)</f>
        <v>42960</v>
      </c>
      <c r="L15" s="27" t="str">
        <f>IFERROR(__xludf.DUMMYFUNCTION("""COMPUTED_VALUE"""),"C")</f>
        <v>C</v>
      </c>
      <c r="M15" s="27" t="str">
        <f>IFERROR(__xludf.DUMMYFUNCTION("""COMPUTED_VALUE"""),"AND")</f>
        <v>AND</v>
      </c>
      <c r="N15" s="27">
        <f>IFERROR(__xludf.DUMMYFUNCTION("""COMPUTED_VALUE"""),7331.0)</f>
        <v>7331</v>
      </c>
      <c r="O15" s="27" t="str">
        <f>IFERROR(__xludf.DUMMYFUNCTION("""COMPUTED_VALUE"""),"Offline")</f>
        <v>Offline</v>
      </c>
      <c r="P15" s="28">
        <f>IFERROR(__xludf.DUMMYFUNCTION("""COMPUTED_VALUE"""),1085.0)</f>
        <v>1085</v>
      </c>
      <c r="Q15" s="31">
        <f>IFERROR(__xludf.DUMMYFUNCTION("""COMPUTED_VALUE"""),255.28)</f>
        <v>255.28</v>
      </c>
      <c r="R15" s="31">
        <f>IFERROR(__xludf.DUMMYFUNCTION("""COMPUTED_VALUE"""),159.42)</f>
        <v>159.42</v>
      </c>
      <c r="S15" s="31">
        <f>IFERROR(__xludf.DUMMYFUNCTION("""COMPUTED_VALUE"""),276978.8)</f>
        <v>276978.8</v>
      </c>
      <c r="T15" s="31">
        <f>IFERROR(__xludf.DUMMYFUNCTION("""COMPUTED_VALUE"""),172970.69999999998)</f>
        <v>172970.7</v>
      </c>
      <c r="U15" s="31">
        <f>IFERROR(__xludf.DUMMYFUNCTION("""COMPUTED_VALUE"""),104008.1)</f>
        <v>104008.1</v>
      </c>
      <c r="V15" s="27" t="str">
        <f>IFERROR(__xludf.DUMMYFUNCTION("""COMPUTED_VALUE"""),"Baby Food")</f>
        <v>Baby Food</v>
      </c>
      <c r="W15" s="27" t="str">
        <f>IFERROR(__xludf.DUMMYFUNCTION("""COMPUTED_VALUE"""),"Europe")</f>
        <v>Europe</v>
      </c>
      <c r="X15" s="27" t="str">
        <f>IFERROR(__xludf.DUMMYFUNCTION("""COMPUTED_VALUE"""),"Southern Europe")</f>
        <v>Southern Europe</v>
      </c>
      <c r="Y15" s="32">
        <f>IFERROR(__xludf.DUMMYFUNCTION("""COMPUTED_VALUE"""),0.37550924475086184)</f>
        <v>0.3755092448</v>
      </c>
      <c r="Z15" s="27">
        <f>IFERROR(__xludf.DUMMYFUNCTION("""COMPUTED_VALUE"""),50.0)</f>
        <v>50</v>
      </c>
      <c r="AA15" s="27">
        <f>IFERROR(__xludf.DUMMYFUNCTION("""COMPUTED_VALUE"""),7.0)</f>
        <v>7</v>
      </c>
    </row>
    <row r="16">
      <c r="A16" s="27">
        <f>IFERROR(__xludf.DUMMYFUNCTION("""COMPUTED_VALUE"""),1.81260526E8)</f>
        <v>181260526</v>
      </c>
      <c r="B16" s="33">
        <f>IFERROR(__xludf.DUMMYFUNCTION("""COMPUTED_VALUE"""),42799.0)</f>
        <v>42799</v>
      </c>
      <c r="C16" s="27">
        <f>IFERROR(__xludf.DUMMYFUNCTION("""COMPUTED_VALUE"""),5.0)</f>
        <v>5</v>
      </c>
      <c r="D16" s="28">
        <f>IFERROR(__xludf.DUMMYFUNCTION("""COMPUTED_VALUE"""),3.0)</f>
        <v>3</v>
      </c>
      <c r="E16" s="29">
        <f>IFERROR(__xludf.DUMMYFUNCTION("""COMPUTED_VALUE"""),2017.0)</f>
        <v>2017</v>
      </c>
      <c r="F16" s="30">
        <f>IFERROR(__xludf.DUMMYFUNCTION("""COMPUTED_VALUE"""),42858.0)</f>
        <v>42858</v>
      </c>
      <c r="G16" s="33">
        <f>IFERROR(__xludf.DUMMYFUNCTION("""COMPUTED_VALUE"""),42800.0)</f>
        <v>42800</v>
      </c>
      <c r="H16" s="27">
        <f>IFERROR(__xludf.DUMMYFUNCTION("""COMPUTED_VALUE"""),6.0)</f>
        <v>6</v>
      </c>
      <c r="I16" s="27">
        <f>IFERROR(__xludf.DUMMYFUNCTION("""COMPUTED_VALUE"""),3.0)</f>
        <v>3</v>
      </c>
      <c r="J16" s="27">
        <f>IFERROR(__xludf.DUMMYFUNCTION("""COMPUTED_VALUE"""),2017.0)</f>
        <v>2017</v>
      </c>
      <c r="K16" s="30">
        <f>IFERROR(__xludf.DUMMYFUNCTION("""COMPUTED_VALUE"""),42889.0)</f>
        <v>42889</v>
      </c>
      <c r="L16" s="27" t="str">
        <f>IFERROR(__xludf.DUMMYFUNCTION("""COMPUTED_VALUE"""),"M")</f>
        <v>M</v>
      </c>
      <c r="M16" s="27" t="str">
        <f>IFERROR(__xludf.DUMMYFUNCTION("""COMPUTED_VALUE"""),"UKR")</f>
        <v>UKR</v>
      </c>
      <c r="N16" s="27">
        <f>IFERROR(__xludf.DUMMYFUNCTION("""COMPUTED_VALUE"""),8681.0)</f>
        <v>8681</v>
      </c>
      <c r="O16" s="27" t="str">
        <f>IFERROR(__xludf.DUMMYFUNCTION("""COMPUTED_VALUE"""),"Offline")</f>
        <v>Offline</v>
      </c>
      <c r="P16" s="28">
        <f>IFERROR(__xludf.DUMMYFUNCTION("""COMPUTED_VALUE"""),7872.0)</f>
        <v>7872</v>
      </c>
      <c r="Q16" s="31">
        <f>IFERROR(__xludf.DUMMYFUNCTION("""COMPUTED_VALUE"""),651.21)</f>
        <v>651.21</v>
      </c>
      <c r="R16" s="31">
        <f>IFERROR(__xludf.DUMMYFUNCTION("""COMPUTED_VALUE"""),524.96)</f>
        <v>524.96</v>
      </c>
      <c r="S16" s="31">
        <f>IFERROR(__xludf.DUMMYFUNCTION("""COMPUTED_VALUE"""),5126325.12)</f>
        <v>5126325.12</v>
      </c>
      <c r="T16" s="31">
        <f>IFERROR(__xludf.DUMMYFUNCTION("""COMPUTED_VALUE"""),4132485.12)</f>
        <v>4132485.12</v>
      </c>
      <c r="U16" s="31">
        <f>IFERROR(__xludf.DUMMYFUNCTION("""COMPUTED_VALUE"""),993840.0)</f>
        <v>993840</v>
      </c>
      <c r="V16" s="27" t="str">
        <f>IFERROR(__xludf.DUMMYFUNCTION("""COMPUTED_VALUE"""),"Office Supplies")</f>
        <v>Office Supplies</v>
      </c>
      <c r="W16" s="27" t="str">
        <f>IFERROR(__xludf.DUMMYFUNCTION("""COMPUTED_VALUE"""),"Europe")</f>
        <v>Europe</v>
      </c>
      <c r="X16" s="27" t="str">
        <f>IFERROR(__xludf.DUMMYFUNCTION("""COMPUTED_VALUE"""),"Eastern Europe")</f>
        <v>Eastern Europe</v>
      </c>
      <c r="Y16" s="32">
        <f>IFERROR(__xludf.DUMMYFUNCTION("""COMPUTED_VALUE"""),0.19386987300563566)</f>
        <v>0.193869873</v>
      </c>
      <c r="Z16" s="27">
        <f>IFERROR(__xludf.DUMMYFUNCTION("""COMPUTED_VALUE"""),31.0)</f>
        <v>31</v>
      </c>
      <c r="AA16" s="27">
        <f>IFERROR(__xludf.DUMMYFUNCTION("""COMPUTED_VALUE"""),4.0)</f>
        <v>4</v>
      </c>
    </row>
    <row r="17">
      <c r="A17" s="27">
        <f>IFERROR(__xludf.DUMMYFUNCTION("""COMPUTED_VALUE"""),1.86847674E8)</f>
        <v>186847674</v>
      </c>
      <c r="B17" s="27" t="str">
        <f>IFERROR(__xludf.DUMMYFUNCTION("""COMPUTED_VALUE"""),"4/16/2017")</f>
        <v>4/16/2017</v>
      </c>
      <c r="C17" s="27">
        <f>IFERROR(__xludf.DUMMYFUNCTION("""COMPUTED_VALUE"""),4.0)</f>
        <v>4</v>
      </c>
      <c r="D17" s="28">
        <f>IFERROR(__xludf.DUMMYFUNCTION("""COMPUTED_VALUE"""),16.0)</f>
        <v>16</v>
      </c>
      <c r="E17" s="29">
        <f>IFERROR(__xludf.DUMMYFUNCTION("""COMPUTED_VALUE"""),2017.0)</f>
        <v>2017</v>
      </c>
      <c r="F17" s="30">
        <f>IFERROR(__xludf.DUMMYFUNCTION("""COMPUTED_VALUE"""),42841.0)</f>
        <v>42841</v>
      </c>
      <c r="G17" s="27" t="str">
        <f>IFERROR(__xludf.DUMMYFUNCTION("""COMPUTED_VALUE"""),"4/23/2017")</f>
        <v>4/23/2017</v>
      </c>
      <c r="H17" s="27">
        <f>IFERROR(__xludf.DUMMYFUNCTION("""COMPUTED_VALUE"""),4.0)</f>
        <v>4</v>
      </c>
      <c r="I17" s="27">
        <f>IFERROR(__xludf.DUMMYFUNCTION("""COMPUTED_VALUE"""),23.0)</f>
        <v>23</v>
      </c>
      <c r="J17" s="27">
        <f>IFERROR(__xludf.DUMMYFUNCTION("""COMPUTED_VALUE"""),2017.0)</f>
        <v>2017</v>
      </c>
      <c r="K17" s="30">
        <f>IFERROR(__xludf.DUMMYFUNCTION("""COMPUTED_VALUE"""),42848.0)</f>
        <v>42848</v>
      </c>
      <c r="L17" s="27" t="str">
        <f>IFERROR(__xludf.DUMMYFUNCTION("""COMPUTED_VALUE"""),"M")</f>
        <v>M</v>
      </c>
      <c r="M17" s="27" t="str">
        <f>IFERROR(__xludf.DUMMYFUNCTION("""COMPUTED_VALUE"""),"ISL")</f>
        <v>ISL</v>
      </c>
      <c r="N17" s="27">
        <f>IFERROR(__xludf.DUMMYFUNCTION("""COMPUTED_VALUE"""),8293.0)</f>
        <v>8293</v>
      </c>
      <c r="O17" s="27" t="str">
        <f>IFERROR(__xludf.DUMMYFUNCTION("""COMPUTED_VALUE"""),"Online")</f>
        <v>Online</v>
      </c>
      <c r="P17" s="28">
        <f>IFERROR(__xludf.DUMMYFUNCTION("""COMPUTED_VALUE"""),1234.0)</f>
        <v>1234</v>
      </c>
      <c r="Q17" s="31">
        <f>IFERROR(__xludf.DUMMYFUNCTION("""COMPUTED_VALUE"""),437.2)</f>
        <v>437.2</v>
      </c>
      <c r="R17" s="31">
        <f>IFERROR(__xludf.DUMMYFUNCTION("""COMPUTED_VALUE"""),263.33)</f>
        <v>263.33</v>
      </c>
      <c r="S17" s="31">
        <f>IFERROR(__xludf.DUMMYFUNCTION("""COMPUTED_VALUE"""),539504.7999999999)</f>
        <v>539504.8</v>
      </c>
      <c r="T17" s="31">
        <f>IFERROR(__xludf.DUMMYFUNCTION("""COMPUTED_VALUE"""),324949.22)</f>
        <v>324949.22</v>
      </c>
      <c r="U17" s="31">
        <f>IFERROR(__xludf.DUMMYFUNCTION("""COMPUTED_VALUE"""),214555.57999999996)</f>
        <v>214555.58</v>
      </c>
      <c r="V17" s="27" t="str">
        <f>IFERROR(__xludf.DUMMYFUNCTION("""COMPUTED_VALUE"""),"Cosmetics")</f>
        <v>Cosmetics</v>
      </c>
      <c r="W17" s="27" t="str">
        <f>IFERROR(__xludf.DUMMYFUNCTION("""COMPUTED_VALUE"""),"Europe")</f>
        <v>Europe</v>
      </c>
      <c r="X17" s="27" t="str">
        <f>IFERROR(__xludf.DUMMYFUNCTION("""COMPUTED_VALUE"""),"Northern Europe")</f>
        <v>Northern Europe</v>
      </c>
      <c r="Y17" s="32">
        <f>IFERROR(__xludf.DUMMYFUNCTION("""COMPUTED_VALUE"""),0.39768984446477584)</f>
        <v>0.3976898445</v>
      </c>
      <c r="Z17" s="27">
        <f>IFERROR(__xludf.DUMMYFUNCTION("""COMPUTED_VALUE"""),7.0)</f>
        <v>7</v>
      </c>
      <c r="AA17" s="27">
        <f>IFERROR(__xludf.DUMMYFUNCTION("""COMPUTED_VALUE"""),1.0)</f>
        <v>1</v>
      </c>
    </row>
    <row r="18">
      <c r="A18" s="27">
        <f>IFERROR(__xludf.DUMMYFUNCTION("""COMPUTED_VALUE"""),1.9000281E8)</f>
        <v>190002810</v>
      </c>
      <c r="B18" s="27" t="str">
        <f>IFERROR(__xludf.DUMMYFUNCTION("""COMPUTED_VALUE"""),"6/20/2017")</f>
        <v>6/20/2017</v>
      </c>
      <c r="C18" s="27">
        <f>IFERROR(__xludf.DUMMYFUNCTION("""COMPUTED_VALUE"""),6.0)</f>
        <v>6</v>
      </c>
      <c r="D18" s="28">
        <f>IFERROR(__xludf.DUMMYFUNCTION("""COMPUTED_VALUE"""),20.0)</f>
        <v>20</v>
      </c>
      <c r="E18" s="29">
        <f>IFERROR(__xludf.DUMMYFUNCTION("""COMPUTED_VALUE"""),2017.0)</f>
        <v>2017</v>
      </c>
      <c r="F18" s="30">
        <f>IFERROR(__xludf.DUMMYFUNCTION("""COMPUTED_VALUE"""),42906.0)</f>
        <v>42906</v>
      </c>
      <c r="G18" s="33">
        <f>IFERROR(__xludf.DUMMYFUNCTION("""COMPUTED_VALUE"""),42863.0)</f>
        <v>42863</v>
      </c>
      <c r="H18" s="27">
        <f>IFERROR(__xludf.DUMMYFUNCTION("""COMPUTED_VALUE"""),8.0)</f>
        <v>8</v>
      </c>
      <c r="I18" s="27">
        <f>IFERROR(__xludf.DUMMYFUNCTION("""COMPUTED_VALUE"""),5.0)</f>
        <v>5</v>
      </c>
      <c r="J18" s="27">
        <f>IFERROR(__xludf.DUMMYFUNCTION("""COMPUTED_VALUE"""),2017.0)</f>
        <v>2017</v>
      </c>
      <c r="K18" s="30">
        <f>IFERROR(__xludf.DUMMYFUNCTION("""COMPUTED_VALUE"""),42952.0)</f>
        <v>42952</v>
      </c>
      <c r="L18" s="27" t="str">
        <f>IFERROR(__xludf.DUMMYFUNCTION("""COMPUTED_VALUE"""),"C")</f>
        <v>C</v>
      </c>
      <c r="M18" s="27" t="str">
        <f>IFERROR(__xludf.DUMMYFUNCTION("""COMPUTED_VALUE"""),"AND")</f>
        <v>AND</v>
      </c>
      <c r="N18" s="27">
        <f>IFERROR(__xludf.DUMMYFUNCTION("""COMPUTED_VALUE"""),2455.0)</f>
        <v>2455</v>
      </c>
      <c r="O18" s="27" t="str">
        <f>IFERROR(__xludf.DUMMYFUNCTION("""COMPUTED_VALUE"""),"Online")</f>
        <v>Online</v>
      </c>
      <c r="P18" s="28">
        <f>IFERROR(__xludf.DUMMYFUNCTION("""COMPUTED_VALUE"""),4909.0)</f>
        <v>4909</v>
      </c>
      <c r="Q18" s="31">
        <f>IFERROR(__xludf.DUMMYFUNCTION("""COMPUTED_VALUE"""),109.28)</f>
        <v>109.28</v>
      </c>
      <c r="R18" s="31">
        <f>IFERROR(__xludf.DUMMYFUNCTION("""COMPUTED_VALUE"""),35.84)</f>
        <v>35.84</v>
      </c>
      <c r="S18" s="31">
        <f>IFERROR(__xludf.DUMMYFUNCTION("""COMPUTED_VALUE"""),536455.52)</f>
        <v>536455.52</v>
      </c>
      <c r="T18" s="31">
        <f>IFERROR(__xludf.DUMMYFUNCTION("""COMPUTED_VALUE"""),175938.56000000003)</f>
        <v>175938.56</v>
      </c>
      <c r="U18" s="31">
        <f>IFERROR(__xludf.DUMMYFUNCTION("""COMPUTED_VALUE"""),360516.95999999996)</f>
        <v>360516.96</v>
      </c>
      <c r="V18" s="27" t="str">
        <f>IFERROR(__xludf.DUMMYFUNCTION("""COMPUTED_VALUE"""),"Clothes")</f>
        <v>Clothes</v>
      </c>
      <c r="W18" s="27" t="str">
        <f>IFERROR(__xludf.DUMMYFUNCTION("""COMPUTED_VALUE"""),"Europe")</f>
        <v>Europe</v>
      </c>
      <c r="X18" s="27" t="str">
        <f>IFERROR(__xludf.DUMMYFUNCTION("""COMPUTED_VALUE"""),"Southern Europe")</f>
        <v>Southern Europe</v>
      </c>
      <c r="Y18" s="32">
        <f>IFERROR(__xludf.DUMMYFUNCTION("""COMPUTED_VALUE"""),0.67203513909224)</f>
        <v>0.6720351391</v>
      </c>
      <c r="Z18" s="27">
        <f>IFERROR(__xludf.DUMMYFUNCTION("""COMPUTED_VALUE"""),46.0)</f>
        <v>46</v>
      </c>
      <c r="AA18" s="27">
        <f>IFERROR(__xludf.DUMMYFUNCTION("""COMPUTED_VALUE"""),3.0)</f>
        <v>3</v>
      </c>
    </row>
    <row r="19">
      <c r="A19" s="27">
        <f>IFERROR(__xludf.DUMMYFUNCTION("""COMPUTED_VALUE"""),1.92236125E8)</f>
        <v>192236125</v>
      </c>
      <c r="B19" s="33">
        <f>IFERROR(__xludf.DUMMYFUNCTION("""COMPUTED_VALUE"""),43042.0)</f>
        <v>43042</v>
      </c>
      <c r="C19" s="27">
        <f>IFERROR(__xludf.DUMMYFUNCTION("""COMPUTED_VALUE"""),3.0)</f>
        <v>3</v>
      </c>
      <c r="D19" s="28">
        <f>IFERROR(__xludf.DUMMYFUNCTION("""COMPUTED_VALUE"""),11.0)</f>
        <v>11</v>
      </c>
      <c r="E19" s="29">
        <f>IFERROR(__xludf.DUMMYFUNCTION("""COMPUTED_VALUE"""),2017.0)</f>
        <v>2017</v>
      </c>
      <c r="F19" s="30">
        <f>IFERROR(__xludf.DUMMYFUNCTION("""COMPUTED_VALUE"""),42805.0)</f>
        <v>42805</v>
      </c>
      <c r="G19" s="27" t="str">
        <f>IFERROR(__xludf.DUMMYFUNCTION("""COMPUTED_VALUE"""),"3/22/2017")</f>
        <v>3/22/2017</v>
      </c>
      <c r="H19" s="27">
        <f>IFERROR(__xludf.DUMMYFUNCTION("""COMPUTED_VALUE"""),3.0)</f>
        <v>3</v>
      </c>
      <c r="I19" s="27">
        <f>IFERROR(__xludf.DUMMYFUNCTION("""COMPUTED_VALUE"""),22.0)</f>
        <v>22</v>
      </c>
      <c r="J19" s="27">
        <f>IFERROR(__xludf.DUMMYFUNCTION("""COMPUTED_VALUE"""),2017.0)</f>
        <v>2017</v>
      </c>
      <c r="K19" s="30">
        <f>IFERROR(__xludf.DUMMYFUNCTION("""COMPUTED_VALUE"""),42816.0)</f>
        <v>42816</v>
      </c>
      <c r="L19" s="27" t="str">
        <f>IFERROR(__xludf.DUMMYFUNCTION("""COMPUTED_VALUE"""),"H")</f>
        <v>H</v>
      </c>
      <c r="M19" s="27" t="str">
        <f>IFERROR(__xludf.DUMMYFUNCTION("""COMPUTED_VALUE"""),"HRV")</f>
        <v>HRV</v>
      </c>
      <c r="N19" s="27">
        <f>IFERROR(__xludf.DUMMYFUNCTION("""COMPUTED_VALUE"""),1270.0)</f>
        <v>1270</v>
      </c>
      <c r="O19" s="27" t="str">
        <f>IFERROR(__xludf.DUMMYFUNCTION("""COMPUTED_VALUE"""),"Offline")</f>
        <v>Offline</v>
      </c>
      <c r="P19" s="28">
        <f>IFERROR(__xludf.DUMMYFUNCTION("""COMPUTED_VALUE"""),5796.0)</f>
        <v>5796</v>
      </c>
      <c r="Q19" s="31">
        <f>IFERROR(__xludf.DUMMYFUNCTION("""COMPUTED_VALUE"""),47.45)</f>
        <v>47.45</v>
      </c>
      <c r="R19" s="31">
        <f>IFERROR(__xludf.DUMMYFUNCTION("""COMPUTED_VALUE"""),31.79)</f>
        <v>31.79</v>
      </c>
      <c r="S19" s="31">
        <f>IFERROR(__xludf.DUMMYFUNCTION("""COMPUTED_VALUE"""),275020.2)</f>
        <v>275020.2</v>
      </c>
      <c r="T19" s="31">
        <f>IFERROR(__xludf.DUMMYFUNCTION("""COMPUTED_VALUE"""),184254.84)</f>
        <v>184254.84</v>
      </c>
      <c r="U19" s="31">
        <f>IFERROR(__xludf.DUMMYFUNCTION("""COMPUTED_VALUE"""),90765.36000000002)</f>
        <v>90765.36</v>
      </c>
      <c r="V19" s="27" t="str">
        <f>IFERROR(__xludf.DUMMYFUNCTION("""COMPUTED_VALUE"""),"Beverages")</f>
        <v>Beverages</v>
      </c>
      <c r="W19" s="27" t="str">
        <f>IFERROR(__xludf.DUMMYFUNCTION("""COMPUTED_VALUE"""),"Europe")</f>
        <v>Europe</v>
      </c>
      <c r="X19" s="27" t="str">
        <f>IFERROR(__xludf.DUMMYFUNCTION("""COMPUTED_VALUE"""),"Southern Europe")</f>
        <v>Southern Europe</v>
      </c>
      <c r="Y19" s="32">
        <f>IFERROR(__xludf.DUMMYFUNCTION("""COMPUTED_VALUE"""),0.3300316122233931)</f>
        <v>0.3300316122</v>
      </c>
      <c r="Z19" s="27">
        <f>IFERROR(__xludf.DUMMYFUNCTION("""COMPUTED_VALUE"""),11.0)</f>
        <v>11</v>
      </c>
      <c r="AA19" s="27">
        <f>IFERROR(__xludf.DUMMYFUNCTION("""COMPUTED_VALUE"""),7.0)</f>
        <v>7</v>
      </c>
    </row>
    <row r="20">
      <c r="A20" s="27">
        <f>IFERROR(__xludf.DUMMYFUNCTION("""COMPUTED_VALUE"""),1.94176757E8)</f>
        <v>194176757</v>
      </c>
      <c r="B20" s="33">
        <f>IFERROR(__xludf.DUMMYFUNCTION("""COMPUTED_VALUE"""),43015.0)</f>
        <v>43015</v>
      </c>
      <c r="C20" s="27">
        <f>IFERROR(__xludf.DUMMYFUNCTION("""COMPUTED_VALUE"""),7.0)</f>
        <v>7</v>
      </c>
      <c r="D20" s="28">
        <f>IFERROR(__xludf.DUMMYFUNCTION("""COMPUTED_VALUE"""),10.0)</f>
        <v>10</v>
      </c>
      <c r="E20" s="29">
        <f>IFERROR(__xludf.DUMMYFUNCTION("""COMPUTED_VALUE"""),2017.0)</f>
        <v>2017</v>
      </c>
      <c r="F20" s="30">
        <f>IFERROR(__xludf.DUMMYFUNCTION("""COMPUTED_VALUE"""),42926.0)</f>
        <v>42926</v>
      </c>
      <c r="G20" s="27" t="str">
        <f>IFERROR(__xludf.DUMMYFUNCTION("""COMPUTED_VALUE"""),"8/20/2017")</f>
        <v>8/20/2017</v>
      </c>
      <c r="H20" s="27">
        <f>IFERROR(__xludf.DUMMYFUNCTION("""COMPUTED_VALUE"""),8.0)</f>
        <v>8</v>
      </c>
      <c r="I20" s="27">
        <f>IFERROR(__xludf.DUMMYFUNCTION("""COMPUTED_VALUE"""),20.0)</f>
        <v>20</v>
      </c>
      <c r="J20" s="27">
        <f>IFERROR(__xludf.DUMMYFUNCTION("""COMPUTED_VALUE"""),2017.0)</f>
        <v>2017</v>
      </c>
      <c r="K20" s="30">
        <f>IFERROR(__xludf.DUMMYFUNCTION("""COMPUTED_VALUE"""),42967.0)</f>
        <v>42967</v>
      </c>
      <c r="L20" s="27" t="str">
        <f>IFERROR(__xludf.DUMMYFUNCTION("""COMPUTED_VALUE"""),"M")</f>
        <v>M</v>
      </c>
      <c r="M20" s="27" t="str">
        <f>IFERROR(__xludf.DUMMYFUNCTION("""COMPUTED_VALUE"""),"RUS")</f>
        <v>RUS</v>
      </c>
      <c r="N20" s="27">
        <f>IFERROR(__xludf.DUMMYFUNCTION("""COMPUTED_VALUE"""),7940.0)</f>
        <v>7940</v>
      </c>
      <c r="O20" s="27" t="str">
        <f>IFERROR(__xludf.DUMMYFUNCTION("""COMPUTED_VALUE"""),"Online")</f>
        <v>Online</v>
      </c>
      <c r="P20" s="28">
        <f>IFERROR(__xludf.DUMMYFUNCTION("""COMPUTED_VALUE"""),72.0)</f>
        <v>72</v>
      </c>
      <c r="Q20" s="31">
        <f>IFERROR(__xludf.DUMMYFUNCTION("""COMPUTED_VALUE"""),668.27)</f>
        <v>668.27</v>
      </c>
      <c r="R20" s="31">
        <f>IFERROR(__xludf.DUMMYFUNCTION("""COMPUTED_VALUE"""),502.54)</f>
        <v>502.54</v>
      </c>
      <c r="S20" s="31">
        <f>IFERROR(__xludf.DUMMYFUNCTION("""COMPUTED_VALUE"""),48115.44)</f>
        <v>48115.44</v>
      </c>
      <c r="T20" s="31">
        <f>IFERROR(__xludf.DUMMYFUNCTION("""COMPUTED_VALUE"""),36182.880000000005)</f>
        <v>36182.88</v>
      </c>
      <c r="U20" s="31">
        <f>IFERROR(__xludf.DUMMYFUNCTION("""COMPUTED_VALUE"""),11932.559999999998)</f>
        <v>11932.56</v>
      </c>
      <c r="V20" s="27" t="str">
        <f>IFERROR(__xludf.DUMMYFUNCTION("""COMPUTED_VALUE"""),"Household")</f>
        <v>Household</v>
      </c>
      <c r="W20" s="27" t="str">
        <f>IFERROR(__xludf.DUMMYFUNCTION("""COMPUTED_VALUE"""),"Europe")</f>
        <v>Europe</v>
      </c>
      <c r="X20" s="27" t="str">
        <f>IFERROR(__xludf.DUMMYFUNCTION("""COMPUTED_VALUE"""),"Eastern Europe")</f>
        <v>Eastern Europe</v>
      </c>
      <c r="Y20" s="32">
        <f>IFERROR(__xludf.DUMMYFUNCTION("""COMPUTED_VALUE"""),0.24799856345489094)</f>
        <v>0.2479985635</v>
      </c>
      <c r="Z20" s="27">
        <f>IFERROR(__xludf.DUMMYFUNCTION("""COMPUTED_VALUE"""),41.0)</f>
        <v>41</v>
      </c>
      <c r="AA20" s="27">
        <f>IFERROR(__xludf.DUMMYFUNCTION("""COMPUTED_VALUE"""),2.0)</f>
        <v>2</v>
      </c>
    </row>
    <row r="21">
      <c r="A21" s="27">
        <f>IFERROR(__xludf.DUMMYFUNCTION("""COMPUTED_VALUE"""),2.15584218E8)</f>
        <v>215584218</v>
      </c>
      <c r="B21" s="33">
        <f>IFERROR(__xludf.DUMMYFUNCTION("""COMPUTED_VALUE"""),42922.0)</f>
        <v>42922</v>
      </c>
      <c r="C21" s="27">
        <f>IFERROR(__xludf.DUMMYFUNCTION("""COMPUTED_VALUE"""),6.0)</f>
        <v>6</v>
      </c>
      <c r="D21" s="28">
        <f>IFERROR(__xludf.DUMMYFUNCTION("""COMPUTED_VALUE"""),7.0)</f>
        <v>7</v>
      </c>
      <c r="E21" s="29">
        <f>IFERROR(__xludf.DUMMYFUNCTION("""COMPUTED_VALUE"""),2017.0)</f>
        <v>2017</v>
      </c>
      <c r="F21" s="30">
        <f>IFERROR(__xludf.DUMMYFUNCTION("""COMPUTED_VALUE"""),42893.0)</f>
        <v>42893</v>
      </c>
      <c r="G21" s="27" t="str">
        <f>IFERROR(__xludf.DUMMYFUNCTION("""COMPUTED_VALUE"""),"6/21/2017")</f>
        <v>6/21/2017</v>
      </c>
      <c r="H21" s="27">
        <f>IFERROR(__xludf.DUMMYFUNCTION("""COMPUTED_VALUE"""),6.0)</f>
        <v>6</v>
      </c>
      <c r="I21" s="27">
        <f>IFERROR(__xludf.DUMMYFUNCTION("""COMPUTED_VALUE"""),21.0)</f>
        <v>21</v>
      </c>
      <c r="J21" s="27">
        <f>IFERROR(__xludf.DUMMYFUNCTION("""COMPUTED_VALUE"""),2017.0)</f>
        <v>2017</v>
      </c>
      <c r="K21" s="30">
        <f>IFERROR(__xludf.DUMMYFUNCTION("""COMPUTED_VALUE"""),42907.0)</f>
        <v>42907</v>
      </c>
      <c r="L21" s="27" t="str">
        <f>IFERROR(__xludf.DUMMYFUNCTION("""COMPUTED_VALUE"""),"M")</f>
        <v>M</v>
      </c>
      <c r="M21" s="27" t="str">
        <f>IFERROR(__xludf.DUMMYFUNCTION("""COMPUTED_VALUE"""),"BLR")</f>
        <v>BLR</v>
      </c>
      <c r="N21" s="27">
        <f>IFERROR(__xludf.DUMMYFUNCTION("""COMPUTED_VALUE"""),5988.0)</f>
        <v>5988</v>
      </c>
      <c r="O21" s="27" t="str">
        <f>IFERROR(__xludf.DUMMYFUNCTION("""COMPUTED_VALUE"""),"Offline")</f>
        <v>Offline</v>
      </c>
      <c r="P21" s="28">
        <f>IFERROR(__xludf.DUMMYFUNCTION("""COMPUTED_VALUE"""),5016.0)</f>
        <v>5016</v>
      </c>
      <c r="Q21" s="31">
        <f>IFERROR(__xludf.DUMMYFUNCTION("""COMPUTED_VALUE"""),154.06)</f>
        <v>154.06</v>
      </c>
      <c r="R21" s="31">
        <f>IFERROR(__xludf.DUMMYFUNCTION("""COMPUTED_VALUE"""),90.93)</f>
        <v>90.93</v>
      </c>
      <c r="S21" s="31">
        <f>IFERROR(__xludf.DUMMYFUNCTION("""COMPUTED_VALUE"""),772764.96)</f>
        <v>772764.96</v>
      </c>
      <c r="T21" s="31">
        <f>IFERROR(__xludf.DUMMYFUNCTION("""COMPUTED_VALUE"""),456104.88000000006)</f>
        <v>456104.88</v>
      </c>
      <c r="U21" s="31">
        <f>IFERROR(__xludf.DUMMYFUNCTION("""COMPUTED_VALUE"""),316660.0799999999)</f>
        <v>316660.08</v>
      </c>
      <c r="V21" s="27" t="str">
        <f>IFERROR(__xludf.DUMMYFUNCTION("""COMPUTED_VALUE"""),"Vegetables")</f>
        <v>Vegetables</v>
      </c>
      <c r="W21" s="27" t="str">
        <f>IFERROR(__xludf.DUMMYFUNCTION("""COMPUTED_VALUE"""),"Europe")</f>
        <v>Europe</v>
      </c>
      <c r="X21" s="27" t="str">
        <f>IFERROR(__xludf.DUMMYFUNCTION("""COMPUTED_VALUE"""),"Eastern Europe")</f>
        <v>Eastern Europe</v>
      </c>
      <c r="Y21" s="32">
        <f>IFERROR(__xludf.DUMMYFUNCTION("""COMPUTED_VALUE"""),0.40977541217707375)</f>
        <v>0.4097754122</v>
      </c>
      <c r="Z21" s="27">
        <f>IFERROR(__xludf.DUMMYFUNCTION("""COMPUTED_VALUE"""),14.0)</f>
        <v>14</v>
      </c>
      <c r="AA21" s="27">
        <f>IFERROR(__xludf.DUMMYFUNCTION("""COMPUTED_VALUE"""),4.0)</f>
        <v>4</v>
      </c>
    </row>
    <row r="22">
      <c r="A22" s="27">
        <f>IFERROR(__xludf.DUMMYFUNCTION("""COMPUTED_VALUE"""),2.32196319E8)</f>
        <v>232196319</v>
      </c>
      <c r="B22" s="33">
        <f>IFERROR(__xludf.DUMMYFUNCTION("""COMPUTED_VALUE"""),42923.0)</f>
        <v>42923</v>
      </c>
      <c r="C22" s="27">
        <f>IFERROR(__xludf.DUMMYFUNCTION("""COMPUTED_VALUE"""),7.0)</f>
        <v>7</v>
      </c>
      <c r="D22" s="28">
        <f>IFERROR(__xludf.DUMMYFUNCTION("""COMPUTED_VALUE"""),7.0)</f>
        <v>7</v>
      </c>
      <c r="E22" s="29">
        <f>IFERROR(__xludf.DUMMYFUNCTION("""COMPUTED_VALUE"""),2017.0)</f>
        <v>2017</v>
      </c>
      <c r="F22" s="30">
        <f>IFERROR(__xludf.DUMMYFUNCTION("""COMPUTED_VALUE"""),42923.0)</f>
        <v>42923</v>
      </c>
      <c r="G22" s="33">
        <f>IFERROR(__xludf.DUMMYFUNCTION("""COMPUTED_VALUE"""),42833.0)</f>
        <v>42833</v>
      </c>
      <c r="H22" s="27">
        <f>IFERROR(__xludf.DUMMYFUNCTION("""COMPUTED_VALUE"""),8.0)</f>
        <v>8</v>
      </c>
      <c r="I22" s="27">
        <f>IFERROR(__xludf.DUMMYFUNCTION("""COMPUTED_VALUE"""),4.0)</f>
        <v>4</v>
      </c>
      <c r="J22" s="27">
        <f>IFERROR(__xludf.DUMMYFUNCTION("""COMPUTED_VALUE"""),2017.0)</f>
        <v>2017</v>
      </c>
      <c r="K22" s="30">
        <f>IFERROR(__xludf.DUMMYFUNCTION("""COMPUTED_VALUE"""),42951.0)</f>
        <v>42951</v>
      </c>
      <c r="L22" s="27" t="str">
        <f>IFERROR(__xludf.DUMMYFUNCTION("""COMPUTED_VALUE"""),"L")</f>
        <v>L</v>
      </c>
      <c r="M22" s="27" t="str">
        <f>IFERROR(__xludf.DUMMYFUNCTION("""COMPUTED_VALUE"""),"POL")</f>
        <v>POL</v>
      </c>
      <c r="N22" s="27">
        <f>IFERROR(__xludf.DUMMYFUNCTION("""COMPUTED_VALUE"""),7940.0)</f>
        <v>7940</v>
      </c>
      <c r="O22" s="27" t="str">
        <f>IFERROR(__xludf.DUMMYFUNCTION("""COMPUTED_VALUE"""),"Offline")</f>
        <v>Offline</v>
      </c>
      <c r="P22" s="28">
        <f>IFERROR(__xludf.DUMMYFUNCTION("""COMPUTED_VALUE"""),905.0)</f>
        <v>905</v>
      </c>
      <c r="Q22" s="31">
        <f>IFERROR(__xludf.DUMMYFUNCTION("""COMPUTED_VALUE"""),668.27)</f>
        <v>668.27</v>
      </c>
      <c r="R22" s="31">
        <f>IFERROR(__xludf.DUMMYFUNCTION("""COMPUTED_VALUE"""),502.54)</f>
        <v>502.54</v>
      </c>
      <c r="S22" s="31">
        <f>IFERROR(__xludf.DUMMYFUNCTION("""COMPUTED_VALUE"""),604784.35)</f>
        <v>604784.35</v>
      </c>
      <c r="T22" s="31">
        <f>IFERROR(__xludf.DUMMYFUNCTION("""COMPUTED_VALUE"""),454798.7)</f>
        <v>454798.7</v>
      </c>
      <c r="U22" s="31">
        <f>IFERROR(__xludf.DUMMYFUNCTION("""COMPUTED_VALUE"""),149985.64999999997)</f>
        <v>149985.65</v>
      </c>
      <c r="V22" s="27" t="str">
        <f>IFERROR(__xludf.DUMMYFUNCTION("""COMPUTED_VALUE"""),"Household")</f>
        <v>Household</v>
      </c>
      <c r="W22" s="27" t="str">
        <f>IFERROR(__xludf.DUMMYFUNCTION("""COMPUTED_VALUE"""),"Europe")</f>
        <v>Europe</v>
      </c>
      <c r="X22" s="27" t="str">
        <f>IFERROR(__xludf.DUMMYFUNCTION("""COMPUTED_VALUE"""),"Eastern Europe")</f>
        <v>Eastern Europe</v>
      </c>
      <c r="Y22" s="32">
        <f>IFERROR(__xludf.DUMMYFUNCTION("""COMPUTED_VALUE"""),0.24799856345489094)</f>
        <v>0.2479985635</v>
      </c>
      <c r="Z22" s="27">
        <f>IFERROR(__xludf.DUMMYFUNCTION("""COMPUTED_VALUE"""),28.0)</f>
        <v>28</v>
      </c>
      <c r="AA22" s="27">
        <f>IFERROR(__xludf.DUMMYFUNCTION("""COMPUTED_VALUE"""),6.0)</f>
        <v>6</v>
      </c>
    </row>
    <row r="23">
      <c r="A23" s="27">
        <f>IFERROR(__xludf.DUMMYFUNCTION("""COMPUTED_VALUE"""),2.33811223E8)</f>
        <v>233811223</v>
      </c>
      <c r="B23" s="27" t="str">
        <f>IFERROR(__xludf.DUMMYFUNCTION("""COMPUTED_VALUE"""),"7/20/2017")</f>
        <v>7/20/2017</v>
      </c>
      <c r="C23" s="27">
        <f>IFERROR(__xludf.DUMMYFUNCTION("""COMPUTED_VALUE"""),7.0)</f>
        <v>7</v>
      </c>
      <c r="D23" s="28">
        <f>IFERROR(__xludf.DUMMYFUNCTION("""COMPUTED_VALUE"""),20.0)</f>
        <v>20</v>
      </c>
      <c r="E23" s="29">
        <f>IFERROR(__xludf.DUMMYFUNCTION("""COMPUTED_VALUE"""),2017.0)</f>
        <v>2017</v>
      </c>
      <c r="F23" s="30">
        <f>IFERROR(__xludf.DUMMYFUNCTION("""COMPUTED_VALUE"""),42936.0)</f>
        <v>42936</v>
      </c>
      <c r="G23" s="27" t="str">
        <f>IFERROR(__xludf.DUMMYFUNCTION("""COMPUTED_VALUE"""),"7/20/2017")</f>
        <v>7/20/2017</v>
      </c>
      <c r="H23" s="27">
        <f>IFERROR(__xludf.DUMMYFUNCTION("""COMPUTED_VALUE"""),7.0)</f>
        <v>7</v>
      </c>
      <c r="I23" s="27">
        <f>IFERROR(__xludf.DUMMYFUNCTION("""COMPUTED_VALUE"""),20.0)</f>
        <v>20</v>
      </c>
      <c r="J23" s="27">
        <f>IFERROR(__xludf.DUMMYFUNCTION("""COMPUTED_VALUE"""),2017.0)</f>
        <v>2017</v>
      </c>
      <c r="K23" s="30">
        <f>IFERROR(__xludf.DUMMYFUNCTION("""COMPUTED_VALUE"""),42936.0)</f>
        <v>42936</v>
      </c>
      <c r="L23" s="27" t="str">
        <f>IFERROR(__xludf.DUMMYFUNCTION("""COMPUTED_VALUE"""),"C")</f>
        <v>C</v>
      </c>
      <c r="M23" s="27" t="str">
        <f>IFERROR(__xludf.DUMMYFUNCTION("""COMPUTED_VALUE"""),"CHE")</f>
        <v>CHE</v>
      </c>
      <c r="N23" s="27">
        <f>IFERROR(__xludf.DUMMYFUNCTION("""COMPUTED_VALUE"""),8293.0)</f>
        <v>8293</v>
      </c>
      <c r="O23" s="27" t="str">
        <f>IFERROR(__xludf.DUMMYFUNCTION("""COMPUTED_VALUE"""),"Online")</f>
        <v>Online</v>
      </c>
      <c r="P23" s="28">
        <f>IFERROR(__xludf.DUMMYFUNCTION("""COMPUTED_VALUE"""),8792.0)</f>
        <v>8792</v>
      </c>
      <c r="Q23" s="31">
        <f>IFERROR(__xludf.DUMMYFUNCTION("""COMPUTED_VALUE"""),437.2)</f>
        <v>437.2</v>
      </c>
      <c r="R23" s="31">
        <f>IFERROR(__xludf.DUMMYFUNCTION("""COMPUTED_VALUE"""),263.33)</f>
        <v>263.33</v>
      </c>
      <c r="S23" s="31">
        <f>IFERROR(__xludf.DUMMYFUNCTION("""COMPUTED_VALUE"""),3843862.4)</f>
        <v>3843862.4</v>
      </c>
      <c r="T23" s="31">
        <f>IFERROR(__xludf.DUMMYFUNCTION("""COMPUTED_VALUE"""),2315197.36)</f>
        <v>2315197.36</v>
      </c>
      <c r="U23" s="31">
        <f>IFERROR(__xludf.DUMMYFUNCTION("""COMPUTED_VALUE"""),1528665.04)</f>
        <v>1528665.04</v>
      </c>
      <c r="V23" s="27" t="str">
        <f>IFERROR(__xludf.DUMMYFUNCTION("""COMPUTED_VALUE"""),"Cosmetics")</f>
        <v>Cosmetics</v>
      </c>
      <c r="W23" s="27" t="str">
        <f>IFERROR(__xludf.DUMMYFUNCTION("""COMPUTED_VALUE"""),"Europe")</f>
        <v>Europe</v>
      </c>
      <c r="X23" s="27" t="str">
        <f>IFERROR(__xludf.DUMMYFUNCTION("""COMPUTED_VALUE"""),"Western Europe")</f>
        <v>Western Europe</v>
      </c>
      <c r="Y23" s="32">
        <f>IFERROR(__xludf.DUMMYFUNCTION("""COMPUTED_VALUE"""),0.39768984446477584)</f>
        <v>0.3976898445</v>
      </c>
      <c r="Z23" s="27">
        <f>IFERROR(__xludf.DUMMYFUNCTION("""COMPUTED_VALUE"""),0.0)</f>
        <v>0</v>
      </c>
      <c r="AA23" s="27">
        <f>IFERROR(__xludf.DUMMYFUNCTION("""COMPUTED_VALUE"""),5.0)</f>
        <v>5</v>
      </c>
    </row>
    <row r="24">
      <c r="A24" s="27">
        <f>IFERROR(__xludf.DUMMYFUNCTION("""COMPUTED_VALUE"""),2.39386355E8)</f>
        <v>239386355</v>
      </c>
      <c r="B24" s="33">
        <f>IFERROR(__xludf.DUMMYFUNCTION("""COMPUTED_VALUE"""),42828.0)</f>
        <v>42828</v>
      </c>
      <c r="C24" s="27">
        <f>IFERROR(__xludf.DUMMYFUNCTION("""COMPUTED_VALUE"""),3.0)</f>
        <v>3</v>
      </c>
      <c r="D24" s="28">
        <f>IFERROR(__xludf.DUMMYFUNCTION("""COMPUTED_VALUE"""),4.0)</f>
        <v>4</v>
      </c>
      <c r="E24" s="29">
        <f>IFERROR(__xludf.DUMMYFUNCTION("""COMPUTED_VALUE"""),2017.0)</f>
        <v>2017</v>
      </c>
      <c r="F24" s="30">
        <f>IFERROR(__xludf.DUMMYFUNCTION("""COMPUTED_VALUE"""),42798.0)</f>
        <v>42798</v>
      </c>
      <c r="G24" s="27" t="str">
        <f>IFERROR(__xludf.DUMMYFUNCTION("""COMPUTED_VALUE"""),"4/20/2017")</f>
        <v>4/20/2017</v>
      </c>
      <c r="H24" s="27">
        <f>IFERROR(__xludf.DUMMYFUNCTION("""COMPUTED_VALUE"""),4.0)</f>
        <v>4</v>
      </c>
      <c r="I24" s="27">
        <f>IFERROR(__xludf.DUMMYFUNCTION("""COMPUTED_VALUE"""),20.0)</f>
        <v>20</v>
      </c>
      <c r="J24" s="27">
        <f>IFERROR(__xludf.DUMMYFUNCTION("""COMPUTED_VALUE"""),2017.0)</f>
        <v>2017</v>
      </c>
      <c r="K24" s="30">
        <f>IFERROR(__xludf.DUMMYFUNCTION("""COMPUTED_VALUE"""),42845.0)</f>
        <v>42845</v>
      </c>
      <c r="L24" s="27" t="str">
        <f>IFERROR(__xludf.DUMMYFUNCTION("""COMPUTED_VALUE"""),"L")</f>
        <v>L</v>
      </c>
      <c r="M24" s="27" t="str">
        <f>IFERROR(__xludf.DUMMYFUNCTION("""COMPUTED_VALUE"""),"SMR")</f>
        <v>SMR</v>
      </c>
      <c r="N24" s="27">
        <f>IFERROR(__xludf.DUMMYFUNCTION("""COMPUTED_VALUE"""),8681.0)</f>
        <v>8681</v>
      </c>
      <c r="O24" s="27" t="str">
        <f>IFERROR(__xludf.DUMMYFUNCTION("""COMPUTED_VALUE"""),"Offline")</f>
        <v>Offline</v>
      </c>
      <c r="P24" s="28">
        <f>IFERROR(__xludf.DUMMYFUNCTION("""COMPUTED_VALUE"""),8597.0)</f>
        <v>8597</v>
      </c>
      <c r="Q24" s="31">
        <f>IFERROR(__xludf.DUMMYFUNCTION("""COMPUTED_VALUE"""),651.21)</f>
        <v>651.21</v>
      </c>
      <c r="R24" s="31">
        <f>IFERROR(__xludf.DUMMYFUNCTION("""COMPUTED_VALUE"""),524.96)</f>
        <v>524.96</v>
      </c>
      <c r="S24" s="31">
        <f>IFERROR(__xludf.DUMMYFUNCTION("""COMPUTED_VALUE"""),5598452.37)</f>
        <v>5598452.37</v>
      </c>
      <c r="T24" s="31">
        <f>IFERROR(__xludf.DUMMYFUNCTION("""COMPUTED_VALUE"""),4513081.12)</f>
        <v>4513081.12</v>
      </c>
      <c r="U24" s="31">
        <f>IFERROR(__xludf.DUMMYFUNCTION("""COMPUTED_VALUE"""),1085371.25)</f>
        <v>1085371.25</v>
      </c>
      <c r="V24" s="27" t="str">
        <f>IFERROR(__xludf.DUMMYFUNCTION("""COMPUTED_VALUE"""),"Office Supplies")</f>
        <v>Office Supplies</v>
      </c>
      <c r="W24" s="27" t="str">
        <f>IFERROR(__xludf.DUMMYFUNCTION("""COMPUTED_VALUE"""),"Europe")</f>
        <v>Europe</v>
      </c>
      <c r="X24" s="27" t="str">
        <f>IFERROR(__xludf.DUMMYFUNCTION("""COMPUTED_VALUE"""),"Southern Europe")</f>
        <v>Southern Europe</v>
      </c>
      <c r="Y24" s="32">
        <f>IFERROR(__xludf.DUMMYFUNCTION("""COMPUTED_VALUE"""),0.19386987300563566)</f>
        <v>0.193869873</v>
      </c>
      <c r="Z24" s="27">
        <f>IFERROR(__xludf.DUMMYFUNCTION("""COMPUTED_VALUE"""),47.0)</f>
        <v>47</v>
      </c>
      <c r="AA24" s="27">
        <f>IFERROR(__xludf.DUMMYFUNCTION("""COMPUTED_VALUE"""),7.0)</f>
        <v>7</v>
      </c>
    </row>
    <row r="25">
      <c r="A25" s="27">
        <f>IFERROR(__xludf.DUMMYFUNCTION("""COMPUTED_VALUE"""),2.41392648E8)</f>
        <v>241392648</v>
      </c>
      <c r="B25" s="27" t="str">
        <f>IFERROR(__xludf.DUMMYFUNCTION("""COMPUTED_VALUE"""),"2/22/2017")</f>
        <v>2/22/2017</v>
      </c>
      <c r="C25" s="27">
        <f>IFERROR(__xludf.DUMMYFUNCTION("""COMPUTED_VALUE"""),2.0)</f>
        <v>2</v>
      </c>
      <c r="D25" s="28">
        <f>IFERROR(__xludf.DUMMYFUNCTION("""COMPUTED_VALUE"""),22.0)</f>
        <v>22</v>
      </c>
      <c r="E25" s="29">
        <f>IFERROR(__xludf.DUMMYFUNCTION("""COMPUTED_VALUE"""),2017.0)</f>
        <v>2017</v>
      </c>
      <c r="F25" s="30">
        <f>IFERROR(__xludf.DUMMYFUNCTION("""COMPUTED_VALUE"""),42788.0)</f>
        <v>42788</v>
      </c>
      <c r="G25" s="27" t="str">
        <f>IFERROR(__xludf.DUMMYFUNCTION("""COMPUTED_VALUE"""),"3/16/2017")</f>
        <v>3/16/2017</v>
      </c>
      <c r="H25" s="27">
        <f>IFERROR(__xludf.DUMMYFUNCTION("""COMPUTED_VALUE"""),3.0)</f>
        <v>3</v>
      </c>
      <c r="I25" s="27">
        <f>IFERROR(__xludf.DUMMYFUNCTION("""COMPUTED_VALUE"""),16.0)</f>
        <v>16</v>
      </c>
      <c r="J25" s="27">
        <f>IFERROR(__xludf.DUMMYFUNCTION("""COMPUTED_VALUE"""),2017.0)</f>
        <v>2017</v>
      </c>
      <c r="K25" s="30">
        <f>IFERROR(__xludf.DUMMYFUNCTION("""COMPUTED_VALUE"""),42810.0)</f>
        <v>42810</v>
      </c>
      <c r="L25" s="27" t="str">
        <f>IFERROR(__xludf.DUMMYFUNCTION("""COMPUTED_VALUE"""),"H")</f>
        <v>H</v>
      </c>
      <c r="M25" s="27" t="str">
        <f>IFERROR(__xludf.DUMMYFUNCTION("""COMPUTED_VALUE"""),"MKD")</f>
        <v>MKD</v>
      </c>
      <c r="N25" s="27">
        <f>IFERROR(__xludf.DUMMYFUNCTION("""COMPUTED_VALUE"""),7940.0)</f>
        <v>7940</v>
      </c>
      <c r="O25" s="27" t="str">
        <f>IFERROR(__xludf.DUMMYFUNCTION("""COMPUTED_VALUE"""),"Online")</f>
        <v>Online</v>
      </c>
      <c r="P25" s="28">
        <f>IFERROR(__xludf.DUMMYFUNCTION("""COMPUTED_VALUE"""),2304.0)</f>
        <v>2304</v>
      </c>
      <c r="Q25" s="31">
        <f>IFERROR(__xludf.DUMMYFUNCTION("""COMPUTED_VALUE"""),668.27)</f>
        <v>668.27</v>
      </c>
      <c r="R25" s="31">
        <f>IFERROR(__xludf.DUMMYFUNCTION("""COMPUTED_VALUE"""),502.54)</f>
        <v>502.54</v>
      </c>
      <c r="S25" s="31">
        <f>IFERROR(__xludf.DUMMYFUNCTION("""COMPUTED_VALUE"""),1539694.08)</f>
        <v>1539694.08</v>
      </c>
      <c r="T25" s="31">
        <f>IFERROR(__xludf.DUMMYFUNCTION("""COMPUTED_VALUE"""),1157852.1600000001)</f>
        <v>1157852.16</v>
      </c>
      <c r="U25" s="31">
        <f>IFERROR(__xludf.DUMMYFUNCTION("""COMPUTED_VALUE"""),381841.9199999999)</f>
        <v>381841.92</v>
      </c>
      <c r="V25" s="27" t="str">
        <f>IFERROR(__xludf.DUMMYFUNCTION("""COMPUTED_VALUE"""),"Household")</f>
        <v>Household</v>
      </c>
      <c r="W25" s="27" t="str">
        <f>IFERROR(__xludf.DUMMYFUNCTION("""COMPUTED_VALUE"""),"Europe")</f>
        <v>Europe</v>
      </c>
      <c r="X25" s="27" t="str">
        <f>IFERROR(__xludf.DUMMYFUNCTION("""COMPUTED_VALUE"""),"Southern Europe")</f>
        <v>Southern Europe</v>
      </c>
      <c r="Y25" s="32">
        <f>IFERROR(__xludf.DUMMYFUNCTION("""COMPUTED_VALUE"""),0.24799856345489094)</f>
        <v>0.2479985635</v>
      </c>
      <c r="Z25" s="27">
        <f>IFERROR(__xludf.DUMMYFUNCTION("""COMPUTED_VALUE"""),22.0)</f>
        <v>22</v>
      </c>
      <c r="AA25" s="27">
        <f>IFERROR(__xludf.DUMMYFUNCTION("""COMPUTED_VALUE"""),4.0)</f>
        <v>4</v>
      </c>
    </row>
    <row r="26">
      <c r="A26" s="27">
        <f>IFERROR(__xludf.DUMMYFUNCTION("""COMPUTED_VALUE"""),2.43684327E8)</f>
        <v>243684327</v>
      </c>
      <c r="B26" s="27" t="str">
        <f>IFERROR(__xludf.DUMMYFUNCTION("""COMPUTED_VALUE"""),"5/23/2017")</f>
        <v>5/23/2017</v>
      </c>
      <c r="C26" s="27">
        <f>IFERROR(__xludf.DUMMYFUNCTION("""COMPUTED_VALUE"""),5.0)</f>
        <v>5</v>
      </c>
      <c r="D26" s="28">
        <f>IFERROR(__xludf.DUMMYFUNCTION("""COMPUTED_VALUE"""),23.0)</f>
        <v>23</v>
      </c>
      <c r="E26" s="29">
        <f>IFERROR(__xludf.DUMMYFUNCTION("""COMPUTED_VALUE"""),2017.0)</f>
        <v>2017</v>
      </c>
      <c r="F26" s="30">
        <f>IFERROR(__xludf.DUMMYFUNCTION("""COMPUTED_VALUE"""),42878.0)</f>
        <v>42878</v>
      </c>
      <c r="G26" s="27" t="str">
        <f>IFERROR(__xludf.DUMMYFUNCTION("""COMPUTED_VALUE"""),"5/30/2017")</f>
        <v>5/30/2017</v>
      </c>
      <c r="H26" s="27">
        <f>IFERROR(__xludf.DUMMYFUNCTION("""COMPUTED_VALUE"""),5.0)</f>
        <v>5</v>
      </c>
      <c r="I26" s="27">
        <f>IFERROR(__xludf.DUMMYFUNCTION("""COMPUTED_VALUE"""),30.0)</f>
        <v>30</v>
      </c>
      <c r="J26" s="27">
        <f>IFERROR(__xludf.DUMMYFUNCTION("""COMPUTED_VALUE"""),2017.0)</f>
        <v>2017</v>
      </c>
      <c r="K26" s="30">
        <f>IFERROR(__xludf.DUMMYFUNCTION("""COMPUTED_VALUE"""),42885.0)</f>
        <v>42885</v>
      </c>
      <c r="L26" s="27" t="str">
        <f>IFERROR(__xludf.DUMMYFUNCTION("""COMPUTED_VALUE"""),"H")</f>
        <v>H</v>
      </c>
      <c r="M26" s="27" t="str">
        <f>IFERROR(__xludf.DUMMYFUNCTION("""COMPUTED_VALUE"""),"IRL")</f>
        <v>IRL</v>
      </c>
      <c r="N26" s="27">
        <f>IFERROR(__xludf.DUMMYFUNCTION("""COMPUTED_VALUE"""),7331.0)</f>
        <v>7331</v>
      </c>
      <c r="O26" s="27" t="str">
        <f>IFERROR(__xludf.DUMMYFUNCTION("""COMPUTED_VALUE"""),"Online")</f>
        <v>Online</v>
      </c>
      <c r="P26" s="28">
        <f>IFERROR(__xludf.DUMMYFUNCTION("""COMPUTED_VALUE"""),462.0)</f>
        <v>462</v>
      </c>
      <c r="Q26" s="31">
        <f>IFERROR(__xludf.DUMMYFUNCTION("""COMPUTED_VALUE"""),255.28)</f>
        <v>255.28</v>
      </c>
      <c r="R26" s="31">
        <f>IFERROR(__xludf.DUMMYFUNCTION("""COMPUTED_VALUE"""),159.42)</f>
        <v>159.42</v>
      </c>
      <c r="S26" s="31">
        <f>IFERROR(__xludf.DUMMYFUNCTION("""COMPUTED_VALUE"""),117939.36)</f>
        <v>117939.36</v>
      </c>
      <c r="T26" s="31">
        <f>IFERROR(__xludf.DUMMYFUNCTION("""COMPUTED_VALUE"""),73652.04)</f>
        <v>73652.04</v>
      </c>
      <c r="U26" s="31">
        <f>IFERROR(__xludf.DUMMYFUNCTION("""COMPUTED_VALUE"""),44287.32000000001)</f>
        <v>44287.32</v>
      </c>
      <c r="V26" s="27" t="str">
        <f>IFERROR(__xludf.DUMMYFUNCTION("""COMPUTED_VALUE"""),"Baby Food")</f>
        <v>Baby Food</v>
      </c>
      <c r="W26" s="27" t="str">
        <f>IFERROR(__xludf.DUMMYFUNCTION("""COMPUTED_VALUE"""),"Europe")</f>
        <v>Europe</v>
      </c>
      <c r="X26" s="27" t="str">
        <f>IFERROR(__xludf.DUMMYFUNCTION("""COMPUTED_VALUE"""),"Northern Europe")</f>
        <v>Northern Europe</v>
      </c>
      <c r="Y26" s="32">
        <f>IFERROR(__xludf.DUMMYFUNCTION("""COMPUTED_VALUE"""),0.37550924475086184)</f>
        <v>0.3755092448</v>
      </c>
      <c r="Z26" s="27">
        <f>IFERROR(__xludf.DUMMYFUNCTION("""COMPUTED_VALUE"""),7.0)</f>
        <v>7</v>
      </c>
      <c r="AA26" s="27">
        <f>IFERROR(__xludf.DUMMYFUNCTION("""COMPUTED_VALUE"""),3.0)</f>
        <v>3</v>
      </c>
    </row>
    <row r="27">
      <c r="A27" s="27">
        <f>IFERROR(__xludf.DUMMYFUNCTION("""COMPUTED_VALUE"""),2.52541625E8)</f>
        <v>252541625</v>
      </c>
      <c r="B27" s="33">
        <f>IFERROR(__xludf.DUMMYFUNCTION("""COMPUTED_VALUE"""),42984.0)</f>
        <v>42984</v>
      </c>
      <c r="C27" s="27">
        <f>IFERROR(__xludf.DUMMYFUNCTION("""COMPUTED_VALUE"""),6.0)</f>
        <v>6</v>
      </c>
      <c r="D27" s="28">
        <f>IFERROR(__xludf.DUMMYFUNCTION("""COMPUTED_VALUE"""),9.0)</f>
        <v>9</v>
      </c>
      <c r="E27" s="29">
        <f>IFERROR(__xludf.DUMMYFUNCTION("""COMPUTED_VALUE"""),2017.0)</f>
        <v>2017</v>
      </c>
      <c r="F27" s="30">
        <f>IFERROR(__xludf.DUMMYFUNCTION("""COMPUTED_VALUE"""),42895.0)</f>
        <v>42895</v>
      </c>
      <c r="G27" s="33">
        <f>IFERROR(__xludf.DUMMYFUNCTION("""COMPUTED_VALUE"""),42862.0)</f>
        <v>42862</v>
      </c>
      <c r="H27" s="27">
        <f>IFERROR(__xludf.DUMMYFUNCTION("""COMPUTED_VALUE"""),7.0)</f>
        <v>7</v>
      </c>
      <c r="I27" s="27">
        <f>IFERROR(__xludf.DUMMYFUNCTION("""COMPUTED_VALUE"""),5.0)</f>
        <v>5</v>
      </c>
      <c r="J27" s="27">
        <f>IFERROR(__xludf.DUMMYFUNCTION("""COMPUTED_VALUE"""),2017.0)</f>
        <v>2017</v>
      </c>
      <c r="K27" s="30">
        <f>IFERROR(__xludf.DUMMYFUNCTION("""COMPUTED_VALUE"""),42921.0)</f>
        <v>42921</v>
      </c>
      <c r="L27" s="27" t="str">
        <f>IFERROR(__xludf.DUMMYFUNCTION("""COMPUTED_VALUE"""),"C")</f>
        <v>C</v>
      </c>
      <c r="M27" s="27" t="str">
        <f>IFERROR(__xludf.DUMMYFUNCTION("""COMPUTED_VALUE"""),"Desconhecido")</f>
        <v>Desconhecido</v>
      </c>
      <c r="N27" s="27">
        <f>IFERROR(__xludf.DUMMYFUNCTION("""COMPUTED_VALUE"""),7331.0)</f>
        <v>7331</v>
      </c>
      <c r="O27" s="27" t="str">
        <f>IFERROR(__xludf.DUMMYFUNCTION("""COMPUTED_VALUE"""),"Offline")</f>
        <v>Offline</v>
      </c>
      <c r="P27" s="28">
        <f>IFERROR(__xludf.DUMMYFUNCTION("""COMPUTED_VALUE"""),1534.0)</f>
        <v>1534</v>
      </c>
      <c r="Q27" s="31">
        <f>IFERROR(__xludf.DUMMYFUNCTION("""COMPUTED_VALUE"""),255.28)</f>
        <v>255.28</v>
      </c>
      <c r="R27" s="31">
        <f>IFERROR(__xludf.DUMMYFUNCTION("""COMPUTED_VALUE"""),159.42)</f>
        <v>159.42</v>
      </c>
      <c r="S27" s="31">
        <f>IFERROR(__xludf.DUMMYFUNCTION("""COMPUTED_VALUE"""),391599.52)</f>
        <v>391599.52</v>
      </c>
      <c r="T27" s="31">
        <f>IFERROR(__xludf.DUMMYFUNCTION("""COMPUTED_VALUE"""),244550.27999999997)</f>
        <v>244550.28</v>
      </c>
      <c r="U27" s="31">
        <f>IFERROR(__xludf.DUMMYFUNCTION("""COMPUTED_VALUE"""),147049.24000000005)</f>
        <v>147049.24</v>
      </c>
      <c r="V27" s="27" t="str">
        <f>IFERROR(__xludf.DUMMYFUNCTION("""COMPUTED_VALUE"""),"Baby Food")</f>
        <v>Baby Food</v>
      </c>
      <c r="W27" s="27" t="str">
        <f>IFERROR(__xludf.DUMMYFUNCTION("""COMPUTED_VALUE"""),"Desconhecido")</f>
        <v>Desconhecido</v>
      </c>
      <c r="X27" s="27" t="str">
        <f>IFERROR(__xludf.DUMMYFUNCTION("""COMPUTED_VALUE"""),"Desconhecido")</f>
        <v>Desconhecido</v>
      </c>
      <c r="Y27" s="32">
        <f>IFERROR(__xludf.DUMMYFUNCTION("""COMPUTED_VALUE"""),0.3755092447508619)</f>
        <v>0.3755092448</v>
      </c>
      <c r="Z27" s="27">
        <f>IFERROR(__xludf.DUMMYFUNCTION("""COMPUTED_VALUE"""),26.0)</f>
        <v>26</v>
      </c>
      <c r="AA27" s="27">
        <f>IFERROR(__xludf.DUMMYFUNCTION("""COMPUTED_VALUE"""),6.0)</f>
        <v>6</v>
      </c>
    </row>
    <row r="28">
      <c r="A28" s="27">
        <f>IFERROR(__xludf.DUMMYFUNCTION("""COMPUTED_VALUE"""),2.59032571E8)</f>
        <v>259032571</v>
      </c>
      <c r="B28" s="33">
        <f>IFERROR(__xludf.DUMMYFUNCTION("""COMPUTED_VALUE"""),42983.0)</f>
        <v>42983</v>
      </c>
      <c r="C28" s="27">
        <f>IFERROR(__xludf.DUMMYFUNCTION("""COMPUTED_VALUE"""),5.0)</f>
        <v>5</v>
      </c>
      <c r="D28" s="28">
        <f>IFERROR(__xludf.DUMMYFUNCTION("""COMPUTED_VALUE"""),9.0)</f>
        <v>9</v>
      </c>
      <c r="E28" s="29">
        <f>IFERROR(__xludf.DUMMYFUNCTION("""COMPUTED_VALUE"""),2017.0)</f>
        <v>2017</v>
      </c>
      <c r="F28" s="30">
        <f>IFERROR(__xludf.DUMMYFUNCTION("""COMPUTED_VALUE"""),42864.0)</f>
        <v>42864</v>
      </c>
      <c r="G28" s="27" t="str">
        <f>IFERROR(__xludf.DUMMYFUNCTION("""COMPUTED_VALUE"""),"5/13/2017")</f>
        <v>5/13/2017</v>
      </c>
      <c r="H28" s="27">
        <f>IFERROR(__xludf.DUMMYFUNCTION("""COMPUTED_VALUE"""),5.0)</f>
        <v>5</v>
      </c>
      <c r="I28" s="27">
        <f>IFERROR(__xludf.DUMMYFUNCTION("""COMPUTED_VALUE"""),13.0)</f>
        <v>13</v>
      </c>
      <c r="J28" s="27">
        <f>IFERROR(__xludf.DUMMYFUNCTION("""COMPUTED_VALUE"""),2017.0)</f>
        <v>2017</v>
      </c>
      <c r="K28" s="30">
        <f>IFERROR(__xludf.DUMMYFUNCTION("""COMPUTED_VALUE"""),42868.0)</f>
        <v>42868</v>
      </c>
      <c r="L28" s="27" t="str">
        <f>IFERROR(__xludf.DUMMYFUNCTION("""COMPUTED_VALUE"""),"L")</f>
        <v>L</v>
      </c>
      <c r="M28" s="27" t="str">
        <f>IFERROR(__xludf.DUMMYFUNCTION("""COMPUTED_VALUE"""),"BEL")</f>
        <v>BEL</v>
      </c>
      <c r="N28" s="27">
        <f>IFERROR(__xludf.DUMMYFUNCTION("""COMPUTED_VALUE"""),5988.0)</f>
        <v>5988</v>
      </c>
      <c r="O28" s="27" t="str">
        <f>IFERROR(__xludf.DUMMYFUNCTION("""COMPUTED_VALUE"""),"Online")</f>
        <v>Online</v>
      </c>
      <c r="P28" s="28">
        <f>IFERROR(__xludf.DUMMYFUNCTION("""COMPUTED_VALUE"""),2349.0)</f>
        <v>2349</v>
      </c>
      <c r="Q28" s="31">
        <f>IFERROR(__xludf.DUMMYFUNCTION("""COMPUTED_VALUE"""),154.06)</f>
        <v>154.06</v>
      </c>
      <c r="R28" s="31">
        <f>IFERROR(__xludf.DUMMYFUNCTION("""COMPUTED_VALUE"""),90.93)</f>
        <v>90.93</v>
      </c>
      <c r="S28" s="31">
        <f>IFERROR(__xludf.DUMMYFUNCTION("""COMPUTED_VALUE"""),361886.94)</f>
        <v>361886.94</v>
      </c>
      <c r="T28" s="31">
        <f>IFERROR(__xludf.DUMMYFUNCTION("""COMPUTED_VALUE"""),213594.57)</f>
        <v>213594.57</v>
      </c>
      <c r="U28" s="31">
        <f>IFERROR(__xludf.DUMMYFUNCTION("""COMPUTED_VALUE"""),148292.37)</f>
        <v>148292.37</v>
      </c>
      <c r="V28" s="27" t="str">
        <f>IFERROR(__xludf.DUMMYFUNCTION("""COMPUTED_VALUE"""),"Vegetables")</f>
        <v>Vegetables</v>
      </c>
      <c r="W28" s="27" t="str">
        <f>IFERROR(__xludf.DUMMYFUNCTION("""COMPUTED_VALUE"""),"Europe")</f>
        <v>Europe</v>
      </c>
      <c r="X28" s="27" t="str">
        <f>IFERROR(__xludf.DUMMYFUNCTION("""COMPUTED_VALUE"""),"Western Europe")</f>
        <v>Western Europe</v>
      </c>
      <c r="Y28" s="32">
        <f>IFERROR(__xludf.DUMMYFUNCTION("""COMPUTED_VALUE"""),0.40977541217707386)</f>
        <v>0.4097754122</v>
      </c>
      <c r="Z28" s="27">
        <f>IFERROR(__xludf.DUMMYFUNCTION("""COMPUTED_VALUE"""),4.0)</f>
        <v>4</v>
      </c>
      <c r="AA28" s="27">
        <f>IFERROR(__xludf.DUMMYFUNCTION("""COMPUTED_VALUE"""),3.0)</f>
        <v>3</v>
      </c>
    </row>
    <row r="29">
      <c r="A29" s="27">
        <f>IFERROR(__xludf.DUMMYFUNCTION("""COMPUTED_VALUE"""),2.74694526E8)</f>
        <v>274694526</v>
      </c>
      <c r="B29" s="27" t="str">
        <f>IFERROR(__xludf.DUMMYFUNCTION("""COMPUTED_VALUE"""),"4/13/2017")</f>
        <v>4/13/2017</v>
      </c>
      <c r="C29" s="27">
        <f>IFERROR(__xludf.DUMMYFUNCTION("""COMPUTED_VALUE"""),4.0)</f>
        <v>4</v>
      </c>
      <c r="D29" s="28">
        <f>IFERROR(__xludf.DUMMYFUNCTION("""COMPUTED_VALUE"""),13.0)</f>
        <v>13</v>
      </c>
      <c r="E29" s="29">
        <f>IFERROR(__xludf.DUMMYFUNCTION("""COMPUTED_VALUE"""),2017.0)</f>
        <v>2017</v>
      </c>
      <c r="F29" s="30">
        <f>IFERROR(__xludf.DUMMYFUNCTION("""COMPUTED_VALUE"""),42838.0)</f>
        <v>42838</v>
      </c>
      <c r="G29" s="33">
        <f>IFERROR(__xludf.DUMMYFUNCTION("""COMPUTED_VALUE"""),43044.0)</f>
        <v>43044</v>
      </c>
      <c r="H29" s="27">
        <f>IFERROR(__xludf.DUMMYFUNCTION("""COMPUTED_VALUE"""),5.0)</f>
        <v>5</v>
      </c>
      <c r="I29" s="27">
        <f>IFERROR(__xludf.DUMMYFUNCTION("""COMPUTED_VALUE"""),11.0)</f>
        <v>11</v>
      </c>
      <c r="J29" s="27">
        <f>IFERROR(__xludf.DUMMYFUNCTION("""COMPUTED_VALUE"""),2017.0)</f>
        <v>2017</v>
      </c>
      <c r="K29" s="30">
        <f>IFERROR(__xludf.DUMMYFUNCTION("""COMPUTED_VALUE"""),42866.0)</f>
        <v>42866</v>
      </c>
      <c r="L29" s="27" t="str">
        <f>IFERROR(__xludf.DUMMYFUNCTION("""COMPUTED_VALUE"""),"C")</f>
        <v>C</v>
      </c>
      <c r="M29" s="27" t="str">
        <f>IFERROR(__xludf.DUMMYFUNCTION("""COMPUTED_VALUE"""),"MLT")</f>
        <v>MLT</v>
      </c>
      <c r="N29" s="27">
        <f>IFERROR(__xludf.DUMMYFUNCTION("""COMPUTED_VALUE"""),3127.0)</f>
        <v>3127</v>
      </c>
      <c r="O29" s="27" t="str">
        <f>IFERROR(__xludf.DUMMYFUNCTION("""COMPUTED_VALUE"""),"Offline")</f>
        <v>Offline</v>
      </c>
      <c r="P29" s="28">
        <f>IFERROR(__xludf.DUMMYFUNCTION("""COMPUTED_VALUE"""),7069.0)</f>
        <v>7069</v>
      </c>
      <c r="Q29" s="31">
        <f>IFERROR(__xludf.DUMMYFUNCTION("""COMPUTED_VALUE"""),81.73)</f>
        <v>81.73</v>
      </c>
      <c r="R29" s="31">
        <f>IFERROR(__xludf.DUMMYFUNCTION("""COMPUTED_VALUE"""),56.67)</f>
        <v>56.67</v>
      </c>
      <c r="S29" s="31">
        <f>IFERROR(__xludf.DUMMYFUNCTION("""COMPUTED_VALUE"""),577749.37)</f>
        <v>577749.37</v>
      </c>
      <c r="T29" s="31">
        <f>IFERROR(__xludf.DUMMYFUNCTION("""COMPUTED_VALUE"""),400600.23000000004)</f>
        <v>400600.23</v>
      </c>
      <c r="U29" s="31">
        <f>IFERROR(__xludf.DUMMYFUNCTION("""COMPUTED_VALUE"""),177149.13999999996)</f>
        <v>177149.14</v>
      </c>
      <c r="V29" s="27" t="str">
        <f>IFERROR(__xludf.DUMMYFUNCTION("""COMPUTED_VALUE"""),"Personal Care")</f>
        <v>Personal Care</v>
      </c>
      <c r="W29" s="27" t="str">
        <f>IFERROR(__xludf.DUMMYFUNCTION("""COMPUTED_VALUE"""),"Europe")</f>
        <v>Europe</v>
      </c>
      <c r="X29" s="27" t="str">
        <f>IFERROR(__xludf.DUMMYFUNCTION("""COMPUTED_VALUE"""),"Southern Europe")</f>
        <v>Southern Europe</v>
      </c>
      <c r="Y29" s="32">
        <f>IFERROR(__xludf.DUMMYFUNCTION("""COMPUTED_VALUE"""),0.30661935641747207)</f>
        <v>0.3066193564</v>
      </c>
      <c r="Z29" s="27">
        <f>IFERROR(__xludf.DUMMYFUNCTION("""COMPUTED_VALUE"""),28.0)</f>
        <v>28</v>
      </c>
      <c r="AA29" s="27">
        <f>IFERROR(__xludf.DUMMYFUNCTION("""COMPUTED_VALUE"""),5.0)</f>
        <v>5</v>
      </c>
    </row>
    <row r="30">
      <c r="A30" s="27">
        <f>IFERROR(__xludf.DUMMYFUNCTION("""COMPUTED_VALUE"""),2.91179597E8)</f>
        <v>291179597</v>
      </c>
      <c r="B30" s="27" t="str">
        <f>IFERROR(__xludf.DUMMYFUNCTION("""COMPUTED_VALUE"""),"2/13/2017")</f>
        <v>2/13/2017</v>
      </c>
      <c r="C30" s="27">
        <f>IFERROR(__xludf.DUMMYFUNCTION("""COMPUTED_VALUE"""),2.0)</f>
        <v>2</v>
      </c>
      <c r="D30" s="28">
        <f>IFERROR(__xludf.DUMMYFUNCTION("""COMPUTED_VALUE"""),13.0)</f>
        <v>13</v>
      </c>
      <c r="E30" s="29">
        <f>IFERROR(__xludf.DUMMYFUNCTION("""COMPUTED_VALUE"""),2017.0)</f>
        <v>2017</v>
      </c>
      <c r="F30" s="30">
        <f>IFERROR(__xludf.DUMMYFUNCTION("""COMPUTED_VALUE"""),42779.0)</f>
        <v>42779</v>
      </c>
      <c r="G30" s="27" t="str">
        <f>IFERROR(__xludf.DUMMYFUNCTION("""COMPUTED_VALUE"""),"2/20/2017")</f>
        <v>2/20/2017</v>
      </c>
      <c r="H30" s="27">
        <f>IFERROR(__xludf.DUMMYFUNCTION("""COMPUTED_VALUE"""),2.0)</f>
        <v>2</v>
      </c>
      <c r="I30" s="27">
        <f>IFERROR(__xludf.DUMMYFUNCTION("""COMPUTED_VALUE"""),20.0)</f>
        <v>20</v>
      </c>
      <c r="J30" s="27">
        <f>IFERROR(__xludf.DUMMYFUNCTION("""COMPUTED_VALUE"""),2017.0)</f>
        <v>2017</v>
      </c>
      <c r="K30" s="30">
        <f>IFERROR(__xludf.DUMMYFUNCTION("""COMPUTED_VALUE"""),42786.0)</f>
        <v>42786</v>
      </c>
      <c r="L30" s="27" t="str">
        <f>IFERROR(__xludf.DUMMYFUNCTION("""COMPUTED_VALUE"""),"H")</f>
        <v>H</v>
      </c>
      <c r="M30" s="27" t="str">
        <f>IFERROR(__xludf.DUMMYFUNCTION("""COMPUTED_VALUE"""),"LIE")</f>
        <v>LIE</v>
      </c>
      <c r="N30" s="27">
        <f>IFERROR(__xludf.DUMMYFUNCTION("""COMPUTED_VALUE"""),7940.0)</f>
        <v>7940</v>
      </c>
      <c r="O30" s="27" t="str">
        <f>IFERROR(__xludf.DUMMYFUNCTION("""COMPUTED_VALUE"""),"Online")</f>
        <v>Online</v>
      </c>
      <c r="P30" s="28">
        <f>IFERROR(__xludf.DUMMYFUNCTION("""COMPUTED_VALUE"""),5368.0)</f>
        <v>5368</v>
      </c>
      <c r="Q30" s="31">
        <f>IFERROR(__xludf.DUMMYFUNCTION("""COMPUTED_VALUE"""),668.27)</f>
        <v>668.27</v>
      </c>
      <c r="R30" s="31">
        <f>IFERROR(__xludf.DUMMYFUNCTION("""COMPUTED_VALUE"""),502.54)</f>
        <v>502.54</v>
      </c>
      <c r="S30" s="31">
        <f>IFERROR(__xludf.DUMMYFUNCTION("""COMPUTED_VALUE"""),3587273.36)</f>
        <v>3587273.36</v>
      </c>
      <c r="T30" s="31">
        <f>IFERROR(__xludf.DUMMYFUNCTION("""COMPUTED_VALUE"""),2697634.72)</f>
        <v>2697634.72</v>
      </c>
      <c r="U30" s="31">
        <f>IFERROR(__xludf.DUMMYFUNCTION("""COMPUTED_VALUE"""),889638.6399999997)</f>
        <v>889638.64</v>
      </c>
      <c r="V30" s="27" t="str">
        <f>IFERROR(__xludf.DUMMYFUNCTION("""COMPUTED_VALUE"""),"Household")</f>
        <v>Household</v>
      </c>
      <c r="W30" s="27" t="str">
        <f>IFERROR(__xludf.DUMMYFUNCTION("""COMPUTED_VALUE"""),"Europe")</f>
        <v>Europe</v>
      </c>
      <c r="X30" s="27" t="str">
        <f>IFERROR(__xludf.DUMMYFUNCTION("""COMPUTED_VALUE"""),"Western Europe")</f>
        <v>Western Europe</v>
      </c>
      <c r="Y30" s="32">
        <f>IFERROR(__xludf.DUMMYFUNCTION("""COMPUTED_VALUE"""),0.2479985634548909)</f>
        <v>0.2479985635</v>
      </c>
      <c r="Z30" s="27">
        <f>IFERROR(__xludf.DUMMYFUNCTION("""COMPUTED_VALUE"""),7.0)</f>
        <v>7</v>
      </c>
      <c r="AA30" s="27">
        <f>IFERROR(__xludf.DUMMYFUNCTION("""COMPUTED_VALUE"""),2.0)</f>
        <v>2</v>
      </c>
    </row>
    <row r="31">
      <c r="A31" s="27">
        <f>IFERROR(__xludf.DUMMYFUNCTION("""COMPUTED_VALUE"""),2.91611325E8)</f>
        <v>291611325</v>
      </c>
      <c r="B31" s="33">
        <f>IFERROR(__xludf.DUMMYFUNCTION("""COMPUTED_VALUE"""),42737.0)</f>
        <v>42737</v>
      </c>
      <c r="C31" s="27">
        <f>IFERROR(__xludf.DUMMYFUNCTION("""COMPUTED_VALUE"""),2.0)</f>
        <v>2</v>
      </c>
      <c r="D31" s="28">
        <f>IFERROR(__xludf.DUMMYFUNCTION("""COMPUTED_VALUE"""),1.0)</f>
        <v>1</v>
      </c>
      <c r="E31" s="29">
        <f>IFERROR(__xludf.DUMMYFUNCTION("""COMPUTED_VALUE"""),2017.0)</f>
        <v>2017</v>
      </c>
      <c r="F31" s="30">
        <f>IFERROR(__xludf.DUMMYFUNCTION("""COMPUTED_VALUE"""),42767.0)</f>
        <v>42767</v>
      </c>
      <c r="G31" s="33">
        <f>IFERROR(__xludf.DUMMYFUNCTION("""COMPUTED_VALUE"""),43010.0)</f>
        <v>43010</v>
      </c>
      <c r="H31" s="27">
        <f>IFERROR(__xludf.DUMMYFUNCTION("""COMPUTED_VALUE"""),2.0)</f>
        <v>2</v>
      </c>
      <c r="I31" s="27">
        <f>IFERROR(__xludf.DUMMYFUNCTION("""COMPUTED_VALUE"""),10.0)</f>
        <v>10</v>
      </c>
      <c r="J31" s="27">
        <f>IFERROR(__xludf.DUMMYFUNCTION("""COMPUTED_VALUE"""),2017.0)</f>
        <v>2017</v>
      </c>
      <c r="K31" s="30">
        <f>IFERROR(__xludf.DUMMYFUNCTION("""COMPUTED_VALUE"""),42776.0)</f>
        <v>42776</v>
      </c>
      <c r="L31" s="27" t="str">
        <f>IFERROR(__xludf.DUMMYFUNCTION("""COMPUTED_VALUE"""),"M")</f>
        <v>M</v>
      </c>
      <c r="M31" s="27" t="str">
        <f>IFERROR(__xludf.DUMMYFUNCTION("""COMPUTED_VALUE"""),"HUN")</f>
        <v>HUN</v>
      </c>
      <c r="N31" s="27">
        <f>IFERROR(__xludf.DUMMYFUNCTION("""COMPUTED_VALUE"""),8969.0)</f>
        <v>8969</v>
      </c>
      <c r="O31" s="27" t="str">
        <f>IFERROR(__xludf.DUMMYFUNCTION("""COMPUTED_VALUE"""),"Offline")</f>
        <v>Offline</v>
      </c>
      <c r="P31" s="28">
        <f>IFERROR(__xludf.DUMMYFUNCTION("""COMPUTED_VALUE"""),3126.0)</f>
        <v>3126</v>
      </c>
      <c r="Q31" s="31">
        <f>IFERROR(__xludf.DUMMYFUNCTION("""COMPUTED_VALUE"""),152.58)</f>
        <v>152.58</v>
      </c>
      <c r="R31" s="31">
        <f>IFERROR(__xludf.DUMMYFUNCTION("""COMPUTED_VALUE"""),97.44)</f>
        <v>97.44</v>
      </c>
      <c r="S31" s="31">
        <f>IFERROR(__xludf.DUMMYFUNCTION("""COMPUTED_VALUE"""),476965.08)</f>
        <v>476965.08</v>
      </c>
      <c r="T31" s="31">
        <f>IFERROR(__xludf.DUMMYFUNCTION("""COMPUTED_VALUE"""),304597.44)</f>
        <v>304597.44</v>
      </c>
      <c r="U31" s="31">
        <f>IFERROR(__xludf.DUMMYFUNCTION("""COMPUTED_VALUE"""),172367.64)</f>
        <v>172367.64</v>
      </c>
      <c r="V31" s="27" t="str">
        <f>IFERROR(__xludf.DUMMYFUNCTION("""COMPUTED_VALUE"""),"Snacks")</f>
        <v>Snacks</v>
      </c>
      <c r="W31" s="27" t="str">
        <f>IFERROR(__xludf.DUMMYFUNCTION("""COMPUTED_VALUE"""),"Europe")</f>
        <v>Europe</v>
      </c>
      <c r="X31" s="27" t="str">
        <f>IFERROR(__xludf.DUMMYFUNCTION("""COMPUTED_VALUE"""),"Eastern Europe")</f>
        <v>Eastern Europe</v>
      </c>
      <c r="Y31" s="32">
        <f>IFERROR(__xludf.DUMMYFUNCTION("""COMPUTED_VALUE"""),0.3613841918993315)</f>
        <v>0.3613841919</v>
      </c>
      <c r="Z31" s="27">
        <f>IFERROR(__xludf.DUMMYFUNCTION("""COMPUTED_VALUE"""),9.0)</f>
        <v>9</v>
      </c>
      <c r="AA31" s="27">
        <f>IFERROR(__xludf.DUMMYFUNCTION("""COMPUTED_VALUE"""),4.0)</f>
        <v>4</v>
      </c>
    </row>
    <row r="32">
      <c r="A32" s="27">
        <f>IFERROR(__xludf.DUMMYFUNCTION("""COMPUTED_VALUE"""),3.09285581E8)</f>
        <v>309285581</v>
      </c>
      <c r="B32" s="27" t="str">
        <f>IFERROR(__xludf.DUMMYFUNCTION("""COMPUTED_VALUE"""),"2/26/2017")</f>
        <v>2/26/2017</v>
      </c>
      <c r="C32" s="27">
        <f>IFERROR(__xludf.DUMMYFUNCTION("""COMPUTED_VALUE"""),2.0)</f>
        <v>2</v>
      </c>
      <c r="D32" s="28">
        <f>IFERROR(__xludf.DUMMYFUNCTION("""COMPUTED_VALUE"""),26.0)</f>
        <v>26</v>
      </c>
      <c r="E32" s="29">
        <f>IFERROR(__xludf.DUMMYFUNCTION("""COMPUTED_VALUE"""),2017.0)</f>
        <v>2017</v>
      </c>
      <c r="F32" s="30">
        <f>IFERROR(__xludf.DUMMYFUNCTION("""COMPUTED_VALUE"""),42792.0)</f>
        <v>42792</v>
      </c>
      <c r="G32" s="27" t="str">
        <f>IFERROR(__xludf.DUMMYFUNCTION("""COMPUTED_VALUE"""),"4/17/2017")</f>
        <v>4/17/2017</v>
      </c>
      <c r="H32" s="27">
        <f>IFERROR(__xludf.DUMMYFUNCTION("""COMPUTED_VALUE"""),4.0)</f>
        <v>4</v>
      </c>
      <c r="I32" s="27">
        <f>IFERROR(__xludf.DUMMYFUNCTION("""COMPUTED_VALUE"""),17.0)</f>
        <v>17</v>
      </c>
      <c r="J32" s="27">
        <f>IFERROR(__xludf.DUMMYFUNCTION("""COMPUTED_VALUE"""),2017.0)</f>
        <v>2017</v>
      </c>
      <c r="K32" s="30">
        <f>IFERROR(__xludf.DUMMYFUNCTION("""COMPUTED_VALUE"""),42842.0)</f>
        <v>42842</v>
      </c>
      <c r="L32" s="27" t="str">
        <f>IFERROR(__xludf.DUMMYFUNCTION("""COMPUTED_VALUE"""),"H")</f>
        <v>H</v>
      </c>
      <c r="M32" s="27" t="str">
        <f>IFERROR(__xludf.DUMMYFUNCTION("""COMPUTED_VALUE"""),"IRL")</f>
        <v>IRL</v>
      </c>
      <c r="N32" s="27">
        <f>IFERROR(__xludf.DUMMYFUNCTION("""COMPUTED_VALUE"""),3127.0)</f>
        <v>3127</v>
      </c>
      <c r="O32" s="27" t="str">
        <f>IFERROR(__xludf.DUMMYFUNCTION("""COMPUTED_VALUE"""),"Offline")</f>
        <v>Offline</v>
      </c>
      <c r="P32" s="28">
        <f>IFERROR(__xludf.DUMMYFUNCTION("""COMPUTED_VALUE"""),3331.0)</f>
        <v>3331</v>
      </c>
      <c r="Q32" s="31">
        <f>IFERROR(__xludf.DUMMYFUNCTION("""COMPUTED_VALUE"""),81.73)</f>
        <v>81.73</v>
      </c>
      <c r="R32" s="31">
        <f>IFERROR(__xludf.DUMMYFUNCTION("""COMPUTED_VALUE"""),56.67)</f>
        <v>56.67</v>
      </c>
      <c r="S32" s="31">
        <f>IFERROR(__xludf.DUMMYFUNCTION("""COMPUTED_VALUE"""),272242.63)</f>
        <v>272242.63</v>
      </c>
      <c r="T32" s="31">
        <f>IFERROR(__xludf.DUMMYFUNCTION("""COMPUTED_VALUE"""),188767.77000000002)</f>
        <v>188767.77</v>
      </c>
      <c r="U32" s="31">
        <f>IFERROR(__xludf.DUMMYFUNCTION("""COMPUTED_VALUE"""),83474.85999999999)</f>
        <v>83474.86</v>
      </c>
      <c r="V32" s="27" t="str">
        <f>IFERROR(__xludf.DUMMYFUNCTION("""COMPUTED_VALUE"""),"Personal Care")</f>
        <v>Personal Care</v>
      </c>
      <c r="W32" s="27" t="str">
        <f>IFERROR(__xludf.DUMMYFUNCTION("""COMPUTED_VALUE"""),"Europe")</f>
        <v>Europe</v>
      </c>
      <c r="X32" s="27" t="str">
        <f>IFERROR(__xludf.DUMMYFUNCTION("""COMPUTED_VALUE"""),"Northern Europe")</f>
        <v>Northern Europe</v>
      </c>
      <c r="Y32" s="32">
        <f>IFERROR(__xludf.DUMMYFUNCTION("""COMPUTED_VALUE"""),0.3066193564174721)</f>
        <v>0.3066193564</v>
      </c>
      <c r="Z32" s="27">
        <f>IFERROR(__xludf.DUMMYFUNCTION("""COMPUTED_VALUE"""),50.0)</f>
        <v>50</v>
      </c>
      <c r="AA32" s="27">
        <f>IFERROR(__xludf.DUMMYFUNCTION("""COMPUTED_VALUE"""),1.0)</f>
        <v>1</v>
      </c>
    </row>
    <row r="33">
      <c r="A33" s="27">
        <f>IFERROR(__xludf.DUMMYFUNCTION("""COMPUTED_VALUE"""),3.11956632E8)</f>
        <v>311956632</v>
      </c>
      <c r="B33" s="33">
        <f>IFERROR(__xludf.DUMMYFUNCTION("""COMPUTED_VALUE"""),42826.0)</f>
        <v>42826</v>
      </c>
      <c r="C33" s="27">
        <f>IFERROR(__xludf.DUMMYFUNCTION("""COMPUTED_VALUE"""),1.0)</f>
        <v>1</v>
      </c>
      <c r="D33" s="28">
        <f>IFERROR(__xludf.DUMMYFUNCTION("""COMPUTED_VALUE"""),4.0)</f>
        <v>4</v>
      </c>
      <c r="E33" s="29">
        <f>IFERROR(__xludf.DUMMYFUNCTION("""COMPUTED_VALUE"""),2017.0)</f>
        <v>2017</v>
      </c>
      <c r="F33" s="30">
        <f>IFERROR(__xludf.DUMMYFUNCTION("""COMPUTED_VALUE"""),42739.0)</f>
        <v>42739</v>
      </c>
      <c r="G33" s="33">
        <f>IFERROR(__xludf.DUMMYFUNCTION("""COMPUTED_VALUE"""),43009.0)</f>
        <v>43009</v>
      </c>
      <c r="H33" s="27">
        <f>IFERROR(__xludf.DUMMYFUNCTION("""COMPUTED_VALUE"""),1.0)</f>
        <v>1</v>
      </c>
      <c r="I33" s="27">
        <f>IFERROR(__xludf.DUMMYFUNCTION("""COMPUTED_VALUE"""),10.0)</f>
        <v>10</v>
      </c>
      <c r="J33" s="27">
        <f>IFERROR(__xludf.DUMMYFUNCTION("""COMPUTED_VALUE"""),2017.0)</f>
        <v>2017</v>
      </c>
      <c r="K33" s="30">
        <f>IFERROR(__xludf.DUMMYFUNCTION("""COMPUTED_VALUE"""),42745.0)</f>
        <v>42745</v>
      </c>
      <c r="L33" s="27" t="str">
        <f>IFERROR(__xludf.DUMMYFUNCTION("""COMPUTED_VALUE"""),"C")</f>
        <v>C</v>
      </c>
      <c r="M33" s="27" t="str">
        <f>IFERROR(__xludf.DUMMYFUNCTION("""COMPUTED_VALUE"""),"EST")</f>
        <v>EST</v>
      </c>
      <c r="N33" s="27">
        <f>IFERROR(__xludf.DUMMYFUNCTION("""COMPUTED_VALUE"""),8293.0)</f>
        <v>8293</v>
      </c>
      <c r="O33" s="27" t="str">
        <f>IFERROR(__xludf.DUMMYFUNCTION("""COMPUTED_VALUE"""),"Offline")</f>
        <v>Offline</v>
      </c>
      <c r="P33" s="28">
        <f>IFERROR(__xludf.DUMMYFUNCTION("""COMPUTED_VALUE"""),3755.0)</f>
        <v>3755</v>
      </c>
      <c r="Q33" s="31">
        <f>IFERROR(__xludf.DUMMYFUNCTION("""COMPUTED_VALUE"""),437.2)</f>
        <v>437.2</v>
      </c>
      <c r="R33" s="31">
        <f>IFERROR(__xludf.DUMMYFUNCTION("""COMPUTED_VALUE"""),263.33)</f>
        <v>263.33</v>
      </c>
      <c r="S33" s="31">
        <f>IFERROR(__xludf.DUMMYFUNCTION("""COMPUTED_VALUE"""),1641686.0)</f>
        <v>1641686</v>
      </c>
      <c r="T33" s="31">
        <f>IFERROR(__xludf.DUMMYFUNCTION("""COMPUTED_VALUE"""),988804.1499999999)</f>
        <v>988804.15</v>
      </c>
      <c r="U33" s="31">
        <f>IFERROR(__xludf.DUMMYFUNCTION("""COMPUTED_VALUE"""),652881.8500000001)</f>
        <v>652881.85</v>
      </c>
      <c r="V33" s="27" t="str">
        <f>IFERROR(__xludf.DUMMYFUNCTION("""COMPUTED_VALUE"""),"Cosmetics")</f>
        <v>Cosmetics</v>
      </c>
      <c r="W33" s="27" t="str">
        <f>IFERROR(__xludf.DUMMYFUNCTION("""COMPUTED_VALUE"""),"Europe")</f>
        <v>Europe</v>
      </c>
      <c r="X33" s="27" t="str">
        <f>IFERROR(__xludf.DUMMYFUNCTION("""COMPUTED_VALUE"""),"Northern Europe")</f>
        <v>Northern Europe</v>
      </c>
      <c r="Y33" s="32">
        <f>IFERROR(__xludf.DUMMYFUNCTION("""COMPUTED_VALUE"""),0.3976898444647759)</f>
        <v>0.3976898445</v>
      </c>
      <c r="Z33" s="27">
        <f>IFERROR(__xludf.DUMMYFUNCTION("""COMPUTED_VALUE"""),6.0)</f>
        <v>6</v>
      </c>
      <c r="AA33" s="27">
        <f>IFERROR(__xludf.DUMMYFUNCTION("""COMPUTED_VALUE"""),4.0)</f>
        <v>4</v>
      </c>
    </row>
    <row r="34">
      <c r="A34" s="27">
        <f>IFERROR(__xludf.DUMMYFUNCTION("""COMPUTED_VALUE"""),3.17006051E8)</f>
        <v>317006051</v>
      </c>
      <c r="B34" s="27" t="str">
        <f>IFERROR(__xludf.DUMMYFUNCTION("""COMPUTED_VALUE"""),"4/30/2017")</f>
        <v>4/30/2017</v>
      </c>
      <c r="C34" s="27">
        <f>IFERROR(__xludf.DUMMYFUNCTION("""COMPUTED_VALUE"""),4.0)</f>
        <v>4</v>
      </c>
      <c r="D34" s="28">
        <f>IFERROR(__xludf.DUMMYFUNCTION("""COMPUTED_VALUE"""),30.0)</f>
        <v>30</v>
      </c>
      <c r="E34" s="29">
        <f>IFERROR(__xludf.DUMMYFUNCTION("""COMPUTED_VALUE"""),2017.0)</f>
        <v>2017</v>
      </c>
      <c r="F34" s="30">
        <f>IFERROR(__xludf.DUMMYFUNCTION("""COMPUTED_VALUE"""),42855.0)</f>
        <v>42855</v>
      </c>
      <c r="G34" s="33">
        <f>IFERROR(__xludf.DUMMYFUNCTION("""COMPUTED_VALUE"""),42861.0)</f>
        <v>42861</v>
      </c>
      <c r="H34" s="27">
        <f>IFERROR(__xludf.DUMMYFUNCTION("""COMPUTED_VALUE"""),6.0)</f>
        <v>6</v>
      </c>
      <c r="I34" s="27">
        <f>IFERROR(__xludf.DUMMYFUNCTION("""COMPUTED_VALUE"""),5.0)</f>
        <v>5</v>
      </c>
      <c r="J34" s="27">
        <f>IFERROR(__xludf.DUMMYFUNCTION("""COMPUTED_VALUE"""),2017.0)</f>
        <v>2017</v>
      </c>
      <c r="K34" s="30">
        <f>IFERROR(__xludf.DUMMYFUNCTION("""COMPUTED_VALUE"""),42891.0)</f>
        <v>42891</v>
      </c>
      <c r="L34" s="27" t="str">
        <f>IFERROR(__xludf.DUMMYFUNCTION("""COMPUTED_VALUE"""),"H")</f>
        <v>H</v>
      </c>
      <c r="M34" s="27" t="str">
        <f>IFERROR(__xludf.DUMMYFUNCTION("""COMPUTED_VALUE"""),"GRC")</f>
        <v>GRC</v>
      </c>
      <c r="N34" s="27">
        <f>IFERROR(__xludf.DUMMYFUNCTION("""COMPUTED_VALUE"""),1270.0)</f>
        <v>1270</v>
      </c>
      <c r="O34" s="27" t="str">
        <f>IFERROR(__xludf.DUMMYFUNCTION("""COMPUTED_VALUE"""),"Offline")</f>
        <v>Offline</v>
      </c>
      <c r="P34" s="28">
        <f>IFERROR(__xludf.DUMMYFUNCTION("""COMPUTED_VALUE"""),7990.0)</f>
        <v>7990</v>
      </c>
      <c r="Q34" s="31">
        <f>IFERROR(__xludf.DUMMYFUNCTION("""COMPUTED_VALUE"""),47.45)</f>
        <v>47.45</v>
      </c>
      <c r="R34" s="31">
        <f>IFERROR(__xludf.DUMMYFUNCTION("""COMPUTED_VALUE"""),31.79)</f>
        <v>31.79</v>
      </c>
      <c r="S34" s="31">
        <f>IFERROR(__xludf.DUMMYFUNCTION("""COMPUTED_VALUE"""),379125.5)</f>
        <v>379125.5</v>
      </c>
      <c r="T34" s="31">
        <f>IFERROR(__xludf.DUMMYFUNCTION("""COMPUTED_VALUE"""),254002.1)</f>
        <v>254002.1</v>
      </c>
      <c r="U34" s="31">
        <f>IFERROR(__xludf.DUMMYFUNCTION("""COMPUTED_VALUE"""),125123.4)</f>
        <v>125123.4</v>
      </c>
      <c r="V34" s="27" t="str">
        <f>IFERROR(__xludf.DUMMYFUNCTION("""COMPUTED_VALUE"""),"Beverages")</f>
        <v>Beverages</v>
      </c>
      <c r="W34" s="27" t="str">
        <f>IFERROR(__xludf.DUMMYFUNCTION("""COMPUTED_VALUE"""),"Europe")</f>
        <v>Europe</v>
      </c>
      <c r="X34" s="27" t="str">
        <f>IFERROR(__xludf.DUMMYFUNCTION("""COMPUTED_VALUE"""),"Southern Europe")</f>
        <v>Southern Europe</v>
      </c>
      <c r="Y34" s="32">
        <f>IFERROR(__xludf.DUMMYFUNCTION("""COMPUTED_VALUE"""),0.33003161222339306)</f>
        <v>0.3300316122</v>
      </c>
      <c r="Z34" s="27">
        <f>IFERROR(__xludf.DUMMYFUNCTION("""COMPUTED_VALUE"""),36.0)</f>
        <v>36</v>
      </c>
      <c r="AA34" s="27">
        <f>IFERROR(__xludf.DUMMYFUNCTION("""COMPUTED_VALUE"""),1.0)</f>
        <v>1</v>
      </c>
    </row>
    <row r="35">
      <c r="A35" s="27">
        <f>IFERROR(__xludf.DUMMYFUNCTION("""COMPUTED_VALUE"""),3.3330444E8)</f>
        <v>333304440</v>
      </c>
      <c r="B35" s="33">
        <f>IFERROR(__xludf.DUMMYFUNCTION("""COMPUTED_VALUE"""),43045.0)</f>
        <v>43045</v>
      </c>
      <c r="C35" s="27">
        <f>IFERROR(__xludf.DUMMYFUNCTION("""COMPUTED_VALUE"""),6.0)</f>
        <v>6</v>
      </c>
      <c r="D35" s="28">
        <f>IFERROR(__xludf.DUMMYFUNCTION("""COMPUTED_VALUE"""),11.0)</f>
        <v>11</v>
      </c>
      <c r="E35" s="29">
        <f>IFERROR(__xludf.DUMMYFUNCTION("""COMPUTED_VALUE"""),2017.0)</f>
        <v>2017</v>
      </c>
      <c r="F35" s="30">
        <f>IFERROR(__xludf.DUMMYFUNCTION("""COMPUTED_VALUE"""),42897.0)</f>
        <v>42897</v>
      </c>
      <c r="G35" s="33">
        <f>IFERROR(__xludf.DUMMYFUNCTION("""COMPUTED_VALUE"""),42862.0)</f>
        <v>42862</v>
      </c>
      <c r="H35" s="27">
        <f>IFERROR(__xludf.DUMMYFUNCTION("""COMPUTED_VALUE"""),7.0)</f>
        <v>7</v>
      </c>
      <c r="I35" s="27">
        <f>IFERROR(__xludf.DUMMYFUNCTION("""COMPUTED_VALUE"""),5.0)</f>
        <v>5</v>
      </c>
      <c r="J35" s="27">
        <f>IFERROR(__xludf.DUMMYFUNCTION("""COMPUTED_VALUE"""),2017.0)</f>
        <v>2017</v>
      </c>
      <c r="K35" s="30">
        <f>IFERROR(__xludf.DUMMYFUNCTION("""COMPUTED_VALUE"""),42921.0)</f>
        <v>42921</v>
      </c>
      <c r="L35" s="27" t="str">
        <f>IFERROR(__xludf.DUMMYFUNCTION("""COMPUTED_VALUE"""),"L")</f>
        <v>L</v>
      </c>
      <c r="M35" s="27" t="str">
        <f>IFERROR(__xludf.DUMMYFUNCTION("""COMPUTED_VALUE"""),"CYP")</f>
        <v>CYP</v>
      </c>
      <c r="N35" s="27">
        <f>IFERROR(__xludf.DUMMYFUNCTION("""COMPUTED_VALUE"""),8875.0)</f>
        <v>8875</v>
      </c>
      <c r="O35" s="27" t="str">
        <f>IFERROR(__xludf.DUMMYFUNCTION("""COMPUTED_VALUE"""),"Online")</f>
        <v>Online</v>
      </c>
      <c r="P35" s="28">
        <f>IFERROR(__xludf.DUMMYFUNCTION("""COMPUTED_VALUE"""),1046.0)</f>
        <v>1046</v>
      </c>
      <c r="Q35" s="31">
        <f>IFERROR(__xludf.DUMMYFUNCTION("""COMPUTED_VALUE"""),421.89)</f>
        <v>421.89</v>
      </c>
      <c r="R35" s="31">
        <f>IFERROR(__xludf.DUMMYFUNCTION("""COMPUTED_VALUE"""),364.69)</f>
        <v>364.69</v>
      </c>
      <c r="S35" s="31">
        <f>IFERROR(__xludf.DUMMYFUNCTION("""COMPUTED_VALUE"""),441296.94)</f>
        <v>441296.94</v>
      </c>
      <c r="T35" s="31">
        <f>IFERROR(__xludf.DUMMYFUNCTION("""COMPUTED_VALUE"""),381465.74)</f>
        <v>381465.74</v>
      </c>
      <c r="U35" s="31">
        <f>IFERROR(__xludf.DUMMYFUNCTION("""COMPUTED_VALUE"""),59831.20000000001)</f>
        <v>59831.2</v>
      </c>
      <c r="V35" s="27" t="str">
        <f>IFERROR(__xludf.DUMMYFUNCTION("""COMPUTED_VALUE"""),"Meat")</f>
        <v>Meat</v>
      </c>
      <c r="W35" s="27" t="str">
        <f>IFERROR(__xludf.DUMMYFUNCTION("""COMPUTED_VALUE"""),"Asia")</f>
        <v>Asia</v>
      </c>
      <c r="X35" s="27" t="str">
        <f>IFERROR(__xludf.DUMMYFUNCTION("""COMPUTED_VALUE"""),"Western Asia")</f>
        <v>Western Asia</v>
      </c>
      <c r="Y35" s="32">
        <f>IFERROR(__xludf.DUMMYFUNCTION("""COMPUTED_VALUE"""),0.13558036455000122)</f>
        <v>0.1355803646</v>
      </c>
      <c r="Z35" s="27">
        <f>IFERROR(__xludf.DUMMYFUNCTION("""COMPUTED_VALUE"""),24.0)</f>
        <v>24</v>
      </c>
      <c r="AA35" s="27">
        <f>IFERROR(__xludf.DUMMYFUNCTION("""COMPUTED_VALUE"""),1.0)</f>
        <v>1</v>
      </c>
    </row>
    <row r="36">
      <c r="A36" s="27">
        <f>IFERROR(__xludf.DUMMYFUNCTION("""COMPUTED_VALUE"""),3.41398274E8)</f>
        <v>341398274</v>
      </c>
      <c r="B36" s="27" t="str">
        <f>IFERROR(__xludf.DUMMYFUNCTION("""COMPUTED_VALUE"""),"1/22/2017")</f>
        <v>1/22/2017</v>
      </c>
      <c r="C36" s="27">
        <f>IFERROR(__xludf.DUMMYFUNCTION("""COMPUTED_VALUE"""),1.0)</f>
        <v>1</v>
      </c>
      <c r="D36" s="28">
        <f>IFERROR(__xludf.DUMMYFUNCTION("""COMPUTED_VALUE"""),22.0)</f>
        <v>22</v>
      </c>
      <c r="E36" s="29">
        <f>IFERROR(__xludf.DUMMYFUNCTION("""COMPUTED_VALUE"""),2017.0)</f>
        <v>2017</v>
      </c>
      <c r="F36" s="30">
        <f>IFERROR(__xludf.DUMMYFUNCTION("""COMPUTED_VALUE"""),42757.0)</f>
        <v>42757</v>
      </c>
      <c r="G36" s="33">
        <f>IFERROR(__xludf.DUMMYFUNCTION("""COMPUTED_VALUE"""),42919.0)</f>
        <v>42919</v>
      </c>
      <c r="H36" s="27">
        <f>IFERROR(__xludf.DUMMYFUNCTION("""COMPUTED_VALUE"""),3.0)</f>
        <v>3</v>
      </c>
      <c r="I36" s="27">
        <f>IFERROR(__xludf.DUMMYFUNCTION("""COMPUTED_VALUE"""),7.0)</f>
        <v>7</v>
      </c>
      <c r="J36" s="27">
        <f>IFERROR(__xludf.DUMMYFUNCTION("""COMPUTED_VALUE"""),2017.0)</f>
        <v>2017</v>
      </c>
      <c r="K36" s="30">
        <f>IFERROR(__xludf.DUMMYFUNCTION("""COMPUTED_VALUE"""),42801.0)</f>
        <v>42801</v>
      </c>
      <c r="L36" s="27" t="str">
        <f>IFERROR(__xludf.DUMMYFUNCTION("""COMPUTED_VALUE"""),"L")</f>
        <v>L</v>
      </c>
      <c r="M36" s="27" t="str">
        <f>IFERROR(__xludf.DUMMYFUNCTION("""COMPUTED_VALUE"""),"GEO")</f>
        <v>GEO</v>
      </c>
      <c r="N36" s="27">
        <f>IFERROR(__xludf.DUMMYFUNCTION("""COMPUTED_VALUE"""),8969.0)</f>
        <v>8969</v>
      </c>
      <c r="O36" s="27" t="str">
        <f>IFERROR(__xludf.DUMMYFUNCTION("""COMPUTED_VALUE"""),"Offline")</f>
        <v>Offline</v>
      </c>
      <c r="P36" s="28">
        <f>IFERROR(__xludf.DUMMYFUNCTION("""COMPUTED_VALUE"""),6191.0)</f>
        <v>6191</v>
      </c>
      <c r="Q36" s="31">
        <f>IFERROR(__xludf.DUMMYFUNCTION("""COMPUTED_VALUE"""),152.58)</f>
        <v>152.58</v>
      </c>
      <c r="R36" s="31">
        <f>IFERROR(__xludf.DUMMYFUNCTION("""COMPUTED_VALUE"""),97.44)</f>
        <v>97.44</v>
      </c>
      <c r="S36" s="31">
        <f>IFERROR(__xludf.DUMMYFUNCTION("""COMPUTED_VALUE"""),944622.78)</f>
        <v>944622.78</v>
      </c>
      <c r="T36" s="31">
        <f>IFERROR(__xludf.DUMMYFUNCTION("""COMPUTED_VALUE"""),603251.04)</f>
        <v>603251.04</v>
      </c>
      <c r="U36" s="31">
        <f>IFERROR(__xludf.DUMMYFUNCTION("""COMPUTED_VALUE"""),341371.74)</f>
        <v>341371.74</v>
      </c>
      <c r="V36" s="27" t="str">
        <f>IFERROR(__xludf.DUMMYFUNCTION("""COMPUTED_VALUE"""),"Snacks")</f>
        <v>Snacks</v>
      </c>
      <c r="W36" s="27" t="str">
        <f>IFERROR(__xludf.DUMMYFUNCTION("""COMPUTED_VALUE"""),"Asia")</f>
        <v>Asia</v>
      </c>
      <c r="X36" s="27" t="str">
        <f>IFERROR(__xludf.DUMMYFUNCTION("""COMPUTED_VALUE"""),"Western Asia")</f>
        <v>Western Asia</v>
      </c>
      <c r="Y36" s="32">
        <f>IFERROR(__xludf.DUMMYFUNCTION("""COMPUTED_VALUE"""),0.36138419189933146)</f>
        <v>0.3613841919</v>
      </c>
      <c r="Z36" s="27">
        <f>IFERROR(__xludf.DUMMYFUNCTION("""COMPUTED_VALUE"""),44.0)</f>
        <v>44</v>
      </c>
      <c r="AA36" s="27">
        <f>IFERROR(__xludf.DUMMYFUNCTION("""COMPUTED_VALUE"""),1.0)</f>
        <v>1</v>
      </c>
    </row>
    <row r="37">
      <c r="A37" s="27">
        <f>IFERROR(__xludf.DUMMYFUNCTION("""COMPUTED_VALUE"""),3.43730294E8)</f>
        <v>343730294</v>
      </c>
      <c r="B37" s="33">
        <f>IFERROR(__xludf.DUMMYFUNCTION("""COMPUTED_VALUE"""),42740.0)</f>
        <v>42740</v>
      </c>
      <c r="C37" s="27">
        <f>IFERROR(__xludf.DUMMYFUNCTION("""COMPUTED_VALUE"""),5.0)</f>
        <v>5</v>
      </c>
      <c r="D37" s="28">
        <f>IFERROR(__xludf.DUMMYFUNCTION("""COMPUTED_VALUE"""),1.0)</f>
        <v>1</v>
      </c>
      <c r="E37" s="29">
        <f>IFERROR(__xludf.DUMMYFUNCTION("""COMPUTED_VALUE"""),2017.0)</f>
        <v>2017</v>
      </c>
      <c r="F37" s="30">
        <f>IFERROR(__xludf.DUMMYFUNCTION("""COMPUTED_VALUE"""),42856.0)</f>
        <v>42856</v>
      </c>
      <c r="G37" s="27" t="str">
        <f>IFERROR(__xludf.DUMMYFUNCTION("""COMPUTED_VALUE"""),"5/28/2017")</f>
        <v>5/28/2017</v>
      </c>
      <c r="H37" s="27">
        <f>IFERROR(__xludf.DUMMYFUNCTION("""COMPUTED_VALUE"""),5.0)</f>
        <v>5</v>
      </c>
      <c r="I37" s="27">
        <f>IFERROR(__xludf.DUMMYFUNCTION("""COMPUTED_VALUE"""),28.0)</f>
        <v>28</v>
      </c>
      <c r="J37" s="27">
        <f>IFERROR(__xludf.DUMMYFUNCTION("""COMPUTED_VALUE"""),2017.0)</f>
        <v>2017</v>
      </c>
      <c r="K37" s="30">
        <f>IFERROR(__xludf.DUMMYFUNCTION("""COMPUTED_VALUE"""),42883.0)</f>
        <v>42883</v>
      </c>
      <c r="L37" s="27" t="str">
        <f>IFERROR(__xludf.DUMMYFUNCTION("""COMPUTED_VALUE"""),"L")</f>
        <v>L</v>
      </c>
      <c r="M37" s="27" t="str">
        <f>IFERROR(__xludf.DUMMYFUNCTION("""COMPUTED_VALUE"""),"LVA")</f>
        <v>LVA</v>
      </c>
      <c r="N37" s="27">
        <f>IFERROR(__xludf.DUMMYFUNCTION("""COMPUTED_VALUE"""),8681.0)</f>
        <v>8681</v>
      </c>
      <c r="O37" s="27" t="str">
        <f>IFERROR(__xludf.DUMMYFUNCTION("""COMPUTED_VALUE"""),"Online")</f>
        <v>Online</v>
      </c>
      <c r="P37" s="28">
        <f>IFERROR(__xludf.DUMMYFUNCTION("""COMPUTED_VALUE"""),6287.0)</f>
        <v>6287</v>
      </c>
      <c r="Q37" s="31">
        <f>IFERROR(__xludf.DUMMYFUNCTION("""COMPUTED_VALUE"""),651.21)</f>
        <v>651.21</v>
      </c>
      <c r="R37" s="31">
        <f>IFERROR(__xludf.DUMMYFUNCTION("""COMPUTED_VALUE"""),524.96)</f>
        <v>524.96</v>
      </c>
      <c r="S37" s="31">
        <f>IFERROR(__xludf.DUMMYFUNCTION("""COMPUTED_VALUE"""),4094157.27)</f>
        <v>4094157.27</v>
      </c>
      <c r="T37" s="31">
        <f>IFERROR(__xludf.DUMMYFUNCTION("""COMPUTED_VALUE"""),3300423.52)</f>
        <v>3300423.52</v>
      </c>
      <c r="U37" s="31">
        <f>IFERROR(__xludf.DUMMYFUNCTION("""COMPUTED_VALUE"""),793733.75)</f>
        <v>793733.75</v>
      </c>
      <c r="V37" s="27" t="str">
        <f>IFERROR(__xludf.DUMMYFUNCTION("""COMPUTED_VALUE"""),"Office Supplies")</f>
        <v>Office Supplies</v>
      </c>
      <c r="W37" s="27" t="str">
        <f>IFERROR(__xludf.DUMMYFUNCTION("""COMPUTED_VALUE"""),"Europe")</f>
        <v>Europe</v>
      </c>
      <c r="X37" s="27" t="str">
        <f>IFERROR(__xludf.DUMMYFUNCTION("""COMPUTED_VALUE"""),"Northern Europe")</f>
        <v>Northern Europe</v>
      </c>
      <c r="Y37" s="32">
        <f>IFERROR(__xludf.DUMMYFUNCTION("""COMPUTED_VALUE"""),0.19386987300563566)</f>
        <v>0.193869873</v>
      </c>
      <c r="Z37" s="27">
        <f>IFERROR(__xludf.DUMMYFUNCTION("""COMPUTED_VALUE"""),27.0)</f>
        <v>27</v>
      </c>
      <c r="AA37" s="27">
        <f>IFERROR(__xludf.DUMMYFUNCTION("""COMPUTED_VALUE"""),2.0)</f>
        <v>2</v>
      </c>
    </row>
    <row r="38">
      <c r="A38" s="27">
        <f>IFERROR(__xludf.DUMMYFUNCTION("""COMPUTED_VALUE"""),3.52342545E8)</f>
        <v>352342545</v>
      </c>
      <c r="B38" s="27" t="str">
        <f>IFERROR(__xludf.DUMMYFUNCTION("""COMPUTED_VALUE"""),"2/19/2017")</f>
        <v>2/19/2017</v>
      </c>
      <c r="C38" s="27">
        <f>IFERROR(__xludf.DUMMYFUNCTION("""COMPUTED_VALUE"""),2.0)</f>
        <v>2</v>
      </c>
      <c r="D38" s="28">
        <f>IFERROR(__xludf.DUMMYFUNCTION("""COMPUTED_VALUE"""),19.0)</f>
        <v>19</v>
      </c>
      <c r="E38" s="29">
        <f>IFERROR(__xludf.DUMMYFUNCTION("""COMPUTED_VALUE"""),2017.0)</f>
        <v>2017</v>
      </c>
      <c r="F38" s="30">
        <f>IFERROR(__xludf.DUMMYFUNCTION("""COMPUTED_VALUE"""),42785.0)</f>
        <v>42785</v>
      </c>
      <c r="G38" s="27" t="str">
        <f>IFERROR(__xludf.DUMMYFUNCTION("""COMPUTED_VALUE"""),"3/27/2017")</f>
        <v>3/27/2017</v>
      </c>
      <c r="H38" s="27">
        <f>IFERROR(__xludf.DUMMYFUNCTION("""COMPUTED_VALUE"""),3.0)</f>
        <v>3</v>
      </c>
      <c r="I38" s="27">
        <f>IFERROR(__xludf.DUMMYFUNCTION("""COMPUTED_VALUE"""),27.0)</f>
        <v>27</v>
      </c>
      <c r="J38" s="27">
        <f>IFERROR(__xludf.DUMMYFUNCTION("""COMPUTED_VALUE"""),2017.0)</f>
        <v>2017</v>
      </c>
      <c r="K38" s="30">
        <f>IFERROR(__xludf.DUMMYFUNCTION("""COMPUTED_VALUE"""),42821.0)</f>
        <v>42821</v>
      </c>
      <c r="L38" s="27" t="str">
        <f>IFERROR(__xludf.DUMMYFUNCTION("""COMPUTED_VALUE"""),"M")</f>
        <v>M</v>
      </c>
      <c r="M38" s="27" t="str">
        <f>IFERROR(__xludf.DUMMYFUNCTION("""COMPUTED_VALUE"""),"ESP")</f>
        <v>ESP</v>
      </c>
      <c r="N38" s="27">
        <f>IFERROR(__xludf.DUMMYFUNCTION("""COMPUTED_VALUE"""),8969.0)</f>
        <v>8969</v>
      </c>
      <c r="O38" s="27" t="str">
        <f>IFERROR(__xludf.DUMMYFUNCTION("""COMPUTED_VALUE"""),"Offline")</f>
        <v>Offline</v>
      </c>
      <c r="P38" s="28">
        <f>IFERROR(__xludf.DUMMYFUNCTION("""COMPUTED_VALUE"""),4844.0)</f>
        <v>4844</v>
      </c>
      <c r="Q38" s="31">
        <f>IFERROR(__xludf.DUMMYFUNCTION("""COMPUTED_VALUE"""),152.58)</f>
        <v>152.58</v>
      </c>
      <c r="R38" s="31">
        <f>IFERROR(__xludf.DUMMYFUNCTION("""COMPUTED_VALUE"""),97.44)</f>
        <v>97.44</v>
      </c>
      <c r="S38" s="31">
        <f>IFERROR(__xludf.DUMMYFUNCTION("""COMPUTED_VALUE"""),739097.52)</f>
        <v>739097.52</v>
      </c>
      <c r="T38" s="31">
        <f>IFERROR(__xludf.DUMMYFUNCTION("""COMPUTED_VALUE"""),471999.36)</f>
        <v>471999.36</v>
      </c>
      <c r="U38" s="31">
        <f>IFERROR(__xludf.DUMMYFUNCTION("""COMPUTED_VALUE"""),267098.16000000003)</f>
        <v>267098.16</v>
      </c>
      <c r="V38" s="27" t="str">
        <f>IFERROR(__xludf.DUMMYFUNCTION("""COMPUTED_VALUE"""),"Snacks")</f>
        <v>Snacks</v>
      </c>
      <c r="W38" s="27" t="str">
        <f>IFERROR(__xludf.DUMMYFUNCTION("""COMPUTED_VALUE"""),"Europe")</f>
        <v>Europe</v>
      </c>
      <c r="X38" s="27" t="str">
        <f>IFERROR(__xludf.DUMMYFUNCTION("""COMPUTED_VALUE"""),"Southern Europe")</f>
        <v>Southern Europe</v>
      </c>
      <c r="Y38" s="32">
        <f>IFERROR(__xludf.DUMMYFUNCTION("""COMPUTED_VALUE"""),0.3613841918993315)</f>
        <v>0.3613841919</v>
      </c>
      <c r="Z38" s="27">
        <f>IFERROR(__xludf.DUMMYFUNCTION("""COMPUTED_VALUE"""),36.0)</f>
        <v>36</v>
      </c>
      <c r="AA38" s="27">
        <f>IFERROR(__xludf.DUMMYFUNCTION("""COMPUTED_VALUE"""),1.0)</f>
        <v>1</v>
      </c>
    </row>
    <row r="39">
      <c r="A39" s="27">
        <f>IFERROR(__xludf.DUMMYFUNCTION("""COMPUTED_VALUE"""),3.61311852E8)</f>
        <v>361311852</v>
      </c>
      <c r="B39" s="33">
        <f>IFERROR(__xludf.DUMMYFUNCTION("""COMPUTED_VALUE"""),42887.0)</f>
        <v>42887</v>
      </c>
      <c r="C39" s="27">
        <f>IFERROR(__xludf.DUMMYFUNCTION("""COMPUTED_VALUE"""),1.0)</f>
        <v>1</v>
      </c>
      <c r="D39" s="28">
        <f>IFERROR(__xludf.DUMMYFUNCTION("""COMPUTED_VALUE"""),6.0)</f>
        <v>6</v>
      </c>
      <c r="E39" s="29">
        <f>IFERROR(__xludf.DUMMYFUNCTION("""COMPUTED_VALUE"""),2017.0)</f>
        <v>2017</v>
      </c>
      <c r="F39" s="30">
        <f>IFERROR(__xludf.DUMMYFUNCTION("""COMPUTED_VALUE"""),42741.0)</f>
        <v>42741</v>
      </c>
      <c r="G39" s="27" t="str">
        <f>IFERROR(__xludf.DUMMYFUNCTION("""COMPUTED_VALUE"""),"2/15/2017")</f>
        <v>2/15/2017</v>
      </c>
      <c r="H39" s="27">
        <f>IFERROR(__xludf.DUMMYFUNCTION("""COMPUTED_VALUE"""),2.0)</f>
        <v>2</v>
      </c>
      <c r="I39" s="27">
        <f>IFERROR(__xludf.DUMMYFUNCTION("""COMPUTED_VALUE"""),15.0)</f>
        <v>15</v>
      </c>
      <c r="J39" s="27">
        <f>IFERROR(__xludf.DUMMYFUNCTION("""COMPUTED_VALUE"""),2017.0)</f>
        <v>2017</v>
      </c>
      <c r="K39" s="30">
        <f>IFERROR(__xludf.DUMMYFUNCTION("""COMPUTED_VALUE"""),42781.0)</f>
        <v>42781</v>
      </c>
      <c r="L39" s="27" t="str">
        <f>IFERROR(__xludf.DUMMYFUNCTION("""COMPUTED_VALUE"""),"L")</f>
        <v>L</v>
      </c>
      <c r="M39" s="27" t="str">
        <f>IFERROR(__xludf.DUMMYFUNCTION("""COMPUTED_VALUE"""),"DEU")</f>
        <v>DEU</v>
      </c>
      <c r="N39" s="27">
        <f>IFERROR(__xludf.DUMMYFUNCTION("""COMPUTED_VALUE"""),7331.0)</f>
        <v>7331</v>
      </c>
      <c r="O39" s="27" t="str">
        <f>IFERROR(__xludf.DUMMYFUNCTION("""COMPUTED_VALUE"""),"Offline")</f>
        <v>Offline</v>
      </c>
      <c r="P39" s="28">
        <f>IFERROR(__xludf.DUMMYFUNCTION("""COMPUTED_VALUE"""),9061.0)</f>
        <v>9061</v>
      </c>
      <c r="Q39" s="31">
        <f>IFERROR(__xludf.DUMMYFUNCTION("""COMPUTED_VALUE"""),255.28)</f>
        <v>255.28</v>
      </c>
      <c r="R39" s="31">
        <f>IFERROR(__xludf.DUMMYFUNCTION("""COMPUTED_VALUE"""),159.42)</f>
        <v>159.42</v>
      </c>
      <c r="S39" s="31">
        <f>IFERROR(__xludf.DUMMYFUNCTION("""COMPUTED_VALUE"""),2313092.08)</f>
        <v>2313092.08</v>
      </c>
      <c r="T39" s="31">
        <f>IFERROR(__xludf.DUMMYFUNCTION("""COMPUTED_VALUE"""),1444504.6199999999)</f>
        <v>1444504.62</v>
      </c>
      <c r="U39" s="31">
        <f>IFERROR(__xludf.DUMMYFUNCTION("""COMPUTED_VALUE"""),868587.4600000002)</f>
        <v>868587.46</v>
      </c>
      <c r="V39" s="27" t="str">
        <f>IFERROR(__xludf.DUMMYFUNCTION("""COMPUTED_VALUE"""),"Baby Food")</f>
        <v>Baby Food</v>
      </c>
      <c r="W39" s="27" t="str">
        <f>IFERROR(__xludf.DUMMYFUNCTION("""COMPUTED_VALUE"""),"Europe")</f>
        <v>Europe</v>
      </c>
      <c r="X39" s="27" t="str">
        <f>IFERROR(__xludf.DUMMYFUNCTION("""COMPUTED_VALUE"""),"Western Europe")</f>
        <v>Western Europe</v>
      </c>
      <c r="Y39" s="32">
        <f>IFERROR(__xludf.DUMMYFUNCTION("""COMPUTED_VALUE"""),0.3755092447508619)</f>
        <v>0.3755092448</v>
      </c>
      <c r="Z39" s="27">
        <f>IFERROR(__xludf.DUMMYFUNCTION("""COMPUTED_VALUE"""),40.0)</f>
        <v>40</v>
      </c>
      <c r="AA39" s="27">
        <f>IFERROR(__xludf.DUMMYFUNCTION("""COMPUTED_VALUE"""),6.0)</f>
        <v>6</v>
      </c>
    </row>
    <row r="40">
      <c r="A40" s="27">
        <f>IFERROR(__xludf.DUMMYFUNCTION("""COMPUTED_VALUE"""),3.80379998E8)</f>
        <v>380379998</v>
      </c>
      <c r="B40" s="27" t="str">
        <f>IFERROR(__xludf.DUMMYFUNCTION("""COMPUTED_VALUE"""),"7/14/2017")</f>
        <v>7/14/2017</v>
      </c>
      <c r="C40" s="27">
        <f>IFERROR(__xludf.DUMMYFUNCTION("""COMPUTED_VALUE"""),7.0)</f>
        <v>7</v>
      </c>
      <c r="D40" s="28">
        <f>IFERROR(__xludf.DUMMYFUNCTION("""COMPUTED_VALUE"""),14.0)</f>
        <v>14</v>
      </c>
      <c r="E40" s="29">
        <f>IFERROR(__xludf.DUMMYFUNCTION("""COMPUTED_VALUE"""),2017.0)</f>
        <v>2017</v>
      </c>
      <c r="F40" s="30">
        <f>IFERROR(__xludf.DUMMYFUNCTION("""COMPUTED_VALUE"""),42930.0)</f>
        <v>42930</v>
      </c>
      <c r="G40" s="27" t="str">
        <f>IFERROR(__xludf.DUMMYFUNCTION("""COMPUTED_VALUE"""),"7/16/2017")</f>
        <v>7/16/2017</v>
      </c>
      <c r="H40" s="27">
        <f>IFERROR(__xludf.DUMMYFUNCTION("""COMPUTED_VALUE"""),7.0)</f>
        <v>7</v>
      </c>
      <c r="I40" s="27">
        <f>IFERROR(__xludf.DUMMYFUNCTION("""COMPUTED_VALUE"""),16.0)</f>
        <v>16</v>
      </c>
      <c r="J40" s="27">
        <f>IFERROR(__xludf.DUMMYFUNCTION("""COMPUTED_VALUE"""),2017.0)</f>
        <v>2017</v>
      </c>
      <c r="K40" s="30">
        <f>IFERROR(__xludf.DUMMYFUNCTION("""COMPUTED_VALUE"""),42932.0)</f>
        <v>42932</v>
      </c>
      <c r="L40" s="27" t="str">
        <f>IFERROR(__xludf.DUMMYFUNCTION("""COMPUTED_VALUE"""),"C")</f>
        <v>C</v>
      </c>
      <c r="M40" s="27" t="str">
        <f>IFERROR(__xludf.DUMMYFUNCTION("""COMPUTED_VALUE"""),"ALB")</f>
        <v>ALB</v>
      </c>
      <c r="N40" s="27">
        <f>IFERROR(__xludf.DUMMYFUNCTION("""COMPUTED_VALUE"""),7940.0)</f>
        <v>7940</v>
      </c>
      <c r="O40" s="27" t="str">
        <f>IFERROR(__xludf.DUMMYFUNCTION("""COMPUTED_VALUE"""),"Online")</f>
        <v>Online</v>
      </c>
      <c r="P40" s="28">
        <f>IFERROR(__xludf.DUMMYFUNCTION("""COMPUTED_VALUE"""),1749.0)</f>
        <v>1749</v>
      </c>
      <c r="Q40" s="31">
        <f>IFERROR(__xludf.DUMMYFUNCTION("""COMPUTED_VALUE"""),668.27)</f>
        <v>668.27</v>
      </c>
      <c r="R40" s="31">
        <f>IFERROR(__xludf.DUMMYFUNCTION("""COMPUTED_VALUE"""),502.54)</f>
        <v>502.54</v>
      </c>
      <c r="S40" s="31">
        <f>IFERROR(__xludf.DUMMYFUNCTION("""COMPUTED_VALUE"""),1168804.23)</f>
        <v>1168804.23</v>
      </c>
      <c r="T40" s="31">
        <f>IFERROR(__xludf.DUMMYFUNCTION("""COMPUTED_VALUE"""),878942.4600000001)</f>
        <v>878942.46</v>
      </c>
      <c r="U40" s="31">
        <f>IFERROR(__xludf.DUMMYFUNCTION("""COMPUTED_VALUE"""),289861.7699999999)</f>
        <v>289861.77</v>
      </c>
      <c r="V40" s="27" t="str">
        <f>IFERROR(__xludf.DUMMYFUNCTION("""COMPUTED_VALUE"""),"Household")</f>
        <v>Household</v>
      </c>
      <c r="W40" s="27" t="str">
        <f>IFERROR(__xludf.DUMMYFUNCTION("""COMPUTED_VALUE"""),"Europe")</f>
        <v>Europe</v>
      </c>
      <c r="X40" s="27" t="str">
        <f>IFERROR(__xludf.DUMMYFUNCTION("""COMPUTED_VALUE"""),"Southern Europe")</f>
        <v>Southern Europe</v>
      </c>
      <c r="Y40" s="32">
        <f>IFERROR(__xludf.DUMMYFUNCTION("""COMPUTED_VALUE"""),0.2479985634548909)</f>
        <v>0.2479985635</v>
      </c>
      <c r="Z40" s="27">
        <f>IFERROR(__xludf.DUMMYFUNCTION("""COMPUTED_VALUE"""),2.0)</f>
        <v>2</v>
      </c>
      <c r="AA40" s="27">
        <f>IFERROR(__xludf.DUMMYFUNCTION("""COMPUTED_VALUE"""),6.0)</f>
        <v>6</v>
      </c>
    </row>
    <row r="41">
      <c r="A41" s="27">
        <f>IFERROR(__xludf.DUMMYFUNCTION("""COMPUTED_VALUE"""),3.91026866E8)</f>
        <v>391026866</v>
      </c>
      <c r="B41" s="33">
        <f>IFERROR(__xludf.DUMMYFUNCTION("""COMPUTED_VALUE"""),42795.0)</f>
        <v>42795</v>
      </c>
      <c r="C41" s="27">
        <f>IFERROR(__xludf.DUMMYFUNCTION("""COMPUTED_VALUE"""),1.0)</f>
        <v>1</v>
      </c>
      <c r="D41" s="28">
        <f>IFERROR(__xludf.DUMMYFUNCTION("""COMPUTED_VALUE"""),3.0)</f>
        <v>3</v>
      </c>
      <c r="E41" s="29">
        <f>IFERROR(__xludf.DUMMYFUNCTION("""COMPUTED_VALUE"""),2017.0)</f>
        <v>2017</v>
      </c>
      <c r="F41" s="30">
        <f>IFERROR(__xludf.DUMMYFUNCTION("""COMPUTED_VALUE"""),42738.0)</f>
        <v>42738</v>
      </c>
      <c r="G41" s="33">
        <f>IFERROR(__xludf.DUMMYFUNCTION("""COMPUTED_VALUE"""),42948.0)</f>
        <v>42948</v>
      </c>
      <c r="H41" s="27">
        <f>IFERROR(__xludf.DUMMYFUNCTION("""COMPUTED_VALUE"""),1.0)</f>
        <v>1</v>
      </c>
      <c r="I41" s="27">
        <f>IFERROR(__xludf.DUMMYFUNCTION("""COMPUTED_VALUE"""),8.0)</f>
        <v>8</v>
      </c>
      <c r="J41" s="27">
        <f>IFERROR(__xludf.DUMMYFUNCTION("""COMPUTED_VALUE"""),2017.0)</f>
        <v>2017</v>
      </c>
      <c r="K41" s="30">
        <f>IFERROR(__xludf.DUMMYFUNCTION("""COMPUTED_VALUE"""),42743.0)</f>
        <v>42743</v>
      </c>
      <c r="L41" s="27" t="str">
        <f>IFERROR(__xludf.DUMMYFUNCTION("""COMPUTED_VALUE"""),"C")</f>
        <v>C</v>
      </c>
      <c r="M41" s="27" t="str">
        <f>IFERROR(__xludf.DUMMYFUNCTION("""COMPUTED_VALUE"""),"ESP")</f>
        <v>ESP</v>
      </c>
      <c r="N41" s="27">
        <f>IFERROR(__xludf.DUMMYFUNCTION("""COMPUTED_VALUE"""),8293.0)</f>
        <v>8293</v>
      </c>
      <c r="O41" s="27" t="str">
        <f>IFERROR(__xludf.DUMMYFUNCTION("""COMPUTED_VALUE"""),"Offline")</f>
        <v>Offline</v>
      </c>
      <c r="P41" s="28">
        <f>IFERROR(__xludf.DUMMYFUNCTION("""COMPUTED_VALUE"""),2394.0)</f>
        <v>2394</v>
      </c>
      <c r="Q41" s="31">
        <f>IFERROR(__xludf.DUMMYFUNCTION("""COMPUTED_VALUE"""),437.2)</f>
        <v>437.2</v>
      </c>
      <c r="R41" s="31">
        <f>IFERROR(__xludf.DUMMYFUNCTION("""COMPUTED_VALUE"""),263.33)</f>
        <v>263.33</v>
      </c>
      <c r="S41" s="31">
        <f>IFERROR(__xludf.DUMMYFUNCTION("""COMPUTED_VALUE"""),1046656.7999999999)</f>
        <v>1046656.8</v>
      </c>
      <c r="T41" s="31">
        <f>IFERROR(__xludf.DUMMYFUNCTION("""COMPUTED_VALUE"""),630412.02)</f>
        <v>630412.02</v>
      </c>
      <c r="U41" s="31">
        <f>IFERROR(__xludf.DUMMYFUNCTION("""COMPUTED_VALUE"""),416244.7799999999)</f>
        <v>416244.78</v>
      </c>
      <c r="V41" s="27" t="str">
        <f>IFERROR(__xludf.DUMMYFUNCTION("""COMPUTED_VALUE"""),"Cosmetics")</f>
        <v>Cosmetics</v>
      </c>
      <c r="W41" s="27" t="str">
        <f>IFERROR(__xludf.DUMMYFUNCTION("""COMPUTED_VALUE"""),"Europe")</f>
        <v>Europe</v>
      </c>
      <c r="X41" s="27" t="str">
        <f>IFERROR(__xludf.DUMMYFUNCTION("""COMPUTED_VALUE"""),"Southern Europe")</f>
        <v>Southern Europe</v>
      </c>
      <c r="Y41" s="32">
        <f>IFERROR(__xludf.DUMMYFUNCTION("""COMPUTED_VALUE"""),0.3976898444647758)</f>
        <v>0.3976898445</v>
      </c>
      <c r="Z41" s="27">
        <f>IFERROR(__xludf.DUMMYFUNCTION("""COMPUTED_VALUE"""),5.0)</f>
        <v>5</v>
      </c>
      <c r="AA41" s="27">
        <f>IFERROR(__xludf.DUMMYFUNCTION("""COMPUTED_VALUE"""),3.0)</f>
        <v>3</v>
      </c>
    </row>
    <row r="42">
      <c r="A42" s="27">
        <f>IFERROR(__xludf.DUMMYFUNCTION("""COMPUTED_VALUE"""),3.93709933E8)</f>
        <v>393709933</v>
      </c>
      <c r="B42" s="33">
        <f>IFERROR(__xludf.DUMMYFUNCTION("""COMPUTED_VALUE"""),43072.0)</f>
        <v>43072</v>
      </c>
      <c r="C42" s="27">
        <f>IFERROR(__xludf.DUMMYFUNCTION("""COMPUTED_VALUE"""),3.0)</f>
        <v>3</v>
      </c>
      <c r="D42" s="28">
        <f>IFERROR(__xludf.DUMMYFUNCTION("""COMPUTED_VALUE"""),12.0)</f>
        <v>12</v>
      </c>
      <c r="E42" s="29">
        <f>IFERROR(__xludf.DUMMYFUNCTION("""COMPUTED_VALUE"""),2017.0)</f>
        <v>2017</v>
      </c>
      <c r="F42" s="30">
        <f>IFERROR(__xludf.DUMMYFUNCTION("""COMPUTED_VALUE"""),42806.0)</f>
        <v>42806</v>
      </c>
      <c r="G42" s="27" t="str">
        <f>IFERROR(__xludf.DUMMYFUNCTION("""COMPUTED_VALUE"""),"4/25/2017")</f>
        <v>4/25/2017</v>
      </c>
      <c r="H42" s="27">
        <f>IFERROR(__xludf.DUMMYFUNCTION("""COMPUTED_VALUE"""),4.0)</f>
        <v>4</v>
      </c>
      <c r="I42" s="27">
        <f>IFERROR(__xludf.DUMMYFUNCTION("""COMPUTED_VALUE"""),25.0)</f>
        <v>25</v>
      </c>
      <c r="J42" s="27">
        <f>IFERROR(__xludf.DUMMYFUNCTION("""COMPUTED_VALUE"""),2017.0)</f>
        <v>2017</v>
      </c>
      <c r="K42" s="30">
        <f>IFERROR(__xludf.DUMMYFUNCTION("""COMPUTED_VALUE"""),42850.0)</f>
        <v>42850</v>
      </c>
      <c r="L42" s="27" t="str">
        <f>IFERROR(__xludf.DUMMYFUNCTION("""COMPUTED_VALUE"""),"C")</f>
        <v>C</v>
      </c>
      <c r="M42" s="27" t="str">
        <f>IFERROR(__xludf.DUMMYFUNCTION("""COMPUTED_VALUE"""),"FRA")</f>
        <v>FRA</v>
      </c>
      <c r="N42" s="27">
        <f>IFERROR(__xludf.DUMMYFUNCTION("""COMPUTED_VALUE"""),4594.0)</f>
        <v>4594</v>
      </c>
      <c r="O42" s="27" t="str">
        <f>IFERROR(__xludf.DUMMYFUNCTION("""COMPUTED_VALUE"""),"Offline")</f>
        <v>Offline</v>
      </c>
      <c r="P42" s="28">
        <f>IFERROR(__xludf.DUMMYFUNCTION("""COMPUTED_VALUE"""),6373.0)</f>
        <v>6373</v>
      </c>
      <c r="Q42" s="31">
        <f>IFERROR(__xludf.DUMMYFUNCTION("""COMPUTED_VALUE"""),9.33)</f>
        <v>9.33</v>
      </c>
      <c r="R42" s="31">
        <f>IFERROR(__xludf.DUMMYFUNCTION("""COMPUTED_VALUE"""),6.92)</f>
        <v>6.92</v>
      </c>
      <c r="S42" s="31">
        <f>IFERROR(__xludf.DUMMYFUNCTION("""COMPUTED_VALUE"""),59460.090000000004)</f>
        <v>59460.09</v>
      </c>
      <c r="T42" s="31">
        <f>IFERROR(__xludf.DUMMYFUNCTION("""COMPUTED_VALUE"""),44101.159999999996)</f>
        <v>44101.16</v>
      </c>
      <c r="U42" s="31">
        <f>IFERROR(__xludf.DUMMYFUNCTION("""COMPUTED_VALUE"""),15358.930000000008)</f>
        <v>15358.93</v>
      </c>
      <c r="V42" s="27" t="str">
        <f>IFERROR(__xludf.DUMMYFUNCTION("""COMPUTED_VALUE"""),"Fruits")</f>
        <v>Fruits</v>
      </c>
      <c r="W42" s="27" t="str">
        <f>IFERROR(__xludf.DUMMYFUNCTION("""COMPUTED_VALUE"""),"Europe")</f>
        <v>Europe</v>
      </c>
      <c r="X42" s="27" t="str">
        <f>IFERROR(__xludf.DUMMYFUNCTION("""COMPUTED_VALUE"""),"Western Europe")</f>
        <v>Western Europe</v>
      </c>
      <c r="Y42" s="32">
        <f>IFERROR(__xludf.DUMMYFUNCTION("""COMPUTED_VALUE"""),0.2583065380493034)</f>
        <v>0.258306538</v>
      </c>
      <c r="Z42" s="27">
        <f>IFERROR(__xludf.DUMMYFUNCTION("""COMPUTED_VALUE"""),44.0)</f>
        <v>44</v>
      </c>
      <c r="AA42" s="27">
        <f>IFERROR(__xludf.DUMMYFUNCTION("""COMPUTED_VALUE"""),1.0)</f>
        <v>1</v>
      </c>
    </row>
    <row r="43">
      <c r="A43" s="27">
        <f>IFERROR(__xludf.DUMMYFUNCTION("""COMPUTED_VALUE"""),4.10514724E8)</f>
        <v>410514724</v>
      </c>
      <c r="B43" s="33">
        <f>IFERROR(__xludf.DUMMYFUNCTION("""COMPUTED_VALUE"""),42738.0)</f>
        <v>42738</v>
      </c>
      <c r="C43" s="27">
        <f>IFERROR(__xludf.DUMMYFUNCTION("""COMPUTED_VALUE"""),3.0)</f>
        <v>3</v>
      </c>
      <c r="D43" s="28">
        <f>IFERROR(__xludf.DUMMYFUNCTION("""COMPUTED_VALUE"""),1.0)</f>
        <v>1</v>
      </c>
      <c r="E43" s="29">
        <f>IFERROR(__xludf.DUMMYFUNCTION("""COMPUTED_VALUE"""),2017.0)</f>
        <v>2017</v>
      </c>
      <c r="F43" s="30">
        <f>IFERROR(__xludf.DUMMYFUNCTION("""COMPUTED_VALUE"""),42795.0)</f>
        <v>42795</v>
      </c>
      <c r="G43" s="33">
        <f>IFERROR(__xludf.DUMMYFUNCTION("""COMPUTED_VALUE"""),43012.0)</f>
        <v>43012</v>
      </c>
      <c r="H43" s="27">
        <f>IFERROR(__xludf.DUMMYFUNCTION("""COMPUTED_VALUE"""),4.0)</f>
        <v>4</v>
      </c>
      <c r="I43" s="27">
        <f>IFERROR(__xludf.DUMMYFUNCTION("""COMPUTED_VALUE"""),10.0)</f>
        <v>10</v>
      </c>
      <c r="J43" s="27">
        <f>IFERROR(__xludf.DUMMYFUNCTION("""COMPUTED_VALUE"""),2017.0)</f>
        <v>2017</v>
      </c>
      <c r="K43" s="30">
        <f>IFERROR(__xludf.DUMMYFUNCTION("""COMPUTED_VALUE"""),42835.0)</f>
        <v>42835</v>
      </c>
      <c r="L43" s="27" t="str">
        <f>IFERROR(__xludf.DUMMYFUNCTION("""COMPUTED_VALUE"""),"C")</f>
        <v>C</v>
      </c>
      <c r="M43" s="27" t="str">
        <f>IFERROR(__xludf.DUMMYFUNCTION("""COMPUTED_VALUE"""),"SRB")</f>
        <v>SRB</v>
      </c>
      <c r="N43" s="27">
        <f>IFERROR(__xludf.DUMMYFUNCTION("""COMPUTED_VALUE"""),8681.0)</f>
        <v>8681</v>
      </c>
      <c r="O43" s="27" t="str">
        <f>IFERROR(__xludf.DUMMYFUNCTION("""COMPUTED_VALUE"""),"Offline")</f>
        <v>Offline</v>
      </c>
      <c r="P43" s="28">
        <f>IFERROR(__xludf.DUMMYFUNCTION("""COMPUTED_VALUE"""),9284.0)</f>
        <v>9284</v>
      </c>
      <c r="Q43" s="31">
        <f>IFERROR(__xludf.DUMMYFUNCTION("""COMPUTED_VALUE"""),651.21)</f>
        <v>651.21</v>
      </c>
      <c r="R43" s="31">
        <f>IFERROR(__xludf.DUMMYFUNCTION("""COMPUTED_VALUE"""),524.96)</f>
        <v>524.96</v>
      </c>
      <c r="S43" s="31">
        <f>IFERROR(__xludf.DUMMYFUNCTION("""COMPUTED_VALUE"""),6045833.640000001)</f>
        <v>6045833.64</v>
      </c>
      <c r="T43" s="31">
        <f>IFERROR(__xludf.DUMMYFUNCTION("""COMPUTED_VALUE"""),4873728.640000001)</f>
        <v>4873728.64</v>
      </c>
      <c r="U43" s="31">
        <f>IFERROR(__xludf.DUMMYFUNCTION("""COMPUTED_VALUE"""),1172105.0)</f>
        <v>1172105</v>
      </c>
      <c r="V43" s="27" t="str">
        <f>IFERROR(__xludf.DUMMYFUNCTION("""COMPUTED_VALUE"""),"Office Supplies")</f>
        <v>Office Supplies</v>
      </c>
      <c r="W43" s="27" t="str">
        <f>IFERROR(__xludf.DUMMYFUNCTION("""COMPUTED_VALUE"""),"Europe")</f>
        <v>Europe</v>
      </c>
      <c r="X43" s="27" t="str">
        <f>IFERROR(__xludf.DUMMYFUNCTION("""COMPUTED_VALUE"""),"Southern Europe")</f>
        <v>Southern Europe</v>
      </c>
      <c r="Y43" s="32">
        <f>IFERROR(__xludf.DUMMYFUNCTION("""COMPUTED_VALUE"""),0.19386987300563566)</f>
        <v>0.193869873</v>
      </c>
      <c r="Z43" s="27">
        <f>IFERROR(__xludf.DUMMYFUNCTION("""COMPUTED_VALUE"""),40.0)</f>
        <v>40</v>
      </c>
      <c r="AA43" s="27">
        <f>IFERROR(__xludf.DUMMYFUNCTION("""COMPUTED_VALUE"""),4.0)</f>
        <v>4</v>
      </c>
    </row>
    <row r="44">
      <c r="A44" s="27">
        <f>IFERROR(__xludf.DUMMYFUNCTION("""COMPUTED_VALUE"""),4.14579665E8)</f>
        <v>414579665</v>
      </c>
      <c r="B44" s="27" t="str">
        <f>IFERROR(__xludf.DUMMYFUNCTION("""COMPUTED_VALUE"""),"6/20/2017")</f>
        <v>6/20/2017</v>
      </c>
      <c r="C44" s="27">
        <f>IFERROR(__xludf.DUMMYFUNCTION("""COMPUTED_VALUE"""),6.0)</f>
        <v>6</v>
      </c>
      <c r="D44" s="28">
        <f>IFERROR(__xludf.DUMMYFUNCTION("""COMPUTED_VALUE"""),20.0)</f>
        <v>20</v>
      </c>
      <c r="E44" s="29">
        <f>IFERROR(__xludf.DUMMYFUNCTION("""COMPUTED_VALUE"""),2017.0)</f>
        <v>2017</v>
      </c>
      <c r="F44" s="30">
        <f>IFERROR(__xludf.DUMMYFUNCTION("""COMPUTED_VALUE"""),42906.0)</f>
        <v>42906</v>
      </c>
      <c r="G44" s="33">
        <f>IFERROR(__xludf.DUMMYFUNCTION("""COMPUTED_VALUE"""),43015.0)</f>
        <v>43015</v>
      </c>
      <c r="H44" s="27">
        <f>IFERROR(__xludf.DUMMYFUNCTION("""COMPUTED_VALUE"""),7.0)</f>
        <v>7</v>
      </c>
      <c r="I44" s="27">
        <f>IFERROR(__xludf.DUMMYFUNCTION("""COMPUTED_VALUE"""),10.0)</f>
        <v>10</v>
      </c>
      <c r="J44" s="27">
        <f>IFERROR(__xludf.DUMMYFUNCTION("""COMPUTED_VALUE"""),2017.0)</f>
        <v>2017</v>
      </c>
      <c r="K44" s="30">
        <f>IFERROR(__xludf.DUMMYFUNCTION("""COMPUTED_VALUE"""),42926.0)</f>
        <v>42926</v>
      </c>
      <c r="L44" s="27" t="str">
        <f>IFERROR(__xludf.DUMMYFUNCTION("""COMPUTED_VALUE"""),"H")</f>
        <v>H</v>
      </c>
      <c r="M44" s="27" t="str">
        <f>IFERROR(__xludf.DUMMYFUNCTION("""COMPUTED_VALUE"""),"FIN")</f>
        <v>FIN</v>
      </c>
      <c r="N44" s="27">
        <f>IFERROR(__xludf.DUMMYFUNCTION("""COMPUTED_VALUE"""),8969.0)</f>
        <v>8969</v>
      </c>
      <c r="O44" s="27" t="str">
        <f>IFERROR(__xludf.DUMMYFUNCTION("""COMPUTED_VALUE"""),"Online")</f>
        <v>Online</v>
      </c>
      <c r="P44" s="28">
        <f>IFERROR(__xludf.DUMMYFUNCTION("""COMPUTED_VALUE"""),2191.0)</f>
        <v>2191</v>
      </c>
      <c r="Q44" s="31">
        <f>IFERROR(__xludf.DUMMYFUNCTION("""COMPUTED_VALUE"""),152.58)</f>
        <v>152.58</v>
      </c>
      <c r="R44" s="31">
        <f>IFERROR(__xludf.DUMMYFUNCTION("""COMPUTED_VALUE"""),97.44)</f>
        <v>97.44</v>
      </c>
      <c r="S44" s="31">
        <f>IFERROR(__xludf.DUMMYFUNCTION("""COMPUTED_VALUE"""),334302.78)</f>
        <v>334302.78</v>
      </c>
      <c r="T44" s="31">
        <f>IFERROR(__xludf.DUMMYFUNCTION("""COMPUTED_VALUE"""),213491.04)</f>
        <v>213491.04</v>
      </c>
      <c r="U44" s="31">
        <f>IFERROR(__xludf.DUMMYFUNCTION("""COMPUTED_VALUE"""),120811.74000000002)</f>
        <v>120811.74</v>
      </c>
      <c r="V44" s="27" t="str">
        <f>IFERROR(__xludf.DUMMYFUNCTION("""COMPUTED_VALUE"""),"Snacks")</f>
        <v>Snacks</v>
      </c>
      <c r="W44" s="27" t="str">
        <f>IFERROR(__xludf.DUMMYFUNCTION("""COMPUTED_VALUE"""),"Europe")</f>
        <v>Europe</v>
      </c>
      <c r="X44" s="27" t="str">
        <f>IFERROR(__xludf.DUMMYFUNCTION("""COMPUTED_VALUE"""),"Northern Europe")</f>
        <v>Northern Europe</v>
      </c>
      <c r="Y44" s="32">
        <f>IFERROR(__xludf.DUMMYFUNCTION("""COMPUTED_VALUE"""),0.3613841918993315)</f>
        <v>0.3613841919</v>
      </c>
      <c r="Z44" s="27">
        <f>IFERROR(__xludf.DUMMYFUNCTION("""COMPUTED_VALUE"""),20.0)</f>
        <v>20</v>
      </c>
      <c r="AA44" s="27">
        <f>IFERROR(__xludf.DUMMYFUNCTION("""COMPUTED_VALUE"""),3.0)</f>
        <v>3</v>
      </c>
    </row>
    <row r="45">
      <c r="A45" s="27">
        <f>IFERROR(__xludf.DUMMYFUNCTION("""COMPUTED_VALUE"""),4.39204919E8)</f>
        <v>439204919</v>
      </c>
      <c r="B45" s="33">
        <f>IFERROR(__xludf.DUMMYFUNCTION("""COMPUTED_VALUE"""),43041.0)</f>
        <v>43041</v>
      </c>
      <c r="C45" s="27">
        <f>IFERROR(__xludf.DUMMYFUNCTION("""COMPUTED_VALUE"""),2.0)</f>
        <v>2</v>
      </c>
      <c r="D45" s="28">
        <f>IFERROR(__xludf.DUMMYFUNCTION("""COMPUTED_VALUE"""),11.0)</f>
        <v>11</v>
      </c>
      <c r="E45" s="29">
        <f>IFERROR(__xludf.DUMMYFUNCTION("""COMPUTED_VALUE"""),2017.0)</f>
        <v>2017</v>
      </c>
      <c r="F45" s="30">
        <f>IFERROR(__xludf.DUMMYFUNCTION("""COMPUTED_VALUE"""),42777.0)</f>
        <v>42777</v>
      </c>
      <c r="G45" s="27" t="str">
        <f>IFERROR(__xludf.DUMMYFUNCTION("""COMPUTED_VALUE"""),"2/19/2017")</f>
        <v>2/19/2017</v>
      </c>
      <c r="H45" s="27">
        <f>IFERROR(__xludf.DUMMYFUNCTION("""COMPUTED_VALUE"""),2.0)</f>
        <v>2</v>
      </c>
      <c r="I45" s="27">
        <f>IFERROR(__xludf.DUMMYFUNCTION("""COMPUTED_VALUE"""),19.0)</f>
        <v>19</v>
      </c>
      <c r="J45" s="27">
        <f>IFERROR(__xludf.DUMMYFUNCTION("""COMPUTED_VALUE"""),2017.0)</f>
        <v>2017</v>
      </c>
      <c r="K45" s="30">
        <f>IFERROR(__xludf.DUMMYFUNCTION("""COMPUTED_VALUE"""),42785.0)</f>
        <v>42785</v>
      </c>
      <c r="L45" s="27" t="str">
        <f>IFERROR(__xludf.DUMMYFUNCTION("""COMPUTED_VALUE"""),"L")</f>
        <v>L</v>
      </c>
      <c r="M45" s="27" t="str">
        <f>IFERROR(__xludf.DUMMYFUNCTION("""COMPUTED_VALUE"""),"ISL")</f>
        <v>ISL</v>
      </c>
      <c r="N45" s="27">
        <f>IFERROR(__xludf.DUMMYFUNCTION("""COMPUTED_VALUE"""),1270.0)</f>
        <v>1270</v>
      </c>
      <c r="O45" s="27" t="str">
        <f>IFERROR(__xludf.DUMMYFUNCTION("""COMPUTED_VALUE"""),"Online")</f>
        <v>Online</v>
      </c>
      <c r="P45" s="28">
        <f>IFERROR(__xludf.DUMMYFUNCTION("""COMPUTED_VALUE"""),9350.0)</f>
        <v>9350</v>
      </c>
      <c r="Q45" s="31">
        <f>IFERROR(__xludf.DUMMYFUNCTION("""COMPUTED_VALUE"""),47.45)</f>
        <v>47.45</v>
      </c>
      <c r="R45" s="31">
        <f>IFERROR(__xludf.DUMMYFUNCTION("""COMPUTED_VALUE"""),31.79)</f>
        <v>31.79</v>
      </c>
      <c r="S45" s="31">
        <f>IFERROR(__xludf.DUMMYFUNCTION("""COMPUTED_VALUE"""),443657.5)</f>
        <v>443657.5</v>
      </c>
      <c r="T45" s="31">
        <f>IFERROR(__xludf.DUMMYFUNCTION("""COMPUTED_VALUE"""),297236.5)</f>
        <v>297236.5</v>
      </c>
      <c r="U45" s="31">
        <f>IFERROR(__xludf.DUMMYFUNCTION("""COMPUTED_VALUE"""),146421.0)</f>
        <v>146421</v>
      </c>
      <c r="V45" s="27" t="str">
        <f>IFERROR(__xludf.DUMMYFUNCTION("""COMPUTED_VALUE"""),"Beverages")</f>
        <v>Beverages</v>
      </c>
      <c r="W45" s="27" t="str">
        <f>IFERROR(__xludf.DUMMYFUNCTION("""COMPUTED_VALUE"""),"Europe")</f>
        <v>Europe</v>
      </c>
      <c r="X45" s="27" t="str">
        <f>IFERROR(__xludf.DUMMYFUNCTION("""COMPUTED_VALUE"""),"Northern Europe")</f>
        <v>Northern Europe</v>
      </c>
      <c r="Y45" s="32">
        <f>IFERROR(__xludf.DUMMYFUNCTION("""COMPUTED_VALUE"""),0.33003161222339306)</f>
        <v>0.3300316122</v>
      </c>
      <c r="Z45" s="27">
        <f>IFERROR(__xludf.DUMMYFUNCTION("""COMPUTED_VALUE"""),8.0)</f>
        <v>8</v>
      </c>
      <c r="AA45" s="27">
        <f>IFERROR(__xludf.DUMMYFUNCTION("""COMPUTED_VALUE"""),7.0)</f>
        <v>7</v>
      </c>
    </row>
    <row r="46">
      <c r="A46" s="27">
        <f>IFERROR(__xludf.DUMMYFUNCTION("""COMPUTED_VALUE"""),4.60693061E8)</f>
        <v>460693061</v>
      </c>
      <c r="B46" s="27" t="str">
        <f>IFERROR(__xludf.DUMMYFUNCTION("""COMPUTED_VALUE"""),"1/28/2017")</f>
        <v>1/28/2017</v>
      </c>
      <c r="C46" s="27">
        <f>IFERROR(__xludf.DUMMYFUNCTION("""COMPUTED_VALUE"""),1.0)</f>
        <v>1</v>
      </c>
      <c r="D46" s="28">
        <f>IFERROR(__xludf.DUMMYFUNCTION("""COMPUTED_VALUE"""),28.0)</f>
        <v>28</v>
      </c>
      <c r="E46" s="29">
        <f>IFERROR(__xludf.DUMMYFUNCTION("""COMPUTED_VALUE"""),2017.0)</f>
        <v>2017</v>
      </c>
      <c r="F46" s="30">
        <f>IFERROR(__xludf.DUMMYFUNCTION("""COMPUTED_VALUE"""),42763.0)</f>
        <v>42763</v>
      </c>
      <c r="G46" s="27" t="str">
        <f>IFERROR(__xludf.DUMMYFUNCTION("""COMPUTED_VALUE"""),"2/25/2017")</f>
        <v>2/25/2017</v>
      </c>
      <c r="H46" s="27">
        <f>IFERROR(__xludf.DUMMYFUNCTION("""COMPUTED_VALUE"""),2.0)</f>
        <v>2</v>
      </c>
      <c r="I46" s="27">
        <f>IFERROR(__xludf.DUMMYFUNCTION("""COMPUTED_VALUE"""),25.0)</f>
        <v>25</v>
      </c>
      <c r="J46" s="27">
        <f>IFERROR(__xludf.DUMMYFUNCTION("""COMPUTED_VALUE"""),2017.0)</f>
        <v>2017</v>
      </c>
      <c r="K46" s="30">
        <f>IFERROR(__xludf.DUMMYFUNCTION("""COMPUTED_VALUE"""),42791.0)</f>
        <v>42791</v>
      </c>
      <c r="L46" s="27" t="str">
        <f>IFERROR(__xludf.DUMMYFUNCTION("""COMPUTED_VALUE"""),"C")</f>
        <v>C</v>
      </c>
      <c r="M46" s="27" t="str">
        <f>IFERROR(__xludf.DUMMYFUNCTION("""COMPUTED_VALUE"""),"GEO")</f>
        <v>GEO</v>
      </c>
      <c r="N46" s="27">
        <f>IFERROR(__xludf.DUMMYFUNCTION("""COMPUTED_VALUE"""),4594.0)</f>
        <v>4594</v>
      </c>
      <c r="O46" s="27" t="str">
        <f>IFERROR(__xludf.DUMMYFUNCTION("""COMPUTED_VALUE"""),"Offline")</f>
        <v>Offline</v>
      </c>
      <c r="P46" s="28">
        <f>IFERROR(__xludf.DUMMYFUNCTION("""COMPUTED_VALUE"""),8169.0)</f>
        <v>8169</v>
      </c>
      <c r="Q46" s="31">
        <f>IFERROR(__xludf.DUMMYFUNCTION("""COMPUTED_VALUE"""),9.33)</f>
        <v>9.33</v>
      </c>
      <c r="R46" s="31">
        <f>IFERROR(__xludf.DUMMYFUNCTION("""COMPUTED_VALUE"""),6.92)</f>
        <v>6.92</v>
      </c>
      <c r="S46" s="31">
        <f>IFERROR(__xludf.DUMMYFUNCTION("""COMPUTED_VALUE"""),76216.77)</f>
        <v>76216.77</v>
      </c>
      <c r="T46" s="31">
        <f>IFERROR(__xludf.DUMMYFUNCTION("""COMPUTED_VALUE"""),56529.479999999996)</f>
        <v>56529.48</v>
      </c>
      <c r="U46" s="31">
        <f>IFERROR(__xludf.DUMMYFUNCTION("""COMPUTED_VALUE"""),19687.290000000008)</f>
        <v>19687.29</v>
      </c>
      <c r="V46" s="27" t="str">
        <f>IFERROR(__xludf.DUMMYFUNCTION("""COMPUTED_VALUE"""),"Fruits")</f>
        <v>Fruits</v>
      </c>
      <c r="W46" s="27" t="str">
        <f>IFERROR(__xludf.DUMMYFUNCTION("""COMPUTED_VALUE"""),"Asia")</f>
        <v>Asia</v>
      </c>
      <c r="X46" s="27" t="str">
        <f>IFERROR(__xludf.DUMMYFUNCTION("""COMPUTED_VALUE"""),"Western Asia")</f>
        <v>Western Asia</v>
      </c>
      <c r="Y46" s="32">
        <f>IFERROR(__xludf.DUMMYFUNCTION("""COMPUTED_VALUE"""),0.2583065380493034)</f>
        <v>0.258306538</v>
      </c>
      <c r="Z46" s="27">
        <f>IFERROR(__xludf.DUMMYFUNCTION("""COMPUTED_VALUE"""),28.0)</f>
        <v>28</v>
      </c>
      <c r="AA46" s="27">
        <f>IFERROR(__xludf.DUMMYFUNCTION("""COMPUTED_VALUE"""),7.0)</f>
        <v>7</v>
      </c>
    </row>
    <row r="47">
      <c r="A47" s="27">
        <f>IFERROR(__xludf.DUMMYFUNCTION("""COMPUTED_VALUE"""),4.76453721E8)</f>
        <v>476453721</v>
      </c>
      <c r="B47" s="27" t="str">
        <f>IFERROR(__xludf.DUMMYFUNCTION("""COMPUTED_VALUE"""),"7/22/2017")</f>
        <v>7/22/2017</v>
      </c>
      <c r="C47" s="27">
        <f>IFERROR(__xludf.DUMMYFUNCTION("""COMPUTED_VALUE"""),7.0)</f>
        <v>7</v>
      </c>
      <c r="D47" s="28">
        <f>IFERROR(__xludf.DUMMYFUNCTION("""COMPUTED_VALUE"""),22.0)</f>
        <v>22</v>
      </c>
      <c r="E47" s="29">
        <f>IFERROR(__xludf.DUMMYFUNCTION("""COMPUTED_VALUE"""),2017.0)</f>
        <v>2017</v>
      </c>
      <c r="F47" s="30">
        <f>IFERROR(__xludf.DUMMYFUNCTION("""COMPUTED_VALUE"""),42938.0)</f>
        <v>42938</v>
      </c>
      <c r="G47" s="33">
        <f>IFERROR(__xludf.DUMMYFUNCTION("""COMPUTED_VALUE"""),43016.0)</f>
        <v>43016</v>
      </c>
      <c r="H47" s="27">
        <f>IFERROR(__xludf.DUMMYFUNCTION("""COMPUTED_VALUE"""),8.0)</f>
        <v>8</v>
      </c>
      <c r="I47" s="27">
        <f>IFERROR(__xludf.DUMMYFUNCTION("""COMPUTED_VALUE"""),10.0)</f>
        <v>10</v>
      </c>
      <c r="J47" s="27">
        <f>IFERROR(__xludf.DUMMYFUNCTION("""COMPUTED_VALUE"""),2017.0)</f>
        <v>2017</v>
      </c>
      <c r="K47" s="30">
        <f>IFERROR(__xludf.DUMMYFUNCTION("""COMPUTED_VALUE"""),42957.0)</f>
        <v>42957</v>
      </c>
      <c r="L47" s="27" t="str">
        <f>IFERROR(__xludf.DUMMYFUNCTION("""COMPUTED_VALUE"""),"C")</f>
        <v>C</v>
      </c>
      <c r="M47" s="27" t="str">
        <f>IFERROR(__xludf.DUMMYFUNCTION("""COMPUTED_VALUE"""),"SMR")</f>
        <v>SMR</v>
      </c>
      <c r="N47" s="27">
        <f>IFERROR(__xludf.DUMMYFUNCTION("""COMPUTED_VALUE"""),8969.0)</f>
        <v>8969</v>
      </c>
      <c r="O47" s="27" t="str">
        <f>IFERROR(__xludf.DUMMYFUNCTION("""COMPUTED_VALUE"""),"Offline")</f>
        <v>Offline</v>
      </c>
      <c r="P47" s="28">
        <f>IFERROR(__xludf.DUMMYFUNCTION("""COMPUTED_VALUE"""),2099.0)</f>
        <v>2099</v>
      </c>
      <c r="Q47" s="31">
        <f>IFERROR(__xludf.DUMMYFUNCTION("""COMPUTED_VALUE"""),152.58)</f>
        <v>152.58</v>
      </c>
      <c r="R47" s="31">
        <f>IFERROR(__xludf.DUMMYFUNCTION("""COMPUTED_VALUE"""),97.44)</f>
        <v>97.44</v>
      </c>
      <c r="S47" s="31">
        <f>IFERROR(__xludf.DUMMYFUNCTION("""COMPUTED_VALUE"""),320265.42000000004)</f>
        <v>320265.42</v>
      </c>
      <c r="T47" s="31">
        <f>IFERROR(__xludf.DUMMYFUNCTION("""COMPUTED_VALUE"""),204526.56)</f>
        <v>204526.56</v>
      </c>
      <c r="U47" s="31">
        <f>IFERROR(__xludf.DUMMYFUNCTION("""COMPUTED_VALUE"""),115738.86000000004)</f>
        <v>115738.86</v>
      </c>
      <c r="V47" s="27" t="str">
        <f>IFERROR(__xludf.DUMMYFUNCTION("""COMPUTED_VALUE"""),"Snacks")</f>
        <v>Snacks</v>
      </c>
      <c r="W47" s="27" t="str">
        <f>IFERROR(__xludf.DUMMYFUNCTION("""COMPUTED_VALUE"""),"Europe")</f>
        <v>Europe</v>
      </c>
      <c r="X47" s="27" t="str">
        <f>IFERROR(__xludf.DUMMYFUNCTION("""COMPUTED_VALUE"""),"Southern Europe")</f>
        <v>Southern Europe</v>
      </c>
      <c r="Y47" s="32">
        <f>IFERROR(__xludf.DUMMYFUNCTION("""COMPUTED_VALUE"""),0.3613841918993316)</f>
        <v>0.3613841919</v>
      </c>
      <c r="Z47" s="27">
        <f>IFERROR(__xludf.DUMMYFUNCTION("""COMPUTED_VALUE"""),19.0)</f>
        <v>19</v>
      </c>
      <c r="AA47" s="27">
        <f>IFERROR(__xludf.DUMMYFUNCTION("""COMPUTED_VALUE"""),7.0)</f>
        <v>7</v>
      </c>
    </row>
    <row r="48">
      <c r="A48" s="27">
        <f>IFERROR(__xludf.DUMMYFUNCTION("""COMPUTED_VALUE"""),4.7699145E8)</f>
        <v>476991450</v>
      </c>
      <c r="B48" s="33">
        <f>IFERROR(__xludf.DUMMYFUNCTION("""COMPUTED_VALUE"""),43042.0)</f>
        <v>43042</v>
      </c>
      <c r="C48" s="27">
        <f>IFERROR(__xludf.DUMMYFUNCTION("""COMPUTED_VALUE"""),3.0)</f>
        <v>3</v>
      </c>
      <c r="D48" s="28">
        <f>IFERROR(__xludf.DUMMYFUNCTION("""COMPUTED_VALUE"""),11.0)</f>
        <v>11</v>
      </c>
      <c r="E48" s="29">
        <f>IFERROR(__xludf.DUMMYFUNCTION("""COMPUTED_VALUE"""),2017.0)</f>
        <v>2017</v>
      </c>
      <c r="F48" s="30">
        <f>IFERROR(__xludf.DUMMYFUNCTION("""COMPUTED_VALUE"""),42805.0)</f>
        <v>42805</v>
      </c>
      <c r="G48" s="27" t="str">
        <f>IFERROR(__xludf.DUMMYFUNCTION("""COMPUTED_VALUE"""),"3/27/2017")</f>
        <v>3/27/2017</v>
      </c>
      <c r="H48" s="27">
        <f>IFERROR(__xludf.DUMMYFUNCTION("""COMPUTED_VALUE"""),3.0)</f>
        <v>3</v>
      </c>
      <c r="I48" s="27">
        <f>IFERROR(__xludf.DUMMYFUNCTION("""COMPUTED_VALUE"""),27.0)</f>
        <v>27</v>
      </c>
      <c r="J48" s="27">
        <f>IFERROR(__xludf.DUMMYFUNCTION("""COMPUTED_VALUE"""),2017.0)</f>
        <v>2017</v>
      </c>
      <c r="K48" s="30">
        <f>IFERROR(__xludf.DUMMYFUNCTION("""COMPUTED_VALUE"""),42821.0)</f>
        <v>42821</v>
      </c>
      <c r="L48" s="27" t="str">
        <f>IFERROR(__xludf.DUMMYFUNCTION("""COMPUTED_VALUE"""),"L")</f>
        <v>L</v>
      </c>
      <c r="M48" s="27" t="str">
        <f>IFERROR(__xludf.DUMMYFUNCTION("""COMPUTED_VALUE"""),"BGR")</f>
        <v>BGR</v>
      </c>
      <c r="N48" s="27">
        <f>IFERROR(__xludf.DUMMYFUNCTION("""COMPUTED_VALUE"""),8969.0)</f>
        <v>8969</v>
      </c>
      <c r="O48" s="27" t="str">
        <f>IFERROR(__xludf.DUMMYFUNCTION("""COMPUTED_VALUE"""),"Offline")</f>
        <v>Offline</v>
      </c>
      <c r="P48" s="28">
        <f>IFERROR(__xludf.DUMMYFUNCTION("""COMPUTED_VALUE"""),1225.0)</f>
        <v>1225</v>
      </c>
      <c r="Q48" s="31">
        <f>IFERROR(__xludf.DUMMYFUNCTION("""COMPUTED_VALUE"""),152.58)</f>
        <v>152.58</v>
      </c>
      <c r="R48" s="31">
        <f>IFERROR(__xludf.DUMMYFUNCTION("""COMPUTED_VALUE"""),97.44)</f>
        <v>97.44</v>
      </c>
      <c r="S48" s="31">
        <f>IFERROR(__xludf.DUMMYFUNCTION("""COMPUTED_VALUE"""),186910.50000000003)</f>
        <v>186910.5</v>
      </c>
      <c r="T48" s="31">
        <f>IFERROR(__xludf.DUMMYFUNCTION("""COMPUTED_VALUE"""),119364.0)</f>
        <v>119364</v>
      </c>
      <c r="U48" s="31">
        <f>IFERROR(__xludf.DUMMYFUNCTION("""COMPUTED_VALUE"""),67546.50000000003)</f>
        <v>67546.5</v>
      </c>
      <c r="V48" s="27" t="str">
        <f>IFERROR(__xludf.DUMMYFUNCTION("""COMPUTED_VALUE"""),"Snacks")</f>
        <v>Snacks</v>
      </c>
      <c r="W48" s="27" t="str">
        <f>IFERROR(__xludf.DUMMYFUNCTION("""COMPUTED_VALUE"""),"Europe")</f>
        <v>Europe</v>
      </c>
      <c r="X48" s="27" t="str">
        <f>IFERROR(__xludf.DUMMYFUNCTION("""COMPUTED_VALUE"""),"Eastern Europe")</f>
        <v>Eastern Europe</v>
      </c>
      <c r="Y48" s="32">
        <f>IFERROR(__xludf.DUMMYFUNCTION("""COMPUTED_VALUE"""),0.3613841918993316)</f>
        <v>0.3613841919</v>
      </c>
      <c r="Z48" s="27">
        <f>IFERROR(__xludf.DUMMYFUNCTION("""COMPUTED_VALUE"""),16.0)</f>
        <v>16</v>
      </c>
      <c r="AA48" s="27">
        <f>IFERROR(__xludf.DUMMYFUNCTION("""COMPUTED_VALUE"""),7.0)</f>
        <v>7</v>
      </c>
    </row>
    <row r="49">
      <c r="A49" s="27">
        <f>IFERROR(__xludf.DUMMYFUNCTION("""COMPUTED_VALUE"""),4.80652987E8)</f>
        <v>480652987</v>
      </c>
      <c r="B49" s="27" t="str">
        <f>IFERROR(__xludf.DUMMYFUNCTION("""COMPUTED_VALUE"""),"3/23/2017")</f>
        <v>3/23/2017</v>
      </c>
      <c r="C49" s="27">
        <f>IFERROR(__xludf.DUMMYFUNCTION("""COMPUTED_VALUE"""),3.0)</f>
        <v>3</v>
      </c>
      <c r="D49" s="28">
        <f>IFERROR(__xludf.DUMMYFUNCTION("""COMPUTED_VALUE"""),23.0)</f>
        <v>23</v>
      </c>
      <c r="E49" s="29">
        <f>IFERROR(__xludf.DUMMYFUNCTION("""COMPUTED_VALUE"""),2017.0)</f>
        <v>2017</v>
      </c>
      <c r="F49" s="30">
        <f>IFERROR(__xludf.DUMMYFUNCTION("""COMPUTED_VALUE"""),42817.0)</f>
        <v>42817</v>
      </c>
      <c r="G49" s="33">
        <f>IFERROR(__xludf.DUMMYFUNCTION("""COMPUTED_VALUE"""),42859.0)</f>
        <v>42859</v>
      </c>
      <c r="H49" s="27">
        <f>IFERROR(__xludf.DUMMYFUNCTION("""COMPUTED_VALUE"""),4.0)</f>
        <v>4</v>
      </c>
      <c r="I49" s="27">
        <f>IFERROR(__xludf.DUMMYFUNCTION("""COMPUTED_VALUE"""),5.0)</f>
        <v>5</v>
      </c>
      <c r="J49" s="27">
        <f>IFERROR(__xludf.DUMMYFUNCTION("""COMPUTED_VALUE"""),2017.0)</f>
        <v>2017</v>
      </c>
      <c r="K49" s="30">
        <f>IFERROR(__xludf.DUMMYFUNCTION("""COMPUTED_VALUE"""),42830.0)</f>
        <v>42830</v>
      </c>
      <c r="L49" s="27" t="str">
        <f>IFERROR(__xludf.DUMMYFUNCTION("""COMPUTED_VALUE"""),"L")</f>
        <v>L</v>
      </c>
      <c r="M49" s="27" t="str">
        <f>IFERROR(__xludf.DUMMYFUNCTION("""COMPUTED_VALUE"""),"ITA")</f>
        <v>ITA</v>
      </c>
      <c r="N49" s="27">
        <f>IFERROR(__xludf.DUMMYFUNCTION("""COMPUTED_VALUE"""),7331.0)</f>
        <v>7331</v>
      </c>
      <c r="O49" s="27" t="str">
        <f>IFERROR(__xludf.DUMMYFUNCTION("""COMPUTED_VALUE"""),"Offline")</f>
        <v>Offline</v>
      </c>
      <c r="P49" s="28">
        <f>IFERROR(__xludf.DUMMYFUNCTION("""COMPUTED_VALUE"""),4755.0)</f>
        <v>4755</v>
      </c>
      <c r="Q49" s="31">
        <f>IFERROR(__xludf.DUMMYFUNCTION("""COMPUTED_VALUE"""),255.28)</f>
        <v>255.28</v>
      </c>
      <c r="R49" s="31">
        <f>IFERROR(__xludf.DUMMYFUNCTION("""COMPUTED_VALUE"""),159.42)</f>
        <v>159.42</v>
      </c>
      <c r="S49" s="31">
        <f>IFERROR(__xludf.DUMMYFUNCTION("""COMPUTED_VALUE"""),1213856.4)</f>
        <v>1213856.4</v>
      </c>
      <c r="T49" s="31">
        <f>IFERROR(__xludf.DUMMYFUNCTION("""COMPUTED_VALUE"""),758042.1)</f>
        <v>758042.1</v>
      </c>
      <c r="U49" s="31">
        <f>IFERROR(__xludf.DUMMYFUNCTION("""COMPUTED_VALUE"""),455814.29999999993)</f>
        <v>455814.3</v>
      </c>
      <c r="V49" s="27" t="str">
        <f>IFERROR(__xludf.DUMMYFUNCTION("""COMPUTED_VALUE"""),"Baby Food")</f>
        <v>Baby Food</v>
      </c>
      <c r="W49" s="27" t="str">
        <f>IFERROR(__xludf.DUMMYFUNCTION("""COMPUTED_VALUE"""),"Europe")</f>
        <v>Europe</v>
      </c>
      <c r="X49" s="27" t="str">
        <f>IFERROR(__xludf.DUMMYFUNCTION("""COMPUTED_VALUE"""),"Southern Europe")</f>
        <v>Southern Europe</v>
      </c>
      <c r="Y49" s="32">
        <f>IFERROR(__xludf.DUMMYFUNCTION("""COMPUTED_VALUE"""),0.3755092447508618)</f>
        <v>0.3755092448</v>
      </c>
      <c r="Z49" s="27">
        <f>IFERROR(__xludf.DUMMYFUNCTION("""COMPUTED_VALUE"""),13.0)</f>
        <v>13</v>
      </c>
      <c r="AA49" s="27">
        <f>IFERROR(__xludf.DUMMYFUNCTION("""COMPUTED_VALUE"""),5.0)</f>
        <v>5</v>
      </c>
    </row>
    <row r="50">
      <c r="A50" s="27">
        <f>IFERROR(__xludf.DUMMYFUNCTION("""COMPUTED_VALUE"""),4.83655774E8)</f>
        <v>483655774</v>
      </c>
      <c r="B50" s="27" t="str">
        <f>IFERROR(__xludf.DUMMYFUNCTION("""COMPUTED_VALUE"""),"7/18/2017")</f>
        <v>7/18/2017</v>
      </c>
      <c r="C50" s="27">
        <f>IFERROR(__xludf.DUMMYFUNCTION("""COMPUTED_VALUE"""),7.0)</f>
        <v>7</v>
      </c>
      <c r="D50" s="28">
        <f>IFERROR(__xludf.DUMMYFUNCTION("""COMPUTED_VALUE"""),18.0)</f>
        <v>18</v>
      </c>
      <c r="E50" s="29">
        <f>IFERROR(__xludf.DUMMYFUNCTION("""COMPUTED_VALUE"""),2017.0)</f>
        <v>2017</v>
      </c>
      <c r="F50" s="30">
        <f>IFERROR(__xludf.DUMMYFUNCTION("""COMPUTED_VALUE"""),42934.0)</f>
        <v>42934</v>
      </c>
      <c r="G50" s="33">
        <f>IFERROR(__xludf.DUMMYFUNCTION("""COMPUTED_VALUE"""),42863.0)</f>
        <v>42863</v>
      </c>
      <c r="H50" s="27">
        <f>IFERROR(__xludf.DUMMYFUNCTION("""COMPUTED_VALUE"""),8.0)</f>
        <v>8</v>
      </c>
      <c r="I50" s="27">
        <f>IFERROR(__xludf.DUMMYFUNCTION("""COMPUTED_VALUE"""),5.0)</f>
        <v>5</v>
      </c>
      <c r="J50" s="27">
        <f>IFERROR(__xludf.DUMMYFUNCTION("""COMPUTED_VALUE"""),2017.0)</f>
        <v>2017</v>
      </c>
      <c r="K50" s="30">
        <f>IFERROR(__xludf.DUMMYFUNCTION("""COMPUTED_VALUE"""),42952.0)</f>
        <v>42952</v>
      </c>
      <c r="L50" s="27" t="str">
        <f>IFERROR(__xludf.DUMMYFUNCTION("""COMPUTED_VALUE"""),"H")</f>
        <v>H</v>
      </c>
      <c r="M50" s="27" t="str">
        <f>IFERROR(__xludf.DUMMYFUNCTION("""COMPUTED_VALUE"""),"Desconhecido")</f>
        <v>Desconhecido</v>
      </c>
      <c r="N50" s="27">
        <f>IFERROR(__xludf.DUMMYFUNCTION("""COMPUTED_VALUE"""),2103.0)</f>
        <v>2103</v>
      </c>
      <c r="O50" s="27" t="str">
        <f>IFERROR(__xludf.DUMMYFUNCTION("""COMPUTED_VALUE"""),"Offline")</f>
        <v>Offline</v>
      </c>
      <c r="P50" s="28">
        <f>IFERROR(__xludf.DUMMYFUNCTION("""COMPUTED_VALUE"""),3346.0)</f>
        <v>3346</v>
      </c>
      <c r="Q50" s="31">
        <f>IFERROR(__xludf.DUMMYFUNCTION("""COMPUTED_VALUE"""),205.7)</f>
        <v>205.7</v>
      </c>
      <c r="R50" s="31">
        <f>IFERROR(__xludf.DUMMYFUNCTION("""COMPUTED_VALUE"""),117.11)</f>
        <v>117.11</v>
      </c>
      <c r="S50" s="31">
        <f>IFERROR(__xludf.DUMMYFUNCTION("""COMPUTED_VALUE"""),688272.2)</f>
        <v>688272.2</v>
      </c>
      <c r="T50" s="31">
        <f>IFERROR(__xludf.DUMMYFUNCTION("""COMPUTED_VALUE"""),391850.06)</f>
        <v>391850.06</v>
      </c>
      <c r="U50" s="31">
        <f>IFERROR(__xludf.DUMMYFUNCTION("""COMPUTED_VALUE"""),296422.13999999996)</f>
        <v>296422.14</v>
      </c>
      <c r="V50" s="27" t="str">
        <f>IFERROR(__xludf.DUMMYFUNCTION("""COMPUTED_VALUE"""),"Cereal")</f>
        <v>Cereal</v>
      </c>
      <c r="W50" s="27" t="str">
        <f>IFERROR(__xludf.DUMMYFUNCTION("""COMPUTED_VALUE"""),"Desconhecido")</f>
        <v>Desconhecido</v>
      </c>
      <c r="X50" s="27" t="str">
        <f>IFERROR(__xludf.DUMMYFUNCTION("""COMPUTED_VALUE"""),"Desconhecido")</f>
        <v>Desconhecido</v>
      </c>
      <c r="Y50" s="32">
        <f>IFERROR(__xludf.DUMMYFUNCTION("""COMPUTED_VALUE"""),0.4306757413709285)</f>
        <v>0.4306757414</v>
      </c>
      <c r="Z50" s="27">
        <f>IFERROR(__xludf.DUMMYFUNCTION("""COMPUTED_VALUE"""),18.0)</f>
        <v>18</v>
      </c>
      <c r="AA50" s="27">
        <f>IFERROR(__xludf.DUMMYFUNCTION("""COMPUTED_VALUE"""),3.0)</f>
        <v>3</v>
      </c>
    </row>
    <row r="51">
      <c r="A51" s="27">
        <f>IFERROR(__xludf.DUMMYFUNCTION("""COMPUTED_VALUE"""),4.85929429E8)</f>
        <v>485929429</v>
      </c>
      <c r="B51" s="27" t="str">
        <f>IFERROR(__xludf.DUMMYFUNCTION("""COMPUTED_VALUE"""),"4/17/2017")</f>
        <v>4/17/2017</v>
      </c>
      <c r="C51" s="27">
        <f>IFERROR(__xludf.DUMMYFUNCTION("""COMPUTED_VALUE"""),4.0)</f>
        <v>4</v>
      </c>
      <c r="D51" s="28">
        <f>IFERROR(__xludf.DUMMYFUNCTION("""COMPUTED_VALUE"""),17.0)</f>
        <v>17</v>
      </c>
      <c r="E51" s="29">
        <f>IFERROR(__xludf.DUMMYFUNCTION("""COMPUTED_VALUE"""),2017.0)</f>
        <v>2017</v>
      </c>
      <c r="F51" s="30">
        <f>IFERROR(__xludf.DUMMYFUNCTION("""COMPUTED_VALUE"""),42842.0)</f>
        <v>42842</v>
      </c>
      <c r="G51" s="27" t="str">
        <f>IFERROR(__xludf.DUMMYFUNCTION("""COMPUTED_VALUE"""),"5/19/2017")</f>
        <v>5/19/2017</v>
      </c>
      <c r="H51" s="27">
        <f>IFERROR(__xludf.DUMMYFUNCTION("""COMPUTED_VALUE"""),5.0)</f>
        <v>5</v>
      </c>
      <c r="I51" s="27">
        <f>IFERROR(__xludf.DUMMYFUNCTION("""COMPUTED_VALUE"""),19.0)</f>
        <v>19</v>
      </c>
      <c r="J51" s="27">
        <f>IFERROR(__xludf.DUMMYFUNCTION("""COMPUTED_VALUE"""),2017.0)</f>
        <v>2017</v>
      </c>
      <c r="K51" s="30">
        <f>IFERROR(__xludf.DUMMYFUNCTION("""COMPUTED_VALUE"""),42874.0)</f>
        <v>42874</v>
      </c>
      <c r="L51" s="27" t="str">
        <f>IFERROR(__xludf.DUMMYFUNCTION("""COMPUTED_VALUE"""),"C")</f>
        <v>C</v>
      </c>
      <c r="M51" s="27" t="str">
        <f>IFERROR(__xludf.DUMMYFUNCTION("""COMPUTED_VALUE"""),"UKR")</f>
        <v>UKR</v>
      </c>
      <c r="N51" s="27">
        <f>IFERROR(__xludf.DUMMYFUNCTION("""COMPUTED_VALUE"""),3127.0)</f>
        <v>3127</v>
      </c>
      <c r="O51" s="27" t="str">
        <f>IFERROR(__xludf.DUMMYFUNCTION("""COMPUTED_VALUE"""),"Offline")</f>
        <v>Offline</v>
      </c>
      <c r="P51" s="28">
        <f>IFERROR(__xludf.DUMMYFUNCTION("""COMPUTED_VALUE"""),6171.0)</f>
        <v>6171</v>
      </c>
      <c r="Q51" s="31">
        <f>IFERROR(__xludf.DUMMYFUNCTION("""COMPUTED_VALUE"""),81.73)</f>
        <v>81.73</v>
      </c>
      <c r="R51" s="31">
        <f>IFERROR(__xludf.DUMMYFUNCTION("""COMPUTED_VALUE"""),56.67)</f>
        <v>56.67</v>
      </c>
      <c r="S51" s="31">
        <f>IFERROR(__xludf.DUMMYFUNCTION("""COMPUTED_VALUE"""),504355.83)</f>
        <v>504355.83</v>
      </c>
      <c r="T51" s="31">
        <f>IFERROR(__xludf.DUMMYFUNCTION("""COMPUTED_VALUE"""),349710.57)</f>
        <v>349710.57</v>
      </c>
      <c r="U51" s="31">
        <f>IFERROR(__xludf.DUMMYFUNCTION("""COMPUTED_VALUE"""),154645.26)</f>
        <v>154645.26</v>
      </c>
      <c r="V51" s="27" t="str">
        <f>IFERROR(__xludf.DUMMYFUNCTION("""COMPUTED_VALUE"""),"Personal Care")</f>
        <v>Personal Care</v>
      </c>
      <c r="W51" s="27" t="str">
        <f>IFERROR(__xludf.DUMMYFUNCTION("""COMPUTED_VALUE"""),"Europe")</f>
        <v>Europe</v>
      </c>
      <c r="X51" s="27" t="str">
        <f>IFERROR(__xludf.DUMMYFUNCTION("""COMPUTED_VALUE"""),"Eastern Europe")</f>
        <v>Eastern Europe</v>
      </c>
      <c r="Y51" s="32">
        <f>IFERROR(__xludf.DUMMYFUNCTION("""COMPUTED_VALUE"""),0.3066193564174722)</f>
        <v>0.3066193564</v>
      </c>
      <c r="Z51" s="27">
        <f>IFERROR(__xludf.DUMMYFUNCTION("""COMPUTED_VALUE"""),32.0)</f>
        <v>32</v>
      </c>
      <c r="AA51" s="27">
        <f>IFERROR(__xludf.DUMMYFUNCTION("""COMPUTED_VALUE"""),2.0)</f>
        <v>2</v>
      </c>
    </row>
    <row r="52">
      <c r="A52" s="27">
        <f>IFERROR(__xludf.DUMMYFUNCTION("""COMPUTED_VALUE"""),5.13802516E8)</f>
        <v>513802516</v>
      </c>
      <c r="B52" s="33">
        <f>IFERROR(__xludf.DUMMYFUNCTION("""COMPUTED_VALUE"""),42773.0)</f>
        <v>42773</v>
      </c>
      <c r="C52" s="27">
        <f>IFERROR(__xludf.DUMMYFUNCTION("""COMPUTED_VALUE"""),7.0)</f>
        <v>7</v>
      </c>
      <c r="D52" s="28">
        <f>IFERROR(__xludf.DUMMYFUNCTION("""COMPUTED_VALUE"""),2.0)</f>
        <v>2</v>
      </c>
      <c r="E52" s="29">
        <f>IFERROR(__xludf.DUMMYFUNCTION("""COMPUTED_VALUE"""),2017.0)</f>
        <v>2017</v>
      </c>
      <c r="F52" s="30">
        <f>IFERROR(__xludf.DUMMYFUNCTION("""COMPUTED_VALUE"""),42918.0)</f>
        <v>42918</v>
      </c>
      <c r="G52" s="33">
        <f>IFERROR(__xludf.DUMMYFUNCTION("""COMPUTED_VALUE"""),42924.0)</f>
        <v>42924</v>
      </c>
      <c r="H52" s="27">
        <f>IFERROR(__xludf.DUMMYFUNCTION("""COMPUTED_VALUE"""),8.0)</f>
        <v>8</v>
      </c>
      <c r="I52" s="27">
        <f>IFERROR(__xludf.DUMMYFUNCTION("""COMPUTED_VALUE"""),7.0)</f>
        <v>7</v>
      </c>
      <c r="J52" s="27">
        <f>IFERROR(__xludf.DUMMYFUNCTION("""COMPUTED_VALUE"""),2017.0)</f>
        <v>2017</v>
      </c>
      <c r="K52" s="30">
        <f>IFERROR(__xludf.DUMMYFUNCTION("""COMPUTED_VALUE"""),42954.0)</f>
        <v>42954</v>
      </c>
      <c r="L52" s="27" t="str">
        <f>IFERROR(__xludf.DUMMYFUNCTION("""COMPUTED_VALUE"""),"L")</f>
        <v>L</v>
      </c>
      <c r="M52" s="27" t="str">
        <f>IFERROR(__xludf.DUMMYFUNCTION("""COMPUTED_VALUE"""),"ESP")</f>
        <v>ESP</v>
      </c>
      <c r="N52" s="27">
        <f>IFERROR(__xludf.DUMMYFUNCTION("""COMPUTED_VALUE"""),8681.0)</f>
        <v>8681</v>
      </c>
      <c r="O52" s="27" t="str">
        <f>IFERROR(__xludf.DUMMYFUNCTION("""COMPUTED_VALUE"""),"Online")</f>
        <v>Online</v>
      </c>
      <c r="P52" s="28">
        <f>IFERROR(__xludf.DUMMYFUNCTION("""COMPUTED_VALUE"""),4437.0)</f>
        <v>4437</v>
      </c>
      <c r="Q52" s="31">
        <f>IFERROR(__xludf.DUMMYFUNCTION("""COMPUTED_VALUE"""),651.21)</f>
        <v>651.21</v>
      </c>
      <c r="R52" s="31">
        <f>IFERROR(__xludf.DUMMYFUNCTION("""COMPUTED_VALUE"""),524.96)</f>
        <v>524.96</v>
      </c>
      <c r="S52" s="31">
        <f>IFERROR(__xludf.DUMMYFUNCTION("""COMPUTED_VALUE"""),2889418.77)</f>
        <v>2889418.77</v>
      </c>
      <c r="T52" s="31">
        <f>IFERROR(__xludf.DUMMYFUNCTION("""COMPUTED_VALUE"""),2329247.52)</f>
        <v>2329247.52</v>
      </c>
      <c r="U52" s="31">
        <f>IFERROR(__xludf.DUMMYFUNCTION("""COMPUTED_VALUE"""),560171.25)</f>
        <v>560171.25</v>
      </c>
      <c r="V52" s="27" t="str">
        <f>IFERROR(__xludf.DUMMYFUNCTION("""COMPUTED_VALUE"""),"Office Supplies")</f>
        <v>Office Supplies</v>
      </c>
      <c r="W52" s="27" t="str">
        <f>IFERROR(__xludf.DUMMYFUNCTION("""COMPUTED_VALUE"""),"Europe")</f>
        <v>Europe</v>
      </c>
      <c r="X52" s="27" t="str">
        <f>IFERROR(__xludf.DUMMYFUNCTION("""COMPUTED_VALUE"""),"Southern Europe")</f>
        <v>Southern Europe</v>
      </c>
      <c r="Y52" s="32">
        <f>IFERROR(__xludf.DUMMYFUNCTION("""COMPUTED_VALUE"""),0.19386987300563566)</f>
        <v>0.193869873</v>
      </c>
      <c r="Z52" s="27">
        <f>IFERROR(__xludf.DUMMYFUNCTION("""COMPUTED_VALUE"""),36.0)</f>
        <v>36</v>
      </c>
      <c r="AA52" s="27">
        <f>IFERROR(__xludf.DUMMYFUNCTION("""COMPUTED_VALUE"""),1.0)</f>
        <v>1</v>
      </c>
    </row>
    <row r="53">
      <c r="A53" s="27">
        <f>IFERROR(__xludf.DUMMYFUNCTION("""COMPUTED_VALUE"""),5.17097985E8)</f>
        <v>517097985</v>
      </c>
      <c r="B53" s="27" t="str">
        <f>IFERROR(__xludf.DUMMYFUNCTION("""COMPUTED_VALUE"""),"3/18/2017")</f>
        <v>3/18/2017</v>
      </c>
      <c r="C53" s="27">
        <f>IFERROR(__xludf.DUMMYFUNCTION("""COMPUTED_VALUE"""),3.0)</f>
        <v>3</v>
      </c>
      <c r="D53" s="28">
        <f>IFERROR(__xludf.DUMMYFUNCTION("""COMPUTED_VALUE"""),18.0)</f>
        <v>18</v>
      </c>
      <c r="E53" s="29">
        <f>IFERROR(__xludf.DUMMYFUNCTION("""COMPUTED_VALUE"""),2017.0)</f>
        <v>2017</v>
      </c>
      <c r="F53" s="30">
        <f>IFERROR(__xludf.DUMMYFUNCTION("""COMPUTED_VALUE"""),42812.0)</f>
        <v>42812</v>
      </c>
      <c r="G53" s="27" t="str">
        <f>IFERROR(__xludf.DUMMYFUNCTION("""COMPUTED_VALUE"""),"4/14/2017")</f>
        <v>4/14/2017</v>
      </c>
      <c r="H53" s="27">
        <f>IFERROR(__xludf.DUMMYFUNCTION("""COMPUTED_VALUE"""),4.0)</f>
        <v>4</v>
      </c>
      <c r="I53" s="27">
        <f>IFERROR(__xludf.DUMMYFUNCTION("""COMPUTED_VALUE"""),14.0)</f>
        <v>14</v>
      </c>
      <c r="J53" s="27">
        <f>IFERROR(__xludf.DUMMYFUNCTION("""COMPUTED_VALUE"""),2017.0)</f>
        <v>2017</v>
      </c>
      <c r="K53" s="30">
        <f>IFERROR(__xludf.DUMMYFUNCTION("""COMPUTED_VALUE"""),42839.0)</f>
        <v>42839</v>
      </c>
      <c r="L53" s="27" t="str">
        <f>IFERROR(__xludf.DUMMYFUNCTION("""COMPUTED_VALUE"""),"M")</f>
        <v>M</v>
      </c>
      <c r="M53" s="27" t="str">
        <f>IFERROR(__xludf.DUMMYFUNCTION("""COMPUTED_VALUE"""),"LVA")</f>
        <v>LVA</v>
      </c>
      <c r="N53" s="27">
        <f>IFERROR(__xludf.DUMMYFUNCTION("""COMPUTED_VALUE"""),8969.0)</f>
        <v>8969</v>
      </c>
      <c r="O53" s="27" t="str">
        <f>IFERROR(__xludf.DUMMYFUNCTION("""COMPUTED_VALUE"""),"Online")</f>
        <v>Online</v>
      </c>
      <c r="P53" s="28">
        <f>IFERROR(__xludf.DUMMYFUNCTION("""COMPUTED_VALUE"""),9640.0)</f>
        <v>9640</v>
      </c>
      <c r="Q53" s="31">
        <f>IFERROR(__xludf.DUMMYFUNCTION("""COMPUTED_VALUE"""),152.58)</f>
        <v>152.58</v>
      </c>
      <c r="R53" s="31">
        <f>IFERROR(__xludf.DUMMYFUNCTION("""COMPUTED_VALUE"""),97.44)</f>
        <v>97.44</v>
      </c>
      <c r="S53" s="31">
        <f>IFERROR(__xludf.DUMMYFUNCTION("""COMPUTED_VALUE"""),1470871.2000000002)</f>
        <v>1470871.2</v>
      </c>
      <c r="T53" s="31">
        <f>IFERROR(__xludf.DUMMYFUNCTION("""COMPUTED_VALUE"""),939321.6)</f>
        <v>939321.6</v>
      </c>
      <c r="U53" s="31">
        <f>IFERROR(__xludf.DUMMYFUNCTION("""COMPUTED_VALUE"""),531549.6000000002)</f>
        <v>531549.6</v>
      </c>
      <c r="V53" s="27" t="str">
        <f>IFERROR(__xludf.DUMMYFUNCTION("""COMPUTED_VALUE"""),"Snacks")</f>
        <v>Snacks</v>
      </c>
      <c r="W53" s="27" t="str">
        <f>IFERROR(__xludf.DUMMYFUNCTION("""COMPUTED_VALUE"""),"Europe")</f>
        <v>Europe</v>
      </c>
      <c r="X53" s="27" t="str">
        <f>IFERROR(__xludf.DUMMYFUNCTION("""COMPUTED_VALUE"""),"Northern Europe")</f>
        <v>Northern Europe</v>
      </c>
      <c r="Y53" s="32">
        <f>IFERROR(__xludf.DUMMYFUNCTION("""COMPUTED_VALUE"""),0.3613841918993316)</f>
        <v>0.3613841919</v>
      </c>
      <c r="Z53" s="27">
        <f>IFERROR(__xludf.DUMMYFUNCTION("""COMPUTED_VALUE"""),27.0)</f>
        <v>27</v>
      </c>
      <c r="AA53" s="27">
        <f>IFERROR(__xludf.DUMMYFUNCTION("""COMPUTED_VALUE"""),7.0)</f>
        <v>7</v>
      </c>
    </row>
    <row r="54">
      <c r="A54" s="27">
        <f>IFERROR(__xludf.DUMMYFUNCTION("""COMPUTED_VALUE"""),5.43396508E8)</f>
        <v>543396508</v>
      </c>
      <c r="B54" s="27" t="str">
        <f>IFERROR(__xludf.DUMMYFUNCTION("""COMPUTED_VALUE"""),"5/31/2017")</f>
        <v>5/31/2017</v>
      </c>
      <c r="C54" s="27">
        <f>IFERROR(__xludf.DUMMYFUNCTION("""COMPUTED_VALUE"""),5.0)</f>
        <v>5</v>
      </c>
      <c r="D54" s="28">
        <f>IFERROR(__xludf.DUMMYFUNCTION("""COMPUTED_VALUE"""),31.0)</f>
        <v>31</v>
      </c>
      <c r="E54" s="29">
        <f>IFERROR(__xludf.DUMMYFUNCTION("""COMPUTED_VALUE"""),2017.0)</f>
        <v>2017</v>
      </c>
      <c r="F54" s="30">
        <f>IFERROR(__xludf.DUMMYFUNCTION("""COMPUTED_VALUE"""),42886.0)</f>
        <v>42886</v>
      </c>
      <c r="G54" s="33">
        <f>IFERROR(__xludf.DUMMYFUNCTION("""COMPUTED_VALUE"""),42861.0)</f>
        <v>42861</v>
      </c>
      <c r="H54" s="27">
        <f>IFERROR(__xludf.DUMMYFUNCTION("""COMPUTED_VALUE"""),6.0)</f>
        <v>6</v>
      </c>
      <c r="I54" s="27">
        <f>IFERROR(__xludf.DUMMYFUNCTION("""COMPUTED_VALUE"""),5.0)</f>
        <v>5</v>
      </c>
      <c r="J54" s="27">
        <f>IFERROR(__xludf.DUMMYFUNCTION("""COMPUTED_VALUE"""),2017.0)</f>
        <v>2017</v>
      </c>
      <c r="K54" s="30">
        <f>IFERROR(__xludf.DUMMYFUNCTION("""COMPUTED_VALUE"""),42891.0)</f>
        <v>42891</v>
      </c>
      <c r="L54" s="27" t="str">
        <f>IFERROR(__xludf.DUMMYFUNCTION("""COMPUTED_VALUE"""),"C")</f>
        <v>C</v>
      </c>
      <c r="M54" s="27" t="str">
        <f>IFERROR(__xludf.DUMMYFUNCTION("""COMPUTED_VALUE"""),"LIE")</f>
        <v>LIE</v>
      </c>
      <c r="N54" s="27">
        <f>IFERROR(__xludf.DUMMYFUNCTION("""COMPUTED_VALUE"""),8875.0)</f>
        <v>8875</v>
      </c>
      <c r="O54" s="27" t="str">
        <f>IFERROR(__xludf.DUMMYFUNCTION("""COMPUTED_VALUE"""),"Online")</f>
        <v>Online</v>
      </c>
      <c r="P54" s="28">
        <f>IFERROR(__xludf.DUMMYFUNCTION("""COMPUTED_VALUE"""),1957.0)</f>
        <v>1957</v>
      </c>
      <c r="Q54" s="31">
        <f>IFERROR(__xludf.DUMMYFUNCTION("""COMPUTED_VALUE"""),421.89)</f>
        <v>421.89</v>
      </c>
      <c r="R54" s="31">
        <f>IFERROR(__xludf.DUMMYFUNCTION("""COMPUTED_VALUE"""),364.69)</f>
        <v>364.69</v>
      </c>
      <c r="S54" s="31">
        <f>IFERROR(__xludf.DUMMYFUNCTION("""COMPUTED_VALUE"""),825638.73)</f>
        <v>825638.73</v>
      </c>
      <c r="T54" s="31">
        <f>IFERROR(__xludf.DUMMYFUNCTION("""COMPUTED_VALUE"""),713698.33)</f>
        <v>713698.33</v>
      </c>
      <c r="U54" s="31">
        <f>IFERROR(__xludf.DUMMYFUNCTION("""COMPUTED_VALUE"""),111940.40000000002)</f>
        <v>111940.4</v>
      </c>
      <c r="V54" s="27" t="str">
        <f>IFERROR(__xludf.DUMMYFUNCTION("""COMPUTED_VALUE"""),"Meat")</f>
        <v>Meat</v>
      </c>
      <c r="W54" s="27" t="str">
        <f>IFERROR(__xludf.DUMMYFUNCTION("""COMPUTED_VALUE"""),"Europe")</f>
        <v>Europe</v>
      </c>
      <c r="X54" s="27" t="str">
        <f>IFERROR(__xludf.DUMMYFUNCTION("""COMPUTED_VALUE"""),"Western Europe")</f>
        <v>Western Europe</v>
      </c>
      <c r="Y54" s="32">
        <f>IFERROR(__xludf.DUMMYFUNCTION("""COMPUTED_VALUE"""),0.13558036455000122)</f>
        <v>0.1355803646</v>
      </c>
      <c r="Z54" s="27">
        <f>IFERROR(__xludf.DUMMYFUNCTION("""COMPUTED_VALUE"""),5.0)</f>
        <v>5</v>
      </c>
      <c r="AA54" s="27">
        <f>IFERROR(__xludf.DUMMYFUNCTION("""COMPUTED_VALUE"""),4.0)</f>
        <v>4</v>
      </c>
    </row>
    <row r="55">
      <c r="A55" s="27">
        <f>IFERROR(__xludf.DUMMYFUNCTION("""COMPUTED_VALUE"""),5.4905833E8)</f>
        <v>549058330</v>
      </c>
      <c r="B55" s="33">
        <f>IFERROR(__xludf.DUMMYFUNCTION("""COMPUTED_VALUE"""),42798.0)</f>
        <v>42798</v>
      </c>
      <c r="C55" s="27">
        <f>IFERROR(__xludf.DUMMYFUNCTION("""COMPUTED_VALUE"""),4.0)</f>
        <v>4</v>
      </c>
      <c r="D55" s="28">
        <f>IFERROR(__xludf.DUMMYFUNCTION("""COMPUTED_VALUE"""),3.0)</f>
        <v>3</v>
      </c>
      <c r="E55" s="29">
        <f>IFERROR(__xludf.DUMMYFUNCTION("""COMPUTED_VALUE"""),2017.0)</f>
        <v>2017</v>
      </c>
      <c r="F55" s="30">
        <f>IFERROR(__xludf.DUMMYFUNCTION("""COMPUTED_VALUE"""),42828.0)</f>
        <v>42828</v>
      </c>
      <c r="G55" s="33">
        <f>IFERROR(__xludf.DUMMYFUNCTION("""COMPUTED_VALUE"""),43044.0)</f>
        <v>43044</v>
      </c>
      <c r="H55" s="27">
        <f>IFERROR(__xludf.DUMMYFUNCTION("""COMPUTED_VALUE"""),5.0)</f>
        <v>5</v>
      </c>
      <c r="I55" s="27">
        <f>IFERROR(__xludf.DUMMYFUNCTION("""COMPUTED_VALUE"""),11.0)</f>
        <v>11</v>
      </c>
      <c r="J55" s="27">
        <f>IFERROR(__xludf.DUMMYFUNCTION("""COMPUTED_VALUE"""),2017.0)</f>
        <v>2017</v>
      </c>
      <c r="K55" s="30">
        <f>IFERROR(__xludf.DUMMYFUNCTION("""COMPUTED_VALUE"""),42866.0)</f>
        <v>42866</v>
      </c>
      <c r="L55" s="27" t="str">
        <f>IFERROR(__xludf.DUMMYFUNCTION("""COMPUTED_VALUE"""),"H")</f>
        <v>H</v>
      </c>
      <c r="M55" s="27" t="str">
        <f>IFERROR(__xludf.DUMMYFUNCTION("""COMPUTED_VALUE"""),"RUS")</f>
        <v>RUS</v>
      </c>
      <c r="N55" s="27">
        <f>IFERROR(__xludf.DUMMYFUNCTION("""COMPUTED_VALUE"""),7940.0)</f>
        <v>7940</v>
      </c>
      <c r="O55" s="27" t="str">
        <f>IFERROR(__xludf.DUMMYFUNCTION("""COMPUTED_VALUE"""),"Online")</f>
        <v>Online</v>
      </c>
      <c r="P55" s="28">
        <f>IFERROR(__xludf.DUMMYFUNCTION("""COMPUTED_VALUE"""),7416.0)</f>
        <v>7416</v>
      </c>
      <c r="Q55" s="31">
        <f>IFERROR(__xludf.DUMMYFUNCTION("""COMPUTED_VALUE"""),668.27)</f>
        <v>668.27</v>
      </c>
      <c r="R55" s="31">
        <f>IFERROR(__xludf.DUMMYFUNCTION("""COMPUTED_VALUE"""),502.54)</f>
        <v>502.54</v>
      </c>
      <c r="S55" s="31">
        <f>IFERROR(__xludf.DUMMYFUNCTION("""COMPUTED_VALUE"""),4955890.32)</f>
        <v>4955890.32</v>
      </c>
      <c r="T55" s="31">
        <f>IFERROR(__xludf.DUMMYFUNCTION("""COMPUTED_VALUE"""),3726836.64)</f>
        <v>3726836.64</v>
      </c>
      <c r="U55" s="31">
        <f>IFERROR(__xludf.DUMMYFUNCTION("""COMPUTED_VALUE"""),1229053.6800000002)</f>
        <v>1229053.68</v>
      </c>
      <c r="V55" s="27" t="str">
        <f>IFERROR(__xludf.DUMMYFUNCTION("""COMPUTED_VALUE"""),"Household")</f>
        <v>Household</v>
      </c>
      <c r="W55" s="27" t="str">
        <f>IFERROR(__xludf.DUMMYFUNCTION("""COMPUTED_VALUE"""),"Europe")</f>
        <v>Europe</v>
      </c>
      <c r="X55" s="27" t="str">
        <f>IFERROR(__xludf.DUMMYFUNCTION("""COMPUTED_VALUE"""),"Eastern Europe")</f>
        <v>Eastern Europe</v>
      </c>
      <c r="Y55" s="32">
        <f>IFERROR(__xludf.DUMMYFUNCTION("""COMPUTED_VALUE"""),0.24799856345489102)</f>
        <v>0.2479985635</v>
      </c>
      <c r="Z55" s="27">
        <f>IFERROR(__xludf.DUMMYFUNCTION("""COMPUTED_VALUE"""),38.0)</f>
        <v>38</v>
      </c>
      <c r="AA55" s="27">
        <f>IFERROR(__xludf.DUMMYFUNCTION("""COMPUTED_VALUE"""),2.0)</f>
        <v>2</v>
      </c>
    </row>
    <row r="56">
      <c r="A56" s="27">
        <f>IFERROR(__xludf.DUMMYFUNCTION("""COMPUTED_VALUE"""),5.64173543E8)</f>
        <v>564173543</v>
      </c>
      <c r="B56" s="27" t="str">
        <f>IFERROR(__xludf.DUMMYFUNCTION("""COMPUTED_VALUE"""),"4/21/2017")</f>
        <v>4/21/2017</v>
      </c>
      <c r="C56" s="27">
        <f>IFERROR(__xludf.DUMMYFUNCTION("""COMPUTED_VALUE"""),4.0)</f>
        <v>4</v>
      </c>
      <c r="D56" s="28">
        <f>IFERROR(__xludf.DUMMYFUNCTION("""COMPUTED_VALUE"""),21.0)</f>
        <v>21</v>
      </c>
      <c r="E56" s="29">
        <f>IFERROR(__xludf.DUMMYFUNCTION("""COMPUTED_VALUE"""),2017.0)</f>
        <v>2017</v>
      </c>
      <c r="F56" s="30">
        <f>IFERROR(__xludf.DUMMYFUNCTION("""COMPUTED_VALUE"""),42846.0)</f>
        <v>42846</v>
      </c>
      <c r="G56" s="27" t="str">
        <f>IFERROR(__xludf.DUMMYFUNCTION("""COMPUTED_VALUE"""),"4/26/2017")</f>
        <v>4/26/2017</v>
      </c>
      <c r="H56" s="27">
        <f>IFERROR(__xludf.DUMMYFUNCTION("""COMPUTED_VALUE"""),4.0)</f>
        <v>4</v>
      </c>
      <c r="I56" s="27">
        <f>IFERROR(__xludf.DUMMYFUNCTION("""COMPUTED_VALUE"""),26.0)</f>
        <v>26</v>
      </c>
      <c r="J56" s="27">
        <f>IFERROR(__xludf.DUMMYFUNCTION("""COMPUTED_VALUE"""),2017.0)</f>
        <v>2017</v>
      </c>
      <c r="K56" s="30">
        <f>IFERROR(__xludf.DUMMYFUNCTION("""COMPUTED_VALUE"""),42851.0)</f>
        <v>42851</v>
      </c>
      <c r="L56" s="27" t="str">
        <f>IFERROR(__xludf.DUMMYFUNCTION("""COMPUTED_VALUE"""),"L")</f>
        <v>L</v>
      </c>
      <c r="M56" s="27" t="str">
        <f>IFERROR(__xludf.DUMMYFUNCTION("""COMPUTED_VALUE"""),"FIN")</f>
        <v>FIN</v>
      </c>
      <c r="N56" s="27">
        <f>IFERROR(__xludf.DUMMYFUNCTION("""COMPUTED_VALUE"""),7331.0)</f>
        <v>7331</v>
      </c>
      <c r="O56" s="27" t="str">
        <f>IFERROR(__xludf.DUMMYFUNCTION("""COMPUTED_VALUE"""),"Offline")</f>
        <v>Offline</v>
      </c>
      <c r="P56" s="28">
        <f>IFERROR(__xludf.DUMMYFUNCTION("""COMPUTED_VALUE"""),343.0)</f>
        <v>343</v>
      </c>
      <c r="Q56" s="31">
        <f>IFERROR(__xludf.DUMMYFUNCTION("""COMPUTED_VALUE"""),255.28)</f>
        <v>255.28</v>
      </c>
      <c r="R56" s="31">
        <f>IFERROR(__xludf.DUMMYFUNCTION("""COMPUTED_VALUE"""),159.42)</f>
        <v>159.42</v>
      </c>
      <c r="S56" s="31">
        <f>IFERROR(__xludf.DUMMYFUNCTION("""COMPUTED_VALUE"""),87561.04)</f>
        <v>87561.04</v>
      </c>
      <c r="T56" s="31">
        <f>IFERROR(__xludf.DUMMYFUNCTION("""COMPUTED_VALUE"""),54681.06)</f>
        <v>54681.06</v>
      </c>
      <c r="U56" s="31">
        <f>IFERROR(__xludf.DUMMYFUNCTION("""COMPUTED_VALUE"""),32879.979999999996)</f>
        <v>32879.98</v>
      </c>
      <c r="V56" s="27" t="str">
        <f>IFERROR(__xludf.DUMMYFUNCTION("""COMPUTED_VALUE"""),"Baby Food")</f>
        <v>Baby Food</v>
      </c>
      <c r="W56" s="27" t="str">
        <f>IFERROR(__xludf.DUMMYFUNCTION("""COMPUTED_VALUE"""),"Europe")</f>
        <v>Europe</v>
      </c>
      <c r="X56" s="27" t="str">
        <f>IFERROR(__xludf.DUMMYFUNCTION("""COMPUTED_VALUE"""),"Northern Europe")</f>
        <v>Northern Europe</v>
      </c>
      <c r="Y56" s="32">
        <f>IFERROR(__xludf.DUMMYFUNCTION("""COMPUTED_VALUE"""),0.3755092447508618)</f>
        <v>0.3755092448</v>
      </c>
      <c r="Z56" s="27">
        <f>IFERROR(__xludf.DUMMYFUNCTION("""COMPUTED_VALUE"""),5.0)</f>
        <v>5</v>
      </c>
      <c r="AA56" s="27">
        <f>IFERROR(__xludf.DUMMYFUNCTION("""COMPUTED_VALUE"""),6.0)</f>
        <v>6</v>
      </c>
    </row>
    <row r="57">
      <c r="A57" s="27">
        <f>IFERROR(__xludf.DUMMYFUNCTION("""COMPUTED_VALUE"""),5.69170606E8)</f>
        <v>569170606</v>
      </c>
      <c r="B57" s="33">
        <f>IFERROR(__xludf.DUMMYFUNCTION("""COMPUTED_VALUE"""),42920.0)</f>
        <v>42920</v>
      </c>
      <c r="C57" s="27">
        <f>IFERROR(__xludf.DUMMYFUNCTION("""COMPUTED_VALUE"""),4.0)</f>
        <v>4</v>
      </c>
      <c r="D57" s="28">
        <f>IFERROR(__xludf.DUMMYFUNCTION("""COMPUTED_VALUE"""),7.0)</f>
        <v>7</v>
      </c>
      <c r="E57" s="29">
        <f>IFERROR(__xludf.DUMMYFUNCTION("""COMPUTED_VALUE"""),2017.0)</f>
        <v>2017</v>
      </c>
      <c r="F57" s="30">
        <f>IFERROR(__xludf.DUMMYFUNCTION("""COMPUTED_VALUE"""),42832.0)</f>
        <v>42832</v>
      </c>
      <c r="G57" s="27" t="str">
        <f>IFERROR(__xludf.DUMMYFUNCTION("""COMPUTED_VALUE"""),"4/13/2017")</f>
        <v>4/13/2017</v>
      </c>
      <c r="H57" s="27">
        <f>IFERROR(__xludf.DUMMYFUNCTION("""COMPUTED_VALUE"""),4.0)</f>
        <v>4</v>
      </c>
      <c r="I57" s="27">
        <f>IFERROR(__xludf.DUMMYFUNCTION("""COMPUTED_VALUE"""),13.0)</f>
        <v>13</v>
      </c>
      <c r="J57" s="27">
        <f>IFERROR(__xludf.DUMMYFUNCTION("""COMPUTED_VALUE"""),2017.0)</f>
        <v>2017</v>
      </c>
      <c r="K57" s="30">
        <f>IFERROR(__xludf.DUMMYFUNCTION("""COMPUTED_VALUE"""),42838.0)</f>
        <v>42838</v>
      </c>
      <c r="L57" s="27" t="str">
        <f>IFERROR(__xludf.DUMMYFUNCTION("""COMPUTED_VALUE"""),"M")</f>
        <v>M</v>
      </c>
      <c r="M57" s="27" t="str">
        <f>IFERROR(__xludf.DUMMYFUNCTION("""COMPUTED_VALUE"""),"LVA")</f>
        <v>LVA</v>
      </c>
      <c r="N57" s="27">
        <f>IFERROR(__xludf.DUMMYFUNCTION("""COMPUTED_VALUE"""),8969.0)</f>
        <v>8969</v>
      </c>
      <c r="O57" s="27" t="str">
        <f>IFERROR(__xludf.DUMMYFUNCTION("""COMPUTED_VALUE"""),"Offline")</f>
        <v>Offline</v>
      </c>
      <c r="P57" s="28">
        <f>IFERROR(__xludf.DUMMYFUNCTION("""COMPUTED_VALUE"""),9085.0)</f>
        <v>9085</v>
      </c>
      <c r="Q57" s="31">
        <f>IFERROR(__xludf.DUMMYFUNCTION("""COMPUTED_VALUE"""),152.58)</f>
        <v>152.58</v>
      </c>
      <c r="R57" s="31">
        <f>IFERROR(__xludf.DUMMYFUNCTION("""COMPUTED_VALUE"""),97.44)</f>
        <v>97.44</v>
      </c>
      <c r="S57" s="31">
        <f>IFERROR(__xludf.DUMMYFUNCTION("""COMPUTED_VALUE"""),1386189.3)</f>
        <v>1386189.3</v>
      </c>
      <c r="T57" s="31">
        <f>IFERROR(__xludf.DUMMYFUNCTION("""COMPUTED_VALUE"""),885242.4)</f>
        <v>885242.4</v>
      </c>
      <c r="U57" s="31">
        <f>IFERROR(__xludf.DUMMYFUNCTION("""COMPUTED_VALUE"""),500946.9)</f>
        <v>500946.9</v>
      </c>
      <c r="V57" s="27" t="str">
        <f>IFERROR(__xludf.DUMMYFUNCTION("""COMPUTED_VALUE"""),"Snacks")</f>
        <v>Snacks</v>
      </c>
      <c r="W57" s="27" t="str">
        <f>IFERROR(__xludf.DUMMYFUNCTION("""COMPUTED_VALUE"""),"Europe")</f>
        <v>Europe</v>
      </c>
      <c r="X57" s="27" t="str">
        <f>IFERROR(__xludf.DUMMYFUNCTION("""COMPUTED_VALUE"""),"Northern Europe")</f>
        <v>Northern Europe</v>
      </c>
      <c r="Y57" s="32">
        <f>IFERROR(__xludf.DUMMYFUNCTION("""COMPUTED_VALUE"""),0.3613841918993315)</f>
        <v>0.3613841919</v>
      </c>
      <c r="Z57" s="27">
        <f>IFERROR(__xludf.DUMMYFUNCTION("""COMPUTED_VALUE"""),6.0)</f>
        <v>6</v>
      </c>
      <c r="AA57" s="27">
        <f>IFERROR(__xludf.DUMMYFUNCTION("""COMPUTED_VALUE"""),6.0)</f>
        <v>6</v>
      </c>
    </row>
    <row r="58">
      <c r="A58" s="27">
        <f>IFERROR(__xludf.DUMMYFUNCTION("""COMPUTED_VALUE"""),5.74925124E8)</f>
        <v>574925124</v>
      </c>
      <c r="B58" s="27" t="str">
        <f>IFERROR(__xludf.DUMMYFUNCTION("""COMPUTED_VALUE"""),"6/28/2017")</f>
        <v>6/28/2017</v>
      </c>
      <c r="C58" s="27">
        <f>IFERROR(__xludf.DUMMYFUNCTION("""COMPUTED_VALUE"""),6.0)</f>
        <v>6</v>
      </c>
      <c r="D58" s="28">
        <f>IFERROR(__xludf.DUMMYFUNCTION("""COMPUTED_VALUE"""),28.0)</f>
        <v>28</v>
      </c>
      <c r="E58" s="29">
        <f>IFERROR(__xludf.DUMMYFUNCTION("""COMPUTED_VALUE"""),2017.0)</f>
        <v>2017</v>
      </c>
      <c r="F58" s="30">
        <f>IFERROR(__xludf.DUMMYFUNCTION("""COMPUTED_VALUE"""),42914.0)</f>
        <v>42914</v>
      </c>
      <c r="G58" s="27" t="str">
        <f>IFERROR(__xludf.DUMMYFUNCTION("""COMPUTED_VALUE"""),"7/13/2017")</f>
        <v>7/13/2017</v>
      </c>
      <c r="H58" s="27">
        <f>IFERROR(__xludf.DUMMYFUNCTION("""COMPUTED_VALUE"""),7.0)</f>
        <v>7</v>
      </c>
      <c r="I58" s="27">
        <f>IFERROR(__xludf.DUMMYFUNCTION("""COMPUTED_VALUE"""),13.0)</f>
        <v>13</v>
      </c>
      <c r="J58" s="27">
        <f>IFERROR(__xludf.DUMMYFUNCTION("""COMPUTED_VALUE"""),2017.0)</f>
        <v>2017</v>
      </c>
      <c r="K58" s="30">
        <f>IFERROR(__xludf.DUMMYFUNCTION("""COMPUTED_VALUE"""),42929.0)</f>
        <v>42929</v>
      </c>
      <c r="L58" s="27" t="str">
        <f>IFERROR(__xludf.DUMMYFUNCTION("""COMPUTED_VALUE"""),"M")</f>
        <v>M</v>
      </c>
      <c r="M58" s="27" t="str">
        <f>IFERROR(__xludf.DUMMYFUNCTION("""COMPUTED_VALUE"""),"UKR")</f>
        <v>UKR</v>
      </c>
      <c r="N58" s="27">
        <f>IFERROR(__xludf.DUMMYFUNCTION("""COMPUTED_VALUE"""),8293.0)</f>
        <v>8293</v>
      </c>
      <c r="O58" s="27" t="str">
        <f>IFERROR(__xludf.DUMMYFUNCTION("""COMPUTED_VALUE"""),"Offline")</f>
        <v>Offline</v>
      </c>
      <c r="P58" s="28">
        <f>IFERROR(__xludf.DUMMYFUNCTION("""COMPUTED_VALUE"""),1975.0)</f>
        <v>1975</v>
      </c>
      <c r="Q58" s="31">
        <f>IFERROR(__xludf.DUMMYFUNCTION("""COMPUTED_VALUE"""),437.2)</f>
        <v>437.2</v>
      </c>
      <c r="R58" s="31">
        <f>IFERROR(__xludf.DUMMYFUNCTION("""COMPUTED_VALUE"""),263.33)</f>
        <v>263.33</v>
      </c>
      <c r="S58" s="31">
        <f>IFERROR(__xludf.DUMMYFUNCTION("""COMPUTED_VALUE"""),863470.0)</f>
        <v>863470</v>
      </c>
      <c r="T58" s="31">
        <f>IFERROR(__xludf.DUMMYFUNCTION("""COMPUTED_VALUE"""),520076.74999999994)</f>
        <v>520076.75</v>
      </c>
      <c r="U58" s="31">
        <f>IFERROR(__xludf.DUMMYFUNCTION("""COMPUTED_VALUE"""),343393.25000000006)</f>
        <v>343393.25</v>
      </c>
      <c r="V58" s="27" t="str">
        <f>IFERROR(__xludf.DUMMYFUNCTION("""COMPUTED_VALUE"""),"Cosmetics")</f>
        <v>Cosmetics</v>
      </c>
      <c r="W58" s="27" t="str">
        <f>IFERROR(__xludf.DUMMYFUNCTION("""COMPUTED_VALUE"""),"Europe")</f>
        <v>Europe</v>
      </c>
      <c r="X58" s="27" t="str">
        <f>IFERROR(__xludf.DUMMYFUNCTION("""COMPUTED_VALUE"""),"Eastern Europe")</f>
        <v>Eastern Europe</v>
      </c>
      <c r="Y58" s="32">
        <f>IFERROR(__xludf.DUMMYFUNCTION("""COMPUTED_VALUE"""),0.3976898444647759)</f>
        <v>0.3976898445</v>
      </c>
      <c r="Z58" s="27">
        <f>IFERROR(__xludf.DUMMYFUNCTION("""COMPUTED_VALUE"""),15.0)</f>
        <v>15</v>
      </c>
      <c r="AA58" s="27">
        <f>IFERROR(__xludf.DUMMYFUNCTION("""COMPUTED_VALUE"""),4.0)</f>
        <v>4</v>
      </c>
    </row>
    <row r="59">
      <c r="A59" s="27">
        <f>IFERROR(__xludf.DUMMYFUNCTION("""COMPUTED_VALUE"""),5.94991052E8)</f>
        <v>594991052</v>
      </c>
      <c r="B59" s="27" t="str">
        <f>IFERROR(__xludf.DUMMYFUNCTION("""COMPUTED_VALUE"""),"4/22/2017")</f>
        <v>4/22/2017</v>
      </c>
      <c r="C59" s="27">
        <f>IFERROR(__xludf.DUMMYFUNCTION("""COMPUTED_VALUE"""),4.0)</f>
        <v>4</v>
      </c>
      <c r="D59" s="28">
        <f>IFERROR(__xludf.DUMMYFUNCTION("""COMPUTED_VALUE"""),22.0)</f>
        <v>22</v>
      </c>
      <c r="E59" s="29">
        <f>IFERROR(__xludf.DUMMYFUNCTION("""COMPUTED_VALUE"""),2017.0)</f>
        <v>2017</v>
      </c>
      <c r="F59" s="30">
        <f>IFERROR(__xludf.DUMMYFUNCTION("""COMPUTED_VALUE"""),42847.0)</f>
        <v>42847</v>
      </c>
      <c r="G59" s="33">
        <f>IFERROR(__xludf.DUMMYFUNCTION("""COMPUTED_VALUE"""),42892.0)</f>
        <v>42892</v>
      </c>
      <c r="H59" s="27">
        <f>IFERROR(__xludf.DUMMYFUNCTION("""COMPUTED_VALUE"""),6.0)</f>
        <v>6</v>
      </c>
      <c r="I59" s="27">
        <f>IFERROR(__xludf.DUMMYFUNCTION("""COMPUTED_VALUE"""),6.0)</f>
        <v>6</v>
      </c>
      <c r="J59" s="27">
        <f>IFERROR(__xludf.DUMMYFUNCTION("""COMPUTED_VALUE"""),2017.0)</f>
        <v>2017</v>
      </c>
      <c r="K59" s="30">
        <f>IFERROR(__xludf.DUMMYFUNCTION("""COMPUTED_VALUE"""),42892.0)</f>
        <v>42892</v>
      </c>
      <c r="L59" s="27" t="str">
        <f>IFERROR(__xludf.DUMMYFUNCTION("""COMPUTED_VALUE"""),"M")</f>
        <v>M</v>
      </c>
      <c r="M59" s="27" t="str">
        <f>IFERROR(__xludf.DUMMYFUNCTION("""COMPUTED_VALUE"""),"LUX")</f>
        <v>LUX</v>
      </c>
      <c r="N59" s="27">
        <f>IFERROR(__xludf.DUMMYFUNCTION("""COMPUTED_VALUE"""),8969.0)</f>
        <v>8969</v>
      </c>
      <c r="O59" s="27" t="str">
        <f>IFERROR(__xludf.DUMMYFUNCTION("""COMPUTED_VALUE"""),"Offline")</f>
        <v>Offline</v>
      </c>
      <c r="P59" s="28">
        <f>IFERROR(__xludf.DUMMYFUNCTION("""COMPUTED_VALUE"""),9929.0)</f>
        <v>9929</v>
      </c>
      <c r="Q59" s="31">
        <f>IFERROR(__xludf.DUMMYFUNCTION("""COMPUTED_VALUE"""),152.58)</f>
        <v>152.58</v>
      </c>
      <c r="R59" s="31">
        <f>IFERROR(__xludf.DUMMYFUNCTION("""COMPUTED_VALUE"""),97.44)</f>
        <v>97.44</v>
      </c>
      <c r="S59" s="31">
        <f>IFERROR(__xludf.DUMMYFUNCTION("""COMPUTED_VALUE"""),1514966.82)</f>
        <v>1514966.82</v>
      </c>
      <c r="T59" s="31">
        <f>IFERROR(__xludf.DUMMYFUNCTION("""COMPUTED_VALUE"""),967481.76)</f>
        <v>967481.76</v>
      </c>
      <c r="U59" s="31">
        <f>IFERROR(__xludf.DUMMYFUNCTION("""COMPUTED_VALUE"""),547485.06)</f>
        <v>547485.06</v>
      </c>
      <c r="V59" s="27" t="str">
        <f>IFERROR(__xludf.DUMMYFUNCTION("""COMPUTED_VALUE"""),"Snacks")</f>
        <v>Snacks</v>
      </c>
      <c r="W59" s="27" t="str">
        <f>IFERROR(__xludf.DUMMYFUNCTION("""COMPUTED_VALUE"""),"Europe")</f>
        <v>Europe</v>
      </c>
      <c r="X59" s="27" t="str">
        <f>IFERROR(__xludf.DUMMYFUNCTION("""COMPUTED_VALUE"""),"Western Europe")</f>
        <v>Western Europe</v>
      </c>
      <c r="Y59" s="32">
        <f>IFERROR(__xludf.DUMMYFUNCTION("""COMPUTED_VALUE"""),0.3613841918993315)</f>
        <v>0.3613841919</v>
      </c>
      <c r="Z59" s="27">
        <f>IFERROR(__xludf.DUMMYFUNCTION("""COMPUTED_VALUE"""),45.0)</f>
        <v>45</v>
      </c>
      <c r="AA59" s="27">
        <f>IFERROR(__xludf.DUMMYFUNCTION("""COMPUTED_VALUE"""),7.0)</f>
        <v>7</v>
      </c>
    </row>
    <row r="60">
      <c r="A60" s="27">
        <f>IFERROR(__xludf.DUMMYFUNCTION("""COMPUTED_VALUE"""),6.15290009E8)</f>
        <v>615290009</v>
      </c>
      <c r="B60" s="27" t="str">
        <f>IFERROR(__xludf.DUMMYFUNCTION("""COMPUTED_VALUE"""),"1/14/2017")</f>
        <v>1/14/2017</v>
      </c>
      <c r="C60" s="27">
        <f>IFERROR(__xludf.DUMMYFUNCTION("""COMPUTED_VALUE"""),1.0)</f>
        <v>1</v>
      </c>
      <c r="D60" s="28">
        <f>IFERROR(__xludf.DUMMYFUNCTION("""COMPUTED_VALUE"""),14.0)</f>
        <v>14</v>
      </c>
      <c r="E60" s="29">
        <f>IFERROR(__xludf.DUMMYFUNCTION("""COMPUTED_VALUE"""),2017.0)</f>
        <v>2017</v>
      </c>
      <c r="F60" s="30">
        <f>IFERROR(__xludf.DUMMYFUNCTION("""COMPUTED_VALUE"""),42749.0)</f>
        <v>42749</v>
      </c>
      <c r="G60" s="27" t="str">
        <f>IFERROR(__xludf.DUMMYFUNCTION("""COMPUTED_VALUE"""),"1/18/2017")</f>
        <v>1/18/2017</v>
      </c>
      <c r="H60" s="27">
        <f>IFERROR(__xludf.DUMMYFUNCTION("""COMPUTED_VALUE"""),1.0)</f>
        <v>1</v>
      </c>
      <c r="I60" s="27">
        <f>IFERROR(__xludf.DUMMYFUNCTION("""COMPUTED_VALUE"""),18.0)</f>
        <v>18</v>
      </c>
      <c r="J60" s="27">
        <f>IFERROR(__xludf.DUMMYFUNCTION("""COMPUTED_VALUE"""),2017.0)</f>
        <v>2017</v>
      </c>
      <c r="K60" s="30">
        <f>IFERROR(__xludf.DUMMYFUNCTION("""COMPUTED_VALUE"""),42753.0)</f>
        <v>42753</v>
      </c>
      <c r="L60" s="27" t="str">
        <f>IFERROR(__xludf.DUMMYFUNCTION("""COMPUTED_VALUE"""),"M")</f>
        <v>M</v>
      </c>
      <c r="M60" s="27" t="str">
        <f>IFERROR(__xludf.DUMMYFUNCTION("""COMPUTED_VALUE"""),"DEU")</f>
        <v>DEU</v>
      </c>
      <c r="N60" s="27">
        <f>IFERROR(__xludf.DUMMYFUNCTION("""COMPUTED_VALUE"""),8875.0)</f>
        <v>8875</v>
      </c>
      <c r="O60" s="27" t="str">
        <f>IFERROR(__xludf.DUMMYFUNCTION("""COMPUTED_VALUE"""),"Offline")</f>
        <v>Offline</v>
      </c>
      <c r="P60" s="28">
        <f>IFERROR(__xludf.DUMMYFUNCTION("""COMPUTED_VALUE"""),6842.0)</f>
        <v>6842</v>
      </c>
      <c r="Q60" s="31">
        <f>IFERROR(__xludf.DUMMYFUNCTION("""COMPUTED_VALUE"""),421.89)</f>
        <v>421.89</v>
      </c>
      <c r="R60" s="31">
        <f>IFERROR(__xludf.DUMMYFUNCTION("""COMPUTED_VALUE"""),364.69)</f>
        <v>364.69</v>
      </c>
      <c r="S60" s="31">
        <f>IFERROR(__xludf.DUMMYFUNCTION("""COMPUTED_VALUE"""),2886571.38)</f>
        <v>2886571.38</v>
      </c>
      <c r="T60" s="31">
        <f>IFERROR(__xludf.DUMMYFUNCTION("""COMPUTED_VALUE"""),2495208.98)</f>
        <v>2495208.98</v>
      </c>
      <c r="U60" s="31">
        <f>IFERROR(__xludf.DUMMYFUNCTION("""COMPUTED_VALUE"""),391362.3999999999)</f>
        <v>391362.4</v>
      </c>
      <c r="V60" s="27" t="str">
        <f>IFERROR(__xludf.DUMMYFUNCTION("""COMPUTED_VALUE"""),"Meat")</f>
        <v>Meat</v>
      </c>
      <c r="W60" s="27" t="str">
        <f>IFERROR(__xludf.DUMMYFUNCTION("""COMPUTED_VALUE"""),"Europe")</f>
        <v>Europe</v>
      </c>
      <c r="X60" s="27" t="str">
        <f>IFERROR(__xludf.DUMMYFUNCTION("""COMPUTED_VALUE"""),"Western Europe")</f>
        <v>Western Europe</v>
      </c>
      <c r="Y60" s="32">
        <f>IFERROR(__xludf.DUMMYFUNCTION("""COMPUTED_VALUE"""),0.13558036455000116)</f>
        <v>0.1355803646</v>
      </c>
      <c r="Z60" s="27">
        <f>IFERROR(__xludf.DUMMYFUNCTION("""COMPUTED_VALUE"""),4.0)</f>
        <v>4</v>
      </c>
      <c r="AA60" s="27">
        <f>IFERROR(__xludf.DUMMYFUNCTION("""COMPUTED_VALUE"""),7.0)</f>
        <v>7</v>
      </c>
    </row>
    <row r="61">
      <c r="A61" s="27">
        <f>IFERROR(__xludf.DUMMYFUNCTION("""COMPUTED_VALUE"""),6.24398362E8)</f>
        <v>624398362</v>
      </c>
      <c r="B61" s="27" t="str">
        <f>IFERROR(__xludf.DUMMYFUNCTION("""COMPUTED_VALUE"""),"6/30/2017")</f>
        <v>6/30/2017</v>
      </c>
      <c r="C61" s="27">
        <f>IFERROR(__xludf.DUMMYFUNCTION("""COMPUTED_VALUE"""),6.0)</f>
        <v>6</v>
      </c>
      <c r="D61" s="28">
        <f>IFERROR(__xludf.DUMMYFUNCTION("""COMPUTED_VALUE"""),30.0)</f>
        <v>30</v>
      </c>
      <c r="E61" s="29">
        <f>IFERROR(__xludf.DUMMYFUNCTION("""COMPUTED_VALUE"""),2017.0)</f>
        <v>2017</v>
      </c>
      <c r="F61" s="30">
        <f>IFERROR(__xludf.DUMMYFUNCTION("""COMPUTED_VALUE"""),42916.0)</f>
        <v>42916</v>
      </c>
      <c r="G61" s="27" t="str">
        <f>IFERROR(__xludf.DUMMYFUNCTION("""COMPUTED_VALUE"""),"7/24/2017")</f>
        <v>7/24/2017</v>
      </c>
      <c r="H61" s="27">
        <f>IFERROR(__xludf.DUMMYFUNCTION("""COMPUTED_VALUE"""),7.0)</f>
        <v>7</v>
      </c>
      <c r="I61" s="27">
        <f>IFERROR(__xludf.DUMMYFUNCTION("""COMPUTED_VALUE"""),24.0)</f>
        <v>24</v>
      </c>
      <c r="J61" s="27">
        <f>IFERROR(__xludf.DUMMYFUNCTION("""COMPUTED_VALUE"""),2017.0)</f>
        <v>2017</v>
      </c>
      <c r="K61" s="30">
        <f>IFERROR(__xludf.DUMMYFUNCTION("""COMPUTED_VALUE"""),42940.0)</f>
        <v>42940</v>
      </c>
      <c r="L61" s="27" t="str">
        <f>IFERROR(__xludf.DUMMYFUNCTION("""COMPUTED_VALUE"""),"C")</f>
        <v>C</v>
      </c>
      <c r="M61" s="27" t="str">
        <f>IFERROR(__xludf.DUMMYFUNCTION("""COMPUTED_VALUE"""),"BLR")</f>
        <v>BLR</v>
      </c>
      <c r="N61" s="27">
        <f>IFERROR(__xludf.DUMMYFUNCTION("""COMPUTED_VALUE"""),8681.0)</f>
        <v>8681</v>
      </c>
      <c r="O61" s="27" t="str">
        <f>IFERROR(__xludf.DUMMYFUNCTION("""COMPUTED_VALUE"""),"Offline")</f>
        <v>Offline</v>
      </c>
      <c r="P61" s="28">
        <f>IFERROR(__xludf.DUMMYFUNCTION("""COMPUTED_VALUE"""),2206.0)</f>
        <v>2206</v>
      </c>
      <c r="Q61" s="31">
        <f>IFERROR(__xludf.DUMMYFUNCTION("""COMPUTED_VALUE"""),651.21)</f>
        <v>651.21</v>
      </c>
      <c r="R61" s="31">
        <f>IFERROR(__xludf.DUMMYFUNCTION("""COMPUTED_VALUE"""),524.96)</f>
        <v>524.96</v>
      </c>
      <c r="S61" s="31">
        <f>IFERROR(__xludf.DUMMYFUNCTION("""COMPUTED_VALUE"""),1436569.26)</f>
        <v>1436569.26</v>
      </c>
      <c r="T61" s="31">
        <f>IFERROR(__xludf.DUMMYFUNCTION("""COMPUTED_VALUE"""),1158061.76)</f>
        <v>1158061.76</v>
      </c>
      <c r="U61" s="31">
        <f>IFERROR(__xludf.DUMMYFUNCTION("""COMPUTED_VALUE"""),278507.5)</f>
        <v>278507.5</v>
      </c>
      <c r="V61" s="27" t="str">
        <f>IFERROR(__xludf.DUMMYFUNCTION("""COMPUTED_VALUE"""),"Office Supplies")</f>
        <v>Office Supplies</v>
      </c>
      <c r="W61" s="27" t="str">
        <f>IFERROR(__xludf.DUMMYFUNCTION("""COMPUTED_VALUE"""),"Europe")</f>
        <v>Europe</v>
      </c>
      <c r="X61" s="27" t="str">
        <f>IFERROR(__xludf.DUMMYFUNCTION("""COMPUTED_VALUE"""),"Eastern Europe")</f>
        <v>Eastern Europe</v>
      </c>
      <c r="Y61" s="32">
        <f>IFERROR(__xludf.DUMMYFUNCTION("""COMPUTED_VALUE"""),0.19386987300563566)</f>
        <v>0.193869873</v>
      </c>
      <c r="Z61" s="27">
        <f>IFERROR(__xludf.DUMMYFUNCTION("""COMPUTED_VALUE"""),24.0)</f>
        <v>24</v>
      </c>
      <c r="AA61" s="27">
        <f>IFERROR(__xludf.DUMMYFUNCTION("""COMPUTED_VALUE"""),6.0)</f>
        <v>6</v>
      </c>
    </row>
    <row r="62">
      <c r="A62" s="27">
        <f>IFERROR(__xludf.DUMMYFUNCTION("""COMPUTED_VALUE"""),6.38957822E8)</f>
        <v>638957822</v>
      </c>
      <c r="B62" s="27" t="str">
        <f>IFERROR(__xludf.DUMMYFUNCTION("""COMPUTED_VALUE"""),"5/31/2017")</f>
        <v>5/31/2017</v>
      </c>
      <c r="C62" s="27">
        <f>IFERROR(__xludf.DUMMYFUNCTION("""COMPUTED_VALUE"""),5.0)</f>
        <v>5</v>
      </c>
      <c r="D62" s="28">
        <f>IFERROR(__xludf.DUMMYFUNCTION("""COMPUTED_VALUE"""),31.0)</f>
        <v>31</v>
      </c>
      <c r="E62" s="29">
        <f>IFERROR(__xludf.DUMMYFUNCTION("""COMPUTED_VALUE"""),2017.0)</f>
        <v>2017</v>
      </c>
      <c r="F62" s="30">
        <f>IFERROR(__xludf.DUMMYFUNCTION("""COMPUTED_VALUE"""),42886.0)</f>
        <v>42886</v>
      </c>
      <c r="G62" s="27" t="str">
        <f>IFERROR(__xludf.DUMMYFUNCTION("""COMPUTED_VALUE"""),"6/24/2017")</f>
        <v>6/24/2017</v>
      </c>
      <c r="H62" s="27">
        <f>IFERROR(__xludf.DUMMYFUNCTION("""COMPUTED_VALUE"""),6.0)</f>
        <v>6</v>
      </c>
      <c r="I62" s="27">
        <f>IFERROR(__xludf.DUMMYFUNCTION("""COMPUTED_VALUE"""),24.0)</f>
        <v>24</v>
      </c>
      <c r="J62" s="27">
        <f>IFERROR(__xludf.DUMMYFUNCTION("""COMPUTED_VALUE"""),2017.0)</f>
        <v>2017</v>
      </c>
      <c r="K62" s="30">
        <f>IFERROR(__xludf.DUMMYFUNCTION("""COMPUTED_VALUE"""),42910.0)</f>
        <v>42910</v>
      </c>
      <c r="L62" s="27" t="str">
        <f>IFERROR(__xludf.DUMMYFUNCTION("""COMPUTED_VALUE"""),"M")</f>
        <v>M</v>
      </c>
      <c r="M62" s="27" t="str">
        <f>IFERROR(__xludf.DUMMYFUNCTION("""COMPUTED_VALUE"""),"SVK")</f>
        <v>SVK</v>
      </c>
      <c r="N62" s="27">
        <f>IFERROR(__xludf.DUMMYFUNCTION("""COMPUTED_VALUE"""),1270.0)</f>
        <v>1270</v>
      </c>
      <c r="O62" s="27" t="str">
        <f>IFERROR(__xludf.DUMMYFUNCTION("""COMPUTED_VALUE"""),"Online")</f>
        <v>Online</v>
      </c>
      <c r="P62" s="28">
        <f>IFERROR(__xludf.DUMMYFUNCTION("""COMPUTED_VALUE"""),673.0)</f>
        <v>673</v>
      </c>
      <c r="Q62" s="31">
        <f>IFERROR(__xludf.DUMMYFUNCTION("""COMPUTED_VALUE"""),47.45)</f>
        <v>47.45</v>
      </c>
      <c r="R62" s="31">
        <f>IFERROR(__xludf.DUMMYFUNCTION("""COMPUTED_VALUE"""),31.79)</f>
        <v>31.79</v>
      </c>
      <c r="S62" s="31">
        <f>IFERROR(__xludf.DUMMYFUNCTION("""COMPUTED_VALUE"""),31933.850000000002)</f>
        <v>31933.85</v>
      </c>
      <c r="T62" s="31">
        <f>IFERROR(__xludf.DUMMYFUNCTION("""COMPUTED_VALUE"""),21394.67)</f>
        <v>21394.67</v>
      </c>
      <c r="U62" s="31">
        <f>IFERROR(__xludf.DUMMYFUNCTION("""COMPUTED_VALUE"""),10539.180000000004)</f>
        <v>10539.18</v>
      </c>
      <c r="V62" s="27" t="str">
        <f>IFERROR(__xludf.DUMMYFUNCTION("""COMPUTED_VALUE"""),"Beverages")</f>
        <v>Beverages</v>
      </c>
      <c r="W62" s="27" t="str">
        <f>IFERROR(__xludf.DUMMYFUNCTION("""COMPUTED_VALUE"""),"Europe")</f>
        <v>Europe</v>
      </c>
      <c r="X62" s="27" t="str">
        <f>IFERROR(__xludf.DUMMYFUNCTION("""COMPUTED_VALUE"""),"Eastern Europe")</f>
        <v>Eastern Europe</v>
      </c>
      <c r="Y62" s="32">
        <f>IFERROR(__xludf.DUMMYFUNCTION("""COMPUTED_VALUE"""),0.33003161222339317)</f>
        <v>0.3300316122</v>
      </c>
      <c r="Z62" s="27">
        <f>IFERROR(__xludf.DUMMYFUNCTION("""COMPUTED_VALUE"""),24.0)</f>
        <v>24</v>
      </c>
      <c r="AA62" s="27">
        <f>IFERROR(__xludf.DUMMYFUNCTION("""COMPUTED_VALUE"""),4.0)</f>
        <v>4</v>
      </c>
    </row>
    <row r="63">
      <c r="A63" s="27">
        <f>IFERROR(__xludf.DUMMYFUNCTION("""COMPUTED_VALUE"""),6.43448483E8)</f>
        <v>643448483</v>
      </c>
      <c r="B63" s="33">
        <f>IFERROR(__xludf.DUMMYFUNCTION("""COMPUTED_VALUE"""),42985.0)</f>
        <v>42985</v>
      </c>
      <c r="C63" s="27">
        <f>IFERROR(__xludf.DUMMYFUNCTION("""COMPUTED_VALUE"""),7.0)</f>
        <v>7</v>
      </c>
      <c r="D63" s="28">
        <f>IFERROR(__xludf.DUMMYFUNCTION("""COMPUTED_VALUE"""),9.0)</f>
        <v>9</v>
      </c>
      <c r="E63" s="29">
        <f>IFERROR(__xludf.DUMMYFUNCTION("""COMPUTED_VALUE"""),2017.0)</f>
        <v>2017</v>
      </c>
      <c r="F63" s="30">
        <f>IFERROR(__xludf.DUMMYFUNCTION("""COMPUTED_VALUE"""),42925.0)</f>
        <v>42925</v>
      </c>
      <c r="G63" s="27" t="str">
        <f>IFERROR(__xludf.DUMMYFUNCTION("""COMPUTED_VALUE"""),"7/25/2017")</f>
        <v>7/25/2017</v>
      </c>
      <c r="H63" s="27">
        <f>IFERROR(__xludf.DUMMYFUNCTION("""COMPUTED_VALUE"""),7.0)</f>
        <v>7</v>
      </c>
      <c r="I63" s="27">
        <f>IFERROR(__xludf.DUMMYFUNCTION("""COMPUTED_VALUE"""),25.0)</f>
        <v>25</v>
      </c>
      <c r="J63" s="27">
        <f>IFERROR(__xludf.DUMMYFUNCTION("""COMPUTED_VALUE"""),2017.0)</f>
        <v>2017</v>
      </c>
      <c r="K63" s="30">
        <f>IFERROR(__xludf.DUMMYFUNCTION("""COMPUTED_VALUE"""),42941.0)</f>
        <v>42941</v>
      </c>
      <c r="L63" s="27" t="str">
        <f>IFERROR(__xludf.DUMMYFUNCTION("""COMPUTED_VALUE"""),"L")</f>
        <v>L</v>
      </c>
      <c r="M63" s="27" t="str">
        <f>IFERROR(__xludf.DUMMYFUNCTION("""COMPUTED_VALUE"""),"GRC")</f>
        <v>GRC</v>
      </c>
      <c r="N63" s="27">
        <f>IFERROR(__xludf.DUMMYFUNCTION("""COMPUTED_VALUE"""),4594.0)</f>
        <v>4594</v>
      </c>
      <c r="O63" s="27" t="str">
        <f>IFERROR(__xludf.DUMMYFUNCTION("""COMPUTED_VALUE"""),"Online")</f>
        <v>Online</v>
      </c>
      <c r="P63" s="28">
        <f>IFERROR(__xludf.DUMMYFUNCTION("""COMPUTED_VALUE"""),9560.0)</f>
        <v>9560</v>
      </c>
      <c r="Q63" s="31">
        <f>IFERROR(__xludf.DUMMYFUNCTION("""COMPUTED_VALUE"""),9.33)</f>
        <v>9.33</v>
      </c>
      <c r="R63" s="31">
        <f>IFERROR(__xludf.DUMMYFUNCTION("""COMPUTED_VALUE"""),6.92)</f>
        <v>6.92</v>
      </c>
      <c r="S63" s="31">
        <f>IFERROR(__xludf.DUMMYFUNCTION("""COMPUTED_VALUE"""),89194.8)</f>
        <v>89194.8</v>
      </c>
      <c r="T63" s="31">
        <f>IFERROR(__xludf.DUMMYFUNCTION("""COMPUTED_VALUE"""),66155.2)</f>
        <v>66155.2</v>
      </c>
      <c r="U63" s="31">
        <f>IFERROR(__xludf.DUMMYFUNCTION("""COMPUTED_VALUE"""),23039.600000000006)</f>
        <v>23039.6</v>
      </c>
      <c r="V63" s="27" t="str">
        <f>IFERROR(__xludf.DUMMYFUNCTION("""COMPUTED_VALUE"""),"Fruits")</f>
        <v>Fruits</v>
      </c>
      <c r="W63" s="27" t="str">
        <f>IFERROR(__xludf.DUMMYFUNCTION("""COMPUTED_VALUE"""),"Europe")</f>
        <v>Europe</v>
      </c>
      <c r="X63" s="27" t="str">
        <f>IFERROR(__xludf.DUMMYFUNCTION("""COMPUTED_VALUE"""),"Southern Europe")</f>
        <v>Southern Europe</v>
      </c>
      <c r="Y63" s="32">
        <f>IFERROR(__xludf.DUMMYFUNCTION("""COMPUTED_VALUE"""),0.25830653804930337)</f>
        <v>0.258306538</v>
      </c>
      <c r="Z63" s="27">
        <f>IFERROR(__xludf.DUMMYFUNCTION("""COMPUTED_VALUE"""),16.0)</f>
        <v>16</v>
      </c>
      <c r="AA63" s="27">
        <f>IFERROR(__xludf.DUMMYFUNCTION("""COMPUTED_VALUE"""),1.0)</f>
        <v>1</v>
      </c>
    </row>
    <row r="64">
      <c r="A64" s="27">
        <f>IFERROR(__xludf.DUMMYFUNCTION("""COMPUTED_VALUE"""),6.5354861E8)</f>
        <v>653548610</v>
      </c>
      <c r="B64" s="33">
        <f>IFERROR(__xludf.DUMMYFUNCTION("""COMPUTED_VALUE"""),42980.0)</f>
        <v>42980</v>
      </c>
      <c r="C64" s="27">
        <f>IFERROR(__xludf.DUMMYFUNCTION("""COMPUTED_VALUE"""),2.0)</f>
        <v>2</v>
      </c>
      <c r="D64" s="28">
        <f>IFERROR(__xludf.DUMMYFUNCTION("""COMPUTED_VALUE"""),9.0)</f>
        <v>9</v>
      </c>
      <c r="E64" s="29">
        <f>IFERROR(__xludf.DUMMYFUNCTION("""COMPUTED_VALUE"""),2017.0)</f>
        <v>2017</v>
      </c>
      <c r="F64" s="30">
        <f>IFERROR(__xludf.DUMMYFUNCTION("""COMPUTED_VALUE"""),42775.0)</f>
        <v>42775</v>
      </c>
      <c r="G64" s="27" t="str">
        <f>IFERROR(__xludf.DUMMYFUNCTION("""COMPUTED_VALUE"""),"2/21/2017")</f>
        <v>2/21/2017</v>
      </c>
      <c r="H64" s="27">
        <f>IFERROR(__xludf.DUMMYFUNCTION("""COMPUTED_VALUE"""),2.0)</f>
        <v>2</v>
      </c>
      <c r="I64" s="27">
        <f>IFERROR(__xludf.DUMMYFUNCTION("""COMPUTED_VALUE"""),21.0)</f>
        <v>21</v>
      </c>
      <c r="J64" s="27">
        <f>IFERROR(__xludf.DUMMYFUNCTION("""COMPUTED_VALUE"""),2017.0)</f>
        <v>2017</v>
      </c>
      <c r="K64" s="30">
        <f>IFERROR(__xludf.DUMMYFUNCTION("""COMPUTED_VALUE"""),42787.0)</f>
        <v>42787</v>
      </c>
      <c r="L64" s="27" t="str">
        <f>IFERROR(__xludf.DUMMYFUNCTION("""COMPUTED_VALUE"""),"C")</f>
        <v>C</v>
      </c>
      <c r="M64" s="27" t="str">
        <f>IFERROR(__xludf.DUMMYFUNCTION("""COMPUTED_VALUE"""),"EST")</f>
        <v>EST</v>
      </c>
      <c r="N64" s="27">
        <f>IFERROR(__xludf.DUMMYFUNCTION("""COMPUTED_VALUE"""),1270.0)</f>
        <v>1270</v>
      </c>
      <c r="O64" s="27" t="str">
        <f>IFERROR(__xludf.DUMMYFUNCTION("""COMPUTED_VALUE"""),"Offline")</f>
        <v>Offline</v>
      </c>
      <c r="P64" s="28">
        <f>IFERROR(__xludf.DUMMYFUNCTION("""COMPUTED_VALUE"""),8412.0)</f>
        <v>8412</v>
      </c>
      <c r="Q64" s="31">
        <f>IFERROR(__xludf.DUMMYFUNCTION("""COMPUTED_VALUE"""),47.45)</f>
        <v>47.45</v>
      </c>
      <c r="R64" s="31">
        <f>IFERROR(__xludf.DUMMYFUNCTION("""COMPUTED_VALUE"""),31.79)</f>
        <v>31.79</v>
      </c>
      <c r="S64" s="31">
        <f>IFERROR(__xludf.DUMMYFUNCTION("""COMPUTED_VALUE"""),399149.4)</f>
        <v>399149.4</v>
      </c>
      <c r="T64" s="31">
        <f>IFERROR(__xludf.DUMMYFUNCTION("""COMPUTED_VALUE"""),267417.48)</f>
        <v>267417.48</v>
      </c>
      <c r="U64" s="31">
        <f>IFERROR(__xludf.DUMMYFUNCTION("""COMPUTED_VALUE"""),131731.92000000004)</f>
        <v>131731.92</v>
      </c>
      <c r="V64" s="27" t="str">
        <f>IFERROR(__xludf.DUMMYFUNCTION("""COMPUTED_VALUE"""),"Beverages")</f>
        <v>Beverages</v>
      </c>
      <c r="W64" s="27" t="str">
        <f>IFERROR(__xludf.DUMMYFUNCTION("""COMPUTED_VALUE"""),"Europe")</f>
        <v>Europe</v>
      </c>
      <c r="X64" s="27" t="str">
        <f>IFERROR(__xludf.DUMMYFUNCTION("""COMPUTED_VALUE"""),"Northern Europe")</f>
        <v>Northern Europe</v>
      </c>
      <c r="Y64" s="32">
        <f>IFERROR(__xludf.DUMMYFUNCTION("""COMPUTED_VALUE"""),0.3300316122233931)</f>
        <v>0.3300316122</v>
      </c>
      <c r="Z64" s="27">
        <f>IFERROR(__xludf.DUMMYFUNCTION("""COMPUTED_VALUE"""),12.0)</f>
        <v>12</v>
      </c>
      <c r="AA64" s="27">
        <f>IFERROR(__xludf.DUMMYFUNCTION("""COMPUTED_VALUE"""),5.0)</f>
        <v>5</v>
      </c>
    </row>
    <row r="65">
      <c r="A65" s="27">
        <f>IFERROR(__xludf.DUMMYFUNCTION("""COMPUTED_VALUE"""),6.8032521E8)</f>
        <v>680325210</v>
      </c>
      <c r="B65" s="27" t="str">
        <f>IFERROR(__xludf.DUMMYFUNCTION("""COMPUTED_VALUE"""),"6/21/2017")</f>
        <v>6/21/2017</v>
      </c>
      <c r="C65" s="27">
        <f>IFERROR(__xludf.DUMMYFUNCTION("""COMPUTED_VALUE"""),6.0)</f>
        <v>6</v>
      </c>
      <c r="D65" s="28">
        <f>IFERROR(__xludf.DUMMYFUNCTION("""COMPUTED_VALUE"""),21.0)</f>
        <v>21</v>
      </c>
      <c r="E65" s="29">
        <f>IFERROR(__xludf.DUMMYFUNCTION("""COMPUTED_VALUE"""),2017.0)</f>
        <v>2017</v>
      </c>
      <c r="F65" s="30">
        <f>IFERROR(__xludf.DUMMYFUNCTION("""COMPUTED_VALUE"""),42907.0)</f>
        <v>42907</v>
      </c>
      <c r="G65" s="27" t="str">
        <f>IFERROR(__xludf.DUMMYFUNCTION("""COMPUTED_VALUE"""),"7/23/2017")</f>
        <v>7/23/2017</v>
      </c>
      <c r="H65" s="27">
        <f>IFERROR(__xludf.DUMMYFUNCTION("""COMPUTED_VALUE"""),7.0)</f>
        <v>7</v>
      </c>
      <c r="I65" s="27">
        <f>IFERROR(__xludf.DUMMYFUNCTION("""COMPUTED_VALUE"""),23.0)</f>
        <v>23</v>
      </c>
      <c r="J65" s="27">
        <f>IFERROR(__xludf.DUMMYFUNCTION("""COMPUTED_VALUE"""),2017.0)</f>
        <v>2017</v>
      </c>
      <c r="K65" s="30">
        <f>IFERROR(__xludf.DUMMYFUNCTION("""COMPUTED_VALUE"""),42939.0)</f>
        <v>42939</v>
      </c>
      <c r="L65" s="27" t="str">
        <f>IFERROR(__xludf.DUMMYFUNCTION("""COMPUTED_VALUE"""),"C")</f>
        <v>C</v>
      </c>
      <c r="M65" s="27" t="str">
        <f>IFERROR(__xludf.DUMMYFUNCTION("""COMPUTED_VALUE"""),"FIN")</f>
        <v>FIN</v>
      </c>
      <c r="N65" s="27">
        <f>IFERROR(__xludf.DUMMYFUNCTION("""COMPUTED_VALUE"""),5988.0)</f>
        <v>5988</v>
      </c>
      <c r="O65" s="27" t="str">
        <f>IFERROR(__xludf.DUMMYFUNCTION("""COMPUTED_VALUE"""),"Online")</f>
        <v>Online</v>
      </c>
      <c r="P65" s="28">
        <f>IFERROR(__xludf.DUMMYFUNCTION("""COMPUTED_VALUE"""),2203.0)</f>
        <v>2203</v>
      </c>
      <c r="Q65" s="31">
        <f>IFERROR(__xludf.DUMMYFUNCTION("""COMPUTED_VALUE"""),154.06)</f>
        <v>154.06</v>
      </c>
      <c r="R65" s="31">
        <f>IFERROR(__xludf.DUMMYFUNCTION("""COMPUTED_VALUE"""),90.93)</f>
        <v>90.93</v>
      </c>
      <c r="S65" s="31">
        <f>IFERROR(__xludf.DUMMYFUNCTION("""COMPUTED_VALUE"""),339394.18)</f>
        <v>339394.18</v>
      </c>
      <c r="T65" s="31">
        <f>IFERROR(__xludf.DUMMYFUNCTION("""COMPUTED_VALUE"""),200318.79)</f>
        <v>200318.79</v>
      </c>
      <c r="U65" s="31">
        <f>IFERROR(__xludf.DUMMYFUNCTION("""COMPUTED_VALUE"""),139075.38999999998)</f>
        <v>139075.39</v>
      </c>
      <c r="V65" s="27" t="str">
        <f>IFERROR(__xludf.DUMMYFUNCTION("""COMPUTED_VALUE"""),"Vegetables")</f>
        <v>Vegetables</v>
      </c>
      <c r="W65" s="27" t="str">
        <f>IFERROR(__xludf.DUMMYFUNCTION("""COMPUTED_VALUE"""),"Europe")</f>
        <v>Europe</v>
      </c>
      <c r="X65" s="27" t="str">
        <f>IFERROR(__xludf.DUMMYFUNCTION("""COMPUTED_VALUE"""),"Northern Europe")</f>
        <v>Northern Europe</v>
      </c>
      <c r="Y65" s="32">
        <f>IFERROR(__xludf.DUMMYFUNCTION("""COMPUTED_VALUE"""),0.4097754121770738)</f>
        <v>0.4097754122</v>
      </c>
      <c r="Z65" s="27">
        <f>IFERROR(__xludf.DUMMYFUNCTION("""COMPUTED_VALUE"""),32.0)</f>
        <v>32</v>
      </c>
      <c r="AA65" s="27">
        <f>IFERROR(__xludf.DUMMYFUNCTION("""COMPUTED_VALUE"""),4.0)</f>
        <v>4</v>
      </c>
    </row>
    <row r="66">
      <c r="A66" s="27">
        <f>IFERROR(__xludf.DUMMYFUNCTION("""COMPUTED_VALUE"""),6.88698422E8)</f>
        <v>688698422</v>
      </c>
      <c r="B66" s="33">
        <f>IFERROR(__xludf.DUMMYFUNCTION("""COMPUTED_VALUE"""),43072.0)</f>
        <v>43072</v>
      </c>
      <c r="C66" s="27">
        <f>IFERROR(__xludf.DUMMYFUNCTION("""COMPUTED_VALUE"""),3.0)</f>
        <v>3</v>
      </c>
      <c r="D66" s="28">
        <f>IFERROR(__xludf.DUMMYFUNCTION("""COMPUTED_VALUE"""),12.0)</f>
        <v>12</v>
      </c>
      <c r="E66" s="29">
        <f>IFERROR(__xludf.DUMMYFUNCTION("""COMPUTED_VALUE"""),2017.0)</f>
        <v>2017</v>
      </c>
      <c r="F66" s="30">
        <f>IFERROR(__xludf.DUMMYFUNCTION("""COMPUTED_VALUE"""),42806.0)</f>
        <v>42806</v>
      </c>
      <c r="G66" s="33">
        <f>IFERROR(__xludf.DUMMYFUNCTION("""COMPUTED_VALUE"""),42739.0)</f>
        <v>42739</v>
      </c>
      <c r="H66" s="27">
        <f>IFERROR(__xludf.DUMMYFUNCTION("""COMPUTED_VALUE"""),4.0)</f>
        <v>4</v>
      </c>
      <c r="I66" s="27">
        <f>IFERROR(__xludf.DUMMYFUNCTION("""COMPUTED_VALUE"""),1.0)</f>
        <v>1</v>
      </c>
      <c r="J66" s="27">
        <f>IFERROR(__xludf.DUMMYFUNCTION("""COMPUTED_VALUE"""),2017.0)</f>
        <v>2017</v>
      </c>
      <c r="K66" s="30">
        <f>IFERROR(__xludf.DUMMYFUNCTION("""COMPUTED_VALUE"""),42826.0)</f>
        <v>42826</v>
      </c>
      <c r="L66" s="27" t="str">
        <f>IFERROR(__xludf.DUMMYFUNCTION("""COMPUTED_VALUE"""),"H")</f>
        <v>H</v>
      </c>
      <c r="M66" s="27" t="str">
        <f>IFERROR(__xludf.DUMMYFUNCTION("""COMPUTED_VALUE"""),"NLD")</f>
        <v>NLD</v>
      </c>
      <c r="N66" s="27">
        <f>IFERROR(__xludf.DUMMYFUNCTION("""COMPUTED_VALUE"""),5988.0)</f>
        <v>5988</v>
      </c>
      <c r="O66" s="27" t="str">
        <f>IFERROR(__xludf.DUMMYFUNCTION("""COMPUTED_VALUE"""),"Offline")</f>
        <v>Offline</v>
      </c>
      <c r="P66" s="28">
        <f>IFERROR(__xludf.DUMMYFUNCTION("""COMPUTED_VALUE"""),22.0)</f>
        <v>22</v>
      </c>
      <c r="Q66" s="31">
        <f>IFERROR(__xludf.DUMMYFUNCTION("""COMPUTED_VALUE"""),154.06)</f>
        <v>154.06</v>
      </c>
      <c r="R66" s="31">
        <f>IFERROR(__xludf.DUMMYFUNCTION("""COMPUTED_VALUE"""),90.93)</f>
        <v>90.93</v>
      </c>
      <c r="S66" s="31">
        <f>IFERROR(__xludf.DUMMYFUNCTION("""COMPUTED_VALUE"""),3389.32)</f>
        <v>3389.32</v>
      </c>
      <c r="T66" s="31">
        <f>IFERROR(__xludf.DUMMYFUNCTION("""COMPUTED_VALUE"""),2000.46)</f>
        <v>2000.46</v>
      </c>
      <c r="U66" s="31">
        <f>IFERROR(__xludf.DUMMYFUNCTION("""COMPUTED_VALUE"""),1388.8600000000001)</f>
        <v>1388.86</v>
      </c>
      <c r="V66" s="27" t="str">
        <f>IFERROR(__xludf.DUMMYFUNCTION("""COMPUTED_VALUE"""),"Vegetables")</f>
        <v>Vegetables</v>
      </c>
      <c r="W66" s="27" t="str">
        <f>IFERROR(__xludf.DUMMYFUNCTION("""COMPUTED_VALUE"""),"Europe")</f>
        <v>Europe</v>
      </c>
      <c r="X66" s="27" t="str">
        <f>IFERROR(__xludf.DUMMYFUNCTION("""COMPUTED_VALUE"""),"Western Europe")</f>
        <v>Western Europe</v>
      </c>
      <c r="Y66" s="32">
        <f>IFERROR(__xludf.DUMMYFUNCTION("""COMPUTED_VALUE"""),0.40977541217707386)</f>
        <v>0.4097754122</v>
      </c>
      <c r="Z66" s="27">
        <f>IFERROR(__xludf.DUMMYFUNCTION("""COMPUTED_VALUE"""),20.0)</f>
        <v>20</v>
      </c>
      <c r="AA66" s="27">
        <f>IFERROR(__xludf.DUMMYFUNCTION("""COMPUTED_VALUE"""),1.0)</f>
        <v>1</v>
      </c>
    </row>
    <row r="67">
      <c r="A67" s="27">
        <f>IFERROR(__xludf.DUMMYFUNCTION("""COMPUTED_VALUE"""),6.88903129E8)</f>
        <v>688903129</v>
      </c>
      <c r="B67" s="27" t="str">
        <f>IFERROR(__xludf.DUMMYFUNCTION("""COMPUTED_VALUE"""),"5/31/2017")</f>
        <v>5/31/2017</v>
      </c>
      <c r="C67" s="27">
        <f>IFERROR(__xludf.DUMMYFUNCTION("""COMPUTED_VALUE"""),5.0)</f>
        <v>5</v>
      </c>
      <c r="D67" s="28">
        <f>IFERROR(__xludf.DUMMYFUNCTION("""COMPUTED_VALUE"""),31.0)</f>
        <v>31</v>
      </c>
      <c r="E67" s="29">
        <f>IFERROR(__xludf.DUMMYFUNCTION("""COMPUTED_VALUE"""),2017.0)</f>
        <v>2017</v>
      </c>
      <c r="F67" s="30">
        <f>IFERROR(__xludf.DUMMYFUNCTION("""COMPUTED_VALUE"""),42886.0)</f>
        <v>42886</v>
      </c>
      <c r="G67" s="33">
        <f>IFERROR(__xludf.DUMMYFUNCTION("""COMPUTED_VALUE"""),42773.0)</f>
        <v>42773</v>
      </c>
      <c r="H67" s="27">
        <f>IFERROR(__xludf.DUMMYFUNCTION("""COMPUTED_VALUE"""),7.0)</f>
        <v>7</v>
      </c>
      <c r="I67" s="27">
        <f>IFERROR(__xludf.DUMMYFUNCTION("""COMPUTED_VALUE"""),2.0)</f>
        <v>2</v>
      </c>
      <c r="J67" s="27">
        <f>IFERROR(__xludf.DUMMYFUNCTION("""COMPUTED_VALUE"""),2017.0)</f>
        <v>2017</v>
      </c>
      <c r="K67" s="30">
        <f>IFERROR(__xludf.DUMMYFUNCTION("""COMPUTED_VALUE"""),42918.0)</f>
        <v>42918</v>
      </c>
      <c r="L67" s="27" t="str">
        <f>IFERROR(__xludf.DUMMYFUNCTION("""COMPUTED_VALUE"""),"M")</f>
        <v>M</v>
      </c>
      <c r="M67" s="27" t="str">
        <f>IFERROR(__xludf.DUMMYFUNCTION("""COMPUTED_VALUE"""),"BGR")</f>
        <v>BGR</v>
      </c>
      <c r="N67" s="27">
        <f>IFERROR(__xludf.DUMMYFUNCTION("""COMPUTED_VALUE"""),7940.0)</f>
        <v>7940</v>
      </c>
      <c r="O67" s="27" t="str">
        <f>IFERROR(__xludf.DUMMYFUNCTION("""COMPUTED_VALUE"""),"Online")</f>
        <v>Online</v>
      </c>
      <c r="P67" s="28">
        <f>IFERROR(__xludf.DUMMYFUNCTION("""COMPUTED_VALUE"""),600.0)</f>
        <v>600</v>
      </c>
      <c r="Q67" s="31">
        <f>IFERROR(__xludf.DUMMYFUNCTION("""COMPUTED_VALUE"""),668.27)</f>
        <v>668.27</v>
      </c>
      <c r="R67" s="31">
        <f>IFERROR(__xludf.DUMMYFUNCTION("""COMPUTED_VALUE"""),502.54)</f>
        <v>502.54</v>
      </c>
      <c r="S67" s="31">
        <f>IFERROR(__xludf.DUMMYFUNCTION("""COMPUTED_VALUE"""),400962.0)</f>
        <v>400962</v>
      </c>
      <c r="T67" s="31">
        <f>IFERROR(__xludf.DUMMYFUNCTION("""COMPUTED_VALUE"""),301524.0)</f>
        <v>301524</v>
      </c>
      <c r="U67" s="31">
        <f>IFERROR(__xludf.DUMMYFUNCTION("""COMPUTED_VALUE"""),99438.0)</f>
        <v>99438</v>
      </c>
      <c r="V67" s="27" t="str">
        <f>IFERROR(__xludf.DUMMYFUNCTION("""COMPUTED_VALUE"""),"Household")</f>
        <v>Household</v>
      </c>
      <c r="W67" s="27" t="str">
        <f>IFERROR(__xludf.DUMMYFUNCTION("""COMPUTED_VALUE"""),"Europe")</f>
        <v>Europe</v>
      </c>
      <c r="X67" s="27" t="str">
        <f>IFERROR(__xludf.DUMMYFUNCTION("""COMPUTED_VALUE"""),"Eastern Europe")</f>
        <v>Eastern Europe</v>
      </c>
      <c r="Y67" s="32">
        <f>IFERROR(__xludf.DUMMYFUNCTION("""COMPUTED_VALUE"""),0.247998563454891)</f>
        <v>0.2479985635</v>
      </c>
      <c r="Z67" s="27">
        <f>IFERROR(__xludf.DUMMYFUNCTION("""COMPUTED_VALUE"""),32.0)</f>
        <v>32</v>
      </c>
      <c r="AA67" s="27">
        <f>IFERROR(__xludf.DUMMYFUNCTION("""COMPUTED_VALUE"""),4.0)</f>
        <v>4</v>
      </c>
    </row>
    <row r="68">
      <c r="A68" s="27">
        <f>IFERROR(__xludf.DUMMYFUNCTION("""COMPUTED_VALUE"""),6.92757356E8)</f>
        <v>692757356</v>
      </c>
      <c r="B68" s="33">
        <f>IFERROR(__xludf.DUMMYFUNCTION("""COMPUTED_VALUE"""),42771.0)</f>
        <v>42771</v>
      </c>
      <c r="C68" s="27">
        <f>IFERROR(__xludf.DUMMYFUNCTION("""COMPUTED_VALUE"""),5.0)</f>
        <v>5</v>
      </c>
      <c r="D68" s="28">
        <f>IFERROR(__xludf.DUMMYFUNCTION("""COMPUTED_VALUE"""),2.0)</f>
        <v>2</v>
      </c>
      <c r="E68" s="29">
        <f>IFERROR(__xludf.DUMMYFUNCTION("""COMPUTED_VALUE"""),2017.0)</f>
        <v>2017</v>
      </c>
      <c r="F68" s="30">
        <f>IFERROR(__xludf.DUMMYFUNCTION("""COMPUTED_VALUE"""),42857.0)</f>
        <v>42857</v>
      </c>
      <c r="G68" s="33">
        <f>IFERROR(__xludf.DUMMYFUNCTION("""COMPUTED_VALUE"""),43074.0)</f>
        <v>43074</v>
      </c>
      <c r="H68" s="27">
        <f>IFERROR(__xludf.DUMMYFUNCTION("""COMPUTED_VALUE"""),5.0)</f>
        <v>5</v>
      </c>
      <c r="I68" s="27">
        <f>IFERROR(__xludf.DUMMYFUNCTION("""COMPUTED_VALUE"""),12.0)</f>
        <v>12</v>
      </c>
      <c r="J68" s="27">
        <f>IFERROR(__xludf.DUMMYFUNCTION("""COMPUTED_VALUE"""),2017.0)</f>
        <v>2017</v>
      </c>
      <c r="K68" s="30">
        <f>IFERROR(__xludf.DUMMYFUNCTION("""COMPUTED_VALUE"""),42867.0)</f>
        <v>42867</v>
      </c>
      <c r="L68" s="27" t="str">
        <f>IFERROR(__xludf.DUMMYFUNCTION("""COMPUTED_VALUE"""),"H")</f>
        <v>H</v>
      </c>
      <c r="M68" s="27" t="str">
        <f>IFERROR(__xludf.DUMMYFUNCTION("""COMPUTED_VALUE"""),"DEU")</f>
        <v>DEU</v>
      </c>
      <c r="N68" s="27">
        <f>IFERROR(__xludf.DUMMYFUNCTION("""COMPUTED_VALUE"""),8875.0)</f>
        <v>8875</v>
      </c>
      <c r="O68" s="27" t="str">
        <f>IFERROR(__xludf.DUMMYFUNCTION("""COMPUTED_VALUE"""),"Offline")</f>
        <v>Offline</v>
      </c>
      <c r="P68" s="28">
        <f>IFERROR(__xludf.DUMMYFUNCTION("""COMPUTED_VALUE"""),1151.0)</f>
        <v>1151</v>
      </c>
      <c r="Q68" s="31">
        <f>IFERROR(__xludf.DUMMYFUNCTION("""COMPUTED_VALUE"""),421.89)</f>
        <v>421.89</v>
      </c>
      <c r="R68" s="31">
        <f>IFERROR(__xludf.DUMMYFUNCTION("""COMPUTED_VALUE"""),364.69)</f>
        <v>364.69</v>
      </c>
      <c r="S68" s="31">
        <f>IFERROR(__xludf.DUMMYFUNCTION("""COMPUTED_VALUE"""),485595.38999999996)</f>
        <v>485595.39</v>
      </c>
      <c r="T68" s="31">
        <f>IFERROR(__xludf.DUMMYFUNCTION("""COMPUTED_VALUE"""),419758.19)</f>
        <v>419758.19</v>
      </c>
      <c r="U68" s="31">
        <f>IFERROR(__xludf.DUMMYFUNCTION("""COMPUTED_VALUE"""),65837.19999999995)</f>
        <v>65837.2</v>
      </c>
      <c r="V68" s="27" t="str">
        <f>IFERROR(__xludf.DUMMYFUNCTION("""COMPUTED_VALUE"""),"Meat")</f>
        <v>Meat</v>
      </c>
      <c r="W68" s="27" t="str">
        <f>IFERROR(__xludf.DUMMYFUNCTION("""COMPUTED_VALUE"""),"Europe")</f>
        <v>Europe</v>
      </c>
      <c r="X68" s="27" t="str">
        <f>IFERROR(__xludf.DUMMYFUNCTION("""COMPUTED_VALUE"""),"Western Europe")</f>
        <v>Western Europe</v>
      </c>
      <c r="Y68" s="32">
        <f>IFERROR(__xludf.DUMMYFUNCTION("""COMPUTED_VALUE"""),0.1355803645500011)</f>
        <v>0.1355803646</v>
      </c>
      <c r="Z68" s="27">
        <f>IFERROR(__xludf.DUMMYFUNCTION("""COMPUTED_VALUE"""),10.0)</f>
        <v>10</v>
      </c>
      <c r="AA68" s="27">
        <f>IFERROR(__xludf.DUMMYFUNCTION("""COMPUTED_VALUE"""),3.0)</f>
        <v>3</v>
      </c>
    </row>
    <row r="69">
      <c r="A69" s="27">
        <f>IFERROR(__xludf.DUMMYFUNCTION("""COMPUTED_VALUE"""),6.96844613E8)</f>
        <v>696844613</v>
      </c>
      <c r="B69" s="33">
        <f>IFERROR(__xludf.DUMMYFUNCTION("""COMPUTED_VALUE"""),42797.0)</f>
        <v>42797</v>
      </c>
      <c r="C69" s="27">
        <f>IFERROR(__xludf.DUMMYFUNCTION("""COMPUTED_VALUE"""),3.0)</f>
        <v>3</v>
      </c>
      <c r="D69" s="28">
        <f>IFERROR(__xludf.DUMMYFUNCTION("""COMPUTED_VALUE"""),3.0)</f>
        <v>3</v>
      </c>
      <c r="E69" s="29">
        <f>IFERROR(__xludf.DUMMYFUNCTION("""COMPUTED_VALUE"""),2017.0)</f>
        <v>2017</v>
      </c>
      <c r="F69" s="30">
        <f>IFERROR(__xludf.DUMMYFUNCTION("""COMPUTED_VALUE"""),42797.0)</f>
        <v>42797</v>
      </c>
      <c r="G69" s="27" t="str">
        <f>IFERROR(__xludf.DUMMYFUNCTION("""COMPUTED_VALUE"""),"3/22/2017")</f>
        <v>3/22/2017</v>
      </c>
      <c r="H69" s="27">
        <f>IFERROR(__xludf.DUMMYFUNCTION("""COMPUTED_VALUE"""),3.0)</f>
        <v>3</v>
      </c>
      <c r="I69" s="27">
        <f>IFERROR(__xludf.DUMMYFUNCTION("""COMPUTED_VALUE"""),22.0)</f>
        <v>22</v>
      </c>
      <c r="J69" s="27">
        <f>IFERROR(__xludf.DUMMYFUNCTION("""COMPUTED_VALUE"""),2017.0)</f>
        <v>2017</v>
      </c>
      <c r="K69" s="30">
        <f>IFERROR(__xludf.DUMMYFUNCTION("""COMPUTED_VALUE"""),42816.0)</f>
        <v>42816</v>
      </c>
      <c r="L69" s="27" t="str">
        <f>IFERROR(__xludf.DUMMYFUNCTION("""COMPUTED_VALUE"""),"M")</f>
        <v>M</v>
      </c>
      <c r="M69" s="27" t="str">
        <f>IFERROR(__xludf.DUMMYFUNCTION("""COMPUTED_VALUE"""),"NOR")</f>
        <v>NOR</v>
      </c>
      <c r="N69" s="27">
        <f>IFERROR(__xludf.DUMMYFUNCTION("""COMPUTED_VALUE"""),8875.0)</f>
        <v>8875</v>
      </c>
      <c r="O69" s="27" t="str">
        <f>IFERROR(__xludf.DUMMYFUNCTION("""COMPUTED_VALUE"""),"Online")</f>
        <v>Online</v>
      </c>
      <c r="P69" s="28">
        <f>IFERROR(__xludf.DUMMYFUNCTION("""COMPUTED_VALUE"""),661.0)</f>
        <v>661</v>
      </c>
      <c r="Q69" s="31">
        <f>IFERROR(__xludf.DUMMYFUNCTION("""COMPUTED_VALUE"""),421.89)</f>
        <v>421.89</v>
      </c>
      <c r="R69" s="31">
        <f>IFERROR(__xludf.DUMMYFUNCTION("""COMPUTED_VALUE"""),364.69)</f>
        <v>364.69</v>
      </c>
      <c r="S69" s="31">
        <f>IFERROR(__xludf.DUMMYFUNCTION("""COMPUTED_VALUE"""),278869.29)</f>
        <v>278869.29</v>
      </c>
      <c r="T69" s="31">
        <f>IFERROR(__xludf.DUMMYFUNCTION("""COMPUTED_VALUE"""),241060.09)</f>
        <v>241060.09</v>
      </c>
      <c r="U69" s="31">
        <f>IFERROR(__xludf.DUMMYFUNCTION("""COMPUTED_VALUE"""),37809.19999999998)</f>
        <v>37809.2</v>
      </c>
      <c r="V69" s="27" t="str">
        <f>IFERROR(__xludf.DUMMYFUNCTION("""COMPUTED_VALUE"""),"Meat")</f>
        <v>Meat</v>
      </c>
      <c r="W69" s="27" t="str">
        <f>IFERROR(__xludf.DUMMYFUNCTION("""COMPUTED_VALUE"""),"Europe")</f>
        <v>Europe</v>
      </c>
      <c r="X69" s="27" t="str">
        <f>IFERROR(__xludf.DUMMYFUNCTION("""COMPUTED_VALUE"""),"Northern Europe")</f>
        <v>Northern Europe</v>
      </c>
      <c r="Y69" s="32">
        <f>IFERROR(__xludf.DUMMYFUNCTION("""COMPUTED_VALUE"""),0.13558036455000114)</f>
        <v>0.1355803646</v>
      </c>
      <c r="Z69" s="27">
        <f>IFERROR(__xludf.DUMMYFUNCTION("""COMPUTED_VALUE"""),19.0)</f>
        <v>19</v>
      </c>
      <c r="AA69" s="27">
        <f>IFERROR(__xludf.DUMMYFUNCTION("""COMPUTED_VALUE"""),6.0)</f>
        <v>6</v>
      </c>
    </row>
    <row r="70">
      <c r="A70" s="27">
        <f>IFERROR(__xludf.DUMMYFUNCTION("""COMPUTED_VALUE"""),7.04139363E8)</f>
        <v>704139363</v>
      </c>
      <c r="B70" s="27" t="str">
        <f>IFERROR(__xludf.DUMMYFUNCTION("""COMPUTED_VALUE"""),"7/17/2017")</f>
        <v>7/17/2017</v>
      </c>
      <c r="C70" s="27">
        <f>IFERROR(__xludf.DUMMYFUNCTION("""COMPUTED_VALUE"""),7.0)</f>
        <v>7</v>
      </c>
      <c r="D70" s="28">
        <f>IFERROR(__xludf.DUMMYFUNCTION("""COMPUTED_VALUE"""),17.0)</f>
        <v>17</v>
      </c>
      <c r="E70" s="29">
        <f>IFERROR(__xludf.DUMMYFUNCTION("""COMPUTED_VALUE"""),2017.0)</f>
        <v>2017</v>
      </c>
      <c r="F70" s="30">
        <f>IFERROR(__xludf.DUMMYFUNCTION("""COMPUTED_VALUE"""),42933.0)</f>
        <v>42933</v>
      </c>
      <c r="G70" s="27" t="str">
        <f>IFERROR(__xludf.DUMMYFUNCTION("""COMPUTED_VALUE"""),"8/31/2017")</f>
        <v>8/31/2017</v>
      </c>
      <c r="H70" s="27">
        <f>IFERROR(__xludf.DUMMYFUNCTION("""COMPUTED_VALUE"""),8.0)</f>
        <v>8</v>
      </c>
      <c r="I70" s="27">
        <f>IFERROR(__xludf.DUMMYFUNCTION("""COMPUTED_VALUE"""),31.0)</f>
        <v>31</v>
      </c>
      <c r="J70" s="27">
        <f>IFERROR(__xludf.DUMMYFUNCTION("""COMPUTED_VALUE"""),2017.0)</f>
        <v>2017</v>
      </c>
      <c r="K70" s="30">
        <f>IFERROR(__xludf.DUMMYFUNCTION("""COMPUTED_VALUE"""),42978.0)</f>
        <v>42978</v>
      </c>
      <c r="L70" s="27" t="str">
        <f>IFERROR(__xludf.DUMMYFUNCTION("""COMPUTED_VALUE"""),"M")</f>
        <v>M</v>
      </c>
      <c r="M70" s="27" t="str">
        <f>IFERROR(__xludf.DUMMYFUNCTION("""COMPUTED_VALUE"""),"MKD")</f>
        <v>MKD</v>
      </c>
      <c r="N70" s="27">
        <f>IFERROR(__xludf.DUMMYFUNCTION("""COMPUTED_VALUE"""),1270.0)</f>
        <v>1270</v>
      </c>
      <c r="O70" s="27" t="str">
        <f>IFERROR(__xludf.DUMMYFUNCTION("""COMPUTED_VALUE"""),"Offline")</f>
        <v>Offline</v>
      </c>
      <c r="P70" s="28">
        <f>IFERROR(__xludf.DUMMYFUNCTION("""COMPUTED_VALUE"""),9340.0)</f>
        <v>9340</v>
      </c>
      <c r="Q70" s="31">
        <f>IFERROR(__xludf.DUMMYFUNCTION("""COMPUTED_VALUE"""),47.45)</f>
        <v>47.45</v>
      </c>
      <c r="R70" s="31">
        <f>IFERROR(__xludf.DUMMYFUNCTION("""COMPUTED_VALUE"""),31.79)</f>
        <v>31.79</v>
      </c>
      <c r="S70" s="31">
        <f>IFERROR(__xludf.DUMMYFUNCTION("""COMPUTED_VALUE"""),443183.0)</f>
        <v>443183</v>
      </c>
      <c r="T70" s="31">
        <f>IFERROR(__xludf.DUMMYFUNCTION("""COMPUTED_VALUE"""),296918.6)</f>
        <v>296918.6</v>
      </c>
      <c r="U70" s="31">
        <f>IFERROR(__xludf.DUMMYFUNCTION("""COMPUTED_VALUE"""),146264.40000000002)</f>
        <v>146264.4</v>
      </c>
      <c r="V70" s="27" t="str">
        <f>IFERROR(__xludf.DUMMYFUNCTION("""COMPUTED_VALUE"""),"Beverages")</f>
        <v>Beverages</v>
      </c>
      <c r="W70" s="27" t="str">
        <f>IFERROR(__xludf.DUMMYFUNCTION("""COMPUTED_VALUE"""),"Europe")</f>
        <v>Europe</v>
      </c>
      <c r="X70" s="27" t="str">
        <f>IFERROR(__xludf.DUMMYFUNCTION("""COMPUTED_VALUE"""),"Southern Europe")</f>
        <v>Southern Europe</v>
      </c>
      <c r="Y70" s="32">
        <f>IFERROR(__xludf.DUMMYFUNCTION("""COMPUTED_VALUE"""),0.3300316122233931)</f>
        <v>0.3300316122</v>
      </c>
      <c r="Z70" s="27">
        <f>IFERROR(__xludf.DUMMYFUNCTION("""COMPUTED_VALUE"""),45.0)</f>
        <v>45</v>
      </c>
      <c r="AA70" s="27">
        <f>IFERROR(__xludf.DUMMYFUNCTION("""COMPUTED_VALUE"""),2.0)</f>
        <v>2</v>
      </c>
    </row>
    <row r="71">
      <c r="A71" s="27">
        <f>IFERROR(__xludf.DUMMYFUNCTION("""COMPUTED_VALUE"""),7.09276759E8)</f>
        <v>709276759</v>
      </c>
      <c r="B71" s="33">
        <f>IFERROR(__xludf.DUMMYFUNCTION("""COMPUTED_VALUE"""),43070.0)</f>
        <v>43070</v>
      </c>
      <c r="C71" s="27">
        <f>IFERROR(__xludf.DUMMYFUNCTION("""COMPUTED_VALUE"""),1.0)</f>
        <v>1</v>
      </c>
      <c r="D71" s="28">
        <f>IFERROR(__xludf.DUMMYFUNCTION("""COMPUTED_VALUE"""),12.0)</f>
        <v>12</v>
      </c>
      <c r="E71" s="29">
        <f>IFERROR(__xludf.DUMMYFUNCTION("""COMPUTED_VALUE"""),2017.0)</f>
        <v>2017</v>
      </c>
      <c r="F71" s="30">
        <f>IFERROR(__xludf.DUMMYFUNCTION("""COMPUTED_VALUE"""),42747.0)</f>
        <v>42747</v>
      </c>
      <c r="G71" s="33">
        <f>IFERROR(__xludf.DUMMYFUNCTION("""COMPUTED_VALUE"""),42738.0)</f>
        <v>42738</v>
      </c>
      <c r="H71" s="27">
        <f>IFERROR(__xludf.DUMMYFUNCTION("""COMPUTED_VALUE"""),3.0)</f>
        <v>3</v>
      </c>
      <c r="I71" s="27">
        <f>IFERROR(__xludf.DUMMYFUNCTION("""COMPUTED_VALUE"""),1.0)</f>
        <v>1</v>
      </c>
      <c r="J71" s="27">
        <f>IFERROR(__xludf.DUMMYFUNCTION("""COMPUTED_VALUE"""),2017.0)</f>
        <v>2017</v>
      </c>
      <c r="K71" s="30">
        <f>IFERROR(__xludf.DUMMYFUNCTION("""COMPUTED_VALUE"""),42795.0)</f>
        <v>42795</v>
      </c>
      <c r="L71" s="27" t="str">
        <f>IFERROR(__xludf.DUMMYFUNCTION("""COMPUTED_VALUE"""),"L")</f>
        <v>L</v>
      </c>
      <c r="M71" s="27" t="str">
        <f>IFERROR(__xludf.DUMMYFUNCTION("""COMPUTED_VALUE"""),"ROU")</f>
        <v>ROU</v>
      </c>
      <c r="N71" s="27">
        <f>IFERROR(__xludf.DUMMYFUNCTION("""COMPUTED_VALUE"""),2455.0)</f>
        <v>2455</v>
      </c>
      <c r="O71" s="27" t="str">
        <f>IFERROR(__xludf.DUMMYFUNCTION("""COMPUTED_VALUE"""),"Offline")</f>
        <v>Offline</v>
      </c>
      <c r="P71" s="28">
        <f>IFERROR(__xludf.DUMMYFUNCTION("""COMPUTED_VALUE"""),9610.0)</f>
        <v>9610</v>
      </c>
      <c r="Q71" s="31">
        <f>IFERROR(__xludf.DUMMYFUNCTION("""COMPUTED_VALUE"""),109.28)</f>
        <v>109.28</v>
      </c>
      <c r="R71" s="31">
        <f>IFERROR(__xludf.DUMMYFUNCTION("""COMPUTED_VALUE"""),35.84)</f>
        <v>35.84</v>
      </c>
      <c r="S71" s="31">
        <f>IFERROR(__xludf.DUMMYFUNCTION("""COMPUTED_VALUE"""),1050180.8)</f>
        <v>1050180.8</v>
      </c>
      <c r="T71" s="31">
        <f>IFERROR(__xludf.DUMMYFUNCTION("""COMPUTED_VALUE"""),344422.4)</f>
        <v>344422.4</v>
      </c>
      <c r="U71" s="31">
        <f>IFERROR(__xludf.DUMMYFUNCTION("""COMPUTED_VALUE"""),705758.4)</f>
        <v>705758.4</v>
      </c>
      <c r="V71" s="27" t="str">
        <f>IFERROR(__xludf.DUMMYFUNCTION("""COMPUTED_VALUE"""),"Clothes")</f>
        <v>Clothes</v>
      </c>
      <c r="W71" s="27" t="str">
        <f>IFERROR(__xludf.DUMMYFUNCTION("""COMPUTED_VALUE"""),"Europe")</f>
        <v>Europe</v>
      </c>
      <c r="X71" s="27" t="str">
        <f>IFERROR(__xludf.DUMMYFUNCTION("""COMPUTED_VALUE"""),"Eastern Europe")</f>
        <v>Eastern Europe</v>
      </c>
      <c r="Y71" s="32">
        <f>IFERROR(__xludf.DUMMYFUNCTION("""COMPUTED_VALUE"""),0.6720351390922401)</f>
        <v>0.6720351391</v>
      </c>
      <c r="Z71" s="27">
        <f>IFERROR(__xludf.DUMMYFUNCTION("""COMPUTED_VALUE"""),48.0)</f>
        <v>48</v>
      </c>
      <c r="AA71" s="27">
        <f>IFERROR(__xludf.DUMMYFUNCTION("""COMPUTED_VALUE"""),5.0)</f>
        <v>5</v>
      </c>
    </row>
    <row r="72">
      <c r="A72" s="27">
        <f>IFERROR(__xludf.DUMMYFUNCTION("""COMPUTED_VALUE"""),7.22233331E8)</f>
        <v>722233331</v>
      </c>
      <c r="B72" s="27" t="str">
        <f>IFERROR(__xludf.DUMMYFUNCTION("""COMPUTED_VALUE"""),"3/31/2017")</f>
        <v>3/31/2017</v>
      </c>
      <c r="C72" s="27">
        <f>IFERROR(__xludf.DUMMYFUNCTION("""COMPUTED_VALUE"""),3.0)</f>
        <v>3</v>
      </c>
      <c r="D72" s="28">
        <f>IFERROR(__xludf.DUMMYFUNCTION("""COMPUTED_VALUE"""),31.0)</f>
        <v>31</v>
      </c>
      <c r="E72" s="29">
        <f>IFERROR(__xludf.DUMMYFUNCTION("""COMPUTED_VALUE"""),2017.0)</f>
        <v>2017</v>
      </c>
      <c r="F72" s="30">
        <f>IFERROR(__xludf.DUMMYFUNCTION("""COMPUTED_VALUE"""),42825.0)</f>
        <v>42825</v>
      </c>
      <c r="G72" s="33">
        <f>IFERROR(__xludf.DUMMYFUNCTION("""COMPUTED_VALUE"""),42890.0)</f>
        <v>42890</v>
      </c>
      <c r="H72" s="27">
        <f>IFERROR(__xludf.DUMMYFUNCTION("""COMPUTED_VALUE"""),4.0)</f>
        <v>4</v>
      </c>
      <c r="I72" s="27">
        <f>IFERROR(__xludf.DUMMYFUNCTION("""COMPUTED_VALUE"""),6.0)</f>
        <v>6</v>
      </c>
      <c r="J72" s="27">
        <f>IFERROR(__xludf.DUMMYFUNCTION("""COMPUTED_VALUE"""),2017.0)</f>
        <v>2017</v>
      </c>
      <c r="K72" s="30">
        <f>IFERROR(__xludf.DUMMYFUNCTION("""COMPUTED_VALUE"""),42831.0)</f>
        <v>42831</v>
      </c>
      <c r="L72" s="27" t="str">
        <f>IFERROR(__xludf.DUMMYFUNCTION("""COMPUTED_VALUE"""),"H")</f>
        <v>H</v>
      </c>
      <c r="M72" s="27" t="str">
        <f>IFERROR(__xludf.DUMMYFUNCTION("""COMPUTED_VALUE"""),"ESP")</f>
        <v>ESP</v>
      </c>
      <c r="N72" s="27">
        <f>IFERROR(__xludf.DUMMYFUNCTION("""COMPUTED_VALUE"""),5988.0)</f>
        <v>5988</v>
      </c>
      <c r="O72" s="27" t="str">
        <f>IFERROR(__xludf.DUMMYFUNCTION("""COMPUTED_VALUE"""),"Online")</f>
        <v>Online</v>
      </c>
      <c r="P72" s="28">
        <f>IFERROR(__xludf.DUMMYFUNCTION("""COMPUTED_VALUE"""),3747.0)</f>
        <v>3747</v>
      </c>
      <c r="Q72" s="31">
        <f>IFERROR(__xludf.DUMMYFUNCTION("""COMPUTED_VALUE"""),154.06)</f>
        <v>154.06</v>
      </c>
      <c r="R72" s="31">
        <f>IFERROR(__xludf.DUMMYFUNCTION("""COMPUTED_VALUE"""),90.93)</f>
        <v>90.93</v>
      </c>
      <c r="S72" s="31">
        <f>IFERROR(__xludf.DUMMYFUNCTION("""COMPUTED_VALUE"""),577262.8200000001)</f>
        <v>577262.82</v>
      </c>
      <c r="T72" s="31">
        <f>IFERROR(__xludf.DUMMYFUNCTION("""COMPUTED_VALUE"""),340714.71)</f>
        <v>340714.71</v>
      </c>
      <c r="U72" s="31">
        <f>IFERROR(__xludf.DUMMYFUNCTION("""COMPUTED_VALUE"""),236548.11000000004)</f>
        <v>236548.11</v>
      </c>
      <c r="V72" s="27" t="str">
        <f>IFERROR(__xludf.DUMMYFUNCTION("""COMPUTED_VALUE"""),"Vegetables")</f>
        <v>Vegetables</v>
      </c>
      <c r="W72" s="27" t="str">
        <f>IFERROR(__xludf.DUMMYFUNCTION("""COMPUTED_VALUE"""),"Europe")</f>
        <v>Europe</v>
      </c>
      <c r="X72" s="27" t="str">
        <f>IFERROR(__xludf.DUMMYFUNCTION("""COMPUTED_VALUE"""),"Southern Europe")</f>
        <v>Southern Europe</v>
      </c>
      <c r="Y72" s="32">
        <f>IFERROR(__xludf.DUMMYFUNCTION("""COMPUTED_VALUE"""),0.4097754121770739)</f>
        <v>0.4097754122</v>
      </c>
      <c r="Z72" s="27">
        <f>IFERROR(__xludf.DUMMYFUNCTION("""COMPUTED_VALUE"""),6.0)</f>
        <v>6</v>
      </c>
      <c r="AA72" s="27">
        <f>IFERROR(__xludf.DUMMYFUNCTION("""COMPUTED_VALUE"""),6.0)</f>
        <v>6</v>
      </c>
    </row>
    <row r="73">
      <c r="A73" s="27">
        <f>IFERROR(__xludf.DUMMYFUNCTION("""COMPUTED_VALUE"""),7.36240041E8)</f>
        <v>736240041</v>
      </c>
      <c r="B73" s="33">
        <f>IFERROR(__xludf.DUMMYFUNCTION("""COMPUTED_VALUE"""),43041.0)</f>
        <v>43041</v>
      </c>
      <c r="C73" s="27">
        <f>IFERROR(__xludf.DUMMYFUNCTION("""COMPUTED_VALUE"""),2.0)</f>
        <v>2</v>
      </c>
      <c r="D73" s="28">
        <f>IFERROR(__xludf.DUMMYFUNCTION("""COMPUTED_VALUE"""),11.0)</f>
        <v>11</v>
      </c>
      <c r="E73" s="29">
        <f>IFERROR(__xludf.DUMMYFUNCTION("""COMPUTED_VALUE"""),2017.0)</f>
        <v>2017</v>
      </c>
      <c r="F73" s="30">
        <f>IFERROR(__xludf.DUMMYFUNCTION("""COMPUTED_VALUE"""),42777.0)</f>
        <v>42777</v>
      </c>
      <c r="G73" s="27" t="str">
        <f>IFERROR(__xludf.DUMMYFUNCTION("""COMPUTED_VALUE"""),"2/20/2017")</f>
        <v>2/20/2017</v>
      </c>
      <c r="H73" s="27">
        <f>IFERROR(__xludf.DUMMYFUNCTION("""COMPUTED_VALUE"""),2.0)</f>
        <v>2</v>
      </c>
      <c r="I73" s="27">
        <f>IFERROR(__xludf.DUMMYFUNCTION("""COMPUTED_VALUE"""),20.0)</f>
        <v>20</v>
      </c>
      <c r="J73" s="27">
        <f>IFERROR(__xludf.DUMMYFUNCTION("""COMPUTED_VALUE"""),2017.0)</f>
        <v>2017</v>
      </c>
      <c r="K73" s="30">
        <f>IFERROR(__xludf.DUMMYFUNCTION("""COMPUTED_VALUE"""),42786.0)</f>
        <v>42786</v>
      </c>
      <c r="L73" s="27" t="str">
        <f>IFERROR(__xludf.DUMMYFUNCTION("""COMPUTED_VALUE"""),"L")</f>
        <v>L</v>
      </c>
      <c r="M73" s="27" t="str">
        <f>IFERROR(__xludf.DUMMYFUNCTION("""COMPUTED_VALUE"""),"SVN")</f>
        <v>SVN</v>
      </c>
      <c r="N73" s="27">
        <f>IFERROR(__xludf.DUMMYFUNCTION("""COMPUTED_VALUE"""),7940.0)</f>
        <v>7940</v>
      </c>
      <c r="O73" s="27" t="str">
        <f>IFERROR(__xludf.DUMMYFUNCTION("""COMPUTED_VALUE"""),"Offline")</f>
        <v>Offline</v>
      </c>
      <c r="P73" s="28">
        <f>IFERROR(__xludf.DUMMYFUNCTION("""COMPUTED_VALUE"""),8644.0)</f>
        <v>8644</v>
      </c>
      <c r="Q73" s="31">
        <f>IFERROR(__xludf.DUMMYFUNCTION("""COMPUTED_VALUE"""),668.27)</f>
        <v>668.27</v>
      </c>
      <c r="R73" s="31">
        <f>IFERROR(__xludf.DUMMYFUNCTION("""COMPUTED_VALUE"""),502.54)</f>
        <v>502.54</v>
      </c>
      <c r="S73" s="31">
        <f>IFERROR(__xludf.DUMMYFUNCTION("""COMPUTED_VALUE"""),5776525.88)</f>
        <v>5776525.88</v>
      </c>
      <c r="T73" s="31">
        <f>IFERROR(__xludf.DUMMYFUNCTION("""COMPUTED_VALUE"""),4343955.76)</f>
        <v>4343955.76</v>
      </c>
      <c r="U73" s="31">
        <f>IFERROR(__xludf.DUMMYFUNCTION("""COMPUTED_VALUE"""),1432570.12)</f>
        <v>1432570.12</v>
      </c>
      <c r="V73" s="27" t="str">
        <f>IFERROR(__xludf.DUMMYFUNCTION("""COMPUTED_VALUE"""),"Household")</f>
        <v>Household</v>
      </c>
      <c r="W73" s="27" t="str">
        <f>IFERROR(__xludf.DUMMYFUNCTION("""COMPUTED_VALUE"""),"Europe")</f>
        <v>Europe</v>
      </c>
      <c r="X73" s="27" t="str">
        <f>IFERROR(__xludf.DUMMYFUNCTION("""COMPUTED_VALUE"""),"Southern Europe")</f>
        <v>Southern Europe</v>
      </c>
      <c r="Y73" s="32">
        <f>IFERROR(__xludf.DUMMYFUNCTION("""COMPUTED_VALUE"""),0.24799856345489102)</f>
        <v>0.2479985635</v>
      </c>
      <c r="Z73" s="27">
        <f>IFERROR(__xludf.DUMMYFUNCTION("""COMPUTED_VALUE"""),9.0)</f>
        <v>9</v>
      </c>
      <c r="AA73" s="27">
        <f>IFERROR(__xludf.DUMMYFUNCTION("""COMPUTED_VALUE"""),7.0)</f>
        <v>7</v>
      </c>
    </row>
    <row r="74">
      <c r="A74" s="27">
        <f>IFERROR(__xludf.DUMMYFUNCTION("""COMPUTED_VALUE"""),7.4210056E8)</f>
        <v>742100560</v>
      </c>
      <c r="B74" s="33">
        <f>IFERROR(__xludf.DUMMYFUNCTION("""COMPUTED_VALUE"""),42826.0)</f>
        <v>42826</v>
      </c>
      <c r="C74" s="27">
        <f>IFERROR(__xludf.DUMMYFUNCTION("""COMPUTED_VALUE"""),1.0)</f>
        <v>1</v>
      </c>
      <c r="D74" s="28">
        <f>IFERROR(__xludf.DUMMYFUNCTION("""COMPUTED_VALUE"""),4.0)</f>
        <v>4</v>
      </c>
      <c r="E74" s="29">
        <f>IFERROR(__xludf.DUMMYFUNCTION("""COMPUTED_VALUE"""),2017.0)</f>
        <v>2017</v>
      </c>
      <c r="F74" s="30">
        <f>IFERROR(__xludf.DUMMYFUNCTION("""COMPUTED_VALUE"""),42739.0)</f>
        <v>42739</v>
      </c>
      <c r="G74" s="27" t="str">
        <f>IFERROR(__xludf.DUMMYFUNCTION("""COMPUTED_VALUE"""),"1/17/2017")</f>
        <v>1/17/2017</v>
      </c>
      <c r="H74" s="27">
        <f>IFERROR(__xludf.DUMMYFUNCTION("""COMPUTED_VALUE"""),1.0)</f>
        <v>1</v>
      </c>
      <c r="I74" s="27">
        <f>IFERROR(__xludf.DUMMYFUNCTION("""COMPUTED_VALUE"""),17.0)</f>
        <v>17</v>
      </c>
      <c r="J74" s="27">
        <f>IFERROR(__xludf.DUMMYFUNCTION("""COMPUTED_VALUE"""),2017.0)</f>
        <v>2017</v>
      </c>
      <c r="K74" s="30">
        <f>IFERROR(__xludf.DUMMYFUNCTION("""COMPUTED_VALUE"""),42752.0)</f>
        <v>42752</v>
      </c>
      <c r="L74" s="27" t="str">
        <f>IFERROR(__xludf.DUMMYFUNCTION("""COMPUTED_VALUE"""),"C")</f>
        <v>C</v>
      </c>
      <c r="M74" s="27" t="str">
        <f>IFERROR(__xludf.DUMMYFUNCTION("""COMPUTED_VALUE"""),"SMR")</f>
        <v>SMR</v>
      </c>
      <c r="N74" s="27">
        <f>IFERROR(__xludf.DUMMYFUNCTION("""COMPUTED_VALUE"""),8969.0)</f>
        <v>8969</v>
      </c>
      <c r="O74" s="27" t="str">
        <f>IFERROR(__xludf.DUMMYFUNCTION("""COMPUTED_VALUE"""),"Offline")</f>
        <v>Offline</v>
      </c>
      <c r="P74" s="28">
        <f>IFERROR(__xludf.DUMMYFUNCTION("""COMPUTED_VALUE"""),2902.0)</f>
        <v>2902</v>
      </c>
      <c r="Q74" s="31">
        <f>IFERROR(__xludf.DUMMYFUNCTION("""COMPUTED_VALUE"""),152.58)</f>
        <v>152.58</v>
      </c>
      <c r="R74" s="31">
        <f>IFERROR(__xludf.DUMMYFUNCTION("""COMPUTED_VALUE"""),97.44)</f>
        <v>97.44</v>
      </c>
      <c r="S74" s="31">
        <f>IFERROR(__xludf.DUMMYFUNCTION("""COMPUTED_VALUE"""),442787.16000000003)</f>
        <v>442787.16</v>
      </c>
      <c r="T74" s="31">
        <f>IFERROR(__xludf.DUMMYFUNCTION("""COMPUTED_VALUE"""),282770.88)</f>
        <v>282770.88</v>
      </c>
      <c r="U74" s="31">
        <f>IFERROR(__xludf.DUMMYFUNCTION("""COMPUTED_VALUE"""),160016.28000000003)</f>
        <v>160016.28</v>
      </c>
      <c r="V74" s="27" t="str">
        <f>IFERROR(__xludf.DUMMYFUNCTION("""COMPUTED_VALUE"""),"Snacks")</f>
        <v>Snacks</v>
      </c>
      <c r="W74" s="27" t="str">
        <f>IFERROR(__xludf.DUMMYFUNCTION("""COMPUTED_VALUE"""),"Europe")</f>
        <v>Europe</v>
      </c>
      <c r="X74" s="27" t="str">
        <f>IFERROR(__xludf.DUMMYFUNCTION("""COMPUTED_VALUE"""),"Southern Europe")</f>
        <v>Southern Europe</v>
      </c>
      <c r="Y74" s="32">
        <f>IFERROR(__xludf.DUMMYFUNCTION("""COMPUTED_VALUE"""),0.3613841918993315)</f>
        <v>0.3613841919</v>
      </c>
      <c r="Z74" s="27">
        <f>IFERROR(__xludf.DUMMYFUNCTION("""COMPUTED_VALUE"""),13.0)</f>
        <v>13</v>
      </c>
      <c r="AA74" s="27">
        <f>IFERROR(__xludf.DUMMYFUNCTION("""COMPUTED_VALUE"""),4.0)</f>
        <v>4</v>
      </c>
    </row>
    <row r="75">
      <c r="A75" s="27">
        <f>IFERROR(__xludf.DUMMYFUNCTION("""COMPUTED_VALUE"""),7.47774398E8)</f>
        <v>747774398</v>
      </c>
      <c r="B75" s="33">
        <f>IFERROR(__xludf.DUMMYFUNCTION("""COMPUTED_VALUE"""),42950.0)</f>
        <v>42950</v>
      </c>
      <c r="C75" s="27">
        <f>IFERROR(__xludf.DUMMYFUNCTION("""COMPUTED_VALUE"""),3.0)</f>
        <v>3</v>
      </c>
      <c r="D75" s="28">
        <f>IFERROR(__xludf.DUMMYFUNCTION("""COMPUTED_VALUE"""),8.0)</f>
        <v>8</v>
      </c>
      <c r="E75" s="29">
        <f>IFERROR(__xludf.DUMMYFUNCTION("""COMPUTED_VALUE"""),2017.0)</f>
        <v>2017</v>
      </c>
      <c r="F75" s="30">
        <f>IFERROR(__xludf.DUMMYFUNCTION("""COMPUTED_VALUE"""),42802.0)</f>
        <v>42802</v>
      </c>
      <c r="G75" s="33">
        <f>IFERROR(__xludf.DUMMYFUNCTION("""COMPUTED_VALUE"""),42798.0)</f>
        <v>42798</v>
      </c>
      <c r="H75" s="27">
        <f>IFERROR(__xludf.DUMMYFUNCTION("""COMPUTED_VALUE"""),4.0)</f>
        <v>4</v>
      </c>
      <c r="I75" s="27">
        <f>IFERROR(__xludf.DUMMYFUNCTION("""COMPUTED_VALUE"""),3.0)</f>
        <v>3</v>
      </c>
      <c r="J75" s="27">
        <f>IFERROR(__xludf.DUMMYFUNCTION("""COMPUTED_VALUE"""),2017.0)</f>
        <v>2017</v>
      </c>
      <c r="K75" s="30">
        <f>IFERROR(__xludf.DUMMYFUNCTION("""COMPUTED_VALUE"""),42828.0)</f>
        <v>42828</v>
      </c>
      <c r="L75" s="27" t="str">
        <f>IFERROR(__xludf.DUMMYFUNCTION("""COMPUTED_VALUE"""),"M")</f>
        <v>M</v>
      </c>
      <c r="M75" s="27" t="str">
        <f>IFERROR(__xludf.DUMMYFUNCTION("""COMPUTED_VALUE"""),"NLD")</f>
        <v>NLD</v>
      </c>
      <c r="N75" s="27">
        <f>IFERROR(__xludf.DUMMYFUNCTION("""COMPUTED_VALUE"""),8875.0)</f>
        <v>8875</v>
      </c>
      <c r="O75" s="27" t="str">
        <f>IFERROR(__xludf.DUMMYFUNCTION("""COMPUTED_VALUE"""),"Offline")</f>
        <v>Offline</v>
      </c>
      <c r="P75" s="28">
        <f>IFERROR(__xludf.DUMMYFUNCTION("""COMPUTED_VALUE"""),1916.0)</f>
        <v>1916</v>
      </c>
      <c r="Q75" s="31">
        <f>IFERROR(__xludf.DUMMYFUNCTION("""COMPUTED_VALUE"""),421.89)</f>
        <v>421.89</v>
      </c>
      <c r="R75" s="31">
        <f>IFERROR(__xludf.DUMMYFUNCTION("""COMPUTED_VALUE"""),364.69)</f>
        <v>364.69</v>
      </c>
      <c r="S75" s="31">
        <f>IFERROR(__xludf.DUMMYFUNCTION("""COMPUTED_VALUE"""),808341.24)</f>
        <v>808341.24</v>
      </c>
      <c r="T75" s="31">
        <f>IFERROR(__xludf.DUMMYFUNCTION("""COMPUTED_VALUE"""),698746.04)</f>
        <v>698746.04</v>
      </c>
      <c r="U75" s="31">
        <f>IFERROR(__xludf.DUMMYFUNCTION("""COMPUTED_VALUE"""),109595.19999999995)</f>
        <v>109595.2</v>
      </c>
      <c r="V75" s="27" t="str">
        <f>IFERROR(__xludf.DUMMYFUNCTION("""COMPUTED_VALUE"""),"Meat")</f>
        <v>Meat</v>
      </c>
      <c r="W75" s="27" t="str">
        <f>IFERROR(__xludf.DUMMYFUNCTION("""COMPUTED_VALUE"""),"Europe")</f>
        <v>Europe</v>
      </c>
      <c r="X75" s="27" t="str">
        <f>IFERROR(__xludf.DUMMYFUNCTION("""COMPUTED_VALUE"""),"Western Europe")</f>
        <v>Western Europe</v>
      </c>
      <c r="Y75" s="32">
        <f>IFERROR(__xludf.DUMMYFUNCTION("""COMPUTED_VALUE"""),0.13558036455000114)</f>
        <v>0.1355803646</v>
      </c>
      <c r="Z75" s="27">
        <f>IFERROR(__xludf.DUMMYFUNCTION("""COMPUTED_VALUE"""),26.0)</f>
        <v>26</v>
      </c>
      <c r="AA75" s="27">
        <f>IFERROR(__xludf.DUMMYFUNCTION("""COMPUTED_VALUE"""),4.0)</f>
        <v>4</v>
      </c>
    </row>
    <row r="76">
      <c r="A76" s="27">
        <f>IFERROR(__xludf.DUMMYFUNCTION("""COMPUTED_VALUE"""),7.47826755E8)</f>
        <v>747826755</v>
      </c>
      <c r="B76" s="27" t="str">
        <f>IFERROR(__xludf.DUMMYFUNCTION("""COMPUTED_VALUE"""),"7/17/2017")</f>
        <v>7/17/2017</v>
      </c>
      <c r="C76" s="27">
        <f>IFERROR(__xludf.DUMMYFUNCTION("""COMPUTED_VALUE"""),7.0)</f>
        <v>7</v>
      </c>
      <c r="D76" s="28">
        <f>IFERROR(__xludf.DUMMYFUNCTION("""COMPUTED_VALUE"""),17.0)</f>
        <v>17</v>
      </c>
      <c r="E76" s="29">
        <f>IFERROR(__xludf.DUMMYFUNCTION("""COMPUTED_VALUE"""),2017.0)</f>
        <v>2017</v>
      </c>
      <c r="F76" s="30">
        <f>IFERROR(__xludf.DUMMYFUNCTION("""COMPUTED_VALUE"""),42933.0)</f>
        <v>42933</v>
      </c>
      <c r="G76" s="27" t="str">
        <f>IFERROR(__xludf.DUMMYFUNCTION("""COMPUTED_VALUE"""),"7/22/2017")</f>
        <v>7/22/2017</v>
      </c>
      <c r="H76" s="27">
        <f>IFERROR(__xludf.DUMMYFUNCTION("""COMPUTED_VALUE"""),7.0)</f>
        <v>7</v>
      </c>
      <c r="I76" s="27">
        <f>IFERROR(__xludf.DUMMYFUNCTION("""COMPUTED_VALUE"""),22.0)</f>
        <v>22</v>
      </c>
      <c r="J76" s="27">
        <f>IFERROR(__xludf.DUMMYFUNCTION("""COMPUTED_VALUE"""),2017.0)</f>
        <v>2017</v>
      </c>
      <c r="K76" s="30">
        <f>IFERROR(__xludf.DUMMYFUNCTION("""COMPUTED_VALUE"""),42938.0)</f>
        <v>42938</v>
      </c>
      <c r="L76" s="27" t="str">
        <f>IFERROR(__xludf.DUMMYFUNCTION("""COMPUTED_VALUE"""),"C")</f>
        <v>C</v>
      </c>
      <c r="M76" s="27" t="str">
        <f>IFERROR(__xludf.DUMMYFUNCTION("""COMPUTED_VALUE"""),"MKD")</f>
        <v>MKD</v>
      </c>
      <c r="N76" s="27">
        <f>IFERROR(__xludf.DUMMYFUNCTION("""COMPUTED_VALUE"""),8681.0)</f>
        <v>8681</v>
      </c>
      <c r="O76" s="27" t="str">
        <f>IFERROR(__xludf.DUMMYFUNCTION("""COMPUTED_VALUE"""),"Offline")</f>
        <v>Offline</v>
      </c>
      <c r="P76" s="28">
        <f>IFERROR(__xludf.DUMMYFUNCTION("""COMPUTED_VALUE"""),7410.0)</f>
        <v>7410</v>
      </c>
      <c r="Q76" s="31">
        <f>IFERROR(__xludf.DUMMYFUNCTION("""COMPUTED_VALUE"""),651.21)</f>
        <v>651.21</v>
      </c>
      <c r="R76" s="31">
        <f>IFERROR(__xludf.DUMMYFUNCTION("""COMPUTED_VALUE"""),524.96)</f>
        <v>524.96</v>
      </c>
      <c r="S76" s="31">
        <f>IFERROR(__xludf.DUMMYFUNCTION("""COMPUTED_VALUE"""),4825466.100000001)</f>
        <v>4825466.1</v>
      </c>
      <c r="T76" s="31">
        <f>IFERROR(__xludf.DUMMYFUNCTION("""COMPUTED_VALUE"""),3889953.6)</f>
        <v>3889953.6</v>
      </c>
      <c r="U76" s="31">
        <f>IFERROR(__xludf.DUMMYFUNCTION("""COMPUTED_VALUE"""),935512.5000000005)</f>
        <v>935512.5</v>
      </c>
      <c r="V76" s="27" t="str">
        <f>IFERROR(__xludf.DUMMYFUNCTION("""COMPUTED_VALUE"""),"Office Supplies")</f>
        <v>Office Supplies</v>
      </c>
      <c r="W76" s="27" t="str">
        <f>IFERROR(__xludf.DUMMYFUNCTION("""COMPUTED_VALUE"""),"Europe")</f>
        <v>Europe</v>
      </c>
      <c r="X76" s="27" t="str">
        <f>IFERROR(__xludf.DUMMYFUNCTION("""COMPUTED_VALUE"""),"Southern Europe")</f>
        <v>Southern Europe</v>
      </c>
      <c r="Y76" s="32">
        <f>IFERROR(__xludf.DUMMYFUNCTION("""COMPUTED_VALUE"""),0.19386987300563574)</f>
        <v>0.193869873</v>
      </c>
      <c r="Z76" s="27">
        <f>IFERROR(__xludf.DUMMYFUNCTION("""COMPUTED_VALUE"""),5.0)</f>
        <v>5</v>
      </c>
      <c r="AA76" s="27">
        <f>IFERROR(__xludf.DUMMYFUNCTION("""COMPUTED_VALUE"""),2.0)</f>
        <v>2</v>
      </c>
    </row>
    <row r="77">
      <c r="A77" s="27">
        <f>IFERROR(__xludf.DUMMYFUNCTION("""COMPUTED_VALUE"""),7.59594142E8)</f>
        <v>759594142</v>
      </c>
      <c r="B77" s="33">
        <f>IFERROR(__xludf.DUMMYFUNCTION("""COMPUTED_VALUE"""),43015.0)</f>
        <v>43015</v>
      </c>
      <c r="C77" s="27">
        <f>IFERROR(__xludf.DUMMYFUNCTION("""COMPUTED_VALUE"""),7.0)</f>
        <v>7</v>
      </c>
      <c r="D77" s="28">
        <f>IFERROR(__xludf.DUMMYFUNCTION("""COMPUTED_VALUE"""),10.0)</f>
        <v>10</v>
      </c>
      <c r="E77" s="29">
        <f>IFERROR(__xludf.DUMMYFUNCTION("""COMPUTED_VALUE"""),2017.0)</f>
        <v>2017</v>
      </c>
      <c r="F77" s="30">
        <f>IFERROR(__xludf.DUMMYFUNCTION("""COMPUTED_VALUE"""),42926.0)</f>
        <v>42926</v>
      </c>
      <c r="G77" s="33">
        <f>IFERROR(__xludf.DUMMYFUNCTION("""COMPUTED_VALUE"""),43076.0)</f>
        <v>43076</v>
      </c>
      <c r="H77" s="27">
        <f>IFERROR(__xludf.DUMMYFUNCTION("""COMPUTED_VALUE"""),7.0)</f>
        <v>7</v>
      </c>
      <c r="I77" s="27">
        <f>IFERROR(__xludf.DUMMYFUNCTION("""COMPUTED_VALUE"""),12.0)</f>
        <v>12</v>
      </c>
      <c r="J77" s="27">
        <f>IFERROR(__xludf.DUMMYFUNCTION("""COMPUTED_VALUE"""),2017.0)</f>
        <v>2017</v>
      </c>
      <c r="K77" s="30">
        <f>IFERROR(__xludf.DUMMYFUNCTION("""COMPUTED_VALUE"""),42928.0)</f>
        <v>42928</v>
      </c>
      <c r="L77" s="27" t="str">
        <f>IFERROR(__xludf.DUMMYFUNCTION("""COMPUTED_VALUE"""),"C")</f>
        <v>C</v>
      </c>
      <c r="M77" s="27" t="str">
        <f>IFERROR(__xludf.DUMMYFUNCTION("""COMPUTED_VALUE"""),"MKD")</f>
        <v>MKD</v>
      </c>
      <c r="N77" s="27">
        <f>IFERROR(__xludf.DUMMYFUNCTION("""COMPUTED_VALUE"""),5988.0)</f>
        <v>5988</v>
      </c>
      <c r="O77" s="27" t="str">
        <f>IFERROR(__xludf.DUMMYFUNCTION("""COMPUTED_VALUE"""),"Offline")</f>
        <v>Offline</v>
      </c>
      <c r="P77" s="28">
        <f>IFERROR(__xludf.DUMMYFUNCTION("""COMPUTED_VALUE"""),9641.0)</f>
        <v>9641</v>
      </c>
      <c r="Q77" s="31">
        <f>IFERROR(__xludf.DUMMYFUNCTION("""COMPUTED_VALUE"""),154.06)</f>
        <v>154.06</v>
      </c>
      <c r="R77" s="31">
        <f>IFERROR(__xludf.DUMMYFUNCTION("""COMPUTED_VALUE"""),90.93)</f>
        <v>90.93</v>
      </c>
      <c r="S77" s="31">
        <f>IFERROR(__xludf.DUMMYFUNCTION("""COMPUTED_VALUE"""),1485292.46)</f>
        <v>1485292.46</v>
      </c>
      <c r="T77" s="31">
        <f>IFERROR(__xludf.DUMMYFUNCTION("""COMPUTED_VALUE"""),876656.1300000001)</f>
        <v>876656.13</v>
      </c>
      <c r="U77" s="31">
        <f>IFERROR(__xludf.DUMMYFUNCTION("""COMPUTED_VALUE"""),608636.3299999998)</f>
        <v>608636.33</v>
      </c>
      <c r="V77" s="27" t="str">
        <f>IFERROR(__xludf.DUMMYFUNCTION("""COMPUTED_VALUE"""),"Vegetables")</f>
        <v>Vegetables</v>
      </c>
      <c r="W77" s="27" t="str">
        <f>IFERROR(__xludf.DUMMYFUNCTION("""COMPUTED_VALUE"""),"Europe")</f>
        <v>Europe</v>
      </c>
      <c r="X77" s="27" t="str">
        <f>IFERROR(__xludf.DUMMYFUNCTION("""COMPUTED_VALUE"""),"Southern Europe")</f>
        <v>Southern Europe</v>
      </c>
      <c r="Y77" s="32">
        <f>IFERROR(__xludf.DUMMYFUNCTION("""COMPUTED_VALUE"""),0.40977541217707375)</f>
        <v>0.4097754122</v>
      </c>
      <c r="Z77" s="27">
        <f>IFERROR(__xludf.DUMMYFUNCTION("""COMPUTED_VALUE"""),2.0)</f>
        <v>2</v>
      </c>
      <c r="AA77" s="27">
        <f>IFERROR(__xludf.DUMMYFUNCTION("""COMPUTED_VALUE"""),2.0)</f>
        <v>2</v>
      </c>
    </row>
    <row r="78">
      <c r="A78" s="27">
        <f>IFERROR(__xludf.DUMMYFUNCTION("""COMPUTED_VALUE"""),7.6573404E8)</f>
        <v>765734040</v>
      </c>
      <c r="B78" s="33">
        <f>IFERROR(__xludf.DUMMYFUNCTION("""COMPUTED_VALUE"""),43015.0)</f>
        <v>43015</v>
      </c>
      <c r="C78" s="27">
        <f>IFERROR(__xludf.DUMMYFUNCTION("""COMPUTED_VALUE"""),7.0)</f>
        <v>7</v>
      </c>
      <c r="D78" s="28">
        <f>IFERROR(__xludf.DUMMYFUNCTION("""COMPUTED_VALUE"""),10.0)</f>
        <v>10</v>
      </c>
      <c r="E78" s="29">
        <f>IFERROR(__xludf.DUMMYFUNCTION("""COMPUTED_VALUE"""),2017.0)</f>
        <v>2017</v>
      </c>
      <c r="F78" s="30">
        <f>IFERROR(__xludf.DUMMYFUNCTION("""COMPUTED_VALUE"""),42926.0)</f>
        <v>42926</v>
      </c>
      <c r="G78" s="33">
        <f>IFERROR(__xludf.DUMMYFUNCTION("""COMPUTED_VALUE"""),42833.0)</f>
        <v>42833</v>
      </c>
      <c r="H78" s="27">
        <f>IFERROR(__xludf.DUMMYFUNCTION("""COMPUTED_VALUE"""),8.0)</f>
        <v>8</v>
      </c>
      <c r="I78" s="27">
        <f>IFERROR(__xludf.DUMMYFUNCTION("""COMPUTED_VALUE"""),4.0)</f>
        <v>4</v>
      </c>
      <c r="J78" s="27">
        <f>IFERROR(__xludf.DUMMYFUNCTION("""COMPUTED_VALUE"""),2017.0)</f>
        <v>2017</v>
      </c>
      <c r="K78" s="30">
        <f>IFERROR(__xludf.DUMMYFUNCTION("""COMPUTED_VALUE"""),42951.0)</f>
        <v>42951</v>
      </c>
      <c r="L78" s="27" t="str">
        <f>IFERROR(__xludf.DUMMYFUNCTION("""COMPUTED_VALUE"""),"L")</f>
        <v>L</v>
      </c>
      <c r="M78" s="27" t="str">
        <f>IFERROR(__xludf.DUMMYFUNCTION("""COMPUTED_VALUE"""),"SMR")</f>
        <v>SMR</v>
      </c>
      <c r="N78" s="27">
        <f>IFERROR(__xludf.DUMMYFUNCTION("""COMPUTED_VALUE"""),4594.0)</f>
        <v>4594</v>
      </c>
      <c r="O78" s="27" t="str">
        <f>IFERROR(__xludf.DUMMYFUNCTION("""COMPUTED_VALUE"""),"Online")</f>
        <v>Online</v>
      </c>
      <c r="P78" s="28">
        <f>IFERROR(__xludf.DUMMYFUNCTION("""COMPUTED_VALUE"""),6574.0)</f>
        <v>6574</v>
      </c>
      <c r="Q78" s="31">
        <f>IFERROR(__xludf.DUMMYFUNCTION("""COMPUTED_VALUE"""),9.33)</f>
        <v>9.33</v>
      </c>
      <c r="R78" s="31">
        <f>IFERROR(__xludf.DUMMYFUNCTION("""COMPUTED_VALUE"""),6.92)</f>
        <v>6.92</v>
      </c>
      <c r="S78" s="31">
        <f>IFERROR(__xludf.DUMMYFUNCTION("""COMPUTED_VALUE"""),61335.42)</f>
        <v>61335.42</v>
      </c>
      <c r="T78" s="31">
        <f>IFERROR(__xludf.DUMMYFUNCTION("""COMPUTED_VALUE"""),45492.08)</f>
        <v>45492.08</v>
      </c>
      <c r="U78" s="31">
        <f>IFERROR(__xludf.DUMMYFUNCTION("""COMPUTED_VALUE"""),15843.339999999997)</f>
        <v>15843.34</v>
      </c>
      <c r="V78" s="27" t="str">
        <f>IFERROR(__xludf.DUMMYFUNCTION("""COMPUTED_VALUE"""),"Fruits")</f>
        <v>Fruits</v>
      </c>
      <c r="W78" s="27" t="str">
        <f>IFERROR(__xludf.DUMMYFUNCTION("""COMPUTED_VALUE"""),"Europe")</f>
        <v>Europe</v>
      </c>
      <c r="X78" s="27" t="str">
        <f>IFERROR(__xludf.DUMMYFUNCTION("""COMPUTED_VALUE"""),"Southern Europe")</f>
        <v>Southern Europe</v>
      </c>
      <c r="Y78" s="32">
        <f>IFERROR(__xludf.DUMMYFUNCTION("""COMPUTED_VALUE"""),0.25830653804930326)</f>
        <v>0.258306538</v>
      </c>
      <c r="Z78" s="27">
        <f>IFERROR(__xludf.DUMMYFUNCTION("""COMPUTED_VALUE"""),25.0)</f>
        <v>25</v>
      </c>
      <c r="AA78" s="27">
        <f>IFERROR(__xludf.DUMMYFUNCTION("""COMPUTED_VALUE"""),2.0)</f>
        <v>2</v>
      </c>
    </row>
    <row r="79">
      <c r="A79" s="27">
        <f>IFERROR(__xludf.DUMMYFUNCTION("""COMPUTED_VALUE"""),7.831169E8)</f>
        <v>783116900</v>
      </c>
      <c r="B79" s="27" t="str">
        <f>IFERROR(__xludf.DUMMYFUNCTION("""COMPUTED_VALUE"""),"2/26/2017")</f>
        <v>2/26/2017</v>
      </c>
      <c r="C79" s="27">
        <f>IFERROR(__xludf.DUMMYFUNCTION("""COMPUTED_VALUE"""),2.0)</f>
        <v>2</v>
      </c>
      <c r="D79" s="28">
        <f>IFERROR(__xludf.DUMMYFUNCTION("""COMPUTED_VALUE"""),26.0)</f>
        <v>26</v>
      </c>
      <c r="E79" s="29">
        <f>IFERROR(__xludf.DUMMYFUNCTION("""COMPUTED_VALUE"""),2017.0)</f>
        <v>2017</v>
      </c>
      <c r="F79" s="30">
        <f>IFERROR(__xludf.DUMMYFUNCTION("""COMPUTED_VALUE"""),42792.0)</f>
        <v>42792</v>
      </c>
      <c r="G79" s="27" t="str">
        <f>IFERROR(__xludf.DUMMYFUNCTION("""COMPUTED_VALUE"""),"3/14/2017")</f>
        <v>3/14/2017</v>
      </c>
      <c r="H79" s="27">
        <f>IFERROR(__xludf.DUMMYFUNCTION("""COMPUTED_VALUE"""),3.0)</f>
        <v>3</v>
      </c>
      <c r="I79" s="27">
        <f>IFERROR(__xludf.DUMMYFUNCTION("""COMPUTED_VALUE"""),14.0)</f>
        <v>14</v>
      </c>
      <c r="J79" s="27">
        <f>IFERROR(__xludf.DUMMYFUNCTION("""COMPUTED_VALUE"""),2017.0)</f>
        <v>2017</v>
      </c>
      <c r="K79" s="30">
        <f>IFERROR(__xludf.DUMMYFUNCTION("""COMPUTED_VALUE"""),42808.0)</f>
        <v>42808</v>
      </c>
      <c r="L79" s="27" t="str">
        <f>IFERROR(__xludf.DUMMYFUNCTION("""COMPUTED_VALUE"""),"L")</f>
        <v>L</v>
      </c>
      <c r="M79" s="27" t="str">
        <f>IFERROR(__xludf.DUMMYFUNCTION("""COMPUTED_VALUE"""),"GBR")</f>
        <v>GBR</v>
      </c>
      <c r="N79" s="27">
        <f>IFERROR(__xludf.DUMMYFUNCTION("""COMPUTED_VALUE"""),2455.0)</f>
        <v>2455</v>
      </c>
      <c r="O79" s="27" t="str">
        <f>IFERROR(__xludf.DUMMYFUNCTION("""COMPUTED_VALUE"""),"Online")</f>
        <v>Online</v>
      </c>
      <c r="P79" s="28">
        <f>IFERROR(__xludf.DUMMYFUNCTION("""COMPUTED_VALUE"""),548.0)</f>
        <v>548</v>
      </c>
      <c r="Q79" s="31">
        <f>IFERROR(__xludf.DUMMYFUNCTION("""COMPUTED_VALUE"""),109.28)</f>
        <v>109.28</v>
      </c>
      <c r="R79" s="31">
        <f>IFERROR(__xludf.DUMMYFUNCTION("""COMPUTED_VALUE"""),35.84)</f>
        <v>35.84</v>
      </c>
      <c r="S79" s="31">
        <f>IFERROR(__xludf.DUMMYFUNCTION("""COMPUTED_VALUE"""),59885.44)</f>
        <v>59885.44</v>
      </c>
      <c r="T79" s="31">
        <f>IFERROR(__xludf.DUMMYFUNCTION("""COMPUTED_VALUE"""),19640.320000000003)</f>
        <v>19640.32</v>
      </c>
      <c r="U79" s="31">
        <f>IFERROR(__xludf.DUMMYFUNCTION("""COMPUTED_VALUE"""),40245.119999999995)</f>
        <v>40245.12</v>
      </c>
      <c r="V79" s="27" t="str">
        <f>IFERROR(__xludf.DUMMYFUNCTION("""COMPUTED_VALUE"""),"Clothes")</f>
        <v>Clothes</v>
      </c>
      <c r="W79" s="27" t="str">
        <f>IFERROR(__xludf.DUMMYFUNCTION("""COMPUTED_VALUE"""),"Europe")</f>
        <v>Europe</v>
      </c>
      <c r="X79" s="27" t="str">
        <f>IFERROR(__xludf.DUMMYFUNCTION("""COMPUTED_VALUE"""),"Northern Europe")</f>
        <v>Northern Europe</v>
      </c>
      <c r="Y79" s="32">
        <f>IFERROR(__xludf.DUMMYFUNCTION("""COMPUTED_VALUE"""),0.67203513909224)</f>
        <v>0.6720351391</v>
      </c>
      <c r="Z79" s="27">
        <f>IFERROR(__xludf.DUMMYFUNCTION("""COMPUTED_VALUE"""),16.0)</f>
        <v>16</v>
      </c>
      <c r="AA79" s="27">
        <f>IFERROR(__xludf.DUMMYFUNCTION("""COMPUTED_VALUE"""),1.0)</f>
        <v>1</v>
      </c>
    </row>
    <row r="80">
      <c r="A80" s="27">
        <f>IFERROR(__xludf.DUMMYFUNCTION("""COMPUTED_VALUE"""),7.83594977E8)</f>
        <v>783594977</v>
      </c>
      <c r="B80" s="27" t="str">
        <f>IFERROR(__xludf.DUMMYFUNCTION("""COMPUTED_VALUE"""),"4/25/2017")</f>
        <v>4/25/2017</v>
      </c>
      <c r="C80" s="27">
        <f>IFERROR(__xludf.DUMMYFUNCTION("""COMPUTED_VALUE"""),4.0)</f>
        <v>4</v>
      </c>
      <c r="D80" s="28">
        <f>IFERROR(__xludf.DUMMYFUNCTION("""COMPUTED_VALUE"""),25.0)</f>
        <v>25</v>
      </c>
      <c r="E80" s="29">
        <f>IFERROR(__xludf.DUMMYFUNCTION("""COMPUTED_VALUE"""),2017.0)</f>
        <v>2017</v>
      </c>
      <c r="F80" s="30">
        <f>IFERROR(__xludf.DUMMYFUNCTION("""COMPUTED_VALUE"""),42850.0)</f>
        <v>42850</v>
      </c>
      <c r="G80" s="33">
        <f>IFERROR(__xludf.DUMMYFUNCTION("""COMPUTED_VALUE"""),42740.0)</f>
        <v>42740</v>
      </c>
      <c r="H80" s="27">
        <f>IFERROR(__xludf.DUMMYFUNCTION("""COMPUTED_VALUE"""),5.0)</f>
        <v>5</v>
      </c>
      <c r="I80" s="27">
        <f>IFERROR(__xludf.DUMMYFUNCTION("""COMPUTED_VALUE"""),1.0)</f>
        <v>1</v>
      </c>
      <c r="J80" s="27">
        <f>IFERROR(__xludf.DUMMYFUNCTION("""COMPUTED_VALUE"""),2017.0)</f>
        <v>2017</v>
      </c>
      <c r="K80" s="30">
        <f>IFERROR(__xludf.DUMMYFUNCTION("""COMPUTED_VALUE"""),42856.0)</f>
        <v>42856</v>
      </c>
      <c r="L80" s="27" t="str">
        <f>IFERROR(__xludf.DUMMYFUNCTION("""COMPUTED_VALUE"""),"H")</f>
        <v>H</v>
      </c>
      <c r="M80" s="27" t="str">
        <f>IFERROR(__xludf.DUMMYFUNCTION("""COMPUTED_VALUE"""),"UKR")</f>
        <v>UKR</v>
      </c>
      <c r="N80" s="27">
        <f>IFERROR(__xludf.DUMMYFUNCTION("""COMPUTED_VALUE"""),8875.0)</f>
        <v>8875</v>
      </c>
      <c r="O80" s="27" t="str">
        <f>IFERROR(__xludf.DUMMYFUNCTION("""COMPUTED_VALUE"""),"Offline")</f>
        <v>Offline</v>
      </c>
      <c r="P80" s="28">
        <f>IFERROR(__xludf.DUMMYFUNCTION("""COMPUTED_VALUE"""),2022.0)</f>
        <v>2022</v>
      </c>
      <c r="Q80" s="31">
        <f>IFERROR(__xludf.DUMMYFUNCTION("""COMPUTED_VALUE"""),421.89)</f>
        <v>421.89</v>
      </c>
      <c r="R80" s="31">
        <f>IFERROR(__xludf.DUMMYFUNCTION("""COMPUTED_VALUE"""),364.69)</f>
        <v>364.69</v>
      </c>
      <c r="S80" s="31">
        <f>IFERROR(__xludf.DUMMYFUNCTION("""COMPUTED_VALUE"""),853061.58)</f>
        <v>853061.58</v>
      </c>
      <c r="T80" s="31">
        <f>IFERROR(__xludf.DUMMYFUNCTION("""COMPUTED_VALUE"""),737403.18)</f>
        <v>737403.18</v>
      </c>
      <c r="U80" s="31">
        <f>IFERROR(__xludf.DUMMYFUNCTION("""COMPUTED_VALUE"""),115658.3999999999)</f>
        <v>115658.4</v>
      </c>
      <c r="V80" s="27" t="str">
        <f>IFERROR(__xludf.DUMMYFUNCTION("""COMPUTED_VALUE"""),"Meat")</f>
        <v>Meat</v>
      </c>
      <c r="W80" s="27" t="str">
        <f>IFERROR(__xludf.DUMMYFUNCTION("""COMPUTED_VALUE"""),"Europe")</f>
        <v>Europe</v>
      </c>
      <c r="X80" s="27" t="str">
        <f>IFERROR(__xludf.DUMMYFUNCTION("""COMPUTED_VALUE"""),"Eastern Europe")</f>
        <v>Eastern Europe</v>
      </c>
      <c r="Y80" s="32">
        <f>IFERROR(__xludf.DUMMYFUNCTION("""COMPUTED_VALUE"""),0.13558036455000108)</f>
        <v>0.1355803646</v>
      </c>
      <c r="Z80" s="27">
        <f>IFERROR(__xludf.DUMMYFUNCTION("""COMPUTED_VALUE"""),6.0)</f>
        <v>6</v>
      </c>
      <c r="AA80" s="27">
        <f>IFERROR(__xludf.DUMMYFUNCTION("""COMPUTED_VALUE"""),3.0)</f>
        <v>3</v>
      </c>
    </row>
    <row r="81">
      <c r="A81" s="27">
        <f>IFERROR(__xludf.DUMMYFUNCTION("""COMPUTED_VALUE"""),7.86318385E8)</f>
        <v>786318385</v>
      </c>
      <c r="B81" s="33">
        <f>IFERROR(__xludf.DUMMYFUNCTION("""COMPUTED_VALUE"""),43046.0)</f>
        <v>43046</v>
      </c>
      <c r="C81" s="27">
        <f>IFERROR(__xludf.DUMMYFUNCTION("""COMPUTED_VALUE"""),7.0)</f>
        <v>7</v>
      </c>
      <c r="D81" s="28">
        <f>IFERROR(__xludf.DUMMYFUNCTION("""COMPUTED_VALUE"""),11.0)</f>
        <v>11</v>
      </c>
      <c r="E81" s="29">
        <f>IFERROR(__xludf.DUMMYFUNCTION("""COMPUTED_VALUE"""),2017.0)</f>
        <v>2017</v>
      </c>
      <c r="F81" s="30">
        <f>IFERROR(__xludf.DUMMYFUNCTION("""COMPUTED_VALUE"""),42927.0)</f>
        <v>42927</v>
      </c>
      <c r="G81" s="27" t="str">
        <f>IFERROR(__xludf.DUMMYFUNCTION("""COMPUTED_VALUE"""),"8/23/2017")</f>
        <v>8/23/2017</v>
      </c>
      <c r="H81" s="27">
        <f>IFERROR(__xludf.DUMMYFUNCTION("""COMPUTED_VALUE"""),8.0)</f>
        <v>8</v>
      </c>
      <c r="I81" s="27">
        <f>IFERROR(__xludf.DUMMYFUNCTION("""COMPUTED_VALUE"""),23.0)</f>
        <v>23</v>
      </c>
      <c r="J81" s="27">
        <f>IFERROR(__xludf.DUMMYFUNCTION("""COMPUTED_VALUE"""),2017.0)</f>
        <v>2017</v>
      </c>
      <c r="K81" s="30">
        <f>IFERROR(__xludf.DUMMYFUNCTION("""COMPUTED_VALUE"""),42970.0)</f>
        <v>42970</v>
      </c>
      <c r="L81" s="27" t="str">
        <f>IFERROR(__xludf.DUMMYFUNCTION("""COMPUTED_VALUE"""),"M")</f>
        <v>M</v>
      </c>
      <c r="M81" s="27" t="str">
        <f>IFERROR(__xludf.DUMMYFUNCTION("""COMPUTED_VALUE"""),"NLD")</f>
        <v>NLD</v>
      </c>
      <c r="N81" s="27">
        <f>IFERROR(__xludf.DUMMYFUNCTION("""COMPUTED_VALUE"""),1270.0)</f>
        <v>1270</v>
      </c>
      <c r="O81" s="27" t="str">
        <f>IFERROR(__xludf.DUMMYFUNCTION("""COMPUTED_VALUE"""),"Offline")</f>
        <v>Offline</v>
      </c>
      <c r="P81" s="28">
        <f>IFERROR(__xludf.DUMMYFUNCTION("""COMPUTED_VALUE"""),7939.0)</f>
        <v>7939</v>
      </c>
      <c r="Q81" s="31">
        <f>IFERROR(__xludf.DUMMYFUNCTION("""COMPUTED_VALUE"""),47.45)</f>
        <v>47.45</v>
      </c>
      <c r="R81" s="31">
        <f>IFERROR(__xludf.DUMMYFUNCTION("""COMPUTED_VALUE"""),31.79)</f>
        <v>31.79</v>
      </c>
      <c r="S81" s="31">
        <f>IFERROR(__xludf.DUMMYFUNCTION("""COMPUTED_VALUE"""),376705.55000000005)</f>
        <v>376705.55</v>
      </c>
      <c r="T81" s="31">
        <f>IFERROR(__xludf.DUMMYFUNCTION("""COMPUTED_VALUE"""),252380.81)</f>
        <v>252380.81</v>
      </c>
      <c r="U81" s="31">
        <f>IFERROR(__xludf.DUMMYFUNCTION("""COMPUTED_VALUE"""),124324.74000000005)</f>
        <v>124324.74</v>
      </c>
      <c r="V81" s="27" t="str">
        <f>IFERROR(__xludf.DUMMYFUNCTION("""COMPUTED_VALUE"""),"Beverages")</f>
        <v>Beverages</v>
      </c>
      <c r="W81" s="27" t="str">
        <f>IFERROR(__xludf.DUMMYFUNCTION("""COMPUTED_VALUE"""),"Europe")</f>
        <v>Europe</v>
      </c>
      <c r="X81" s="27" t="str">
        <f>IFERROR(__xludf.DUMMYFUNCTION("""COMPUTED_VALUE"""),"Western Europe")</f>
        <v>Western Europe</v>
      </c>
      <c r="Y81" s="32">
        <f>IFERROR(__xludf.DUMMYFUNCTION("""COMPUTED_VALUE"""),0.3300316122233931)</f>
        <v>0.3300316122</v>
      </c>
      <c r="Z81" s="27">
        <f>IFERROR(__xludf.DUMMYFUNCTION("""COMPUTED_VALUE"""),43.0)</f>
        <v>43</v>
      </c>
      <c r="AA81" s="27">
        <f>IFERROR(__xludf.DUMMYFUNCTION("""COMPUTED_VALUE"""),3.0)</f>
        <v>3</v>
      </c>
    </row>
    <row r="82">
      <c r="A82" s="27">
        <f>IFERROR(__xludf.DUMMYFUNCTION("""COMPUTED_VALUE"""),7.92178905E8)</f>
        <v>792178905</v>
      </c>
      <c r="B82" s="33">
        <f>IFERROR(__xludf.DUMMYFUNCTION("""COMPUTED_VALUE"""),42800.0)</f>
        <v>42800</v>
      </c>
      <c r="C82" s="27">
        <f>IFERROR(__xludf.DUMMYFUNCTION("""COMPUTED_VALUE"""),6.0)</f>
        <v>6</v>
      </c>
      <c r="D82" s="28">
        <f>IFERROR(__xludf.DUMMYFUNCTION("""COMPUTED_VALUE"""),3.0)</f>
        <v>3</v>
      </c>
      <c r="E82" s="29">
        <f>IFERROR(__xludf.DUMMYFUNCTION("""COMPUTED_VALUE"""),2017.0)</f>
        <v>2017</v>
      </c>
      <c r="F82" s="30">
        <f>IFERROR(__xludf.DUMMYFUNCTION("""COMPUTED_VALUE"""),42889.0)</f>
        <v>42889</v>
      </c>
      <c r="G82" s="27" t="str">
        <f>IFERROR(__xludf.DUMMYFUNCTION("""COMPUTED_VALUE"""),"7/21/2017")</f>
        <v>7/21/2017</v>
      </c>
      <c r="H82" s="27">
        <f>IFERROR(__xludf.DUMMYFUNCTION("""COMPUTED_VALUE"""),7.0)</f>
        <v>7</v>
      </c>
      <c r="I82" s="27">
        <f>IFERROR(__xludf.DUMMYFUNCTION("""COMPUTED_VALUE"""),21.0)</f>
        <v>21</v>
      </c>
      <c r="J82" s="27">
        <f>IFERROR(__xludf.DUMMYFUNCTION("""COMPUTED_VALUE"""),2017.0)</f>
        <v>2017</v>
      </c>
      <c r="K82" s="30">
        <f>IFERROR(__xludf.DUMMYFUNCTION("""COMPUTED_VALUE"""),42937.0)</f>
        <v>42937</v>
      </c>
      <c r="L82" s="27" t="str">
        <f>IFERROR(__xludf.DUMMYFUNCTION("""COMPUTED_VALUE"""),"L")</f>
        <v>L</v>
      </c>
      <c r="M82" s="27" t="str">
        <f>IFERROR(__xludf.DUMMYFUNCTION("""COMPUTED_VALUE"""),"MCO")</f>
        <v>MCO</v>
      </c>
      <c r="N82" s="27">
        <f>IFERROR(__xludf.DUMMYFUNCTION("""COMPUTED_VALUE"""),2103.0)</f>
        <v>2103</v>
      </c>
      <c r="O82" s="27" t="str">
        <f>IFERROR(__xludf.DUMMYFUNCTION("""COMPUTED_VALUE"""),"Online")</f>
        <v>Online</v>
      </c>
      <c r="P82" s="28">
        <f>IFERROR(__xludf.DUMMYFUNCTION("""COMPUTED_VALUE"""),2197.0)</f>
        <v>2197</v>
      </c>
      <c r="Q82" s="31">
        <f>IFERROR(__xludf.DUMMYFUNCTION("""COMPUTED_VALUE"""),205.7)</f>
        <v>205.7</v>
      </c>
      <c r="R82" s="31">
        <f>IFERROR(__xludf.DUMMYFUNCTION("""COMPUTED_VALUE"""),117.11)</f>
        <v>117.11</v>
      </c>
      <c r="S82" s="31">
        <f>IFERROR(__xludf.DUMMYFUNCTION("""COMPUTED_VALUE"""),451922.89999999997)</f>
        <v>451922.9</v>
      </c>
      <c r="T82" s="31">
        <f>IFERROR(__xludf.DUMMYFUNCTION("""COMPUTED_VALUE"""),257290.67)</f>
        <v>257290.67</v>
      </c>
      <c r="U82" s="31">
        <f>IFERROR(__xludf.DUMMYFUNCTION("""COMPUTED_VALUE"""),194632.22999999995)</f>
        <v>194632.23</v>
      </c>
      <c r="V82" s="27" t="str">
        <f>IFERROR(__xludf.DUMMYFUNCTION("""COMPUTED_VALUE"""),"Cereal")</f>
        <v>Cereal</v>
      </c>
      <c r="W82" s="27" t="str">
        <f>IFERROR(__xludf.DUMMYFUNCTION("""COMPUTED_VALUE"""),"Europe")</f>
        <v>Europe</v>
      </c>
      <c r="X82" s="27" t="str">
        <f>IFERROR(__xludf.DUMMYFUNCTION("""COMPUTED_VALUE"""),"Western Europe")</f>
        <v>Western Europe</v>
      </c>
      <c r="Y82" s="32">
        <f>IFERROR(__xludf.DUMMYFUNCTION("""COMPUTED_VALUE"""),0.43067574137092846)</f>
        <v>0.4306757414</v>
      </c>
      <c r="Z82" s="27">
        <f>IFERROR(__xludf.DUMMYFUNCTION("""COMPUTED_VALUE"""),48.0)</f>
        <v>48</v>
      </c>
      <c r="AA82" s="27">
        <f>IFERROR(__xludf.DUMMYFUNCTION("""COMPUTED_VALUE"""),7.0)</f>
        <v>7</v>
      </c>
    </row>
    <row r="83">
      <c r="A83" s="27">
        <f>IFERROR(__xludf.DUMMYFUNCTION("""COMPUTED_VALUE"""),7.96418511E8)</f>
        <v>796418511</v>
      </c>
      <c r="B83" s="33">
        <f>IFERROR(__xludf.DUMMYFUNCTION("""COMPUTED_VALUE"""),43071.0)</f>
        <v>43071</v>
      </c>
      <c r="C83" s="27">
        <f>IFERROR(__xludf.DUMMYFUNCTION("""COMPUTED_VALUE"""),2.0)</f>
        <v>2</v>
      </c>
      <c r="D83" s="28">
        <f>IFERROR(__xludf.DUMMYFUNCTION("""COMPUTED_VALUE"""),12.0)</f>
        <v>12</v>
      </c>
      <c r="E83" s="29">
        <f>IFERROR(__xludf.DUMMYFUNCTION("""COMPUTED_VALUE"""),2017.0)</f>
        <v>2017</v>
      </c>
      <c r="F83" s="30">
        <f>IFERROR(__xludf.DUMMYFUNCTION("""COMPUTED_VALUE"""),42778.0)</f>
        <v>42778</v>
      </c>
      <c r="G83" s="27" t="str">
        <f>IFERROR(__xludf.DUMMYFUNCTION("""COMPUTED_VALUE"""),"3/23/2017")</f>
        <v>3/23/2017</v>
      </c>
      <c r="H83" s="27">
        <f>IFERROR(__xludf.DUMMYFUNCTION("""COMPUTED_VALUE"""),3.0)</f>
        <v>3</v>
      </c>
      <c r="I83" s="27">
        <f>IFERROR(__xludf.DUMMYFUNCTION("""COMPUTED_VALUE"""),23.0)</f>
        <v>23</v>
      </c>
      <c r="J83" s="27">
        <f>IFERROR(__xludf.DUMMYFUNCTION("""COMPUTED_VALUE"""),2017.0)</f>
        <v>2017</v>
      </c>
      <c r="K83" s="30">
        <f>IFERROR(__xludf.DUMMYFUNCTION("""COMPUTED_VALUE"""),42817.0)</f>
        <v>42817</v>
      </c>
      <c r="L83" s="27" t="str">
        <f>IFERROR(__xludf.DUMMYFUNCTION("""COMPUTED_VALUE"""),"L")</f>
        <v>L</v>
      </c>
      <c r="M83" s="27" t="str">
        <f>IFERROR(__xludf.DUMMYFUNCTION("""COMPUTED_VALUE"""),"MKD")</f>
        <v>MKD</v>
      </c>
      <c r="N83" s="27">
        <f>IFERROR(__xludf.DUMMYFUNCTION("""COMPUTED_VALUE"""),8875.0)</f>
        <v>8875</v>
      </c>
      <c r="O83" s="27" t="str">
        <f>IFERROR(__xludf.DUMMYFUNCTION("""COMPUTED_VALUE"""),"Online")</f>
        <v>Online</v>
      </c>
      <c r="P83" s="28">
        <f>IFERROR(__xludf.DUMMYFUNCTION("""COMPUTED_VALUE"""),6791.0)</f>
        <v>6791</v>
      </c>
      <c r="Q83" s="31">
        <f>IFERROR(__xludf.DUMMYFUNCTION("""COMPUTED_VALUE"""),421.89)</f>
        <v>421.89</v>
      </c>
      <c r="R83" s="31">
        <f>IFERROR(__xludf.DUMMYFUNCTION("""COMPUTED_VALUE"""),364.69)</f>
        <v>364.69</v>
      </c>
      <c r="S83" s="31">
        <f>IFERROR(__xludf.DUMMYFUNCTION("""COMPUTED_VALUE"""),2865054.9899999998)</f>
        <v>2865054.99</v>
      </c>
      <c r="T83" s="31">
        <f>IFERROR(__xludf.DUMMYFUNCTION("""COMPUTED_VALUE"""),2476609.79)</f>
        <v>2476609.79</v>
      </c>
      <c r="U83" s="31">
        <f>IFERROR(__xludf.DUMMYFUNCTION("""COMPUTED_VALUE"""),388445.1999999997)</f>
        <v>388445.2</v>
      </c>
      <c r="V83" s="27" t="str">
        <f>IFERROR(__xludf.DUMMYFUNCTION("""COMPUTED_VALUE"""),"Meat")</f>
        <v>Meat</v>
      </c>
      <c r="W83" s="27" t="str">
        <f>IFERROR(__xludf.DUMMYFUNCTION("""COMPUTED_VALUE"""),"Europe")</f>
        <v>Europe</v>
      </c>
      <c r="X83" s="27" t="str">
        <f>IFERROR(__xludf.DUMMYFUNCTION("""COMPUTED_VALUE"""),"Southern Europe")</f>
        <v>Southern Europe</v>
      </c>
      <c r="Y83" s="32">
        <f>IFERROR(__xludf.DUMMYFUNCTION("""COMPUTED_VALUE"""),0.1355803645500011)</f>
        <v>0.1355803646</v>
      </c>
      <c r="Z83" s="27">
        <f>IFERROR(__xludf.DUMMYFUNCTION("""COMPUTED_VALUE"""),39.0)</f>
        <v>39</v>
      </c>
      <c r="AA83" s="27">
        <f>IFERROR(__xludf.DUMMYFUNCTION("""COMPUTED_VALUE"""),1.0)</f>
        <v>1</v>
      </c>
    </row>
    <row r="84">
      <c r="A84" s="27">
        <f>IFERROR(__xludf.DUMMYFUNCTION("""COMPUTED_VALUE"""),8.00045716E8)</f>
        <v>800045716</v>
      </c>
      <c r="B84" s="27" t="str">
        <f>IFERROR(__xludf.DUMMYFUNCTION("""COMPUTED_VALUE"""),"4/16/2017")</f>
        <v>4/16/2017</v>
      </c>
      <c r="C84" s="27">
        <f>IFERROR(__xludf.DUMMYFUNCTION("""COMPUTED_VALUE"""),4.0)</f>
        <v>4</v>
      </c>
      <c r="D84" s="28">
        <f>IFERROR(__xludf.DUMMYFUNCTION("""COMPUTED_VALUE"""),16.0)</f>
        <v>16</v>
      </c>
      <c r="E84" s="29">
        <f>IFERROR(__xludf.DUMMYFUNCTION("""COMPUTED_VALUE"""),2017.0)</f>
        <v>2017</v>
      </c>
      <c r="F84" s="30">
        <f>IFERROR(__xludf.DUMMYFUNCTION("""COMPUTED_VALUE"""),42841.0)</f>
        <v>42841</v>
      </c>
      <c r="G84" s="27" t="str">
        <f>IFERROR(__xludf.DUMMYFUNCTION("""COMPUTED_VALUE"""),"5/14/2017")</f>
        <v>5/14/2017</v>
      </c>
      <c r="H84" s="27">
        <f>IFERROR(__xludf.DUMMYFUNCTION("""COMPUTED_VALUE"""),5.0)</f>
        <v>5</v>
      </c>
      <c r="I84" s="27">
        <f>IFERROR(__xludf.DUMMYFUNCTION("""COMPUTED_VALUE"""),14.0)</f>
        <v>14</v>
      </c>
      <c r="J84" s="27">
        <f>IFERROR(__xludf.DUMMYFUNCTION("""COMPUTED_VALUE"""),2017.0)</f>
        <v>2017</v>
      </c>
      <c r="K84" s="30">
        <f>IFERROR(__xludf.DUMMYFUNCTION("""COMPUTED_VALUE"""),42869.0)</f>
        <v>42869</v>
      </c>
      <c r="L84" s="27" t="str">
        <f>IFERROR(__xludf.DUMMYFUNCTION("""COMPUTED_VALUE"""),"M")</f>
        <v>M</v>
      </c>
      <c r="M84" s="27" t="str">
        <f>IFERROR(__xludf.DUMMYFUNCTION("""COMPUTED_VALUE"""),"GRC")</f>
        <v>GRC</v>
      </c>
      <c r="N84" s="27">
        <f>IFERROR(__xludf.DUMMYFUNCTION("""COMPUTED_VALUE"""),3127.0)</f>
        <v>3127</v>
      </c>
      <c r="O84" s="27" t="str">
        <f>IFERROR(__xludf.DUMMYFUNCTION("""COMPUTED_VALUE"""),"Online")</f>
        <v>Online</v>
      </c>
      <c r="P84" s="28">
        <f>IFERROR(__xludf.DUMMYFUNCTION("""COMPUTED_VALUE"""),161.0)</f>
        <v>161</v>
      </c>
      <c r="Q84" s="31">
        <f>IFERROR(__xludf.DUMMYFUNCTION("""COMPUTED_VALUE"""),81.73)</f>
        <v>81.73</v>
      </c>
      <c r="R84" s="31">
        <f>IFERROR(__xludf.DUMMYFUNCTION("""COMPUTED_VALUE"""),56.67)</f>
        <v>56.67</v>
      </c>
      <c r="S84" s="31">
        <f>IFERROR(__xludf.DUMMYFUNCTION("""COMPUTED_VALUE"""),13158.53)</f>
        <v>13158.53</v>
      </c>
      <c r="T84" s="31">
        <f>IFERROR(__xludf.DUMMYFUNCTION("""COMPUTED_VALUE"""),9123.87)</f>
        <v>9123.87</v>
      </c>
      <c r="U84" s="31">
        <f>IFERROR(__xludf.DUMMYFUNCTION("""COMPUTED_VALUE"""),4034.66)</f>
        <v>4034.66</v>
      </c>
      <c r="V84" s="27" t="str">
        <f>IFERROR(__xludf.DUMMYFUNCTION("""COMPUTED_VALUE"""),"Personal Care")</f>
        <v>Personal Care</v>
      </c>
      <c r="W84" s="27" t="str">
        <f>IFERROR(__xludf.DUMMYFUNCTION("""COMPUTED_VALUE"""),"Europe")</f>
        <v>Europe</v>
      </c>
      <c r="X84" s="27" t="str">
        <f>IFERROR(__xludf.DUMMYFUNCTION("""COMPUTED_VALUE"""),"Southern Europe")</f>
        <v>Southern Europe</v>
      </c>
      <c r="Y84" s="32">
        <f>IFERROR(__xludf.DUMMYFUNCTION("""COMPUTED_VALUE"""),0.3066193564174721)</f>
        <v>0.3066193564</v>
      </c>
      <c r="Z84" s="27">
        <f>IFERROR(__xludf.DUMMYFUNCTION("""COMPUTED_VALUE"""),28.0)</f>
        <v>28</v>
      </c>
      <c r="AA84" s="27">
        <f>IFERROR(__xludf.DUMMYFUNCTION("""COMPUTED_VALUE"""),1.0)</f>
        <v>1</v>
      </c>
    </row>
    <row r="85">
      <c r="A85" s="27">
        <f>IFERROR(__xludf.DUMMYFUNCTION("""COMPUTED_VALUE"""),8.20437371E8)</f>
        <v>820437371</v>
      </c>
      <c r="B85" s="27" t="str">
        <f>IFERROR(__xludf.DUMMYFUNCTION("""COMPUTED_VALUE"""),"5/28/2017")</f>
        <v>5/28/2017</v>
      </c>
      <c r="C85" s="27">
        <f>IFERROR(__xludf.DUMMYFUNCTION("""COMPUTED_VALUE"""),5.0)</f>
        <v>5</v>
      </c>
      <c r="D85" s="28">
        <f>IFERROR(__xludf.DUMMYFUNCTION("""COMPUTED_VALUE"""),28.0)</f>
        <v>28</v>
      </c>
      <c r="E85" s="29">
        <f>IFERROR(__xludf.DUMMYFUNCTION("""COMPUTED_VALUE"""),2017.0)</f>
        <v>2017</v>
      </c>
      <c r="F85" s="30">
        <f>IFERROR(__xludf.DUMMYFUNCTION("""COMPUTED_VALUE"""),42883.0)</f>
        <v>42883</v>
      </c>
      <c r="G85" s="33">
        <f>IFERROR(__xludf.DUMMYFUNCTION("""COMPUTED_VALUE"""),43045.0)</f>
        <v>43045</v>
      </c>
      <c r="H85" s="27">
        <f>IFERROR(__xludf.DUMMYFUNCTION("""COMPUTED_VALUE"""),6.0)</f>
        <v>6</v>
      </c>
      <c r="I85" s="27">
        <f>IFERROR(__xludf.DUMMYFUNCTION("""COMPUTED_VALUE"""),11.0)</f>
        <v>11</v>
      </c>
      <c r="J85" s="27">
        <f>IFERROR(__xludf.DUMMYFUNCTION("""COMPUTED_VALUE"""),2017.0)</f>
        <v>2017</v>
      </c>
      <c r="K85" s="30">
        <f>IFERROR(__xludf.DUMMYFUNCTION("""COMPUTED_VALUE"""),42897.0)</f>
        <v>42897</v>
      </c>
      <c r="L85" s="27" t="str">
        <f>IFERROR(__xludf.DUMMYFUNCTION("""COMPUTED_VALUE"""),"H")</f>
        <v>H</v>
      </c>
      <c r="M85" s="27" t="str">
        <f>IFERROR(__xludf.DUMMYFUNCTION("""COMPUTED_VALUE"""),"DEU")</f>
        <v>DEU</v>
      </c>
      <c r="N85" s="27">
        <f>IFERROR(__xludf.DUMMYFUNCTION("""COMPUTED_VALUE"""),8875.0)</f>
        <v>8875</v>
      </c>
      <c r="O85" s="27" t="str">
        <f>IFERROR(__xludf.DUMMYFUNCTION("""COMPUTED_VALUE"""),"Online")</f>
        <v>Online</v>
      </c>
      <c r="P85" s="28">
        <f>IFERROR(__xludf.DUMMYFUNCTION("""COMPUTED_VALUE"""),4505.0)</f>
        <v>4505</v>
      </c>
      <c r="Q85" s="31">
        <f>IFERROR(__xludf.DUMMYFUNCTION("""COMPUTED_VALUE"""),421.89)</f>
        <v>421.89</v>
      </c>
      <c r="R85" s="31">
        <f>IFERROR(__xludf.DUMMYFUNCTION("""COMPUTED_VALUE"""),364.69)</f>
        <v>364.69</v>
      </c>
      <c r="S85" s="31">
        <f>IFERROR(__xludf.DUMMYFUNCTION("""COMPUTED_VALUE"""),1900614.45)</f>
        <v>1900614.45</v>
      </c>
      <c r="T85" s="31">
        <f>IFERROR(__xludf.DUMMYFUNCTION("""COMPUTED_VALUE"""),1642928.45)</f>
        <v>1642928.45</v>
      </c>
      <c r="U85" s="31">
        <f>IFERROR(__xludf.DUMMYFUNCTION("""COMPUTED_VALUE"""),257686.0)</f>
        <v>257686</v>
      </c>
      <c r="V85" s="27" t="str">
        <f>IFERROR(__xludf.DUMMYFUNCTION("""COMPUTED_VALUE"""),"Meat")</f>
        <v>Meat</v>
      </c>
      <c r="W85" s="27" t="str">
        <f>IFERROR(__xludf.DUMMYFUNCTION("""COMPUTED_VALUE"""),"Europe")</f>
        <v>Europe</v>
      </c>
      <c r="X85" s="27" t="str">
        <f>IFERROR(__xludf.DUMMYFUNCTION("""COMPUTED_VALUE"""),"Western Europe")</f>
        <v>Western Europe</v>
      </c>
      <c r="Y85" s="32">
        <f>IFERROR(__xludf.DUMMYFUNCTION("""COMPUTED_VALUE"""),0.1355803645500012)</f>
        <v>0.1355803646</v>
      </c>
      <c r="Z85" s="27">
        <f>IFERROR(__xludf.DUMMYFUNCTION("""COMPUTED_VALUE"""),14.0)</f>
        <v>14</v>
      </c>
      <c r="AA85" s="27">
        <f>IFERROR(__xludf.DUMMYFUNCTION("""COMPUTED_VALUE"""),1.0)</f>
        <v>1</v>
      </c>
    </row>
    <row r="86">
      <c r="A86" s="27">
        <f>IFERROR(__xludf.DUMMYFUNCTION("""COMPUTED_VALUE"""),8.26968657E8)</f>
        <v>826968657</v>
      </c>
      <c r="B86" s="33">
        <f>IFERROR(__xludf.DUMMYFUNCTION("""COMPUTED_VALUE"""),42891.0)</f>
        <v>42891</v>
      </c>
      <c r="C86" s="27">
        <f>IFERROR(__xludf.DUMMYFUNCTION("""COMPUTED_VALUE"""),5.0)</f>
        <v>5</v>
      </c>
      <c r="D86" s="28">
        <f>IFERROR(__xludf.DUMMYFUNCTION("""COMPUTED_VALUE"""),6.0)</f>
        <v>6</v>
      </c>
      <c r="E86" s="29">
        <f>IFERROR(__xludf.DUMMYFUNCTION("""COMPUTED_VALUE"""),2017.0)</f>
        <v>2017</v>
      </c>
      <c r="F86" s="30">
        <f>IFERROR(__xludf.DUMMYFUNCTION("""COMPUTED_VALUE"""),42861.0)</f>
        <v>42861</v>
      </c>
      <c r="G86" s="27" t="str">
        <f>IFERROR(__xludf.DUMMYFUNCTION("""COMPUTED_VALUE"""),"6/15/2017")</f>
        <v>6/15/2017</v>
      </c>
      <c r="H86" s="27">
        <f>IFERROR(__xludf.DUMMYFUNCTION("""COMPUTED_VALUE"""),6.0)</f>
        <v>6</v>
      </c>
      <c r="I86" s="27">
        <f>IFERROR(__xludf.DUMMYFUNCTION("""COMPUTED_VALUE"""),15.0)</f>
        <v>15</v>
      </c>
      <c r="J86" s="27">
        <f>IFERROR(__xludf.DUMMYFUNCTION("""COMPUTED_VALUE"""),2017.0)</f>
        <v>2017</v>
      </c>
      <c r="K86" s="30">
        <f>IFERROR(__xludf.DUMMYFUNCTION("""COMPUTED_VALUE"""),42901.0)</f>
        <v>42901</v>
      </c>
      <c r="L86" s="27" t="str">
        <f>IFERROR(__xludf.DUMMYFUNCTION("""COMPUTED_VALUE"""),"H")</f>
        <v>H</v>
      </c>
      <c r="M86" s="27" t="str">
        <f>IFERROR(__xludf.DUMMYFUNCTION("""COMPUTED_VALUE"""),"BGR")</f>
        <v>BGR</v>
      </c>
      <c r="N86" s="27">
        <f>IFERROR(__xludf.DUMMYFUNCTION("""COMPUTED_VALUE"""),8293.0)</f>
        <v>8293</v>
      </c>
      <c r="O86" s="27" t="str">
        <f>IFERROR(__xludf.DUMMYFUNCTION("""COMPUTED_VALUE"""),"Offline")</f>
        <v>Offline</v>
      </c>
      <c r="P86" s="28">
        <f>IFERROR(__xludf.DUMMYFUNCTION("""COMPUTED_VALUE"""),7258.0)</f>
        <v>7258</v>
      </c>
      <c r="Q86" s="31">
        <f>IFERROR(__xludf.DUMMYFUNCTION("""COMPUTED_VALUE"""),437.2)</f>
        <v>437.2</v>
      </c>
      <c r="R86" s="31">
        <f>IFERROR(__xludf.DUMMYFUNCTION("""COMPUTED_VALUE"""),263.33)</f>
        <v>263.33</v>
      </c>
      <c r="S86" s="31">
        <f>IFERROR(__xludf.DUMMYFUNCTION("""COMPUTED_VALUE"""),3173197.6)</f>
        <v>3173197.6</v>
      </c>
      <c r="T86" s="31">
        <f>IFERROR(__xludf.DUMMYFUNCTION("""COMPUTED_VALUE"""),1911249.14)</f>
        <v>1911249.14</v>
      </c>
      <c r="U86" s="31">
        <f>IFERROR(__xludf.DUMMYFUNCTION("""COMPUTED_VALUE"""),1261948.4600000002)</f>
        <v>1261948.46</v>
      </c>
      <c r="V86" s="27" t="str">
        <f>IFERROR(__xludf.DUMMYFUNCTION("""COMPUTED_VALUE"""),"Cosmetics")</f>
        <v>Cosmetics</v>
      </c>
      <c r="W86" s="27" t="str">
        <f>IFERROR(__xludf.DUMMYFUNCTION("""COMPUTED_VALUE"""),"Europe")</f>
        <v>Europe</v>
      </c>
      <c r="X86" s="27" t="str">
        <f>IFERROR(__xludf.DUMMYFUNCTION("""COMPUTED_VALUE"""),"Eastern Europe")</f>
        <v>Eastern Europe</v>
      </c>
      <c r="Y86" s="32">
        <f>IFERROR(__xludf.DUMMYFUNCTION("""COMPUTED_VALUE"""),0.3976898444647759)</f>
        <v>0.3976898445</v>
      </c>
      <c r="Z86" s="27">
        <f>IFERROR(__xludf.DUMMYFUNCTION("""COMPUTED_VALUE"""),40.0)</f>
        <v>40</v>
      </c>
      <c r="AA86" s="27">
        <f>IFERROR(__xludf.DUMMYFUNCTION("""COMPUTED_VALUE"""),7.0)</f>
        <v>7</v>
      </c>
    </row>
    <row r="87">
      <c r="A87" s="27">
        <f>IFERROR(__xludf.DUMMYFUNCTION("""COMPUTED_VALUE"""),8.3534187E8)</f>
        <v>835341870</v>
      </c>
      <c r="B87" s="27" t="str">
        <f>IFERROR(__xludf.DUMMYFUNCTION("""COMPUTED_VALUE"""),"1/26/2017")</f>
        <v>1/26/2017</v>
      </c>
      <c r="C87" s="27">
        <f>IFERROR(__xludf.DUMMYFUNCTION("""COMPUTED_VALUE"""),1.0)</f>
        <v>1</v>
      </c>
      <c r="D87" s="28">
        <f>IFERROR(__xludf.DUMMYFUNCTION("""COMPUTED_VALUE"""),26.0)</f>
        <v>26</v>
      </c>
      <c r="E87" s="29">
        <f>IFERROR(__xludf.DUMMYFUNCTION("""COMPUTED_VALUE"""),2017.0)</f>
        <v>2017</v>
      </c>
      <c r="F87" s="30">
        <f>IFERROR(__xludf.DUMMYFUNCTION("""COMPUTED_VALUE"""),42761.0)</f>
        <v>42761</v>
      </c>
      <c r="G87" s="27" t="str">
        <f>IFERROR(__xludf.DUMMYFUNCTION("""COMPUTED_VALUE"""),"2/24/2017")</f>
        <v>2/24/2017</v>
      </c>
      <c r="H87" s="27">
        <f>IFERROR(__xludf.DUMMYFUNCTION("""COMPUTED_VALUE"""),2.0)</f>
        <v>2</v>
      </c>
      <c r="I87" s="27">
        <f>IFERROR(__xludf.DUMMYFUNCTION("""COMPUTED_VALUE"""),24.0)</f>
        <v>24</v>
      </c>
      <c r="J87" s="27">
        <f>IFERROR(__xludf.DUMMYFUNCTION("""COMPUTED_VALUE"""),2017.0)</f>
        <v>2017</v>
      </c>
      <c r="K87" s="30">
        <f>IFERROR(__xludf.DUMMYFUNCTION("""COMPUTED_VALUE"""),42790.0)</f>
        <v>42790</v>
      </c>
      <c r="L87" s="27" t="str">
        <f>IFERROR(__xludf.DUMMYFUNCTION("""COMPUTED_VALUE"""),"M")</f>
        <v>M</v>
      </c>
      <c r="M87" s="27" t="str">
        <f>IFERROR(__xludf.DUMMYFUNCTION("""COMPUTED_VALUE"""),"LUX")</f>
        <v>LUX</v>
      </c>
      <c r="N87" s="27">
        <f>IFERROR(__xludf.DUMMYFUNCTION("""COMPUTED_VALUE"""),8293.0)</f>
        <v>8293</v>
      </c>
      <c r="O87" s="27" t="str">
        <f>IFERROR(__xludf.DUMMYFUNCTION("""COMPUTED_VALUE"""),"Online")</f>
        <v>Online</v>
      </c>
      <c r="P87" s="28">
        <f>IFERROR(__xludf.DUMMYFUNCTION("""COMPUTED_VALUE"""),5077.0)</f>
        <v>5077</v>
      </c>
      <c r="Q87" s="31">
        <f>IFERROR(__xludf.DUMMYFUNCTION("""COMPUTED_VALUE"""),437.2)</f>
        <v>437.2</v>
      </c>
      <c r="R87" s="31">
        <f>IFERROR(__xludf.DUMMYFUNCTION("""COMPUTED_VALUE"""),263.33)</f>
        <v>263.33</v>
      </c>
      <c r="S87" s="31">
        <f>IFERROR(__xludf.DUMMYFUNCTION("""COMPUTED_VALUE"""),2219664.4)</f>
        <v>2219664.4</v>
      </c>
      <c r="T87" s="31">
        <f>IFERROR(__xludf.DUMMYFUNCTION("""COMPUTED_VALUE"""),1336926.41)</f>
        <v>1336926.41</v>
      </c>
      <c r="U87" s="31">
        <f>IFERROR(__xludf.DUMMYFUNCTION("""COMPUTED_VALUE"""),882737.99)</f>
        <v>882737.99</v>
      </c>
      <c r="V87" s="27" t="str">
        <f>IFERROR(__xludf.DUMMYFUNCTION("""COMPUTED_VALUE"""),"Cosmetics")</f>
        <v>Cosmetics</v>
      </c>
      <c r="W87" s="27" t="str">
        <f>IFERROR(__xludf.DUMMYFUNCTION("""COMPUTED_VALUE"""),"Europe")</f>
        <v>Europe</v>
      </c>
      <c r="X87" s="27" t="str">
        <f>IFERROR(__xludf.DUMMYFUNCTION("""COMPUTED_VALUE"""),"Western Europe")</f>
        <v>Western Europe</v>
      </c>
      <c r="Y87" s="32">
        <f>IFERROR(__xludf.DUMMYFUNCTION("""COMPUTED_VALUE"""),0.39768984446477584)</f>
        <v>0.3976898445</v>
      </c>
      <c r="Z87" s="27">
        <f>IFERROR(__xludf.DUMMYFUNCTION("""COMPUTED_VALUE"""),29.0)</f>
        <v>29</v>
      </c>
      <c r="AA87" s="27">
        <f>IFERROR(__xludf.DUMMYFUNCTION("""COMPUTED_VALUE"""),5.0)</f>
        <v>5</v>
      </c>
    </row>
    <row r="88">
      <c r="A88" s="27">
        <f>IFERROR(__xludf.DUMMYFUNCTION("""COMPUTED_VALUE"""),8.3790692E8)</f>
        <v>837906920</v>
      </c>
      <c r="B88" s="33">
        <f>IFERROR(__xludf.DUMMYFUNCTION("""COMPUTED_VALUE"""),42829.0)</f>
        <v>42829</v>
      </c>
      <c r="C88" s="27">
        <f>IFERROR(__xludf.DUMMYFUNCTION("""COMPUTED_VALUE"""),4.0)</f>
        <v>4</v>
      </c>
      <c r="D88" s="28">
        <f>IFERROR(__xludf.DUMMYFUNCTION("""COMPUTED_VALUE"""),4.0)</f>
        <v>4</v>
      </c>
      <c r="E88" s="29">
        <f>IFERROR(__xludf.DUMMYFUNCTION("""COMPUTED_VALUE"""),2017.0)</f>
        <v>2017</v>
      </c>
      <c r="F88" s="30">
        <f>IFERROR(__xludf.DUMMYFUNCTION("""COMPUTED_VALUE"""),42829.0)</f>
        <v>42829</v>
      </c>
      <c r="G88" s="27" t="str">
        <f>IFERROR(__xludf.DUMMYFUNCTION("""COMPUTED_VALUE"""),"5/16/2017")</f>
        <v>5/16/2017</v>
      </c>
      <c r="H88" s="27">
        <f>IFERROR(__xludf.DUMMYFUNCTION("""COMPUTED_VALUE"""),5.0)</f>
        <v>5</v>
      </c>
      <c r="I88" s="27">
        <f>IFERROR(__xludf.DUMMYFUNCTION("""COMPUTED_VALUE"""),16.0)</f>
        <v>16</v>
      </c>
      <c r="J88" s="27">
        <f>IFERROR(__xludf.DUMMYFUNCTION("""COMPUTED_VALUE"""),2017.0)</f>
        <v>2017</v>
      </c>
      <c r="K88" s="30">
        <f>IFERROR(__xludf.DUMMYFUNCTION("""COMPUTED_VALUE"""),42871.0)</f>
        <v>42871</v>
      </c>
      <c r="L88" s="27" t="str">
        <f>IFERROR(__xludf.DUMMYFUNCTION("""COMPUTED_VALUE"""),"L")</f>
        <v>L</v>
      </c>
      <c r="M88" s="27" t="str">
        <f>IFERROR(__xludf.DUMMYFUNCTION("""COMPUTED_VALUE"""),"CHE")</f>
        <v>CHE</v>
      </c>
      <c r="N88" s="27">
        <f>IFERROR(__xludf.DUMMYFUNCTION("""COMPUTED_VALUE"""),1270.0)</f>
        <v>1270</v>
      </c>
      <c r="O88" s="27" t="str">
        <f>IFERROR(__xludf.DUMMYFUNCTION("""COMPUTED_VALUE"""),"Online")</f>
        <v>Online</v>
      </c>
      <c r="P88" s="28">
        <f>IFERROR(__xludf.DUMMYFUNCTION("""COMPUTED_VALUE"""),4133.0)</f>
        <v>4133</v>
      </c>
      <c r="Q88" s="31">
        <f>IFERROR(__xludf.DUMMYFUNCTION("""COMPUTED_VALUE"""),47.45)</f>
        <v>47.45</v>
      </c>
      <c r="R88" s="31">
        <f>IFERROR(__xludf.DUMMYFUNCTION("""COMPUTED_VALUE"""),31.79)</f>
        <v>31.79</v>
      </c>
      <c r="S88" s="31">
        <f>IFERROR(__xludf.DUMMYFUNCTION("""COMPUTED_VALUE"""),196110.85)</f>
        <v>196110.85</v>
      </c>
      <c r="T88" s="31">
        <f>IFERROR(__xludf.DUMMYFUNCTION("""COMPUTED_VALUE"""),131388.07)</f>
        <v>131388.07</v>
      </c>
      <c r="U88" s="31">
        <f>IFERROR(__xludf.DUMMYFUNCTION("""COMPUTED_VALUE"""),64722.78)</f>
        <v>64722.78</v>
      </c>
      <c r="V88" s="27" t="str">
        <f>IFERROR(__xludf.DUMMYFUNCTION("""COMPUTED_VALUE"""),"Beverages")</f>
        <v>Beverages</v>
      </c>
      <c r="W88" s="27" t="str">
        <f>IFERROR(__xludf.DUMMYFUNCTION("""COMPUTED_VALUE"""),"Europe")</f>
        <v>Europe</v>
      </c>
      <c r="X88" s="27" t="str">
        <f>IFERROR(__xludf.DUMMYFUNCTION("""COMPUTED_VALUE"""),"Western Europe")</f>
        <v>Western Europe</v>
      </c>
      <c r="Y88" s="32">
        <f>IFERROR(__xludf.DUMMYFUNCTION("""COMPUTED_VALUE"""),0.33003161222339306)</f>
        <v>0.3300316122</v>
      </c>
      <c r="Z88" s="27">
        <f>IFERROR(__xludf.DUMMYFUNCTION("""COMPUTED_VALUE"""),42.0)</f>
        <v>42</v>
      </c>
      <c r="AA88" s="27">
        <f>IFERROR(__xludf.DUMMYFUNCTION("""COMPUTED_VALUE"""),3.0)</f>
        <v>3</v>
      </c>
    </row>
    <row r="89">
      <c r="A89" s="27">
        <f>IFERROR(__xludf.DUMMYFUNCTION("""COMPUTED_VALUE"""),8.70218312E8)</f>
        <v>870218312</v>
      </c>
      <c r="B89" s="27" t="str">
        <f>IFERROR(__xludf.DUMMYFUNCTION("""COMPUTED_VALUE"""),"3/19/2017")</f>
        <v>3/19/2017</v>
      </c>
      <c r="C89" s="27">
        <f>IFERROR(__xludf.DUMMYFUNCTION("""COMPUTED_VALUE"""),3.0)</f>
        <v>3</v>
      </c>
      <c r="D89" s="28">
        <f>IFERROR(__xludf.DUMMYFUNCTION("""COMPUTED_VALUE"""),19.0)</f>
        <v>19</v>
      </c>
      <c r="E89" s="29">
        <f>IFERROR(__xludf.DUMMYFUNCTION("""COMPUTED_VALUE"""),2017.0)</f>
        <v>2017</v>
      </c>
      <c r="F89" s="30">
        <f>IFERROR(__xludf.DUMMYFUNCTION("""COMPUTED_VALUE"""),42813.0)</f>
        <v>42813</v>
      </c>
      <c r="G89" s="27" t="str">
        <f>IFERROR(__xludf.DUMMYFUNCTION("""COMPUTED_VALUE"""),"3/27/2017")</f>
        <v>3/27/2017</v>
      </c>
      <c r="H89" s="27">
        <f>IFERROR(__xludf.DUMMYFUNCTION("""COMPUTED_VALUE"""),3.0)</f>
        <v>3</v>
      </c>
      <c r="I89" s="27">
        <f>IFERROR(__xludf.DUMMYFUNCTION("""COMPUTED_VALUE"""),27.0)</f>
        <v>27</v>
      </c>
      <c r="J89" s="27">
        <f>IFERROR(__xludf.DUMMYFUNCTION("""COMPUTED_VALUE"""),2017.0)</f>
        <v>2017</v>
      </c>
      <c r="K89" s="30">
        <f>IFERROR(__xludf.DUMMYFUNCTION("""COMPUTED_VALUE"""),42821.0)</f>
        <v>42821</v>
      </c>
      <c r="L89" s="27" t="str">
        <f>IFERROR(__xludf.DUMMYFUNCTION("""COMPUTED_VALUE"""),"H")</f>
        <v>H</v>
      </c>
      <c r="M89" s="27" t="str">
        <f>IFERROR(__xludf.DUMMYFUNCTION("""COMPUTED_VALUE"""),"LVA")</f>
        <v>LVA</v>
      </c>
      <c r="N89" s="27">
        <f>IFERROR(__xludf.DUMMYFUNCTION("""COMPUTED_VALUE"""),4594.0)</f>
        <v>4594</v>
      </c>
      <c r="O89" s="27" t="str">
        <f>IFERROR(__xludf.DUMMYFUNCTION("""COMPUTED_VALUE"""),"Offline")</f>
        <v>Offline</v>
      </c>
      <c r="P89" s="28">
        <f>IFERROR(__xludf.DUMMYFUNCTION("""COMPUTED_VALUE"""),5792.0)</f>
        <v>5792</v>
      </c>
      <c r="Q89" s="31">
        <f>IFERROR(__xludf.DUMMYFUNCTION("""COMPUTED_VALUE"""),9.33)</f>
        <v>9.33</v>
      </c>
      <c r="R89" s="31">
        <f>IFERROR(__xludf.DUMMYFUNCTION("""COMPUTED_VALUE"""),6.92)</f>
        <v>6.92</v>
      </c>
      <c r="S89" s="31">
        <f>IFERROR(__xludf.DUMMYFUNCTION("""COMPUTED_VALUE"""),54039.36)</f>
        <v>54039.36</v>
      </c>
      <c r="T89" s="31">
        <f>IFERROR(__xludf.DUMMYFUNCTION("""COMPUTED_VALUE"""),40080.64)</f>
        <v>40080.64</v>
      </c>
      <c r="U89" s="31">
        <f>IFERROR(__xludf.DUMMYFUNCTION("""COMPUTED_VALUE"""),13958.720000000001)</f>
        <v>13958.72</v>
      </c>
      <c r="V89" s="27" t="str">
        <f>IFERROR(__xludf.DUMMYFUNCTION("""COMPUTED_VALUE"""),"Fruits")</f>
        <v>Fruits</v>
      </c>
      <c r="W89" s="27" t="str">
        <f>IFERROR(__xludf.DUMMYFUNCTION("""COMPUTED_VALUE"""),"Europe")</f>
        <v>Europe</v>
      </c>
      <c r="X89" s="27" t="str">
        <f>IFERROR(__xludf.DUMMYFUNCTION("""COMPUTED_VALUE"""),"Northern Europe")</f>
        <v>Northern Europe</v>
      </c>
      <c r="Y89" s="32">
        <f>IFERROR(__xludf.DUMMYFUNCTION("""COMPUTED_VALUE"""),0.2583065380493033)</f>
        <v>0.258306538</v>
      </c>
      <c r="Z89" s="27">
        <f>IFERROR(__xludf.DUMMYFUNCTION("""COMPUTED_VALUE"""),8.0)</f>
        <v>8</v>
      </c>
      <c r="AA89" s="27">
        <f>IFERROR(__xludf.DUMMYFUNCTION("""COMPUTED_VALUE"""),1.0)</f>
        <v>1</v>
      </c>
    </row>
    <row r="90">
      <c r="A90" s="27">
        <f>IFERROR(__xludf.DUMMYFUNCTION("""COMPUTED_VALUE"""),8.85998284E8)</f>
        <v>885998284</v>
      </c>
      <c r="B90" s="27" t="str">
        <f>IFERROR(__xludf.DUMMYFUNCTION("""COMPUTED_VALUE"""),"2/21/2017")</f>
        <v>2/21/2017</v>
      </c>
      <c r="C90" s="27">
        <f>IFERROR(__xludf.DUMMYFUNCTION("""COMPUTED_VALUE"""),2.0)</f>
        <v>2</v>
      </c>
      <c r="D90" s="28">
        <f>IFERROR(__xludf.DUMMYFUNCTION("""COMPUTED_VALUE"""),21.0)</f>
        <v>21</v>
      </c>
      <c r="E90" s="29">
        <f>IFERROR(__xludf.DUMMYFUNCTION("""COMPUTED_VALUE"""),2017.0)</f>
        <v>2017</v>
      </c>
      <c r="F90" s="30">
        <f>IFERROR(__xludf.DUMMYFUNCTION("""COMPUTED_VALUE"""),42787.0)</f>
        <v>42787</v>
      </c>
      <c r="G90" s="27" t="str">
        <f>IFERROR(__xludf.DUMMYFUNCTION("""COMPUTED_VALUE"""),"2/28/2017")</f>
        <v>2/28/2017</v>
      </c>
      <c r="H90" s="27">
        <f>IFERROR(__xludf.DUMMYFUNCTION("""COMPUTED_VALUE"""),2.0)</f>
        <v>2</v>
      </c>
      <c r="I90" s="27">
        <f>IFERROR(__xludf.DUMMYFUNCTION("""COMPUTED_VALUE"""),28.0)</f>
        <v>28</v>
      </c>
      <c r="J90" s="27">
        <f>IFERROR(__xludf.DUMMYFUNCTION("""COMPUTED_VALUE"""),2017.0)</f>
        <v>2017</v>
      </c>
      <c r="K90" s="30">
        <f>IFERROR(__xludf.DUMMYFUNCTION("""COMPUTED_VALUE"""),42794.0)</f>
        <v>42794</v>
      </c>
      <c r="L90" s="27" t="str">
        <f>IFERROR(__xludf.DUMMYFUNCTION("""COMPUTED_VALUE"""),"C")</f>
        <v>C</v>
      </c>
      <c r="M90" s="27" t="str">
        <f>IFERROR(__xludf.DUMMYFUNCTION("""COMPUTED_VALUE"""),"ARM")</f>
        <v>ARM</v>
      </c>
      <c r="N90" s="27">
        <f>IFERROR(__xludf.DUMMYFUNCTION("""COMPUTED_VALUE"""),2455.0)</f>
        <v>2455</v>
      </c>
      <c r="O90" s="27" t="str">
        <f>IFERROR(__xludf.DUMMYFUNCTION("""COMPUTED_VALUE"""),"Offline")</f>
        <v>Offline</v>
      </c>
      <c r="P90" s="28">
        <f>IFERROR(__xludf.DUMMYFUNCTION("""COMPUTED_VALUE"""),5436.0)</f>
        <v>5436</v>
      </c>
      <c r="Q90" s="31">
        <f>IFERROR(__xludf.DUMMYFUNCTION("""COMPUTED_VALUE"""),109.28)</f>
        <v>109.28</v>
      </c>
      <c r="R90" s="31">
        <f>IFERROR(__xludf.DUMMYFUNCTION("""COMPUTED_VALUE"""),35.84)</f>
        <v>35.84</v>
      </c>
      <c r="S90" s="31">
        <f>IFERROR(__xludf.DUMMYFUNCTION("""COMPUTED_VALUE"""),594046.08)</f>
        <v>594046.08</v>
      </c>
      <c r="T90" s="31">
        <f>IFERROR(__xludf.DUMMYFUNCTION("""COMPUTED_VALUE"""),194826.24000000002)</f>
        <v>194826.24</v>
      </c>
      <c r="U90" s="31">
        <f>IFERROR(__xludf.DUMMYFUNCTION("""COMPUTED_VALUE"""),399219.83999999997)</f>
        <v>399219.84</v>
      </c>
      <c r="V90" s="27" t="str">
        <f>IFERROR(__xludf.DUMMYFUNCTION("""COMPUTED_VALUE"""),"Clothes")</f>
        <v>Clothes</v>
      </c>
      <c r="W90" s="27" t="str">
        <f>IFERROR(__xludf.DUMMYFUNCTION("""COMPUTED_VALUE"""),"Asia")</f>
        <v>Asia</v>
      </c>
      <c r="X90" s="27" t="str">
        <f>IFERROR(__xludf.DUMMYFUNCTION("""COMPUTED_VALUE"""),"Western Asia")</f>
        <v>Western Asia</v>
      </c>
      <c r="Y90" s="32">
        <f>IFERROR(__xludf.DUMMYFUNCTION("""COMPUTED_VALUE"""),0.6720351390922401)</f>
        <v>0.6720351391</v>
      </c>
      <c r="Z90" s="27">
        <f>IFERROR(__xludf.DUMMYFUNCTION("""COMPUTED_VALUE"""),7.0)</f>
        <v>7</v>
      </c>
      <c r="AA90" s="27">
        <f>IFERROR(__xludf.DUMMYFUNCTION("""COMPUTED_VALUE"""),3.0)</f>
        <v>3</v>
      </c>
    </row>
    <row r="91">
      <c r="A91" s="27">
        <f>IFERROR(__xludf.DUMMYFUNCTION("""COMPUTED_VALUE"""),8.8750118E8)</f>
        <v>887501180</v>
      </c>
      <c r="B91" s="33">
        <f>IFERROR(__xludf.DUMMYFUNCTION("""COMPUTED_VALUE"""),42860.0)</f>
        <v>42860</v>
      </c>
      <c r="C91" s="27">
        <f>IFERROR(__xludf.DUMMYFUNCTION("""COMPUTED_VALUE"""),5.0)</f>
        <v>5</v>
      </c>
      <c r="D91" s="28">
        <f>IFERROR(__xludf.DUMMYFUNCTION("""COMPUTED_VALUE"""),5.0)</f>
        <v>5</v>
      </c>
      <c r="E91" s="29">
        <f>IFERROR(__xludf.DUMMYFUNCTION("""COMPUTED_VALUE"""),2017.0)</f>
        <v>2017</v>
      </c>
      <c r="F91" s="30">
        <f>IFERROR(__xludf.DUMMYFUNCTION("""COMPUTED_VALUE"""),42860.0)</f>
        <v>42860</v>
      </c>
      <c r="G91" s="27" t="str">
        <f>IFERROR(__xludf.DUMMYFUNCTION("""COMPUTED_VALUE"""),"6/20/2017")</f>
        <v>6/20/2017</v>
      </c>
      <c r="H91" s="27">
        <f>IFERROR(__xludf.DUMMYFUNCTION("""COMPUTED_VALUE"""),6.0)</f>
        <v>6</v>
      </c>
      <c r="I91" s="27">
        <f>IFERROR(__xludf.DUMMYFUNCTION("""COMPUTED_VALUE"""),20.0)</f>
        <v>20</v>
      </c>
      <c r="J91" s="27">
        <f>IFERROR(__xludf.DUMMYFUNCTION("""COMPUTED_VALUE"""),2017.0)</f>
        <v>2017</v>
      </c>
      <c r="K91" s="30">
        <f>IFERROR(__xludf.DUMMYFUNCTION("""COMPUTED_VALUE"""),42906.0)</f>
        <v>42906</v>
      </c>
      <c r="L91" s="27" t="str">
        <f>IFERROR(__xludf.DUMMYFUNCTION("""COMPUTED_VALUE"""),"C")</f>
        <v>C</v>
      </c>
      <c r="M91" s="27" t="str">
        <f>IFERROR(__xludf.DUMMYFUNCTION("""COMPUTED_VALUE"""),"GBR")</f>
        <v>GBR</v>
      </c>
      <c r="N91" s="27">
        <f>IFERROR(__xludf.DUMMYFUNCTION("""COMPUTED_VALUE"""),8293.0)</f>
        <v>8293</v>
      </c>
      <c r="O91" s="27" t="str">
        <f>IFERROR(__xludf.DUMMYFUNCTION("""COMPUTED_VALUE"""),"Online")</f>
        <v>Online</v>
      </c>
      <c r="P91" s="28">
        <f>IFERROR(__xludf.DUMMYFUNCTION("""COMPUTED_VALUE"""),176.0)</f>
        <v>176</v>
      </c>
      <c r="Q91" s="31">
        <f>IFERROR(__xludf.DUMMYFUNCTION("""COMPUTED_VALUE"""),437.2)</f>
        <v>437.2</v>
      </c>
      <c r="R91" s="31">
        <f>IFERROR(__xludf.DUMMYFUNCTION("""COMPUTED_VALUE"""),263.33)</f>
        <v>263.33</v>
      </c>
      <c r="S91" s="31">
        <f>IFERROR(__xludf.DUMMYFUNCTION("""COMPUTED_VALUE"""),76947.2)</f>
        <v>76947.2</v>
      </c>
      <c r="T91" s="31">
        <f>IFERROR(__xludf.DUMMYFUNCTION("""COMPUTED_VALUE"""),46346.079999999994)</f>
        <v>46346.08</v>
      </c>
      <c r="U91" s="31">
        <f>IFERROR(__xludf.DUMMYFUNCTION("""COMPUTED_VALUE"""),30601.120000000003)</f>
        <v>30601.12</v>
      </c>
      <c r="V91" s="27" t="str">
        <f>IFERROR(__xludf.DUMMYFUNCTION("""COMPUTED_VALUE"""),"Cosmetics")</f>
        <v>Cosmetics</v>
      </c>
      <c r="W91" s="27" t="str">
        <f>IFERROR(__xludf.DUMMYFUNCTION("""COMPUTED_VALUE"""),"Europe")</f>
        <v>Europe</v>
      </c>
      <c r="X91" s="27" t="str">
        <f>IFERROR(__xludf.DUMMYFUNCTION("""COMPUTED_VALUE"""),"Northern Europe")</f>
        <v>Northern Europe</v>
      </c>
      <c r="Y91" s="32">
        <f>IFERROR(__xludf.DUMMYFUNCTION("""COMPUTED_VALUE"""),0.3976898444647759)</f>
        <v>0.3976898445</v>
      </c>
      <c r="Z91" s="27">
        <f>IFERROR(__xludf.DUMMYFUNCTION("""COMPUTED_VALUE"""),46.0)</f>
        <v>46</v>
      </c>
      <c r="AA91" s="27">
        <f>IFERROR(__xludf.DUMMYFUNCTION("""COMPUTED_VALUE"""),6.0)</f>
        <v>6</v>
      </c>
    </row>
    <row r="92">
      <c r="A92" s="27">
        <f>IFERROR(__xludf.DUMMYFUNCTION("""COMPUTED_VALUE"""),9.00808799E8)</f>
        <v>900808799</v>
      </c>
      <c r="B92" s="27" t="str">
        <f>IFERROR(__xludf.DUMMYFUNCTION("""COMPUTED_VALUE"""),"6/20/2017")</f>
        <v>6/20/2017</v>
      </c>
      <c r="C92" s="27">
        <f>IFERROR(__xludf.DUMMYFUNCTION("""COMPUTED_VALUE"""),6.0)</f>
        <v>6</v>
      </c>
      <c r="D92" s="28">
        <f>IFERROR(__xludf.DUMMYFUNCTION("""COMPUTED_VALUE"""),20.0)</f>
        <v>20</v>
      </c>
      <c r="E92" s="29">
        <f>IFERROR(__xludf.DUMMYFUNCTION("""COMPUTED_VALUE"""),2017.0)</f>
        <v>2017</v>
      </c>
      <c r="F92" s="30">
        <f>IFERROR(__xludf.DUMMYFUNCTION("""COMPUTED_VALUE"""),42906.0)</f>
        <v>42906</v>
      </c>
      <c r="G92" s="27" t="str">
        <f>IFERROR(__xludf.DUMMYFUNCTION("""COMPUTED_VALUE"""),"6/28/2017")</f>
        <v>6/28/2017</v>
      </c>
      <c r="H92" s="27">
        <f>IFERROR(__xludf.DUMMYFUNCTION("""COMPUTED_VALUE"""),6.0)</f>
        <v>6</v>
      </c>
      <c r="I92" s="27">
        <f>IFERROR(__xludf.DUMMYFUNCTION("""COMPUTED_VALUE"""),28.0)</f>
        <v>28</v>
      </c>
      <c r="J92" s="27">
        <f>IFERROR(__xludf.DUMMYFUNCTION("""COMPUTED_VALUE"""),2017.0)</f>
        <v>2017</v>
      </c>
      <c r="K92" s="30">
        <f>IFERROR(__xludf.DUMMYFUNCTION("""COMPUTED_VALUE"""),42914.0)</f>
        <v>42914</v>
      </c>
      <c r="L92" s="27" t="str">
        <f>IFERROR(__xludf.DUMMYFUNCTION("""COMPUTED_VALUE"""),"C")</f>
        <v>C</v>
      </c>
      <c r="M92" s="27" t="str">
        <f>IFERROR(__xludf.DUMMYFUNCTION("""COMPUTED_VALUE"""),"GRC")</f>
        <v>GRC</v>
      </c>
      <c r="N92" s="27">
        <f>IFERROR(__xludf.DUMMYFUNCTION("""COMPUTED_VALUE"""),8293.0)</f>
        <v>8293</v>
      </c>
      <c r="O92" s="27" t="str">
        <f>IFERROR(__xludf.DUMMYFUNCTION("""COMPUTED_VALUE"""),"Online")</f>
        <v>Online</v>
      </c>
      <c r="P92" s="28">
        <f>IFERROR(__xludf.DUMMYFUNCTION("""COMPUTED_VALUE"""),8196.0)</f>
        <v>8196</v>
      </c>
      <c r="Q92" s="31">
        <f>IFERROR(__xludf.DUMMYFUNCTION("""COMPUTED_VALUE"""),437.2)</f>
        <v>437.2</v>
      </c>
      <c r="R92" s="31">
        <f>IFERROR(__xludf.DUMMYFUNCTION("""COMPUTED_VALUE"""),263.33)</f>
        <v>263.33</v>
      </c>
      <c r="S92" s="31">
        <f>IFERROR(__xludf.DUMMYFUNCTION("""COMPUTED_VALUE"""),3583291.1999999997)</f>
        <v>3583291.2</v>
      </c>
      <c r="T92" s="31">
        <f>IFERROR(__xludf.DUMMYFUNCTION("""COMPUTED_VALUE"""),2158252.6799999997)</f>
        <v>2158252.68</v>
      </c>
      <c r="U92" s="31">
        <f>IFERROR(__xludf.DUMMYFUNCTION("""COMPUTED_VALUE"""),1425038.52)</f>
        <v>1425038.52</v>
      </c>
      <c r="V92" s="27" t="str">
        <f>IFERROR(__xludf.DUMMYFUNCTION("""COMPUTED_VALUE"""),"Cosmetics")</f>
        <v>Cosmetics</v>
      </c>
      <c r="W92" s="27" t="str">
        <f>IFERROR(__xludf.DUMMYFUNCTION("""COMPUTED_VALUE"""),"Europe")</f>
        <v>Europe</v>
      </c>
      <c r="X92" s="27" t="str">
        <f>IFERROR(__xludf.DUMMYFUNCTION("""COMPUTED_VALUE"""),"Southern Europe")</f>
        <v>Southern Europe</v>
      </c>
      <c r="Y92" s="32">
        <f>IFERROR(__xludf.DUMMYFUNCTION("""COMPUTED_VALUE"""),0.3976898444647759)</f>
        <v>0.3976898445</v>
      </c>
      <c r="Z92" s="27">
        <f>IFERROR(__xludf.DUMMYFUNCTION("""COMPUTED_VALUE"""),8.0)</f>
        <v>8</v>
      </c>
      <c r="AA92" s="27">
        <f>IFERROR(__xludf.DUMMYFUNCTION("""COMPUTED_VALUE"""),3.0)</f>
        <v>3</v>
      </c>
    </row>
    <row r="93">
      <c r="A93" s="27">
        <f>IFERROR(__xludf.DUMMYFUNCTION("""COMPUTED_VALUE"""),9.10610234E8)</f>
        <v>910610234</v>
      </c>
      <c r="B93" s="33">
        <f>IFERROR(__xludf.DUMMYFUNCTION("""COMPUTED_VALUE"""),42801.0)</f>
        <v>42801</v>
      </c>
      <c r="C93" s="27">
        <f>IFERROR(__xludf.DUMMYFUNCTION("""COMPUTED_VALUE"""),7.0)</f>
        <v>7</v>
      </c>
      <c r="D93" s="28">
        <f>IFERROR(__xludf.DUMMYFUNCTION("""COMPUTED_VALUE"""),3.0)</f>
        <v>3</v>
      </c>
      <c r="E93" s="29">
        <f>IFERROR(__xludf.DUMMYFUNCTION("""COMPUTED_VALUE"""),2017.0)</f>
        <v>2017</v>
      </c>
      <c r="F93" s="30">
        <f>IFERROR(__xludf.DUMMYFUNCTION("""COMPUTED_VALUE"""),42919.0)</f>
        <v>42919</v>
      </c>
      <c r="G93" s="27" t="str">
        <f>IFERROR(__xludf.DUMMYFUNCTION("""COMPUTED_VALUE"""),"7/31/2017")</f>
        <v>7/31/2017</v>
      </c>
      <c r="H93" s="27">
        <f>IFERROR(__xludf.DUMMYFUNCTION("""COMPUTED_VALUE"""),7.0)</f>
        <v>7</v>
      </c>
      <c r="I93" s="27">
        <f>IFERROR(__xludf.DUMMYFUNCTION("""COMPUTED_VALUE"""),31.0)</f>
        <v>31</v>
      </c>
      <c r="J93" s="27">
        <f>IFERROR(__xludf.DUMMYFUNCTION("""COMPUTED_VALUE"""),2017.0)</f>
        <v>2017</v>
      </c>
      <c r="K93" s="30">
        <f>IFERROR(__xludf.DUMMYFUNCTION("""COMPUTED_VALUE"""),42947.0)</f>
        <v>42947</v>
      </c>
      <c r="L93" s="27" t="str">
        <f>IFERROR(__xludf.DUMMYFUNCTION("""COMPUTED_VALUE"""),"L")</f>
        <v>L</v>
      </c>
      <c r="M93" s="27" t="str">
        <f>IFERROR(__xludf.DUMMYFUNCTION("""COMPUTED_VALUE"""),"SWE")</f>
        <v>SWE</v>
      </c>
      <c r="N93" s="27">
        <f>IFERROR(__xludf.DUMMYFUNCTION("""COMPUTED_VALUE"""),8293.0)</f>
        <v>8293</v>
      </c>
      <c r="O93" s="27" t="str">
        <f>IFERROR(__xludf.DUMMYFUNCTION("""COMPUTED_VALUE"""),"Online")</f>
        <v>Online</v>
      </c>
      <c r="P93" s="28">
        <f>IFERROR(__xludf.DUMMYFUNCTION("""COMPUTED_VALUE"""),8659.0)</f>
        <v>8659</v>
      </c>
      <c r="Q93" s="31">
        <f>IFERROR(__xludf.DUMMYFUNCTION("""COMPUTED_VALUE"""),437.2)</f>
        <v>437.2</v>
      </c>
      <c r="R93" s="31">
        <f>IFERROR(__xludf.DUMMYFUNCTION("""COMPUTED_VALUE"""),263.33)</f>
        <v>263.33</v>
      </c>
      <c r="S93" s="31">
        <f>IFERROR(__xludf.DUMMYFUNCTION("""COMPUTED_VALUE"""),3785714.8)</f>
        <v>3785714.8</v>
      </c>
      <c r="T93" s="31">
        <f>IFERROR(__xludf.DUMMYFUNCTION("""COMPUTED_VALUE"""),2280174.4699999997)</f>
        <v>2280174.47</v>
      </c>
      <c r="U93" s="31">
        <f>IFERROR(__xludf.DUMMYFUNCTION("""COMPUTED_VALUE"""),1505540.33)</f>
        <v>1505540.33</v>
      </c>
      <c r="V93" s="27" t="str">
        <f>IFERROR(__xludf.DUMMYFUNCTION("""COMPUTED_VALUE"""),"Cosmetics")</f>
        <v>Cosmetics</v>
      </c>
      <c r="W93" s="27" t="str">
        <f>IFERROR(__xludf.DUMMYFUNCTION("""COMPUTED_VALUE"""),"Europe")</f>
        <v>Europe</v>
      </c>
      <c r="X93" s="27" t="str">
        <f>IFERROR(__xludf.DUMMYFUNCTION("""COMPUTED_VALUE"""),"Northern Europe")</f>
        <v>Northern Europe</v>
      </c>
      <c r="Y93" s="32">
        <f>IFERROR(__xludf.DUMMYFUNCTION("""COMPUTED_VALUE"""),0.3976898444647759)</f>
        <v>0.3976898445</v>
      </c>
      <c r="Z93" s="27">
        <f>IFERROR(__xludf.DUMMYFUNCTION("""COMPUTED_VALUE"""),28.0)</f>
        <v>28</v>
      </c>
      <c r="AA93" s="27">
        <f>IFERROR(__xludf.DUMMYFUNCTION("""COMPUTED_VALUE"""),2.0)</f>
        <v>2</v>
      </c>
    </row>
    <row r="94">
      <c r="A94" s="27">
        <f>IFERROR(__xludf.DUMMYFUNCTION("""COMPUTED_VALUE"""),9.2001127E8)</f>
        <v>920011270</v>
      </c>
      <c r="B94" s="33">
        <f>IFERROR(__xludf.DUMMYFUNCTION("""COMPUTED_VALUE"""),42983.0)</f>
        <v>42983</v>
      </c>
      <c r="C94" s="27">
        <f>IFERROR(__xludf.DUMMYFUNCTION("""COMPUTED_VALUE"""),5.0)</f>
        <v>5</v>
      </c>
      <c r="D94" s="28">
        <f>IFERROR(__xludf.DUMMYFUNCTION("""COMPUTED_VALUE"""),9.0)</f>
        <v>9</v>
      </c>
      <c r="E94" s="29">
        <f>IFERROR(__xludf.DUMMYFUNCTION("""COMPUTED_VALUE"""),2017.0)</f>
        <v>2017</v>
      </c>
      <c r="F94" s="30">
        <f>IFERROR(__xludf.DUMMYFUNCTION("""COMPUTED_VALUE"""),42864.0)</f>
        <v>42864</v>
      </c>
      <c r="G94" s="33">
        <f>IFERROR(__xludf.DUMMYFUNCTION("""COMPUTED_VALUE"""),43075.0)</f>
        <v>43075</v>
      </c>
      <c r="H94" s="27">
        <f>IFERROR(__xludf.DUMMYFUNCTION("""COMPUTED_VALUE"""),6.0)</f>
        <v>6</v>
      </c>
      <c r="I94" s="27">
        <f>IFERROR(__xludf.DUMMYFUNCTION("""COMPUTED_VALUE"""),12.0)</f>
        <v>12</v>
      </c>
      <c r="J94" s="27">
        <f>IFERROR(__xludf.DUMMYFUNCTION("""COMPUTED_VALUE"""),2017.0)</f>
        <v>2017</v>
      </c>
      <c r="K94" s="30">
        <f>IFERROR(__xludf.DUMMYFUNCTION("""COMPUTED_VALUE"""),42898.0)</f>
        <v>42898</v>
      </c>
      <c r="L94" s="27" t="str">
        <f>IFERROR(__xludf.DUMMYFUNCTION("""COMPUTED_VALUE"""),"M")</f>
        <v>M</v>
      </c>
      <c r="M94" s="27" t="str">
        <f>IFERROR(__xludf.DUMMYFUNCTION("""COMPUTED_VALUE"""),"CZE")</f>
        <v>CZE</v>
      </c>
      <c r="N94" s="27">
        <f>IFERROR(__xludf.DUMMYFUNCTION("""COMPUTED_VALUE"""),8875.0)</f>
        <v>8875</v>
      </c>
      <c r="O94" s="27" t="str">
        <f>IFERROR(__xludf.DUMMYFUNCTION("""COMPUTED_VALUE"""),"Offline")</f>
        <v>Offline</v>
      </c>
      <c r="P94" s="28">
        <f>IFERROR(__xludf.DUMMYFUNCTION("""COMPUTED_VALUE"""),634.0)</f>
        <v>634</v>
      </c>
      <c r="Q94" s="31">
        <f>IFERROR(__xludf.DUMMYFUNCTION("""COMPUTED_VALUE"""),421.89)</f>
        <v>421.89</v>
      </c>
      <c r="R94" s="31">
        <f>IFERROR(__xludf.DUMMYFUNCTION("""COMPUTED_VALUE"""),364.69)</f>
        <v>364.69</v>
      </c>
      <c r="S94" s="31">
        <f>IFERROR(__xludf.DUMMYFUNCTION("""COMPUTED_VALUE"""),267478.26)</f>
        <v>267478.26</v>
      </c>
      <c r="T94" s="31">
        <f>IFERROR(__xludf.DUMMYFUNCTION("""COMPUTED_VALUE"""),231213.46)</f>
        <v>231213.46</v>
      </c>
      <c r="U94" s="31">
        <f>IFERROR(__xludf.DUMMYFUNCTION("""COMPUTED_VALUE"""),36264.80000000002)</f>
        <v>36264.8</v>
      </c>
      <c r="V94" s="27" t="str">
        <f>IFERROR(__xludf.DUMMYFUNCTION("""COMPUTED_VALUE"""),"Meat")</f>
        <v>Meat</v>
      </c>
      <c r="W94" s="27" t="str">
        <f>IFERROR(__xludf.DUMMYFUNCTION("""COMPUTED_VALUE"""),"Europe")</f>
        <v>Europe</v>
      </c>
      <c r="X94" s="27" t="str">
        <f>IFERROR(__xludf.DUMMYFUNCTION("""COMPUTED_VALUE"""),"Eastern Europe")</f>
        <v>Eastern Europe</v>
      </c>
      <c r="Y94" s="32">
        <f>IFERROR(__xludf.DUMMYFUNCTION("""COMPUTED_VALUE"""),0.13558036455000125)</f>
        <v>0.1355803646</v>
      </c>
      <c r="Z94" s="27">
        <f>IFERROR(__xludf.DUMMYFUNCTION("""COMPUTED_VALUE"""),34.0)</f>
        <v>34</v>
      </c>
      <c r="AA94" s="27">
        <f>IFERROR(__xludf.DUMMYFUNCTION("""COMPUTED_VALUE"""),3.0)</f>
        <v>3</v>
      </c>
    </row>
    <row r="95">
      <c r="A95" s="27">
        <f>IFERROR(__xludf.DUMMYFUNCTION("""COMPUTED_VALUE"""),9.22564303E8)</f>
        <v>922564303</v>
      </c>
      <c r="B95" s="27" t="str">
        <f>IFERROR(__xludf.DUMMYFUNCTION("""COMPUTED_VALUE"""),"3/17/2017")</f>
        <v>3/17/2017</v>
      </c>
      <c r="C95" s="27">
        <f>IFERROR(__xludf.DUMMYFUNCTION("""COMPUTED_VALUE"""),3.0)</f>
        <v>3</v>
      </c>
      <c r="D95" s="28">
        <f>IFERROR(__xludf.DUMMYFUNCTION("""COMPUTED_VALUE"""),17.0)</f>
        <v>17</v>
      </c>
      <c r="E95" s="29">
        <f>IFERROR(__xludf.DUMMYFUNCTION("""COMPUTED_VALUE"""),2017.0)</f>
        <v>2017</v>
      </c>
      <c r="F95" s="30">
        <f>IFERROR(__xludf.DUMMYFUNCTION("""COMPUTED_VALUE"""),42811.0)</f>
        <v>42811</v>
      </c>
      <c r="G95" s="33">
        <f>IFERROR(__xludf.DUMMYFUNCTION("""COMPUTED_VALUE"""),42770.0)</f>
        <v>42770</v>
      </c>
      <c r="H95" s="27">
        <f>IFERROR(__xludf.DUMMYFUNCTION("""COMPUTED_VALUE"""),4.0)</f>
        <v>4</v>
      </c>
      <c r="I95" s="27">
        <f>IFERROR(__xludf.DUMMYFUNCTION("""COMPUTED_VALUE"""),2.0)</f>
        <v>2</v>
      </c>
      <c r="J95" s="27">
        <f>IFERROR(__xludf.DUMMYFUNCTION("""COMPUTED_VALUE"""),2017.0)</f>
        <v>2017</v>
      </c>
      <c r="K95" s="30">
        <f>IFERROR(__xludf.DUMMYFUNCTION("""COMPUTED_VALUE"""),42827.0)</f>
        <v>42827</v>
      </c>
      <c r="L95" s="27" t="str">
        <f>IFERROR(__xludf.DUMMYFUNCTION("""COMPUTED_VALUE"""),"L")</f>
        <v>L</v>
      </c>
      <c r="M95" s="27" t="str">
        <f>IFERROR(__xludf.DUMMYFUNCTION("""COMPUTED_VALUE"""),"Desconhecido")</f>
        <v>Desconhecido</v>
      </c>
      <c r="N95" s="27">
        <f>IFERROR(__xludf.DUMMYFUNCTION("""COMPUTED_VALUE"""),7940.0)</f>
        <v>7940</v>
      </c>
      <c r="O95" s="27" t="str">
        <f>IFERROR(__xludf.DUMMYFUNCTION("""COMPUTED_VALUE"""),"Offline")</f>
        <v>Offline</v>
      </c>
      <c r="P95" s="28">
        <f>IFERROR(__xludf.DUMMYFUNCTION("""COMPUTED_VALUE"""),6134.0)</f>
        <v>6134</v>
      </c>
      <c r="Q95" s="31">
        <f>IFERROR(__xludf.DUMMYFUNCTION("""COMPUTED_VALUE"""),668.27)</f>
        <v>668.27</v>
      </c>
      <c r="R95" s="31">
        <f>IFERROR(__xludf.DUMMYFUNCTION("""COMPUTED_VALUE"""),502.54)</f>
        <v>502.54</v>
      </c>
      <c r="S95" s="31">
        <f>IFERROR(__xludf.DUMMYFUNCTION("""COMPUTED_VALUE"""),4099168.1799999997)</f>
        <v>4099168.18</v>
      </c>
      <c r="T95" s="31">
        <f>IFERROR(__xludf.DUMMYFUNCTION("""COMPUTED_VALUE"""),3082580.3600000003)</f>
        <v>3082580.36</v>
      </c>
      <c r="U95" s="31">
        <f>IFERROR(__xludf.DUMMYFUNCTION("""COMPUTED_VALUE"""),1016587.8199999994)</f>
        <v>1016587.82</v>
      </c>
      <c r="V95" s="27" t="str">
        <f>IFERROR(__xludf.DUMMYFUNCTION("""COMPUTED_VALUE"""),"Household")</f>
        <v>Household</v>
      </c>
      <c r="W95" s="27" t="str">
        <f>IFERROR(__xludf.DUMMYFUNCTION("""COMPUTED_VALUE"""),"Desconhecido")</f>
        <v>Desconhecido</v>
      </c>
      <c r="X95" s="27" t="str">
        <f>IFERROR(__xludf.DUMMYFUNCTION("""COMPUTED_VALUE"""),"Desconhecido")</f>
        <v>Desconhecido</v>
      </c>
      <c r="Y95" s="32">
        <f>IFERROR(__xludf.DUMMYFUNCTION("""COMPUTED_VALUE"""),0.24799856345489085)</f>
        <v>0.2479985635</v>
      </c>
      <c r="Z95" s="27">
        <f>IFERROR(__xludf.DUMMYFUNCTION("""COMPUTED_VALUE"""),16.0)</f>
        <v>16</v>
      </c>
      <c r="AA95" s="27">
        <f>IFERROR(__xludf.DUMMYFUNCTION("""COMPUTED_VALUE"""),6.0)</f>
        <v>6</v>
      </c>
    </row>
    <row r="96">
      <c r="A96" s="27">
        <f>IFERROR(__xludf.DUMMYFUNCTION("""COMPUTED_VALUE"""),9.23160398E8)</f>
        <v>923160398</v>
      </c>
      <c r="B96" s="27" t="str">
        <f>IFERROR(__xludf.DUMMYFUNCTION("""COMPUTED_VALUE"""),"5/14/2017")</f>
        <v>5/14/2017</v>
      </c>
      <c r="C96" s="27">
        <f>IFERROR(__xludf.DUMMYFUNCTION("""COMPUTED_VALUE"""),5.0)</f>
        <v>5</v>
      </c>
      <c r="D96" s="28">
        <f>IFERROR(__xludf.DUMMYFUNCTION("""COMPUTED_VALUE"""),14.0)</f>
        <v>14</v>
      </c>
      <c r="E96" s="29">
        <f>IFERROR(__xludf.DUMMYFUNCTION("""COMPUTED_VALUE"""),2017.0)</f>
        <v>2017</v>
      </c>
      <c r="F96" s="30">
        <f>IFERROR(__xludf.DUMMYFUNCTION("""COMPUTED_VALUE"""),42869.0)</f>
        <v>42869</v>
      </c>
      <c r="G96" s="27" t="str">
        <f>IFERROR(__xludf.DUMMYFUNCTION("""COMPUTED_VALUE"""),"6/15/2017")</f>
        <v>6/15/2017</v>
      </c>
      <c r="H96" s="27">
        <f>IFERROR(__xludf.DUMMYFUNCTION("""COMPUTED_VALUE"""),6.0)</f>
        <v>6</v>
      </c>
      <c r="I96" s="27">
        <f>IFERROR(__xludf.DUMMYFUNCTION("""COMPUTED_VALUE"""),15.0)</f>
        <v>15</v>
      </c>
      <c r="J96" s="27">
        <f>IFERROR(__xludf.DUMMYFUNCTION("""COMPUTED_VALUE"""),2017.0)</f>
        <v>2017</v>
      </c>
      <c r="K96" s="30">
        <f>IFERROR(__xludf.DUMMYFUNCTION("""COMPUTED_VALUE"""),42901.0)</f>
        <v>42901</v>
      </c>
      <c r="L96" s="27" t="str">
        <f>IFERROR(__xludf.DUMMYFUNCTION("""COMPUTED_VALUE"""),"L")</f>
        <v>L</v>
      </c>
      <c r="M96" s="27" t="str">
        <f>IFERROR(__xludf.DUMMYFUNCTION("""COMPUTED_VALUE"""),"AND")</f>
        <v>AND</v>
      </c>
      <c r="N96" s="27">
        <f>IFERROR(__xludf.DUMMYFUNCTION("""COMPUTED_VALUE"""),2455.0)</f>
        <v>2455</v>
      </c>
      <c r="O96" s="27" t="str">
        <f>IFERROR(__xludf.DUMMYFUNCTION("""COMPUTED_VALUE"""),"Offline")</f>
        <v>Offline</v>
      </c>
      <c r="P96" s="28">
        <f>IFERROR(__xludf.DUMMYFUNCTION("""COMPUTED_VALUE"""),2531.0)</f>
        <v>2531</v>
      </c>
      <c r="Q96" s="31">
        <f>IFERROR(__xludf.DUMMYFUNCTION("""COMPUTED_VALUE"""),109.28)</f>
        <v>109.28</v>
      </c>
      <c r="R96" s="31">
        <f>IFERROR(__xludf.DUMMYFUNCTION("""COMPUTED_VALUE"""),35.84)</f>
        <v>35.84</v>
      </c>
      <c r="S96" s="31">
        <f>IFERROR(__xludf.DUMMYFUNCTION("""COMPUTED_VALUE"""),276587.68)</f>
        <v>276587.68</v>
      </c>
      <c r="T96" s="31">
        <f>IFERROR(__xludf.DUMMYFUNCTION("""COMPUTED_VALUE"""),90711.04000000001)</f>
        <v>90711.04</v>
      </c>
      <c r="U96" s="31">
        <f>IFERROR(__xludf.DUMMYFUNCTION("""COMPUTED_VALUE"""),185876.63999999998)</f>
        <v>185876.64</v>
      </c>
      <c r="V96" s="27" t="str">
        <f>IFERROR(__xludf.DUMMYFUNCTION("""COMPUTED_VALUE"""),"Clothes")</f>
        <v>Clothes</v>
      </c>
      <c r="W96" s="27" t="str">
        <f>IFERROR(__xludf.DUMMYFUNCTION("""COMPUTED_VALUE"""),"Europe")</f>
        <v>Europe</v>
      </c>
      <c r="X96" s="27" t="str">
        <f>IFERROR(__xludf.DUMMYFUNCTION("""COMPUTED_VALUE"""),"Southern Europe")</f>
        <v>Southern Europe</v>
      </c>
      <c r="Y96" s="32">
        <f>IFERROR(__xludf.DUMMYFUNCTION("""COMPUTED_VALUE"""),0.6720351390922401)</f>
        <v>0.6720351391</v>
      </c>
      <c r="Z96" s="27">
        <f>IFERROR(__xludf.DUMMYFUNCTION("""COMPUTED_VALUE"""),32.0)</f>
        <v>32</v>
      </c>
      <c r="AA96" s="27">
        <f>IFERROR(__xludf.DUMMYFUNCTION("""COMPUTED_VALUE"""),1.0)</f>
        <v>1</v>
      </c>
    </row>
    <row r="97">
      <c r="A97" s="27">
        <f>IFERROR(__xludf.DUMMYFUNCTION("""COMPUTED_VALUE"""),9.26064479E8)</f>
        <v>926064479</v>
      </c>
      <c r="B97" s="27" t="str">
        <f>IFERROR(__xludf.DUMMYFUNCTION("""COMPUTED_VALUE"""),"2/18/2017")</f>
        <v>2/18/2017</v>
      </c>
      <c r="C97" s="27">
        <f>IFERROR(__xludf.DUMMYFUNCTION("""COMPUTED_VALUE"""),2.0)</f>
        <v>2</v>
      </c>
      <c r="D97" s="28">
        <f>IFERROR(__xludf.DUMMYFUNCTION("""COMPUTED_VALUE"""),18.0)</f>
        <v>18</v>
      </c>
      <c r="E97" s="29">
        <f>IFERROR(__xludf.DUMMYFUNCTION("""COMPUTED_VALUE"""),2017.0)</f>
        <v>2017</v>
      </c>
      <c r="F97" s="30">
        <f>IFERROR(__xludf.DUMMYFUNCTION("""COMPUTED_VALUE"""),42784.0)</f>
        <v>42784</v>
      </c>
      <c r="G97" s="33">
        <f>IFERROR(__xludf.DUMMYFUNCTION("""COMPUTED_VALUE"""),43011.0)</f>
        <v>43011</v>
      </c>
      <c r="H97" s="27">
        <f>IFERROR(__xludf.DUMMYFUNCTION("""COMPUTED_VALUE"""),3.0)</f>
        <v>3</v>
      </c>
      <c r="I97" s="27">
        <f>IFERROR(__xludf.DUMMYFUNCTION("""COMPUTED_VALUE"""),10.0)</f>
        <v>10</v>
      </c>
      <c r="J97" s="27">
        <f>IFERROR(__xludf.DUMMYFUNCTION("""COMPUTED_VALUE"""),2017.0)</f>
        <v>2017</v>
      </c>
      <c r="K97" s="30">
        <f>IFERROR(__xludf.DUMMYFUNCTION("""COMPUTED_VALUE"""),42804.0)</f>
        <v>42804</v>
      </c>
      <c r="L97" s="27" t="str">
        <f>IFERROR(__xludf.DUMMYFUNCTION("""COMPUTED_VALUE"""),"L")</f>
        <v>L</v>
      </c>
      <c r="M97" s="27" t="str">
        <f>IFERROR(__xludf.DUMMYFUNCTION("""COMPUTED_VALUE"""),"AUT")</f>
        <v>AUT</v>
      </c>
      <c r="N97" s="27">
        <f>IFERROR(__xludf.DUMMYFUNCTION("""COMPUTED_VALUE"""),8681.0)</f>
        <v>8681</v>
      </c>
      <c r="O97" s="27" t="str">
        <f>IFERROR(__xludf.DUMMYFUNCTION("""COMPUTED_VALUE"""),"Online")</f>
        <v>Online</v>
      </c>
      <c r="P97" s="28">
        <f>IFERROR(__xludf.DUMMYFUNCTION("""COMPUTED_VALUE"""),1913.0)</f>
        <v>1913</v>
      </c>
      <c r="Q97" s="31">
        <f>IFERROR(__xludf.DUMMYFUNCTION("""COMPUTED_VALUE"""),651.21)</f>
        <v>651.21</v>
      </c>
      <c r="R97" s="31">
        <f>IFERROR(__xludf.DUMMYFUNCTION("""COMPUTED_VALUE"""),524.96)</f>
        <v>524.96</v>
      </c>
      <c r="S97" s="31">
        <f>IFERROR(__xludf.DUMMYFUNCTION("""COMPUTED_VALUE"""),1245764.73)</f>
        <v>1245764.73</v>
      </c>
      <c r="T97" s="31">
        <f>IFERROR(__xludf.DUMMYFUNCTION("""COMPUTED_VALUE"""),1004248.4800000001)</f>
        <v>1004248.48</v>
      </c>
      <c r="U97" s="31">
        <f>IFERROR(__xludf.DUMMYFUNCTION("""COMPUTED_VALUE"""),241516.24999999988)</f>
        <v>241516.25</v>
      </c>
      <c r="V97" s="27" t="str">
        <f>IFERROR(__xludf.DUMMYFUNCTION("""COMPUTED_VALUE"""),"Office Supplies")</f>
        <v>Office Supplies</v>
      </c>
      <c r="W97" s="27" t="str">
        <f>IFERROR(__xludf.DUMMYFUNCTION("""COMPUTED_VALUE"""),"Europe")</f>
        <v>Europe</v>
      </c>
      <c r="X97" s="27" t="str">
        <f>IFERROR(__xludf.DUMMYFUNCTION("""COMPUTED_VALUE"""),"Western Europe")</f>
        <v>Western Europe</v>
      </c>
      <c r="Y97" s="32">
        <f>IFERROR(__xludf.DUMMYFUNCTION("""COMPUTED_VALUE"""),0.19386987300563557)</f>
        <v>0.193869873</v>
      </c>
      <c r="Z97" s="27">
        <f>IFERROR(__xludf.DUMMYFUNCTION("""COMPUTED_VALUE"""),20.0)</f>
        <v>20</v>
      </c>
      <c r="AA97" s="27">
        <f>IFERROR(__xludf.DUMMYFUNCTION("""COMPUTED_VALUE"""),7.0)</f>
        <v>7</v>
      </c>
    </row>
    <row r="98">
      <c r="A98" s="27">
        <f>IFERROR(__xludf.DUMMYFUNCTION("""COMPUTED_VALUE"""),9.29812705E8)</f>
        <v>929812705</v>
      </c>
      <c r="B98" s="27" t="str">
        <f>IFERROR(__xludf.DUMMYFUNCTION("""COMPUTED_VALUE"""),"5/22/2017")</f>
        <v>5/22/2017</v>
      </c>
      <c r="C98" s="27">
        <f>IFERROR(__xludf.DUMMYFUNCTION("""COMPUTED_VALUE"""),5.0)</f>
        <v>5</v>
      </c>
      <c r="D98" s="28">
        <f>IFERROR(__xludf.DUMMYFUNCTION("""COMPUTED_VALUE"""),22.0)</f>
        <v>22</v>
      </c>
      <c r="E98" s="29">
        <f>IFERROR(__xludf.DUMMYFUNCTION("""COMPUTED_VALUE"""),2017.0)</f>
        <v>2017</v>
      </c>
      <c r="F98" s="30">
        <f>IFERROR(__xludf.DUMMYFUNCTION("""COMPUTED_VALUE"""),42877.0)</f>
        <v>42877</v>
      </c>
      <c r="G98" s="27" t="str">
        <f>IFERROR(__xludf.DUMMYFUNCTION("""COMPUTED_VALUE"""),"5/25/2017")</f>
        <v>5/25/2017</v>
      </c>
      <c r="H98" s="27">
        <f>IFERROR(__xludf.DUMMYFUNCTION("""COMPUTED_VALUE"""),5.0)</f>
        <v>5</v>
      </c>
      <c r="I98" s="27">
        <f>IFERROR(__xludf.DUMMYFUNCTION("""COMPUTED_VALUE"""),25.0)</f>
        <v>25</v>
      </c>
      <c r="J98" s="27">
        <f>IFERROR(__xludf.DUMMYFUNCTION("""COMPUTED_VALUE"""),2017.0)</f>
        <v>2017</v>
      </c>
      <c r="K98" s="30">
        <f>IFERROR(__xludf.DUMMYFUNCTION("""COMPUTED_VALUE"""),42880.0)</f>
        <v>42880</v>
      </c>
      <c r="L98" s="27" t="str">
        <f>IFERROR(__xludf.DUMMYFUNCTION("""COMPUTED_VALUE"""),"H")</f>
        <v>H</v>
      </c>
      <c r="M98" s="27" t="str">
        <f>IFERROR(__xludf.DUMMYFUNCTION("""COMPUTED_VALUE"""),"ROU")</f>
        <v>ROU</v>
      </c>
      <c r="N98" s="27">
        <f>IFERROR(__xludf.DUMMYFUNCTION("""COMPUTED_VALUE"""),8875.0)</f>
        <v>8875</v>
      </c>
      <c r="O98" s="27" t="str">
        <f>IFERROR(__xludf.DUMMYFUNCTION("""COMPUTED_VALUE"""),"Online")</f>
        <v>Online</v>
      </c>
      <c r="P98" s="28">
        <f>IFERROR(__xludf.DUMMYFUNCTION("""COMPUTED_VALUE"""),1097.0)</f>
        <v>1097</v>
      </c>
      <c r="Q98" s="31">
        <f>IFERROR(__xludf.DUMMYFUNCTION("""COMPUTED_VALUE"""),421.89)</f>
        <v>421.89</v>
      </c>
      <c r="R98" s="31">
        <f>IFERROR(__xludf.DUMMYFUNCTION("""COMPUTED_VALUE"""),364.69)</f>
        <v>364.69</v>
      </c>
      <c r="S98" s="31">
        <f>IFERROR(__xludf.DUMMYFUNCTION("""COMPUTED_VALUE"""),462813.32999999996)</f>
        <v>462813.33</v>
      </c>
      <c r="T98" s="31">
        <f>IFERROR(__xludf.DUMMYFUNCTION("""COMPUTED_VALUE"""),400064.93)</f>
        <v>400064.93</v>
      </c>
      <c r="U98" s="31">
        <f>IFERROR(__xludf.DUMMYFUNCTION("""COMPUTED_VALUE"""),62748.399999999965)</f>
        <v>62748.4</v>
      </c>
      <c r="V98" s="27" t="str">
        <f>IFERROR(__xludf.DUMMYFUNCTION("""COMPUTED_VALUE"""),"Meat")</f>
        <v>Meat</v>
      </c>
      <c r="W98" s="27" t="str">
        <f>IFERROR(__xludf.DUMMYFUNCTION("""COMPUTED_VALUE"""),"Europe")</f>
        <v>Europe</v>
      </c>
      <c r="X98" s="27" t="str">
        <f>IFERROR(__xludf.DUMMYFUNCTION("""COMPUTED_VALUE"""),"Eastern Europe")</f>
        <v>Eastern Europe</v>
      </c>
      <c r="Y98" s="32">
        <f>IFERROR(__xludf.DUMMYFUNCTION("""COMPUTED_VALUE"""),0.1355803645500011)</f>
        <v>0.1355803646</v>
      </c>
      <c r="Z98" s="27">
        <f>IFERROR(__xludf.DUMMYFUNCTION("""COMPUTED_VALUE"""),3.0)</f>
        <v>3</v>
      </c>
      <c r="AA98" s="27">
        <f>IFERROR(__xludf.DUMMYFUNCTION("""COMPUTED_VALUE"""),2.0)</f>
        <v>2</v>
      </c>
    </row>
    <row r="99">
      <c r="A99" s="27">
        <f>IFERROR(__xludf.DUMMYFUNCTION("""COMPUTED_VALUE"""),9.30670154E8)</f>
        <v>930670154</v>
      </c>
      <c r="B99" s="27" t="str">
        <f>IFERROR(__xludf.DUMMYFUNCTION("""COMPUTED_VALUE"""),"2/26/2017")</f>
        <v>2/26/2017</v>
      </c>
      <c r="C99" s="27">
        <f>IFERROR(__xludf.DUMMYFUNCTION("""COMPUTED_VALUE"""),2.0)</f>
        <v>2</v>
      </c>
      <c r="D99" s="28">
        <f>IFERROR(__xludf.DUMMYFUNCTION("""COMPUTED_VALUE"""),26.0)</f>
        <v>26</v>
      </c>
      <c r="E99" s="29">
        <f>IFERROR(__xludf.DUMMYFUNCTION("""COMPUTED_VALUE"""),2017.0)</f>
        <v>2017</v>
      </c>
      <c r="F99" s="30">
        <f>IFERROR(__xludf.DUMMYFUNCTION("""COMPUTED_VALUE"""),42792.0)</f>
        <v>42792</v>
      </c>
      <c r="G99" s="27" t="str">
        <f>IFERROR(__xludf.DUMMYFUNCTION("""COMPUTED_VALUE"""),"3/15/2017")</f>
        <v>3/15/2017</v>
      </c>
      <c r="H99" s="27">
        <f>IFERROR(__xludf.DUMMYFUNCTION("""COMPUTED_VALUE"""),3.0)</f>
        <v>3</v>
      </c>
      <c r="I99" s="27">
        <f>IFERROR(__xludf.DUMMYFUNCTION("""COMPUTED_VALUE"""),15.0)</f>
        <v>15</v>
      </c>
      <c r="J99" s="27">
        <f>IFERROR(__xludf.DUMMYFUNCTION("""COMPUTED_VALUE"""),2017.0)</f>
        <v>2017</v>
      </c>
      <c r="K99" s="30">
        <f>IFERROR(__xludf.DUMMYFUNCTION("""COMPUTED_VALUE"""),42809.0)</f>
        <v>42809</v>
      </c>
      <c r="L99" s="27" t="str">
        <f>IFERROR(__xludf.DUMMYFUNCTION("""COMPUTED_VALUE"""),"L")</f>
        <v>L</v>
      </c>
      <c r="M99" s="27" t="str">
        <f>IFERROR(__xludf.DUMMYFUNCTION("""COMPUTED_VALUE"""),"NOR")</f>
        <v>NOR</v>
      </c>
      <c r="N99" s="27">
        <f>IFERROR(__xludf.DUMMYFUNCTION("""COMPUTED_VALUE"""),8875.0)</f>
        <v>8875</v>
      </c>
      <c r="O99" s="27" t="str">
        <f>IFERROR(__xludf.DUMMYFUNCTION("""COMPUTED_VALUE"""),"Online")</f>
        <v>Online</v>
      </c>
      <c r="P99" s="28">
        <f>IFERROR(__xludf.DUMMYFUNCTION("""COMPUTED_VALUE"""),4835.0)</f>
        <v>4835</v>
      </c>
      <c r="Q99" s="31">
        <f>IFERROR(__xludf.DUMMYFUNCTION("""COMPUTED_VALUE"""),421.89)</f>
        <v>421.89</v>
      </c>
      <c r="R99" s="31">
        <f>IFERROR(__xludf.DUMMYFUNCTION("""COMPUTED_VALUE"""),364.69)</f>
        <v>364.69</v>
      </c>
      <c r="S99" s="31">
        <f>IFERROR(__xludf.DUMMYFUNCTION("""COMPUTED_VALUE"""),2039838.15)</f>
        <v>2039838.15</v>
      </c>
      <c r="T99" s="31">
        <f>IFERROR(__xludf.DUMMYFUNCTION("""COMPUTED_VALUE"""),1763276.15)</f>
        <v>1763276.15</v>
      </c>
      <c r="U99" s="31">
        <f>IFERROR(__xludf.DUMMYFUNCTION("""COMPUTED_VALUE"""),276562.0)</f>
        <v>276562</v>
      </c>
      <c r="V99" s="27" t="str">
        <f>IFERROR(__xludf.DUMMYFUNCTION("""COMPUTED_VALUE"""),"Meat")</f>
        <v>Meat</v>
      </c>
      <c r="W99" s="27" t="str">
        <f>IFERROR(__xludf.DUMMYFUNCTION("""COMPUTED_VALUE"""),"Europe")</f>
        <v>Europe</v>
      </c>
      <c r="X99" s="27" t="str">
        <f>IFERROR(__xludf.DUMMYFUNCTION("""COMPUTED_VALUE"""),"Northern Europe")</f>
        <v>Northern Europe</v>
      </c>
      <c r="Y99" s="32">
        <f>IFERROR(__xludf.DUMMYFUNCTION("""COMPUTED_VALUE"""),0.1355803645500012)</f>
        <v>0.1355803646</v>
      </c>
      <c r="Z99" s="27">
        <f>IFERROR(__xludf.DUMMYFUNCTION("""COMPUTED_VALUE"""),17.0)</f>
        <v>17</v>
      </c>
      <c r="AA99" s="27">
        <f>IFERROR(__xludf.DUMMYFUNCTION("""COMPUTED_VALUE"""),1.0)</f>
        <v>1</v>
      </c>
    </row>
    <row r="100">
      <c r="A100" s="27">
        <f>IFERROR(__xludf.DUMMYFUNCTION("""COMPUTED_VALUE"""),9.41061675E8)</f>
        <v>941061675</v>
      </c>
      <c r="B100" s="33">
        <f>IFERROR(__xludf.DUMMYFUNCTION("""COMPUTED_VALUE"""),42950.0)</f>
        <v>42950</v>
      </c>
      <c r="C100" s="27">
        <f>IFERROR(__xludf.DUMMYFUNCTION("""COMPUTED_VALUE"""),3.0)</f>
        <v>3</v>
      </c>
      <c r="D100" s="28">
        <f>IFERROR(__xludf.DUMMYFUNCTION("""COMPUTED_VALUE"""),8.0)</f>
        <v>8</v>
      </c>
      <c r="E100" s="29">
        <f>IFERROR(__xludf.DUMMYFUNCTION("""COMPUTED_VALUE"""),2017.0)</f>
        <v>2017</v>
      </c>
      <c r="F100" s="30">
        <f>IFERROR(__xludf.DUMMYFUNCTION("""COMPUTED_VALUE"""),42802.0)</f>
        <v>42802</v>
      </c>
      <c r="G100" s="27" t="str">
        <f>IFERROR(__xludf.DUMMYFUNCTION("""COMPUTED_VALUE"""),"3/20/2017")</f>
        <v>3/20/2017</v>
      </c>
      <c r="H100" s="27">
        <f>IFERROR(__xludf.DUMMYFUNCTION("""COMPUTED_VALUE"""),3.0)</f>
        <v>3</v>
      </c>
      <c r="I100" s="27">
        <f>IFERROR(__xludf.DUMMYFUNCTION("""COMPUTED_VALUE"""),20.0)</f>
        <v>20</v>
      </c>
      <c r="J100" s="27">
        <f>IFERROR(__xludf.DUMMYFUNCTION("""COMPUTED_VALUE"""),2017.0)</f>
        <v>2017</v>
      </c>
      <c r="K100" s="30">
        <f>IFERROR(__xludf.DUMMYFUNCTION("""COMPUTED_VALUE"""),42814.0)</f>
        <v>42814</v>
      </c>
      <c r="L100" s="27" t="str">
        <f>IFERROR(__xludf.DUMMYFUNCTION("""COMPUTED_VALUE"""),"M")</f>
        <v>M</v>
      </c>
      <c r="M100" s="27" t="str">
        <f>IFERROR(__xludf.DUMMYFUNCTION("""COMPUTED_VALUE"""),"Desconhecido")</f>
        <v>Desconhecido</v>
      </c>
      <c r="N100" s="27">
        <f>IFERROR(__xludf.DUMMYFUNCTION("""COMPUTED_VALUE"""),5988.0)</f>
        <v>5988</v>
      </c>
      <c r="O100" s="27" t="str">
        <f>IFERROR(__xludf.DUMMYFUNCTION("""COMPUTED_VALUE"""),"Offline")</f>
        <v>Offline</v>
      </c>
      <c r="P100" s="28">
        <f>IFERROR(__xludf.DUMMYFUNCTION("""COMPUTED_VALUE"""),9917.0)</f>
        <v>9917</v>
      </c>
      <c r="Q100" s="31">
        <f>IFERROR(__xludf.DUMMYFUNCTION("""COMPUTED_VALUE"""),154.06)</f>
        <v>154.06</v>
      </c>
      <c r="R100" s="31">
        <f>IFERROR(__xludf.DUMMYFUNCTION("""COMPUTED_VALUE"""),90.93)</f>
        <v>90.93</v>
      </c>
      <c r="S100" s="31">
        <f>IFERROR(__xludf.DUMMYFUNCTION("""COMPUTED_VALUE"""),1527813.02)</f>
        <v>1527813.02</v>
      </c>
      <c r="T100" s="31">
        <f>IFERROR(__xludf.DUMMYFUNCTION("""COMPUTED_VALUE"""),901752.81)</f>
        <v>901752.81</v>
      </c>
      <c r="U100" s="31">
        <f>IFERROR(__xludf.DUMMYFUNCTION("""COMPUTED_VALUE"""),626060.21)</f>
        <v>626060.21</v>
      </c>
      <c r="V100" s="27" t="str">
        <f>IFERROR(__xludf.DUMMYFUNCTION("""COMPUTED_VALUE"""),"Vegetables")</f>
        <v>Vegetables</v>
      </c>
      <c r="W100" s="27" t="str">
        <f>IFERROR(__xludf.DUMMYFUNCTION("""COMPUTED_VALUE"""),"Desconhecido")</f>
        <v>Desconhecido</v>
      </c>
      <c r="X100" s="27" t="str">
        <f>IFERROR(__xludf.DUMMYFUNCTION("""COMPUTED_VALUE"""),"Desconhecido")</f>
        <v>Desconhecido</v>
      </c>
      <c r="Y100" s="32">
        <f>IFERROR(__xludf.DUMMYFUNCTION("""COMPUTED_VALUE"""),0.40977541217707386)</f>
        <v>0.4097754122</v>
      </c>
      <c r="Z100" s="27">
        <f>IFERROR(__xludf.DUMMYFUNCTION("""COMPUTED_VALUE"""),12.0)</f>
        <v>12</v>
      </c>
      <c r="AA100" s="27">
        <f>IFERROR(__xludf.DUMMYFUNCTION("""COMPUTED_VALUE"""),4.0)</f>
        <v>4</v>
      </c>
    </row>
    <row r="101">
      <c r="A101" s="27">
        <f>IFERROR(__xludf.DUMMYFUNCTION("""COMPUTED_VALUE"""),9.49732291E8)</f>
        <v>949732291</v>
      </c>
      <c r="B101" s="33">
        <f>IFERROR(__xludf.DUMMYFUNCTION("""COMPUTED_VALUE"""),42862.0)</f>
        <v>42862</v>
      </c>
      <c r="C101" s="27">
        <f>IFERROR(__xludf.DUMMYFUNCTION("""COMPUTED_VALUE"""),7.0)</f>
        <v>7</v>
      </c>
      <c r="D101" s="28">
        <f>IFERROR(__xludf.DUMMYFUNCTION("""COMPUTED_VALUE"""),5.0)</f>
        <v>5</v>
      </c>
      <c r="E101" s="29">
        <f>IFERROR(__xludf.DUMMYFUNCTION("""COMPUTED_VALUE"""),2017.0)</f>
        <v>2017</v>
      </c>
      <c r="F101" s="30">
        <f>IFERROR(__xludf.DUMMYFUNCTION("""COMPUTED_VALUE"""),42921.0)</f>
        <v>42921</v>
      </c>
      <c r="G101" s="27" t="str">
        <f>IFERROR(__xludf.DUMMYFUNCTION("""COMPUTED_VALUE"""),"8/14/2017")</f>
        <v>8/14/2017</v>
      </c>
      <c r="H101" s="27">
        <f>IFERROR(__xludf.DUMMYFUNCTION("""COMPUTED_VALUE"""),8.0)</f>
        <v>8</v>
      </c>
      <c r="I101" s="27">
        <f>IFERROR(__xludf.DUMMYFUNCTION("""COMPUTED_VALUE"""),14.0)</f>
        <v>14</v>
      </c>
      <c r="J101" s="27">
        <f>IFERROR(__xludf.DUMMYFUNCTION("""COMPUTED_VALUE"""),2017.0)</f>
        <v>2017</v>
      </c>
      <c r="K101" s="30">
        <f>IFERROR(__xludf.DUMMYFUNCTION("""COMPUTED_VALUE"""),42961.0)</f>
        <v>42961</v>
      </c>
      <c r="L101" s="27" t="str">
        <f>IFERROR(__xludf.DUMMYFUNCTION("""COMPUTED_VALUE"""),"L")</f>
        <v>L</v>
      </c>
      <c r="M101" s="27" t="str">
        <f>IFERROR(__xludf.DUMMYFUNCTION("""COMPUTED_VALUE"""),"MKD")</f>
        <v>MKD</v>
      </c>
      <c r="N101" s="27">
        <f>IFERROR(__xludf.DUMMYFUNCTION("""COMPUTED_VALUE"""),1270.0)</f>
        <v>1270</v>
      </c>
      <c r="O101" s="27" t="str">
        <f>IFERROR(__xludf.DUMMYFUNCTION("""COMPUTED_VALUE"""),"Offline")</f>
        <v>Offline</v>
      </c>
      <c r="P101" s="28">
        <f>IFERROR(__xludf.DUMMYFUNCTION("""COMPUTED_VALUE"""),5745.0)</f>
        <v>5745</v>
      </c>
      <c r="Q101" s="31">
        <f>IFERROR(__xludf.DUMMYFUNCTION("""COMPUTED_VALUE"""),47.45)</f>
        <v>47.45</v>
      </c>
      <c r="R101" s="31">
        <f>IFERROR(__xludf.DUMMYFUNCTION("""COMPUTED_VALUE"""),31.79)</f>
        <v>31.79</v>
      </c>
      <c r="S101" s="31">
        <f>IFERROR(__xludf.DUMMYFUNCTION("""COMPUTED_VALUE"""),272600.25)</f>
        <v>272600.25</v>
      </c>
      <c r="T101" s="31">
        <f>IFERROR(__xludf.DUMMYFUNCTION("""COMPUTED_VALUE"""),182633.55)</f>
        <v>182633.55</v>
      </c>
      <c r="U101" s="31">
        <f>IFERROR(__xludf.DUMMYFUNCTION("""COMPUTED_VALUE"""),89966.70000000001)</f>
        <v>89966.7</v>
      </c>
      <c r="V101" s="27" t="str">
        <f>IFERROR(__xludf.DUMMYFUNCTION("""COMPUTED_VALUE"""),"Beverages")</f>
        <v>Beverages</v>
      </c>
      <c r="W101" s="27" t="str">
        <f>IFERROR(__xludf.DUMMYFUNCTION("""COMPUTED_VALUE"""),"Europe")</f>
        <v>Europe</v>
      </c>
      <c r="X101" s="27" t="str">
        <f>IFERROR(__xludf.DUMMYFUNCTION("""COMPUTED_VALUE"""),"Southern Europe")</f>
        <v>Southern Europe</v>
      </c>
      <c r="Y101" s="32">
        <f>IFERROR(__xludf.DUMMYFUNCTION("""COMPUTED_VALUE"""),0.3300316122233931)</f>
        <v>0.3300316122</v>
      </c>
      <c r="Z101" s="27">
        <f>IFERROR(__xludf.DUMMYFUNCTION("""COMPUTED_VALUE"""),40.0)</f>
        <v>40</v>
      </c>
      <c r="AA101" s="27">
        <f>IFERROR(__xludf.DUMMYFUNCTION("""COMPUTED_VALUE"""),4.0)</f>
        <v>4</v>
      </c>
    </row>
    <row r="102">
      <c r="A102" s="27">
        <f>IFERROR(__xludf.DUMMYFUNCTION("""COMPUTED_VALUE"""),9.49912965E8)</f>
        <v>949912965</v>
      </c>
      <c r="B102" s="27" t="str">
        <f>IFERROR(__xludf.DUMMYFUNCTION("""COMPUTED_VALUE"""),"1/24/2017")</f>
        <v>1/24/2017</v>
      </c>
      <c r="C102" s="27">
        <f>IFERROR(__xludf.DUMMYFUNCTION("""COMPUTED_VALUE"""),1.0)</f>
        <v>1</v>
      </c>
      <c r="D102" s="28">
        <f>IFERROR(__xludf.DUMMYFUNCTION("""COMPUTED_VALUE"""),24.0)</f>
        <v>24</v>
      </c>
      <c r="E102" s="29">
        <f>IFERROR(__xludf.DUMMYFUNCTION("""COMPUTED_VALUE"""),2017.0)</f>
        <v>2017</v>
      </c>
      <c r="F102" s="30">
        <f>IFERROR(__xludf.DUMMYFUNCTION("""COMPUTED_VALUE"""),42759.0)</f>
        <v>42759</v>
      </c>
      <c r="G102" s="33">
        <f>IFERROR(__xludf.DUMMYFUNCTION("""COMPUTED_VALUE"""),42889.0)</f>
        <v>42889</v>
      </c>
      <c r="H102" s="27">
        <f>IFERROR(__xludf.DUMMYFUNCTION("""COMPUTED_VALUE"""),3.0)</f>
        <v>3</v>
      </c>
      <c r="I102" s="27">
        <f>IFERROR(__xludf.DUMMYFUNCTION("""COMPUTED_VALUE"""),6.0)</f>
        <v>6</v>
      </c>
      <c r="J102" s="27">
        <f>IFERROR(__xludf.DUMMYFUNCTION("""COMPUTED_VALUE"""),2017.0)</f>
        <v>2017</v>
      </c>
      <c r="K102" s="30">
        <f>IFERROR(__xludf.DUMMYFUNCTION("""COMPUTED_VALUE"""),42800.0)</f>
        <v>42800</v>
      </c>
      <c r="L102" s="27" t="str">
        <f>IFERROR(__xludf.DUMMYFUNCTION("""COMPUTED_VALUE"""),"M")</f>
        <v>M</v>
      </c>
      <c r="M102" s="27" t="str">
        <f>IFERROR(__xludf.DUMMYFUNCTION("""COMPUTED_VALUE"""),"SVN")</f>
        <v>SVN</v>
      </c>
      <c r="N102" s="27">
        <f>IFERROR(__xludf.DUMMYFUNCTION("""COMPUTED_VALUE"""),8293.0)</f>
        <v>8293</v>
      </c>
      <c r="O102" s="27" t="str">
        <f>IFERROR(__xludf.DUMMYFUNCTION("""COMPUTED_VALUE"""),"Online")</f>
        <v>Online</v>
      </c>
      <c r="P102" s="28">
        <f>IFERROR(__xludf.DUMMYFUNCTION("""COMPUTED_VALUE"""),9210.0)</f>
        <v>9210</v>
      </c>
      <c r="Q102" s="31">
        <f>IFERROR(__xludf.DUMMYFUNCTION("""COMPUTED_VALUE"""),437.2)</f>
        <v>437.2</v>
      </c>
      <c r="R102" s="31">
        <f>IFERROR(__xludf.DUMMYFUNCTION("""COMPUTED_VALUE"""),263.33)</f>
        <v>263.33</v>
      </c>
      <c r="S102" s="31">
        <f>IFERROR(__xludf.DUMMYFUNCTION("""COMPUTED_VALUE"""),4026612.0)</f>
        <v>4026612</v>
      </c>
      <c r="T102" s="31">
        <f>IFERROR(__xludf.DUMMYFUNCTION("""COMPUTED_VALUE"""),2425269.3)</f>
        <v>2425269.3</v>
      </c>
      <c r="U102" s="31">
        <f>IFERROR(__xludf.DUMMYFUNCTION("""COMPUTED_VALUE"""),1601342.7000000002)</f>
        <v>1601342.7</v>
      </c>
      <c r="V102" s="27" t="str">
        <f>IFERROR(__xludf.DUMMYFUNCTION("""COMPUTED_VALUE"""),"Cosmetics")</f>
        <v>Cosmetics</v>
      </c>
      <c r="W102" s="27" t="str">
        <f>IFERROR(__xludf.DUMMYFUNCTION("""COMPUTED_VALUE"""),"Europe")</f>
        <v>Europe</v>
      </c>
      <c r="X102" s="27" t="str">
        <f>IFERROR(__xludf.DUMMYFUNCTION("""COMPUTED_VALUE"""),"Southern Europe")</f>
        <v>Southern Europe</v>
      </c>
      <c r="Y102" s="32">
        <f>IFERROR(__xludf.DUMMYFUNCTION("""COMPUTED_VALUE"""),0.3976898444647759)</f>
        <v>0.3976898445</v>
      </c>
      <c r="Z102" s="27">
        <f>IFERROR(__xludf.DUMMYFUNCTION("""COMPUTED_VALUE"""),41.0)</f>
        <v>41</v>
      </c>
      <c r="AA102" s="27">
        <f>IFERROR(__xludf.DUMMYFUNCTION("""COMPUTED_VALUE"""),3.0)</f>
        <v>3</v>
      </c>
    </row>
    <row r="103">
      <c r="A103" s="27">
        <f>IFERROR(__xludf.DUMMYFUNCTION("""COMPUTED_VALUE"""),9.51698243E8)</f>
        <v>951698243</v>
      </c>
      <c r="B103" s="27" t="str">
        <f>IFERROR(__xludf.DUMMYFUNCTION("""COMPUTED_VALUE"""),"6/16/2017")</f>
        <v>6/16/2017</v>
      </c>
      <c r="C103" s="27">
        <f>IFERROR(__xludf.DUMMYFUNCTION("""COMPUTED_VALUE"""),6.0)</f>
        <v>6</v>
      </c>
      <c r="D103" s="28">
        <f>IFERROR(__xludf.DUMMYFUNCTION("""COMPUTED_VALUE"""),16.0)</f>
        <v>16</v>
      </c>
      <c r="E103" s="29">
        <f>IFERROR(__xludf.DUMMYFUNCTION("""COMPUTED_VALUE"""),2017.0)</f>
        <v>2017</v>
      </c>
      <c r="F103" s="30">
        <f>IFERROR(__xludf.DUMMYFUNCTION("""COMPUTED_VALUE"""),42902.0)</f>
        <v>42902</v>
      </c>
      <c r="G103" s="33">
        <f>IFERROR(__xludf.DUMMYFUNCTION("""COMPUTED_VALUE"""),42801.0)</f>
        <v>42801</v>
      </c>
      <c r="H103" s="27">
        <f>IFERROR(__xludf.DUMMYFUNCTION("""COMPUTED_VALUE"""),7.0)</f>
        <v>7</v>
      </c>
      <c r="I103" s="27">
        <f>IFERROR(__xludf.DUMMYFUNCTION("""COMPUTED_VALUE"""),3.0)</f>
        <v>3</v>
      </c>
      <c r="J103" s="27">
        <f>IFERROR(__xludf.DUMMYFUNCTION("""COMPUTED_VALUE"""),2017.0)</f>
        <v>2017</v>
      </c>
      <c r="K103" s="30">
        <f>IFERROR(__xludf.DUMMYFUNCTION("""COMPUTED_VALUE"""),42919.0)</f>
        <v>42919</v>
      </c>
      <c r="L103" s="27" t="str">
        <f>IFERROR(__xludf.DUMMYFUNCTION("""COMPUTED_VALUE"""),"L")</f>
        <v>L</v>
      </c>
      <c r="M103" s="27" t="str">
        <f>IFERROR(__xludf.DUMMYFUNCTION("""COMPUTED_VALUE"""),"ARM")</f>
        <v>ARM</v>
      </c>
      <c r="N103" s="27">
        <f>IFERROR(__xludf.DUMMYFUNCTION("""COMPUTED_VALUE"""),8969.0)</f>
        <v>8969</v>
      </c>
      <c r="O103" s="27" t="str">
        <f>IFERROR(__xludf.DUMMYFUNCTION("""COMPUTED_VALUE"""),"Online")</f>
        <v>Online</v>
      </c>
      <c r="P103" s="28">
        <f>IFERROR(__xludf.DUMMYFUNCTION("""COMPUTED_VALUE"""),7514.0)</f>
        <v>7514</v>
      </c>
      <c r="Q103" s="31">
        <f>IFERROR(__xludf.DUMMYFUNCTION("""COMPUTED_VALUE"""),152.58)</f>
        <v>152.58</v>
      </c>
      <c r="R103" s="31">
        <f>IFERROR(__xludf.DUMMYFUNCTION("""COMPUTED_VALUE"""),97.44)</f>
        <v>97.44</v>
      </c>
      <c r="S103" s="31">
        <f>IFERROR(__xludf.DUMMYFUNCTION("""COMPUTED_VALUE"""),1146486.12)</f>
        <v>1146486.12</v>
      </c>
      <c r="T103" s="31">
        <f>IFERROR(__xludf.DUMMYFUNCTION("""COMPUTED_VALUE"""),732164.16)</f>
        <v>732164.16</v>
      </c>
      <c r="U103" s="31">
        <f>IFERROR(__xludf.DUMMYFUNCTION("""COMPUTED_VALUE"""),414321.9600000001)</f>
        <v>414321.96</v>
      </c>
      <c r="V103" s="27" t="str">
        <f>IFERROR(__xludf.DUMMYFUNCTION("""COMPUTED_VALUE"""),"Snacks")</f>
        <v>Snacks</v>
      </c>
      <c r="W103" s="27" t="str">
        <f>IFERROR(__xludf.DUMMYFUNCTION("""COMPUTED_VALUE"""),"Asia")</f>
        <v>Asia</v>
      </c>
      <c r="X103" s="27" t="str">
        <f>IFERROR(__xludf.DUMMYFUNCTION("""COMPUTED_VALUE"""),"Western Asia")</f>
        <v>Western Asia</v>
      </c>
      <c r="Y103" s="32">
        <f>IFERROR(__xludf.DUMMYFUNCTION("""COMPUTED_VALUE"""),0.3613841918993315)</f>
        <v>0.3613841919</v>
      </c>
      <c r="Z103" s="27">
        <f>IFERROR(__xludf.DUMMYFUNCTION("""COMPUTED_VALUE"""),17.0)</f>
        <v>17</v>
      </c>
      <c r="AA103" s="27">
        <f>IFERROR(__xludf.DUMMYFUNCTION("""COMPUTED_VALUE"""),6.0)</f>
        <v>6</v>
      </c>
    </row>
    <row r="104">
      <c r="A104" s="27">
        <f>IFERROR(__xludf.DUMMYFUNCTION("""COMPUTED_VALUE"""),9.72981679E8)</f>
        <v>972981679</v>
      </c>
      <c r="B104" s="27" t="str">
        <f>IFERROR(__xludf.DUMMYFUNCTION("""COMPUTED_VALUE"""),"3/15/2017")</f>
        <v>3/15/2017</v>
      </c>
      <c r="C104" s="27">
        <f>IFERROR(__xludf.DUMMYFUNCTION("""COMPUTED_VALUE"""),3.0)</f>
        <v>3</v>
      </c>
      <c r="D104" s="28">
        <f>IFERROR(__xludf.DUMMYFUNCTION("""COMPUTED_VALUE"""),15.0)</f>
        <v>15</v>
      </c>
      <c r="E104" s="29">
        <f>IFERROR(__xludf.DUMMYFUNCTION("""COMPUTED_VALUE"""),2017.0)</f>
        <v>2017</v>
      </c>
      <c r="F104" s="30">
        <f>IFERROR(__xludf.DUMMYFUNCTION("""COMPUTED_VALUE"""),42809.0)</f>
        <v>42809</v>
      </c>
      <c r="G104" s="33">
        <f>IFERROR(__xludf.DUMMYFUNCTION("""COMPUTED_VALUE"""),42982.0)</f>
        <v>42982</v>
      </c>
      <c r="H104" s="27">
        <f>IFERROR(__xludf.DUMMYFUNCTION("""COMPUTED_VALUE"""),4.0)</f>
        <v>4</v>
      </c>
      <c r="I104" s="27">
        <f>IFERROR(__xludf.DUMMYFUNCTION("""COMPUTED_VALUE"""),9.0)</f>
        <v>9</v>
      </c>
      <c r="J104" s="27">
        <f>IFERROR(__xludf.DUMMYFUNCTION("""COMPUTED_VALUE"""),2017.0)</f>
        <v>2017</v>
      </c>
      <c r="K104" s="30">
        <f>IFERROR(__xludf.DUMMYFUNCTION("""COMPUTED_VALUE"""),42834.0)</f>
        <v>42834</v>
      </c>
      <c r="L104" s="27" t="str">
        <f>IFERROR(__xludf.DUMMYFUNCTION("""COMPUTED_VALUE"""),"C")</f>
        <v>C</v>
      </c>
      <c r="M104" s="27" t="str">
        <f>IFERROR(__xludf.DUMMYFUNCTION("""COMPUTED_VALUE"""),"LVA")</f>
        <v>LVA</v>
      </c>
      <c r="N104" s="27">
        <f>IFERROR(__xludf.DUMMYFUNCTION("""COMPUTED_VALUE"""),8969.0)</f>
        <v>8969</v>
      </c>
      <c r="O104" s="27" t="str">
        <f>IFERROR(__xludf.DUMMYFUNCTION("""COMPUTED_VALUE"""),"Online")</f>
        <v>Online</v>
      </c>
      <c r="P104" s="28">
        <f>IFERROR(__xludf.DUMMYFUNCTION("""COMPUTED_VALUE"""),5755.0)</f>
        <v>5755</v>
      </c>
      <c r="Q104" s="31">
        <f>IFERROR(__xludf.DUMMYFUNCTION("""COMPUTED_VALUE"""),152.58)</f>
        <v>152.58</v>
      </c>
      <c r="R104" s="31">
        <f>IFERROR(__xludf.DUMMYFUNCTION("""COMPUTED_VALUE"""),97.44)</f>
        <v>97.44</v>
      </c>
      <c r="S104" s="31">
        <f>IFERROR(__xludf.DUMMYFUNCTION("""COMPUTED_VALUE"""),878097.9)</f>
        <v>878097.9</v>
      </c>
      <c r="T104" s="31">
        <f>IFERROR(__xludf.DUMMYFUNCTION("""COMPUTED_VALUE"""),560767.2)</f>
        <v>560767.2</v>
      </c>
      <c r="U104" s="31">
        <f>IFERROR(__xludf.DUMMYFUNCTION("""COMPUTED_VALUE"""),317330.70000000007)</f>
        <v>317330.7</v>
      </c>
      <c r="V104" s="27" t="str">
        <f>IFERROR(__xludf.DUMMYFUNCTION("""COMPUTED_VALUE"""),"Snacks")</f>
        <v>Snacks</v>
      </c>
      <c r="W104" s="27" t="str">
        <f>IFERROR(__xludf.DUMMYFUNCTION("""COMPUTED_VALUE"""),"Europe")</f>
        <v>Europe</v>
      </c>
      <c r="X104" s="27" t="str">
        <f>IFERROR(__xludf.DUMMYFUNCTION("""COMPUTED_VALUE"""),"Northern Europe")</f>
        <v>Northern Europe</v>
      </c>
      <c r="Y104" s="32">
        <f>IFERROR(__xludf.DUMMYFUNCTION("""COMPUTED_VALUE"""),0.3613841918993316)</f>
        <v>0.3613841919</v>
      </c>
      <c r="Z104" s="27">
        <f>IFERROR(__xludf.DUMMYFUNCTION("""COMPUTED_VALUE"""),25.0)</f>
        <v>25</v>
      </c>
      <c r="AA104" s="27">
        <f>IFERROR(__xludf.DUMMYFUNCTION("""COMPUTED_VALUE"""),4.0)</f>
        <v>4</v>
      </c>
    </row>
    <row r="105">
      <c r="A105" s="27">
        <f>IFERROR(__xludf.DUMMYFUNCTION("""COMPUTED_VALUE"""),9.75080668E8)</f>
        <v>975080668</v>
      </c>
      <c r="B105" s="27" t="str">
        <f>IFERROR(__xludf.DUMMYFUNCTION("""COMPUTED_VALUE"""),"7/23/2017")</f>
        <v>7/23/2017</v>
      </c>
      <c r="C105" s="27">
        <f>IFERROR(__xludf.DUMMYFUNCTION("""COMPUTED_VALUE"""),7.0)</f>
        <v>7</v>
      </c>
      <c r="D105" s="28">
        <f>IFERROR(__xludf.DUMMYFUNCTION("""COMPUTED_VALUE"""),23.0)</f>
        <v>23</v>
      </c>
      <c r="E105" s="29">
        <f>IFERROR(__xludf.DUMMYFUNCTION("""COMPUTED_VALUE"""),2017.0)</f>
        <v>2017</v>
      </c>
      <c r="F105" s="30">
        <f>IFERROR(__xludf.DUMMYFUNCTION("""COMPUTED_VALUE"""),42939.0)</f>
        <v>42939</v>
      </c>
      <c r="G105" s="27" t="str">
        <f>IFERROR(__xludf.DUMMYFUNCTION("""COMPUTED_VALUE"""),"8/20/2017")</f>
        <v>8/20/2017</v>
      </c>
      <c r="H105" s="27">
        <f>IFERROR(__xludf.DUMMYFUNCTION("""COMPUTED_VALUE"""),8.0)</f>
        <v>8</v>
      </c>
      <c r="I105" s="27">
        <f>IFERROR(__xludf.DUMMYFUNCTION("""COMPUTED_VALUE"""),20.0)</f>
        <v>20</v>
      </c>
      <c r="J105" s="27">
        <f>IFERROR(__xludf.DUMMYFUNCTION("""COMPUTED_VALUE"""),2017.0)</f>
        <v>2017</v>
      </c>
      <c r="K105" s="30">
        <f>IFERROR(__xludf.DUMMYFUNCTION("""COMPUTED_VALUE"""),42967.0)</f>
        <v>42967</v>
      </c>
      <c r="L105" s="27" t="str">
        <f>IFERROR(__xludf.DUMMYFUNCTION("""COMPUTED_VALUE"""),"C")</f>
        <v>C</v>
      </c>
      <c r="M105" s="27" t="str">
        <f>IFERROR(__xludf.DUMMYFUNCTION("""COMPUTED_VALUE"""),"Desconhecido")</f>
        <v>Desconhecido</v>
      </c>
      <c r="N105" s="27">
        <f>IFERROR(__xludf.DUMMYFUNCTION("""COMPUTED_VALUE"""),5988.0)</f>
        <v>5988</v>
      </c>
      <c r="O105" s="27" t="str">
        <f>IFERROR(__xludf.DUMMYFUNCTION("""COMPUTED_VALUE"""),"Offline")</f>
        <v>Offline</v>
      </c>
      <c r="P105" s="28">
        <f>IFERROR(__xludf.DUMMYFUNCTION("""COMPUTED_VALUE"""),6893.0)</f>
        <v>6893</v>
      </c>
      <c r="Q105" s="31">
        <f>IFERROR(__xludf.DUMMYFUNCTION("""COMPUTED_VALUE"""),154.06)</f>
        <v>154.06</v>
      </c>
      <c r="R105" s="31">
        <f>IFERROR(__xludf.DUMMYFUNCTION("""COMPUTED_VALUE"""),90.93)</f>
        <v>90.93</v>
      </c>
      <c r="S105" s="31">
        <f>IFERROR(__xludf.DUMMYFUNCTION("""COMPUTED_VALUE"""),1061935.58)</f>
        <v>1061935.58</v>
      </c>
      <c r="T105" s="31">
        <f>IFERROR(__xludf.DUMMYFUNCTION("""COMPUTED_VALUE"""),626780.49)</f>
        <v>626780.49</v>
      </c>
      <c r="U105" s="31">
        <f>IFERROR(__xludf.DUMMYFUNCTION("""COMPUTED_VALUE"""),435155.0900000001)</f>
        <v>435155.09</v>
      </c>
      <c r="V105" s="27" t="str">
        <f>IFERROR(__xludf.DUMMYFUNCTION("""COMPUTED_VALUE"""),"Vegetables")</f>
        <v>Vegetables</v>
      </c>
      <c r="W105" s="27" t="str">
        <f>IFERROR(__xludf.DUMMYFUNCTION("""COMPUTED_VALUE"""),"Desconhecido")</f>
        <v>Desconhecido</v>
      </c>
      <c r="X105" s="27" t="str">
        <f>IFERROR(__xludf.DUMMYFUNCTION("""COMPUTED_VALUE"""),"Desconhecido")</f>
        <v>Desconhecido</v>
      </c>
      <c r="Y105" s="32">
        <f>IFERROR(__xludf.DUMMYFUNCTION("""COMPUTED_VALUE"""),0.4097754121770739)</f>
        <v>0.4097754122</v>
      </c>
      <c r="Z105" s="27">
        <f>IFERROR(__xludf.DUMMYFUNCTION("""COMPUTED_VALUE"""),28.0)</f>
        <v>28</v>
      </c>
      <c r="AA105" s="27">
        <f>IFERROR(__xludf.DUMMYFUNCTION("""COMPUTED_VALUE"""),1.0)</f>
        <v>1</v>
      </c>
    </row>
    <row r="106">
      <c r="A106" s="27">
        <f>IFERROR(__xludf.DUMMYFUNCTION("""COMPUTED_VALUE"""),9.76323497E8)</f>
        <v>976323497</v>
      </c>
      <c r="B106" s="33">
        <f>IFERROR(__xludf.DUMMYFUNCTION("""COMPUTED_VALUE"""),42888.0)</f>
        <v>42888</v>
      </c>
      <c r="C106" s="27">
        <f>IFERROR(__xludf.DUMMYFUNCTION("""COMPUTED_VALUE"""),2.0)</f>
        <v>2</v>
      </c>
      <c r="D106" s="28">
        <f>IFERROR(__xludf.DUMMYFUNCTION("""COMPUTED_VALUE"""),6.0)</f>
        <v>6</v>
      </c>
      <c r="E106" s="29">
        <f>IFERROR(__xludf.DUMMYFUNCTION("""COMPUTED_VALUE"""),2017.0)</f>
        <v>2017</v>
      </c>
      <c r="F106" s="30">
        <f>IFERROR(__xludf.DUMMYFUNCTION("""COMPUTED_VALUE"""),42772.0)</f>
        <v>42772</v>
      </c>
      <c r="G106" s="33">
        <f>IFERROR(__xludf.DUMMYFUNCTION("""COMPUTED_VALUE"""),43010.0)</f>
        <v>43010</v>
      </c>
      <c r="H106" s="27">
        <f>IFERROR(__xludf.DUMMYFUNCTION("""COMPUTED_VALUE"""),2.0)</f>
        <v>2</v>
      </c>
      <c r="I106" s="27">
        <f>IFERROR(__xludf.DUMMYFUNCTION("""COMPUTED_VALUE"""),10.0)</f>
        <v>10</v>
      </c>
      <c r="J106" s="27">
        <f>IFERROR(__xludf.DUMMYFUNCTION("""COMPUTED_VALUE"""),2017.0)</f>
        <v>2017</v>
      </c>
      <c r="K106" s="30">
        <f>IFERROR(__xludf.DUMMYFUNCTION("""COMPUTED_VALUE"""),42776.0)</f>
        <v>42776</v>
      </c>
      <c r="L106" s="27" t="str">
        <f>IFERROR(__xludf.DUMMYFUNCTION("""COMPUTED_VALUE"""),"M")</f>
        <v>M</v>
      </c>
      <c r="M106" s="27" t="str">
        <f>IFERROR(__xludf.DUMMYFUNCTION("""COMPUTED_VALUE"""),"HRV")</f>
        <v>HRV</v>
      </c>
      <c r="N106" s="27">
        <f>IFERROR(__xludf.DUMMYFUNCTION("""COMPUTED_VALUE"""),1270.0)</f>
        <v>1270</v>
      </c>
      <c r="O106" s="27" t="str">
        <f>IFERROR(__xludf.DUMMYFUNCTION("""COMPUTED_VALUE"""),"Online")</f>
        <v>Online</v>
      </c>
      <c r="P106" s="28">
        <f>IFERROR(__xludf.DUMMYFUNCTION("""COMPUTED_VALUE"""),4674.0)</f>
        <v>4674</v>
      </c>
      <c r="Q106" s="31">
        <f>IFERROR(__xludf.DUMMYFUNCTION("""COMPUTED_VALUE"""),47.45)</f>
        <v>47.45</v>
      </c>
      <c r="R106" s="31">
        <f>IFERROR(__xludf.DUMMYFUNCTION("""COMPUTED_VALUE"""),31.79)</f>
        <v>31.79</v>
      </c>
      <c r="S106" s="31">
        <f>IFERROR(__xludf.DUMMYFUNCTION("""COMPUTED_VALUE"""),221781.30000000002)</f>
        <v>221781.3</v>
      </c>
      <c r="T106" s="31">
        <f>IFERROR(__xludf.DUMMYFUNCTION("""COMPUTED_VALUE"""),148586.46)</f>
        <v>148586.46</v>
      </c>
      <c r="U106" s="31">
        <f>IFERROR(__xludf.DUMMYFUNCTION("""COMPUTED_VALUE"""),73194.84000000003)</f>
        <v>73194.84</v>
      </c>
      <c r="V106" s="27" t="str">
        <f>IFERROR(__xludf.DUMMYFUNCTION("""COMPUTED_VALUE"""),"Beverages")</f>
        <v>Beverages</v>
      </c>
      <c r="W106" s="27" t="str">
        <f>IFERROR(__xludf.DUMMYFUNCTION("""COMPUTED_VALUE"""),"Europe")</f>
        <v>Europe</v>
      </c>
      <c r="X106" s="27" t="str">
        <f>IFERROR(__xludf.DUMMYFUNCTION("""COMPUTED_VALUE"""),"Southern Europe")</f>
        <v>Southern Europe</v>
      </c>
      <c r="Y106" s="32">
        <f>IFERROR(__xludf.DUMMYFUNCTION("""COMPUTED_VALUE"""),0.3300316122233931)</f>
        <v>0.3300316122</v>
      </c>
      <c r="Z106" s="27">
        <f>IFERROR(__xludf.DUMMYFUNCTION("""COMPUTED_VALUE"""),4.0)</f>
        <v>4</v>
      </c>
      <c r="AA106" s="27">
        <f>IFERROR(__xludf.DUMMYFUNCTION("""COMPUTED_VALUE"""),2.0)</f>
        <v>2</v>
      </c>
    </row>
    <row r="107">
      <c r="A107" s="27">
        <f>IFERROR(__xludf.DUMMYFUNCTION("""COMPUTED_VALUE"""),9.94504153E8)</f>
        <v>994504153</v>
      </c>
      <c r="B107" s="33">
        <f>IFERROR(__xludf.DUMMYFUNCTION("""COMPUTED_VALUE"""),43009.0)</f>
        <v>43009</v>
      </c>
      <c r="C107" s="27">
        <f>IFERROR(__xludf.DUMMYFUNCTION("""COMPUTED_VALUE"""),1.0)</f>
        <v>1</v>
      </c>
      <c r="D107" s="28">
        <f>IFERROR(__xludf.DUMMYFUNCTION("""COMPUTED_VALUE"""),10.0)</f>
        <v>10</v>
      </c>
      <c r="E107" s="29">
        <f>IFERROR(__xludf.DUMMYFUNCTION("""COMPUTED_VALUE"""),2017.0)</f>
        <v>2017</v>
      </c>
      <c r="F107" s="30">
        <f>IFERROR(__xludf.DUMMYFUNCTION("""COMPUTED_VALUE"""),42745.0)</f>
        <v>42745</v>
      </c>
      <c r="G107" s="27" t="str">
        <f>IFERROR(__xludf.DUMMYFUNCTION("""COMPUTED_VALUE"""),"1/13/2017")</f>
        <v>1/13/2017</v>
      </c>
      <c r="H107" s="27">
        <f>IFERROR(__xludf.DUMMYFUNCTION("""COMPUTED_VALUE"""),1.0)</f>
        <v>1</v>
      </c>
      <c r="I107" s="27">
        <f>IFERROR(__xludf.DUMMYFUNCTION("""COMPUTED_VALUE"""),13.0)</f>
        <v>13</v>
      </c>
      <c r="J107" s="27">
        <f>IFERROR(__xludf.DUMMYFUNCTION("""COMPUTED_VALUE"""),2017.0)</f>
        <v>2017</v>
      </c>
      <c r="K107" s="30">
        <f>IFERROR(__xludf.DUMMYFUNCTION("""COMPUTED_VALUE"""),42748.0)</f>
        <v>42748</v>
      </c>
      <c r="L107" s="27" t="str">
        <f>IFERROR(__xludf.DUMMYFUNCTION("""COMPUTED_VALUE"""),"M")</f>
        <v>M</v>
      </c>
      <c r="M107" s="27" t="str">
        <f>IFERROR(__xludf.DUMMYFUNCTION("""COMPUTED_VALUE"""),"SWE")</f>
        <v>SWE</v>
      </c>
      <c r="N107" s="27">
        <f>IFERROR(__xludf.DUMMYFUNCTION("""COMPUTED_VALUE"""),4594.0)</f>
        <v>4594</v>
      </c>
      <c r="O107" s="27" t="str">
        <f>IFERROR(__xludf.DUMMYFUNCTION("""COMPUTED_VALUE"""),"Online")</f>
        <v>Online</v>
      </c>
      <c r="P107" s="28">
        <f>IFERROR(__xludf.DUMMYFUNCTION("""COMPUTED_VALUE"""),4734.0)</f>
        <v>4734</v>
      </c>
      <c r="Q107" s="31">
        <f>IFERROR(__xludf.DUMMYFUNCTION("""COMPUTED_VALUE"""),9.33)</f>
        <v>9.33</v>
      </c>
      <c r="R107" s="31">
        <f>IFERROR(__xludf.DUMMYFUNCTION("""COMPUTED_VALUE"""),6.92)</f>
        <v>6.92</v>
      </c>
      <c r="S107" s="31">
        <f>IFERROR(__xludf.DUMMYFUNCTION("""COMPUTED_VALUE"""),44168.22)</f>
        <v>44168.22</v>
      </c>
      <c r="T107" s="31">
        <f>IFERROR(__xludf.DUMMYFUNCTION("""COMPUTED_VALUE"""),32759.28)</f>
        <v>32759.28</v>
      </c>
      <c r="U107" s="31">
        <f>IFERROR(__xludf.DUMMYFUNCTION("""COMPUTED_VALUE"""),11408.940000000002)</f>
        <v>11408.94</v>
      </c>
      <c r="V107" s="27" t="str">
        <f>IFERROR(__xludf.DUMMYFUNCTION("""COMPUTED_VALUE"""),"Fruits")</f>
        <v>Fruits</v>
      </c>
      <c r="W107" s="27" t="str">
        <f>IFERROR(__xludf.DUMMYFUNCTION("""COMPUTED_VALUE"""),"Europe")</f>
        <v>Europe</v>
      </c>
      <c r="X107" s="27" t="str">
        <f>IFERROR(__xludf.DUMMYFUNCTION("""COMPUTED_VALUE"""),"Northern Europe")</f>
        <v>Northern Europe</v>
      </c>
      <c r="Y107" s="32">
        <f>IFERROR(__xludf.DUMMYFUNCTION("""COMPUTED_VALUE"""),0.25830653804930337)</f>
        <v>0.258306538</v>
      </c>
      <c r="Z107" s="27">
        <f>IFERROR(__xludf.DUMMYFUNCTION("""COMPUTED_VALUE"""),3.0)</f>
        <v>3</v>
      </c>
      <c r="AA107" s="27">
        <f>IFERROR(__xludf.DUMMYFUNCTION("""COMPUTED_VALUE"""),3.0)</f>
        <v>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9.25"/>
    <col customWidth="1" min="2" max="2" width="15.13"/>
    <col customWidth="1" min="3" max="3" width="16.5"/>
    <col customWidth="1" min="4" max="4" width="15.13"/>
  </cols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7" t="s">
        <v>802</v>
      </c>
      <c r="B1" s="27" t="s">
        <v>1871</v>
      </c>
      <c r="C1" s="27" t="s">
        <v>1872</v>
      </c>
      <c r="D1" s="27" t="s">
        <v>1873</v>
      </c>
      <c r="E1" s="34" t="s">
        <v>1875</v>
      </c>
      <c r="F1" s="34" t="s">
        <v>1876</v>
      </c>
      <c r="G1" s="34" t="s">
        <v>1877</v>
      </c>
    </row>
    <row r="2">
      <c r="A2" s="27">
        <v>1270.0</v>
      </c>
      <c r="B2" s="28">
        <v>80954.0</v>
      </c>
      <c r="C2" s="31">
        <v>3841267.3000000003</v>
      </c>
      <c r="D2" s="31">
        <v>1267739.6400000004</v>
      </c>
      <c r="E2" s="32">
        <f t="shared" ref="E2:E13" si="1">B2/(SUM($B$2:$B$13))</f>
        <v>0.157653254</v>
      </c>
      <c r="F2" s="32">
        <f t="shared" ref="F2:F13" si="2">SUM($E$2:E2)</f>
        <v>0.157653254</v>
      </c>
      <c r="G2" s="27" t="str">
        <f t="shared" ref="G2:G13" si="3">IF(F2&lt;=0.8,"A",
 IF(F2&lt;=0.95,"B",
 "C"))</f>
        <v>A</v>
      </c>
    </row>
    <row r="3">
      <c r="A3" s="27">
        <v>8969.0</v>
      </c>
      <c r="B3" s="28">
        <v>74154.0</v>
      </c>
      <c r="C3" s="31">
        <v>1.1314417320000002E7</v>
      </c>
      <c r="D3" s="31">
        <v>4088851.5600000005</v>
      </c>
      <c r="E3" s="32">
        <f t="shared" si="1"/>
        <v>0.1444106455</v>
      </c>
      <c r="F3" s="32">
        <f t="shared" si="2"/>
        <v>0.3020638995</v>
      </c>
      <c r="G3" s="27" t="str">
        <f t="shared" si="3"/>
        <v>A</v>
      </c>
    </row>
    <row r="4">
      <c r="A4" s="27">
        <v>8293.0</v>
      </c>
      <c r="B4" s="28">
        <v>62307.0</v>
      </c>
      <c r="C4" s="31">
        <v>2.72406204E7</v>
      </c>
      <c r="D4" s="31">
        <v>1.083331809E7</v>
      </c>
      <c r="E4" s="32">
        <f t="shared" si="1"/>
        <v>0.1213392951</v>
      </c>
      <c r="F4" s="32">
        <f t="shared" si="2"/>
        <v>0.4234031946</v>
      </c>
      <c r="G4" s="27" t="str">
        <f t="shared" si="3"/>
        <v>A</v>
      </c>
    </row>
    <row r="5">
      <c r="A5" s="27">
        <v>8681.0</v>
      </c>
      <c r="B5" s="28">
        <v>52535.0</v>
      </c>
      <c r="C5" s="31">
        <v>3.421131735E7</v>
      </c>
      <c r="D5" s="31">
        <v>6632543.75</v>
      </c>
      <c r="E5" s="32">
        <f t="shared" si="1"/>
        <v>0.1023088877</v>
      </c>
      <c r="F5" s="32">
        <f t="shared" si="2"/>
        <v>0.5257120823</v>
      </c>
      <c r="G5" s="27" t="str">
        <f t="shared" si="3"/>
        <v>A</v>
      </c>
    </row>
    <row r="6">
      <c r="A6" s="27">
        <v>5988.0</v>
      </c>
      <c r="B6" s="28">
        <v>46787.0</v>
      </c>
      <c r="C6" s="31">
        <v>7208005.220000001</v>
      </c>
      <c r="D6" s="31">
        <v>2953663.3099999996</v>
      </c>
      <c r="E6" s="32">
        <f t="shared" si="1"/>
        <v>0.09111498869</v>
      </c>
      <c r="F6" s="32">
        <f t="shared" si="2"/>
        <v>0.616827071</v>
      </c>
      <c r="G6" s="27" t="str">
        <f t="shared" si="3"/>
        <v>A</v>
      </c>
    </row>
    <row r="7">
      <c r="A7" s="27">
        <v>8875.0</v>
      </c>
      <c r="B7" s="28">
        <v>43722.0</v>
      </c>
      <c r="C7" s="31">
        <v>1.844587458E7</v>
      </c>
      <c r="D7" s="31">
        <v>2500898.399999999</v>
      </c>
      <c r="E7" s="32">
        <f t="shared" si="1"/>
        <v>0.08514607766</v>
      </c>
      <c r="F7" s="32">
        <f t="shared" si="2"/>
        <v>0.7019731487</v>
      </c>
      <c r="G7" s="27" t="str">
        <f t="shared" si="3"/>
        <v>A</v>
      </c>
    </row>
    <row r="8">
      <c r="A8" s="27">
        <v>4594.0</v>
      </c>
      <c r="B8" s="28">
        <v>41202.0</v>
      </c>
      <c r="C8" s="31">
        <v>384414.66000000003</v>
      </c>
      <c r="D8" s="31">
        <v>99296.82000000002</v>
      </c>
      <c r="E8" s="32">
        <f t="shared" si="1"/>
        <v>0.08023852275</v>
      </c>
      <c r="F8" s="32">
        <f t="shared" si="2"/>
        <v>0.7822116714</v>
      </c>
      <c r="G8" s="27" t="str">
        <f t="shared" si="3"/>
        <v>A</v>
      </c>
    </row>
    <row r="9">
      <c r="A9" s="27">
        <v>7940.0</v>
      </c>
      <c r="B9" s="28">
        <v>33192.0</v>
      </c>
      <c r="C9" s="31">
        <v>2.218121784E7</v>
      </c>
      <c r="D9" s="31">
        <v>5500910.159999999</v>
      </c>
      <c r="E9" s="32">
        <f t="shared" si="1"/>
        <v>0.06463950893</v>
      </c>
      <c r="F9" s="32">
        <f t="shared" si="2"/>
        <v>0.8468511803</v>
      </c>
      <c r="G9" s="27" t="str">
        <f t="shared" si="3"/>
        <v>B</v>
      </c>
    </row>
    <row r="10">
      <c r="A10" s="27">
        <v>3127.0</v>
      </c>
      <c r="B10" s="28">
        <v>25891.0</v>
      </c>
      <c r="C10" s="31">
        <v>2116071.4299999997</v>
      </c>
      <c r="D10" s="31">
        <v>648828.4600000001</v>
      </c>
      <c r="E10" s="32">
        <f t="shared" si="1"/>
        <v>0.0504212318</v>
      </c>
      <c r="F10" s="32">
        <f t="shared" si="2"/>
        <v>0.8972724121</v>
      </c>
      <c r="G10" s="27" t="str">
        <f t="shared" si="3"/>
        <v>B</v>
      </c>
    </row>
    <row r="11">
      <c r="A11" s="27">
        <v>2455.0</v>
      </c>
      <c r="B11" s="28">
        <v>24205.0</v>
      </c>
      <c r="C11" s="31">
        <v>2645122.4000000004</v>
      </c>
      <c r="D11" s="31">
        <v>1777615.2</v>
      </c>
      <c r="E11" s="32">
        <f t="shared" si="1"/>
        <v>0.04713784387</v>
      </c>
      <c r="F11" s="32">
        <f t="shared" si="2"/>
        <v>0.944410256</v>
      </c>
      <c r="G11" s="27" t="str">
        <f t="shared" si="3"/>
        <v>B</v>
      </c>
    </row>
    <row r="12">
      <c r="A12" s="27">
        <v>7331.0</v>
      </c>
      <c r="B12" s="28">
        <v>23002.0</v>
      </c>
      <c r="C12" s="31">
        <v>5871950.56</v>
      </c>
      <c r="D12" s="31">
        <v>2204971.72</v>
      </c>
      <c r="E12" s="32">
        <f t="shared" si="1"/>
        <v>0.04479507063</v>
      </c>
      <c r="F12" s="32">
        <f t="shared" si="2"/>
        <v>0.9892053266</v>
      </c>
      <c r="G12" s="27" t="str">
        <f t="shared" si="3"/>
        <v>C</v>
      </c>
    </row>
    <row r="13">
      <c r="A13" s="27">
        <v>2103.0</v>
      </c>
      <c r="B13" s="28">
        <v>5543.0</v>
      </c>
      <c r="C13" s="31">
        <v>1140195.0999999999</v>
      </c>
      <c r="D13" s="31">
        <v>491054.3699999999</v>
      </c>
      <c r="E13" s="32">
        <f t="shared" si="1"/>
        <v>0.01079467336</v>
      </c>
      <c r="F13" s="32">
        <f t="shared" si="2"/>
        <v>1</v>
      </c>
      <c r="G13" s="27" t="str">
        <f t="shared" si="3"/>
        <v>C</v>
      </c>
    </row>
  </sheetData>
  <autoFilter ref="$A$1:$D$13">
    <sortState ref="A1:D13">
      <sortCondition descending="1" ref="B1:B13"/>
    </sortState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7" t="s">
        <v>802</v>
      </c>
      <c r="B1" s="27" t="s">
        <v>1871</v>
      </c>
      <c r="C1" s="27" t="s">
        <v>1872</v>
      </c>
      <c r="D1" s="27" t="s">
        <v>1873</v>
      </c>
      <c r="E1" s="34" t="s">
        <v>1878</v>
      </c>
      <c r="F1" s="34" t="s">
        <v>1876</v>
      </c>
      <c r="G1" s="34" t="s">
        <v>1877</v>
      </c>
    </row>
    <row r="2">
      <c r="A2" s="27">
        <v>8293.0</v>
      </c>
      <c r="B2" s="28">
        <v>62307.0</v>
      </c>
      <c r="C2" s="31">
        <v>2.72406204E7</v>
      </c>
      <c r="D2" s="31">
        <v>1.083331809E7</v>
      </c>
      <c r="E2" s="32">
        <f t="shared" ref="E2:E13" si="1">D2/(SUM($D$2:$D$13))</f>
        <v>0.2777795844</v>
      </c>
      <c r="F2" s="32">
        <f t="shared" ref="F2:F13" si="2">SUM($E$2:E2)</f>
        <v>0.2777795844</v>
      </c>
      <c r="G2" s="27" t="str">
        <f t="shared" ref="G2:G13" si="3">IF(F2&lt;=0.8,"A",
 IF(F2&lt;=0.95,"B",
 "C"))</f>
        <v>A</v>
      </c>
    </row>
    <row r="3">
      <c r="A3" s="27">
        <v>8681.0</v>
      </c>
      <c r="B3" s="28">
        <v>52535.0</v>
      </c>
      <c r="C3" s="31">
        <v>3.421131735E7</v>
      </c>
      <c r="D3" s="31">
        <v>6632543.75</v>
      </c>
      <c r="E3" s="32">
        <f t="shared" si="1"/>
        <v>0.1700665697</v>
      </c>
      <c r="F3" s="32">
        <f t="shared" si="2"/>
        <v>0.4478461541</v>
      </c>
      <c r="G3" s="27" t="str">
        <f t="shared" si="3"/>
        <v>A</v>
      </c>
    </row>
    <row r="4">
      <c r="A4" s="27">
        <v>7940.0</v>
      </c>
      <c r="B4" s="28">
        <v>33192.0</v>
      </c>
      <c r="C4" s="31">
        <v>2.218121784E7</v>
      </c>
      <c r="D4" s="31">
        <v>5500910.159999999</v>
      </c>
      <c r="E4" s="32">
        <f t="shared" si="1"/>
        <v>0.1410500943</v>
      </c>
      <c r="F4" s="32">
        <f t="shared" si="2"/>
        <v>0.5888962484</v>
      </c>
      <c r="G4" s="27" t="str">
        <f t="shared" si="3"/>
        <v>A</v>
      </c>
    </row>
    <row r="5">
      <c r="A5" s="27">
        <v>8969.0</v>
      </c>
      <c r="B5" s="28">
        <v>74154.0</v>
      </c>
      <c r="C5" s="31">
        <v>1.1314417320000002E7</v>
      </c>
      <c r="D5" s="31">
        <v>4088851.5600000005</v>
      </c>
      <c r="E5" s="32">
        <f t="shared" si="1"/>
        <v>0.1048431771</v>
      </c>
      <c r="F5" s="32">
        <f t="shared" si="2"/>
        <v>0.6937394254</v>
      </c>
      <c r="G5" s="27" t="str">
        <f t="shared" si="3"/>
        <v>A</v>
      </c>
    </row>
    <row r="6">
      <c r="A6" s="27">
        <v>5988.0</v>
      </c>
      <c r="B6" s="28">
        <v>46787.0</v>
      </c>
      <c r="C6" s="31">
        <v>7208005.220000001</v>
      </c>
      <c r="D6" s="31">
        <v>2953663.3099999996</v>
      </c>
      <c r="E6" s="32">
        <f t="shared" si="1"/>
        <v>0.07573555579</v>
      </c>
      <c r="F6" s="32">
        <f t="shared" si="2"/>
        <v>0.7694749812</v>
      </c>
      <c r="G6" s="27" t="str">
        <f t="shared" si="3"/>
        <v>A</v>
      </c>
    </row>
    <row r="7">
      <c r="A7" s="27">
        <v>8875.0</v>
      </c>
      <c r="B7" s="28">
        <v>43722.0</v>
      </c>
      <c r="C7" s="31">
        <v>1.844587458E7</v>
      </c>
      <c r="D7" s="31">
        <v>2500898.399999999</v>
      </c>
      <c r="E7" s="32">
        <f t="shared" si="1"/>
        <v>0.06412610729</v>
      </c>
      <c r="F7" s="32">
        <f t="shared" si="2"/>
        <v>0.8336010885</v>
      </c>
      <c r="G7" s="27" t="str">
        <f t="shared" si="3"/>
        <v>B</v>
      </c>
    </row>
    <row r="8">
      <c r="A8" s="27">
        <v>7331.0</v>
      </c>
      <c r="B8" s="28">
        <v>23002.0</v>
      </c>
      <c r="C8" s="31">
        <v>5871950.56</v>
      </c>
      <c r="D8" s="31">
        <v>2204971.72</v>
      </c>
      <c r="E8" s="32">
        <f t="shared" si="1"/>
        <v>0.05653818367</v>
      </c>
      <c r="F8" s="32">
        <f t="shared" si="2"/>
        <v>0.8901392722</v>
      </c>
      <c r="G8" s="27" t="str">
        <f t="shared" si="3"/>
        <v>B</v>
      </c>
    </row>
    <row r="9">
      <c r="A9" s="27">
        <v>2455.0</v>
      </c>
      <c r="B9" s="28">
        <v>24205.0</v>
      </c>
      <c r="C9" s="31">
        <v>2645122.4000000004</v>
      </c>
      <c r="D9" s="31">
        <v>1777615.2</v>
      </c>
      <c r="E9" s="32">
        <f t="shared" si="1"/>
        <v>0.0455802375</v>
      </c>
      <c r="F9" s="32">
        <f t="shared" si="2"/>
        <v>0.9357195097</v>
      </c>
      <c r="G9" s="27" t="str">
        <f t="shared" si="3"/>
        <v>B</v>
      </c>
    </row>
    <row r="10">
      <c r="A10" s="27">
        <v>1270.0</v>
      </c>
      <c r="B10" s="28">
        <v>80954.0</v>
      </c>
      <c r="C10" s="31">
        <v>3841267.3000000003</v>
      </c>
      <c r="D10" s="31">
        <v>1267739.6400000004</v>
      </c>
      <c r="E10" s="32">
        <f t="shared" si="1"/>
        <v>0.03250640177</v>
      </c>
      <c r="F10" s="32">
        <f t="shared" si="2"/>
        <v>0.9682259115</v>
      </c>
      <c r="G10" s="27" t="str">
        <f t="shared" si="3"/>
        <v>C</v>
      </c>
    </row>
    <row r="11">
      <c r="A11" s="27">
        <v>3127.0</v>
      </c>
      <c r="B11" s="28">
        <v>25891.0</v>
      </c>
      <c r="C11" s="31">
        <v>2116071.4299999997</v>
      </c>
      <c r="D11" s="31">
        <v>648828.4600000001</v>
      </c>
      <c r="E11" s="32">
        <f t="shared" si="1"/>
        <v>0.01663675879</v>
      </c>
      <c r="F11" s="32">
        <f t="shared" si="2"/>
        <v>0.9848626703</v>
      </c>
      <c r="G11" s="27" t="str">
        <f t="shared" si="3"/>
        <v>C</v>
      </c>
    </row>
    <row r="12">
      <c r="A12" s="27">
        <v>2103.0</v>
      </c>
      <c r="B12" s="28">
        <v>5543.0</v>
      </c>
      <c r="C12" s="31">
        <v>1140195.0999999999</v>
      </c>
      <c r="D12" s="31">
        <v>491054.3699999999</v>
      </c>
      <c r="E12" s="32">
        <f t="shared" si="1"/>
        <v>0.0125912373</v>
      </c>
      <c r="F12" s="32">
        <f t="shared" si="2"/>
        <v>0.9974539076</v>
      </c>
      <c r="G12" s="27" t="str">
        <f t="shared" si="3"/>
        <v>C</v>
      </c>
    </row>
    <row r="13">
      <c r="A13" s="27">
        <v>4594.0</v>
      </c>
      <c r="B13" s="28">
        <v>41202.0</v>
      </c>
      <c r="C13" s="31">
        <v>384414.66000000003</v>
      </c>
      <c r="D13" s="31">
        <v>99296.82000000002</v>
      </c>
      <c r="E13" s="32">
        <f t="shared" si="1"/>
        <v>0.002546092449</v>
      </c>
      <c r="F13" s="32">
        <f t="shared" si="2"/>
        <v>1</v>
      </c>
      <c r="G13" s="27" t="str">
        <f t="shared" si="3"/>
        <v>C</v>
      </c>
    </row>
  </sheetData>
  <autoFilter ref="$A$1:$G$13">
    <sortState ref="A1:G13">
      <sortCondition descending="1" ref="D1:D13"/>
    </sortState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7" t="s">
        <v>802</v>
      </c>
      <c r="B1" s="27" t="s">
        <v>1871</v>
      </c>
      <c r="C1" s="27" t="s">
        <v>1872</v>
      </c>
      <c r="D1" s="27" t="s">
        <v>1873</v>
      </c>
      <c r="E1" s="34" t="s">
        <v>1879</v>
      </c>
      <c r="F1" s="34" t="s">
        <v>1876</v>
      </c>
      <c r="G1" s="34" t="s">
        <v>1877</v>
      </c>
    </row>
    <row r="2">
      <c r="A2" s="27">
        <v>8681.0</v>
      </c>
      <c r="B2" s="28">
        <v>52535.0</v>
      </c>
      <c r="C2" s="31">
        <v>3.421131735E7</v>
      </c>
      <c r="D2" s="31">
        <v>6632543.75</v>
      </c>
      <c r="E2" s="32">
        <f t="shared" ref="E2:E13" si="1">C2/(SUM($C$2:$C$13))</f>
        <v>0.2504480132</v>
      </c>
      <c r="F2" s="32">
        <f t="shared" ref="F2:F13" si="2">SUM($E$2:E2)</f>
        <v>0.2504480132</v>
      </c>
      <c r="G2" s="27" t="str">
        <f t="shared" ref="G2:G13" si="3">IF(F2&lt;=0.8,"A",
 IF(F2&lt;=0.95,"B",
 "C"))</f>
        <v>A</v>
      </c>
    </row>
    <row r="3">
      <c r="A3" s="27">
        <v>8293.0</v>
      </c>
      <c r="B3" s="28">
        <v>62307.0</v>
      </c>
      <c r="C3" s="31">
        <v>2.72406204E7</v>
      </c>
      <c r="D3" s="31">
        <v>1.083331809E7</v>
      </c>
      <c r="E3" s="32">
        <f t="shared" si="1"/>
        <v>0.199418198</v>
      </c>
      <c r="F3" s="32">
        <f t="shared" si="2"/>
        <v>0.4498662111</v>
      </c>
      <c r="G3" s="27" t="str">
        <f t="shared" si="3"/>
        <v>A</v>
      </c>
    </row>
    <row r="4">
      <c r="A4" s="27">
        <v>7940.0</v>
      </c>
      <c r="B4" s="28">
        <v>33192.0</v>
      </c>
      <c r="C4" s="31">
        <v>2.218121784E7</v>
      </c>
      <c r="D4" s="31">
        <v>5500910.159999999</v>
      </c>
      <c r="E4" s="32">
        <f t="shared" si="1"/>
        <v>0.1623802405</v>
      </c>
      <c r="F4" s="32">
        <f t="shared" si="2"/>
        <v>0.6122464516</v>
      </c>
      <c r="G4" s="27" t="str">
        <f t="shared" si="3"/>
        <v>A</v>
      </c>
    </row>
    <row r="5">
      <c r="A5" s="27">
        <v>8875.0</v>
      </c>
      <c r="B5" s="28">
        <v>43722.0</v>
      </c>
      <c r="C5" s="31">
        <v>1.844587458E7</v>
      </c>
      <c r="D5" s="31">
        <v>2500898.399999999</v>
      </c>
      <c r="E5" s="32">
        <f t="shared" si="1"/>
        <v>0.1350352163</v>
      </c>
      <c r="F5" s="32">
        <f t="shared" si="2"/>
        <v>0.7472816679</v>
      </c>
      <c r="G5" s="27" t="str">
        <f t="shared" si="3"/>
        <v>A</v>
      </c>
    </row>
    <row r="6">
      <c r="A6" s="27">
        <v>8969.0</v>
      </c>
      <c r="B6" s="28">
        <v>74154.0</v>
      </c>
      <c r="C6" s="31">
        <v>1.1314417320000002E7</v>
      </c>
      <c r="D6" s="31">
        <v>4088851.5600000005</v>
      </c>
      <c r="E6" s="32">
        <f t="shared" si="1"/>
        <v>0.08282853621</v>
      </c>
      <c r="F6" s="32">
        <f t="shared" si="2"/>
        <v>0.8301102041</v>
      </c>
      <c r="G6" s="27" t="str">
        <f t="shared" si="3"/>
        <v>B</v>
      </c>
    </row>
    <row r="7">
      <c r="A7" s="27">
        <v>5988.0</v>
      </c>
      <c r="B7" s="28">
        <v>46787.0</v>
      </c>
      <c r="C7" s="31">
        <v>7208005.220000001</v>
      </c>
      <c r="D7" s="31">
        <v>2953663.3099999996</v>
      </c>
      <c r="E7" s="32">
        <f t="shared" si="1"/>
        <v>0.05276705856</v>
      </c>
      <c r="F7" s="32">
        <f t="shared" si="2"/>
        <v>0.8828772627</v>
      </c>
      <c r="G7" s="27" t="str">
        <f t="shared" si="3"/>
        <v>B</v>
      </c>
    </row>
    <row r="8">
      <c r="A8" s="27">
        <v>7331.0</v>
      </c>
      <c r="B8" s="28">
        <v>23002.0</v>
      </c>
      <c r="C8" s="31">
        <v>5871950.56</v>
      </c>
      <c r="D8" s="31">
        <v>2204971.72</v>
      </c>
      <c r="E8" s="32">
        <f t="shared" si="1"/>
        <v>0.0429863117</v>
      </c>
      <c r="F8" s="32">
        <f t="shared" si="2"/>
        <v>0.9258635744</v>
      </c>
      <c r="G8" s="27" t="str">
        <f t="shared" si="3"/>
        <v>B</v>
      </c>
    </row>
    <row r="9">
      <c r="A9" s="27">
        <v>1270.0</v>
      </c>
      <c r="B9" s="28">
        <v>80954.0</v>
      </c>
      <c r="C9" s="31">
        <v>3841267.3000000003</v>
      </c>
      <c r="D9" s="31">
        <v>1267739.6400000004</v>
      </c>
      <c r="E9" s="32">
        <f t="shared" si="1"/>
        <v>0.02812045363</v>
      </c>
      <c r="F9" s="32">
        <f t="shared" si="2"/>
        <v>0.953984028</v>
      </c>
      <c r="G9" s="27" t="str">
        <f t="shared" si="3"/>
        <v>C</v>
      </c>
    </row>
    <row r="10">
      <c r="A10" s="27">
        <v>2455.0</v>
      </c>
      <c r="B10" s="28">
        <v>24205.0</v>
      </c>
      <c r="C10" s="31">
        <v>2645122.4000000004</v>
      </c>
      <c r="D10" s="31">
        <v>1777615.2</v>
      </c>
      <c r="E10" s="32">
        <f t="shared" si="1"/>
        <v>0.01936393278</v>
      </c>
      <c r="F10" s="32">
        <f t="shared" si="2"/>
        <v>0.9733479608</v>
      </c>
      <c r="G10" s="27" t="str">
        <f t="shared" si="3"/>
        <v>C</v>
      </c>
    </row>
    <row r="11">
      <c r="A11" s="27">
        <v>3127.0</v>
      </c>
      <c r="B11" s="28">
        <v>25891.0</v>
      </c>
      <c r="C11" s="31">
        <v>2116071.4299999997</v>
      </c>
      <c r="D11" s="31">
        <v>648828.4600000001</v>
      </c>
      <c r="E11" s="32">
        <f t="shared" si="1"/>
        <v>0.0154909523</v>
      </c>
      <c r="F11" s="32">
        <f t="shared" si="2"/>
        <v>0.9888389131</v>
      </c>
      <c r="G11" s="27" t="str">
        <f t="shared" si="3"/>
        <v>C</v>
      </c>
    </row>
    <row r="12">
      <c r="A12" s="27">
        <v>2103.0</v>
      </c>
      <c r="B12" s="28">
        <v>5543.0</v>
      </c>
      <c r="C12" s="31">
        <v>1140195.0999999999</v>
      </c>
      <c r="D12" s="31">
        <v>491054.3699999999</v>
      </c>
      <c r="E12" s="32">
        <f t="shared" si="1"/>
        <v>0.008346933691</v>
      </c>
      <c r="F12" s="32">
        <f t="shared" si="2"/>
        <v>0.9971858468</v>
      </c>
      <c r="G12" s="27" t="str">
        <f t="shared" si="3"/>
        <v>C</v>
      </c>
    </row>
    <row r="13">
      <c r="A13" s="27">
        <v>4594.0</v>
      </c>
      <c r="B13" s="28">
        <v>41202.0</v>
      </c>
      <c r="C13" s="31">
        <v>384414.66000000003</v>
      </c>
      <c r="D13" s="31">
        <v>99296.82000000002</v>
      </c>
      <c r="E13" s="32">
        <f t="shared" si="1"/>
        <v>0.002814153189</v>
      </c>
      <c r="F13" s="32">
        <f t="shared" si="2"/>
        <v>1</v>
      </c>
      <c r="G13" s="27" t="str">
        <f t="shared" si="3"/>
        <v>C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7" t="s">
        <v>794</v>
      </c>
      <c r="B1" s="27" t="s">
        <v>812</v>
      </c>
    </row>
    <row r="2">
      <c r="A2" s="30">
        <v>41920.0</v>
      </c>
      <c r="B2" s="34" t="s">
        <v>1880</v>
      </c>
    </row>
    <row r="3">
      <c r="A3" s="30">
        <v>42593.0</v>
      </c>
      <c r="B3" s="34" t="s">
        <v>1881</v>
      </c>
    </row>
    <row r="4">
      <c r="A4" s="30">
        <v>41838.0</v>
      </c>
      <c r="B4" s="34" t="s">
        <v>1882</v>
      </c>
    </row>
    <row r="5">
      <c r="A5" s="30">
        <v>42868.0</v>
      </c>
      <c r="B5" s="34" t="s">
        <v>1883</v>
      </c>
    </row>
    <row r="6">
      <c r="A6" s="30">
        <v>41132.0</v>
      </c>
      <c r="B6" s="34" t="s">
        <v>1883</v>
      </c>
    </row>
    <row r="7">
      <c r="A7" s="30">
        <v>42078.0</v>
      </c>
      <c r="B7" s="34" t="s">
        <v>1884</v>
      </c>
    </row>
    <row r="8">
      <c r="A8" s="30">
        <v>41384.0</v>
      </c>
      <c r="B8" s="34" t="s">
        <v>1883</v>
      </c>
    </row>
    <row r="9">
      <c r="A9" s="30">
        <v>40859.0</v>
      </c>
      <c r="B9" s="34" t="s">
        <v>1883</v>
      </c>
    </row>
    <row r="10">
      <c r="A10" s="30">
        <v>41171.0</v>
      </c>
      <c r="B10" s="34" t="s">
        <v>1880</v>
      </c>
    </row>
    <row r="11">
      <c r="A11" s="30">
        <v>40566.0</v>
      </c>
      <c r="B11" s="34" t="s">
        <v>1884</v>
      </c>
    </row>
    <row r="12">
      <c r="A12" s="30">
        <v>40958.0</v>
      </c>
      <c r="B12" s="34" t="s">
        <v>1884</v>
      </c>
    </row>
    <row r="13">
      <c r="A13" s="30">
        <v>42788.0</v>
      </c>
      <c r="B13" s="34" t="s">
        <v>1880</v>
      </c>
    </row>
    <row r="14">
      <c r="A14" s="30">
        <v>41360.0</v>
      </c>
      <c r="B14" s="34" t="s">
        <v>1880</v>
      </c>
    </row>
    <row r="15">
      <c r="A15" s="30">
        <v>41640.0</v>
      </c>
      <c r="B15" s="34" t="s">
        <v>1880</v>
      </c>
    </row>
    <row r="16">
      <c r="A16" s="30">
        <v>42523.0</v>
      </c>
      <c r="B16" s="34" t="s">
        <v>1881</v>
      </c>
    </row>
    <row r="17">
      <c r="A17" s="30">
        <v>41575.0</v>
      </c>
      <c r="B17" s="34" t="s">
        <v>1885</v>
      </c>
    </row>
    <row r="18">
      <c r="A18" s="30">
        <v>42054.0</v>
      </c>
      <c r="B18" s="34" t="s">
        <v>1881</v>
      </c>
    </row>
    <row r="19">
      <c r="A19" s="30">
        <v>40980.0</v>
      </c>
      <c r="B19" s="34" t="s">
        <v>1885</v>
      </c>
    </row>
    <row r="20">
      <c r="A20" s="30">
        <v>41055.0</v>
      </c>
      <c r="B20" s="34" t="s">
        <v>1883</v>
      </c>
    </row>
    <row r="21">
      <c r="A21" s="30">
        <v>42895.0</v>
      </c>
      <c r="B21" s="34" t="s">
        <v>1882</v>
      </c>
    </row>
    <row r="22">
      <c r="A22" s="30">
        <v>40661.0</v>
      </c>
      <c r="B22" s="34" t="s">
        <v>1881</v>
      </c>
    </row>
    <row r="23">
      <c r="A23" s="30">
        <v>42671.0</v>
      </c>
      <c r="B23" s="34" t="s">
        <v>1882</v>
      </c>
    </row>
    <row r="24">
      <c r="A24" s="30">
        <v>42719.0</v>
      </c>
      <c r="B24" s="34" t="s">
        <v>1881</v>
      </c>
    </row>
    <row r="25">
      <c r="A25" s="30">
        <v>40480.0</v>
      </c>
      <c r="B25" s="34" t="s">
        <v>1882</v>
      </c>
    </row>
    <row r="26">
      <c r="A26" s="30">
        <v>40212.0</v>
      </c>
      <c r="B26" s="34" t="s">
        <v>1880</v>
      </c>
    </row>
    <row r="27">
      <c r="A27" s="30">
        <v>42342.0</v>
      </c>
      <c r="B27" s="34" t="s">
        <v>1882</v>
      </c>
    </row>
    <row r="28">
      <c r="A28" s="30">
        <v>42028.0</v>
      </c>
      <c r="B28" s="34" t="s">
        <v>1883</v>
      </c>
    </row>
    <row r="29">
      <c r="A29" s="30">
        <v>42419.0</v>
      </c>
      <c r="B29" s="34" t="s">
        <v>1882</v>
      </c>
    </row>
    <row r="30">
      <c r="A30" s="30">
        <v>41853.0</v>
      </c>
      <c r="B30" s="34" t="s">
        <v>1883</v>
      </c>
    </row>
    <row r="31">
      <c r="A31" s="30">
        <v>40696.0</v>
      </c>
      <c r="B31" s="34" t="s">
        <v>1881</v>
      </c>
    </row>
    <row r="32">
      <c r="A32" s="30">
        <v>42018.0</v>
      </c>
      <c r="B32" s="34" t="s">
        <v>1880</v>
      </c>
    </row>
    <row r="33">
      <c r="A33" s="30">
        <v>42137.0</v>
      </c>
      <c r="B33" s="34" t="s">
        <v>1880</v>
      </c>
    </row>
    <row r="34">
      <c r="A34" s="30">
        <v>40625.0</v>
      </c>
      <c r="B34" s="34" t="s">
        <v>1880</v>
      </c>
    </row>
    <row r="35">
      <c r="A35" s="30">
        <v>42695.0</v>
      </c>
      <c r="B35" s="34" t="s">
        <v>1885</v>
      </c>
    </row>
    <row r="36">
      <c r="A36" s="30">
        <v>42833.0</v>
      </c>
      <c r="B36" s="34" t="s">
        <v>1883</v>
      </c>
    </row>
    <row r="37">
      <c r="A37" s="30">
        <v>42852.0</v>
      </c>
      <c r="B37" s="34" t="s">
        <v>1881</v>
      </c>
    </row>
    <row r="38">
      <c r="A38" s="30">
        <v>42379.0</v>
      </c>
      <c r="B38" s="34" t="s">
        <v>1884</v>
      </c>
    </row>
    <row r="39">
      <c r="A39" s="30">
        <v>42818.0</v>
      </c>
      <c r="B39" s="34" t="s">
        <v>1882</v>
      </c>
    </row>
    <row r="40">
      <c r="A40" s="30">
        <v>41641.0</v>
      </c>
      <c r="B40" s="34" t="s">
        <v>1881</v>
      </c>
    </row>
    <row r="41">
      <c r="A41" s="30">
        <v>40311.0</v>
      </c>
      <c r="B41" s="34" t="s">
        <v>1881</v>
      </c>
    </row>
    <row r="42">
      <c r="A42" s="30">
        <v>41114.0</v>
      </c>
      <c r="B42" s="34" t="s">
        <v>1886</v>
      </c>
    </row>
    <row r="43">
      <c r="A43" s="30">
        <v>42927.0</v>
      </c>
      <c r="B43" s="34" t="s">
        <v>1886</v>
      </c>
    </row>
    <row r="44">
      <c r="A44" s="30">
        <v>41047.0</v>
      </c>
      <c r="B44" s="34" t="s">
        <v>1882</v>
      </c>
    </row>
    <row r="45">
      <c r="A45" s="30">
        <v>42879.0</v>
      </c>
      <c r="B45" s="34" t="s">
        <v>1880</v>
      </c>
    </row>
    <row r="46">
      <c r="A46" s="30">
        <v>40884.0</v>
      </c>
      <c r="B46" s="34" t="s">
        <v>1880</v>
      </c>
    </row>
    <row r="47">
      <c r="A47" s="30">
        <v>41537.0</v>
      </c>
      <c r="B47" s="34" t="s">
        <v>1882</v>
      </c>
    </row>
    <row r="48">
      <c r="A48" s="30">
        <v>40430.0</v>
      </c>
      <c r="B48" s="34" t="s">
        <v>1881</v>
      </c>
    </row>
    <row r="49">
      <c r="A49" s="30">
        <v>40568.0</v>
      </c>
      <c r="B49" s="34" t="s">
        <v>1886</v>
      </c>
    </row>
    <row r="50">
      <c r="A50" s="30">
        <v>40587.0</v>
      </c>
      <c r="B50" s="34" t="s">
        <v>1884</v>
      </c>
    </row>
    <row r="51">
      <c r="A51" s="30">
        <v>41441.0</v>
      </c>
      <c r="B51" s="34" t="s">
        <v>1884</v>
      </c>
    </row>
    <row r="52">
      <c r="A52" s="30">
        <v>41068.0</v>
      </c>
      <c r="B52" s="34" t="s">
        <v>1882</v>
      </c>
    </row>
    <row r="53">
      <c r="A53" s="30">
        <v>40652.0</v>
      </c>
      <c r="B53" s="34" t="s">
        <v>1886</v>
      </c>
    </row>
    <row r="54">
      <c r="A54" s="30">
        <v>41719.0</v>
      </c>
      <c r="B54" s="34" t="s">
        <v>1882</v>
      </c>
    </row>
    <row r="55">
      <c r="A55" s="30">
        <v>41535.0</v>
      </c>
      <c r="B55" s="34" t="s">
        <v>1880</v>
      </c>
    </row>
    <row r="56">
      <c r="A56" s="30">
        <v>41574.0</v>
      </c>
      <c r="B56" s="34" t="s">
        <v>1884</v>
      </c>
    </row>
    <row r="57">
      <c r="A57" s="30">
        <v>42807.0</v>
      </c>
      <c r="B57" s="34" t="s">
        <v>1885</v>
      </c>
    </row>
    <row r="58">
      <c r="A58" s="30">
        <v>42925.0</v>
      </c>
      <c r="B58" s="34" t="s">
        <v>1884</v>
      </c>
    </row>
    <row r="59">
      <c r="A59" s="30">
        <v>41172.0</v>
      </c>
      <c r="B59" s="34" t="s">
        <v>1881</v>
      </c>
    </row>
    <row r="60">
      <c r="A60" s="30">
        <v>42396.0</v>
      </c>
      <c r="B60" s="34" t="s">
        <v>1880</v>
      </c>
    </row>
    <row r="61">
      <c r="A61" s="30">
        <v>40602.0</v>
      </c>
      <c r="B61" s="34" t="s">
        <v>1885</v>
      </c>
    </row>
    <row r="62">
      <c r="A62" s="30">
        <v>41001.0</v>
      </c>
      <c r="B62" s="34" t="s">
        <v>1885</v>
      </c>
    </row>
    <row r="63">
      <c r="A63" s="30">
        <v>42420.0</v>
      </c>
      <c r="B63" s="34" t="s">
        <v>1883</v>
      </c>
    </row>
    <row r="64">
      <c r="A64" s="30">
        <v>41468.0</v>
      </c>
      <c r="B64" s="34" t="s">
        <v>1883</v>
      </c>
    </row>
    <row r="65">
      <c r="A65" s="30">
        <v>41860.0</v>
      </c>
      <c r="B65" s="34" t="s">
        <v>1883</v>
      </c>
    </row>
    <row r="66">
      <c r="A66" s="30">
        <v>40368.0</v>
      </c>
      <c r="B66" s="34" t="s">
        <v>1882</v>
      </c>
    </row>
    <row r="67">
      <c r="A67" s="30">
        <v>42609.0</v>
      </c>
      <c r="B67" s="34" t="s">
        <v>1883</v>
      </c>
    </row>
    <row r="68">
      <c r="A68" s="30">
        <v>41821.0</v>
      </c>
      <c r="B68" s="34" t="s">
        <v>1886</v>
      </c>
    </row>
    <row r="69">
      <c r="A69" s="30">
        <v>41828.0</v>
      </c>
      <c r="B69" s="34" t="s">
        <v>1886</v>
      </c>
    </row>
    <row r="70">
      <c r="A70" s="30">
        <v>40631.0</v>
      </c>
      <c r="B70" s="34" t="s">
        <v>1886</v>
      </c>
    </row>
    <row r="71">
      <c r="A71" s="30">
        <v>41470.0</v>
      </c>
      <c r="B71" s="34" t="s">
        <v>1885</v>
      </c>
    </row>
    <row r="72">
      <c r="A72" s="30">
        <v>41108.0</v>
      </c>
      <c r="B72" s="34" t="s">
        <v>1880</v>
      </c>
    </row>
    <row r="73">
      <c r="A73" s="30">
        <v>40615.0</v>
      </c>
      <c r="B73" s="34" t="s">
        <v>1884</v>
      </c>
    </row>
    <row r="74">
      <c r="A74" s="30">
        <v>41678.0</v>
      </c>
      <c r="B74" s="34" t="s">
        <v>1883</v>
      </c>
    </row>
    <row r="75">
      <c r="A75" s="30">
        <v>41504.0</v>
      </c>
      <c r="B75" s="34" t="s">
        <v>1884</v>
      </c>
    </row>
    <row r="76">
      <c r="A76" s="30">
        <v>41050.0</v>
      </c>
      <c r="B76" s="34" t="s">
        <v>1885</v>
      </c>
    </row>
    <row r="77">
      <c r="A77" s="30">
        <v>41468.0</v>
      </c>
      <c r="B77" s="34" t="s">
        <v>1883</v>
      </c>
    </row>
    <row r="78">
      <c r="A78" s="30">
        <v>41345.0</v>
      </c>
      <c r="B78" s="34" t="s">
        <v>1886</v>
      </c>
    </row>
    <row r="79">
      <c r="A79" s="30">
        <v>40549.0</v>
      </c>
      <c r="B79" s="34" t="s">
        <v>1881</v>
      </c>
    </row>
    <row r="80">
      <c r="A80" s="30">
        <v>42856.0</v>
      </c>
      <c r="B80" s="34" t="s">
        <v>1885</v>
      </c>
    </row>
    <row r="81">
      <c r="A81" s="30">
        <v>40874.0</v>
      </c>
      <c r="B81" s="34" t="s">
        <v>1884</v>
      </c>
    </row>
    <row r="82">
      <c r="A82" s="30">
        <v>42276.0</v>
      </c>
      <c r="B82" s="34" t="s">
        <v>1886</v>
      </c>
    </row>
    <row r="83">
      <c r="A83" s="30">
        <v>41536.0</v>
      </c>
      <c r="B83" s="34" t="s">
        <v>1881</v>
      </c>
    </row>
    <row r="84">
      <c r="A84" s="30">
        <v>41393.0</v>
      </c>
      <c r="B84" s="34" t="s">
        <v>1885</v>
      </c>
    </row>
    <row r="85">
      <c r="A85" s="30">
        <v>42143.0</v>
      </c>
      <c r="B85" s="34" t="s">
        <v>1886</v>
      </c>
    </row>
    <row r="86">
      <c r="A86" s="30">
        <v>42892.0</v>
      </c>
      <c r="B86" s="34" t="s">
        <v>1886</v>
      </c>
    </row>
    <row r="87">
      <c r="A87" s="30">
        <v>41047.0</v>
      </c>
      <c r="B87" s="34" t="s">
        <v>1882</v>
      </c>
    </row>
    <row r="88">
      <c r="A88" s="30">
        <v>41278.0</v>
      </c>
      <c r="B88" s="34" t="s">
        <v>1882</v>
      </c>
    </row>
    <row r="89">
      <c r="A89" s="30">
        <v>41036.0</v>
      </c>
      <c r="B89" s="34" t="s">
        <v>1885</v>
      </c>
    </row>
    <row r="90">
      <c r="A90" s="30">
        <v>40300.0</v>
      </c>
      <c r="B90" s="34" t="s">
        <v>1884</v>
      </c>
    </row>
    <row r="91">
      <c r="A91" s="30">
        <v>40777.0</v>
      </c>
      <c r="B91" s="34" t="s">
        <v>1885</v>
      </c>
    </row>
    <row r="92">
      <c r="A92" s="30">
        <v>41667.0</v>
      </c>
      <c r="B92" s="34" t="s">
        <v>1886</v>
      </c>
    </row>
    <row r="93">
      <c r="A93" s="30">
        <v>42075.0</v>
      </c>
      <c r="B93" s="34" t="s">
        <v>1881</v>
      </c>
    </row>
    <row r="94">
      <c r="A94" s="30">
        <v>42547.0</v>
      </c>
      <c r="B94" s="34" t="s">
        <v>1884</v>
      </c>
    </row>
    <row r="95">
      <c r="A95" s="30">
        <v>42143.0</v>
      </c>
      <c r="B95" s="34" t="s">
        <v>1886</v>
      </c>
    </row>
    <row r="96">
      <c r="A96" s="30">
        <v>41720.0</v>
      </c>
      <c r="B96" s="34" t="s">
        <v>1883</v>
      </c>
    </row>
    <row r="97">
      <c r="A97" s="30">
        <v>41798.0</v>
      </c>
      <c r="B97" s="34" t="s">
        <v>1884</v>
      </c>
    </row>
    <row r="98">
      <c r="A98" s="30">
        <v>41232.0</v>
      </c>
      <c r="B98" s="34" t="s">
        <v>1885</v>
      </c>
    </row>
    <row r="99">
      <c r="A99" s="30">
        <v>42274.0</v>
      </c>
      <c r="B99" s="34" t="s">
        <v>1884</v>
      </c>
    </row>
    <row r="100">
      <c r="A100" s="30">
        <v>40845.0</v>
      </c>
      <c r="B100" s="34" t="s">
        <v>1883</v>
      </c>
    </row>
    <row r="101">
      <c r="A101" s="30">
        <v>40238.0</v>
      </c>
      <c r="B101" s="34" t="s">
        <v>1885</v>
      </c>
    </row>
    <row r="102">
      <c r="A102" s="30">
        <v>41143.0</v>
      </c>
      <c r="B102" s="34" t="s">
        <v>1880</v>
      </c>
    </row>
    <row r="103">
      <c r="A103" s="30">
        <v>41222.0</v>
      </c>
      <c r="B103" s="34" t="s">
        <v>1882</v>
      </c>
    </row>
    <row r="104">
      <c r="A104" s="30">
        <v>40785.0</v>
      </c>
      <c r="B104" s="34" t="s">
        <v>1886</v>
      </c>
    </row>
    <row r="105">
      <c r="A105" s="30">
        <v>42451.0</v>
      </c>
      <c r="B105" s="34" t="s">
        <v>1886</v>
      </c>
    </row>
    <row r="106">
      <c r="A106" s="30">
        <v>42842.0</v>
      </c>
      <c r="B106" s="34" t="s">
        <v>1885</v>
      </c>
    </row>
    <row r="107">
      <c r="A107" s="30">
        <v>42085.0</v>
      </c>
      <c r="B107" s="34" t="s">
        <v>1884</v>
      </c>
    </row>
    <row r="108">
      <c r="A108" s="30">
        <v>40826.0</v>
      </c>
      <c r="B108" s="34" t="s">
        <v>1885</v>
      </c>
    </row>
    <row r="109">
      <c r="A109" s="30">
        <v>40959.0</v>
      </c>
      <c r="B109" s="34" t="s">
        <v>1885</v>
      </c>
    </row>
    <row r="110">
      <c r="A110" s="30">
        <v>41854.0</v>
      </c>
      <c r="B110" s="34" t="s">
        <v>1884</v>
      </c>
    </row>
    <row r="111">
      <c r="A111" s="30">
        <v>41469.0</v>
      </c>
      <c r="B111" s="34" t="s">
        <v>1884</v>
      </c>
    </row>
    <row r="112">
      <c r="A112" s="30">
        <v>40473.0</v>
      </c>
      <c r="B112" s="34" t="s">
        <v>1882</v>
      </c>
    </row>
    <row r="113">
      <c r="A113" s="30">
        <v>41719.0</v>
      </c>
      <c r="B113" s="34" t="s">
        <v>1882</v>
      </c>
    </row>
    <row r="114">
      <c r="A114" s="30">
        <v>41204.0</v>
      </c>
      <c r="B114" s="34" t="s">
        <v>1885</v>
      </c>
    </row>
    <row r="115">
      <c r="A115" s="30">
        <v>42163.0</v>
      </c>
      <c r="B115" s="34" t="s">
        <v>1885</v>
      </c>
    </row>
    <row r="116">
      <c r="A116" s="30">
        <v>42490.0</v>
      </c>
      <c r="B116" s="34" t="s">
        <v>1883</v>
      </c>
    </row>
    <row r="117">
      <c r="A117" s="30">
        <v>42910.0</v>
      </c>
      <c r="B117" s="34" t="s">
        <v>1883</v>
      </c>
    </row>
    <row r="118">
      <c r="A118" s="30">
        <v>42577.0</v>
      </c>
      <c r="B118" s="34" t="s">
        <v>1886</v>
      </c>
    </row>
    <row r="119">
      <c r="A119" s="30">
        <v>41799.0</v>
      </c>
      <c r="B119" s="34" t="s">
        <v>1885</v>
      </c>
    </row>
    <row r="120">
      <c r="A120" s="30">
        <v>41525.0</v>
      </c>
      <c r="B120" s="34" t="s">
        <v>1884</v>
      </c>
    </row>
    <row r="121">
      <c r="A121" s="30">
        <v>41160.0</v>
      </c>
      <c r="B121" s="34" t="s">
        <v>1883</v>
      </c>
    </row>
    <row r="122">
      <c r="A122" s="30">
        <v>41470.0</v>
      </c>
      <c r="B122" s="34" t="s">
        <v>1885</v>
      </c>
    </row>
    <row r="123">
      <c r="A123" s="30">
        <v>42267.0</v>
      </c>
      <c r="B123" s="34" t="s">
        <v>1884</v>
      </c>
    </row>
    <row r="124">
      <c r="A124" s="30">
        <v>41034.0</v>
      </c>
      <c r="B124" s="34" t="s">
        <v>1883</v>
      </c>
    </row>
    <row r="125">
      <c r="A125" s="30">
        <v>42490.0</v>
      </c>
      <c r="B125" s="34" t="s">
        <v>1883</v>
      </c>
    </row>
    <row r="126">
      <c r="A126" s="30">
        <v>40548.0</v>
      </c>
      <c r="B126" s="34" t="s">
        <v>1880</v>
      </c>
    </row>
    <row r="127">
      <c r="A127" s="30">
        <v>42858.0</v>
      </c>
      <c r="B127" s="34" t="s">
        <v>1880</v>
      </c>
    </row>
    <row r="128">
      <c r="A128" s="30">
        <v>42381.0</v>
      </c>
      <c r="B128" s="34" t="s">
        <v>1886</v>
      </c>
    </row>
    <row r="129">
      <c r="A129" s="30">
        <v>40329.0</v>
      </c>
      <c r="B129" s="34" t="s">
        <v>1885</v>
      </c>
    </row>
    <row r="130">
      <c r="A130" s="30">
        <v>41267.0</v>
      </c>
      <c r="B130" s="34" t="s">
        <v>1885</v>
      </c>
    </row>
    <row r="131">
      <c r="A131" s="30">
        <v>41799.0</v>
      </c>
      <c r="B131" s="34" t="s">
        <v>1885</v>
      </c>
    </row>
    <row r="132">
      <c r="A132" s="30">
        <v>41939.0</v>
      </c>
      <c r="B132" s="34" t="s">
        <v>1885</v>
      </c>
    </row>
    <row r="133">
      <c r="A133" s="30">
        <v>42098.0</v>
      </c>
      <c r="B133" s="34" t="s">
        <v>1883</v>
      </c>
    </row>
    <row r="134">
      <c r="A134" s="30">
        <v>42701.0</v>
      </c>
      <c r="B134" s="34" t="s">
        <v>1884</v>
      </c>
    </row>
    <row r="135">
      <c r="A135" s="30">
        <v>42237.0</v>
      </c>
      <c r="B135" s="34" t="s">
        <v>1882</v>
      </c>
    </row>
    <row r="136">
      <c r="A136" s="30">
        <v>40914.0</v>
      </c>
      <c r="B136" s="34" t="s">
        <v>1882</v>
      </c>
    </row>
    <row r="137">
      <c r="A137" s="30">
        <v>40653.0</v>
      </c>
      <c r="B137" s="34" t="s">
        <v>1880</v>
      </c>
    </row>
    <row r="138">
      <c r="A138" s="30">
        <v>42241.0</v>
      </c>
      <c r="B138" s="34" t="s">
        <v>1886</v>
      </c>
    </row>
    <row r="139">
      <c r="A139" s="30">
        <v>42309.0</v>
      </c>
      <c r="B139" s="34" t="s">
        <v>1884</v>
      </c>
    </row>
    <row r="140">
      <c r="A140" s="30">
        <v>42841.0</v>
      </c>
      <c r="B140" s="34" t="s">
        <v>1884</v>
      </c>
    </row>
    <row r="141">
      <c r="A141" s="30">
        <v>40667.0</v>
      </c>
      <c r="B141" s="34" t="s">
        <v>1880</v>
      </c>
    </row>
    <row r="142">
      <c r="A142" s="30">
        <v>41775.0</v>
      </c>
      <c r="B142" s="34" t="s">
        <v>1882</v>
      </c>
    </row>
    <row r="143">
      <c r="A143" s="30">
        <v>41040.0</v>
      </c>
      <c r="B143" s="34" t="s">
        <v>1882</v>
      </c>
    </row>
    <row r="144">
      <c r="A144" s="30">
        <v>41118.0</v>
      </c>
      <c r="B144" s="34" t="s">
        <v>1883</v>
      </c>
    </row>
    <row r="145">
      <c r="A145" s="30">
        <v>41327.0</v>
      </c>
      <c r="B145" s="34" t="s">
        <v>1882</v>
      </c>
    </row>
    <row r="146">
      <c r="A146" s="30">
        <v>42906.0</v>
      </c>
      <c r="B146" s="34" t="s">
        <v>1886</v>
      </c>
    </row>
    <row r="147">
      <c r="A147" s="30">
        <v>42805.0</v>
      </c>
      <c r="B147" s="34" t="s">
        <v>1883</v>
      </c>
    </row>
    <row r="148">
      <c r="A148" s="30">
        <v>41214.0</v>
      </c>
      <c r="B148" s="34" t="s">
        <v>1881</v>
      </c>
    </row>
    <row r="149">
      <c r="A149" s="30">
        <v>41001.0</v>
      </c>
      <c r="B149" s="34" t="s">
        <v>1885</v>
      </c>
    </row>
    <row r="150">
      <c r="A150" s="30">
        <v>42578.0</v>
      </c>
      <c r="B150" s="34" t="s">
        <v>1880</v>
      </c>
    </row>
    <row r="151">
      <c r="A151" s="30">
        <v>42926.0</v>
      </c>
      <c r="B151" s="34" t="s">
        <v>1885</v>
      </c>
    </row>
    <row r="152">
      <c r="A152" s="30">
        <v>41928.0</v>
      </c>
      <c r="B152" s="34" t="s">
        <v>1881</v>
      </c>
    </row>
    <row r="153">
      <c r="A153" s="30">
        <v>40680.0</v>
      </c>
      <c r="B153" s="34" t="s">
        <v>1886</v>
      </c>
    </row>
    <row r="154">
      <c r="A154" s="30">
        <v>40931.0</v>
      </c>
      <c r="B154" s="34" t="s">
        <v>1885</v>
      </c>
    </row>
    <row r="155">
      <c r="A155" s="30">
        <v>41845.0</v>
      </c>
      <c r="B155" s="34" t="s">
        <v>1882</v>
      </c>
    </row>
    <row r="156">
      <c r="A156" s="30">
        <v>41473.0</v>
      </c>
      <c r="B156" s="34" t="s">
        <v>1881</v>
      </c>
    </row>
    <row r="157">
      <c r="A157" s="30">
        <v>41543.0</v>
      </c>
      <c r="B157" s="34" t="s">
        <v>1881</v>
      </c>
    </row>
    <row r="158">
      <c r="A158" s="30">
        <v>40602.0</v>
      </c>
      <c r="B158" s="34" t="s">
        <v>1885</v>
      </c>
    </row>
    <row r="159">
      <c r="A159" s="30">
        <v>40873.0</v>
      </c>
      <c r="B159" s="34" t="s">
        <v>1883</v>
      </c>
    </row>
    <row r="160">
      <c r="A160" s="30">
        <v>41730.0</v>
      </c>
      <c r="B160" s="34" t="s">
        <v>1886</v>
      </c>
    </row>
    <row r="161">
      <c r="A161" s="30">
        <v>40925.0</v>
      </c>
      <c r="B161" s="34" t="s">
        <v>1886</v>
      </c>
    </row>
    <row r="162">
      <c r="A162" s="30">
        <v>41679.0</v>
      </c>
      <c r="B162" s="34" t="s">
        <v>1884</v>
      </c>
    </row>
    <row r="163">
      <c r="A163" s="30">
        <v>41283.0</v>
      </c>
      <c r="B163" s="34" t="s">
        <v>1880</v>
      </c>
    </row>
    <row r="164">
      <c r="A164" s="30">
        <v>40937.0</v>
      </c>
      <c r="B164" s="34" t="s">
        <v>1884</v>
      </c>
    </row>
    <row r="165">
      <c r="A165" s="30">
        <v>42179.0</v>
      </c>
      <c r="B165" s="34" t="s">
        <v>1880</v>
      </c>
    </row>
    <row r="166">
      <c r="A166" s="30">
        <v>40344.0</v>
      </c>
      <c r="B166" s="34" t="s">
        <v>1886</v>
      </c>
    </row>
    <row r="167">
      <c r="A167" s="30">
        <v>40775.0</v>
      </c>
      <c r="B167" s="34" t="s">
        <v>1883</v>
      </c>
    </row>
    <row r="168">
      <c r="A168" s="30">
        <v>42223.0</v>
      </c>
      <c r="B168" s="34" t="s">
        <v>1882</v>
      </c>
    </row>
    <row r="169">
      <c r="A169" s="30">
        <v>40951.0</v>
      </c>
      <c r="B169" s="34" t="s">
        <v>1884</v>
      </c>
    </row>
    <row r="170">
      <c r="A170" s="30">
        <v>42245.0</v>
      </c>
      <c r="B170" s="34" t="s">
        <v>1883</v>
      </c>
    </row>
    <row r="171">
      <c r="A171" s="30">
        <v>42335.0</v>
      </c>
      <c r="B171" s="34" t="s">
        <v>1882</v>
      </c>
    </row>
    <row r="172">
      <c r="A172" s="30">
        <v>42018.0</v>
      </c>
      <c r="B172" s="34" t="s">
        <v>1880</v>
      </c>
    </row>
    <row r="173">
      <c r="A173" s="30">
        <v>41716.0</v>
      </c>
      <c r="B173" s="34" t="s">
        <v>1886</v>
      </c>
    </row>
    <row r="174">
      <c r="A174" s="30">
        <v>41283.0</v>
      </c>
      <c r="B174" s="34" t="s">
        <v>1880</v>
      </c>
    </row>
    <row r="175">
      <c r="A175" s="30">
        <v>41875.0</v>
      </c>
      <c r="B175" s="34" t="s">
        <v>1884</v>
      </c>
    </row>
    <row r="176">
      <c r="A176" s="30">
        <v>40238.0</v>
      </c>
      <c r="B176" s="34" t="s">
        <v>1885</v>
      </c>
    </row>
    <row r="177">
      <c r="A177" s="30">
        <v>40778.0</v>
      </c>
      <c r="B177" s="34" t="s">
        <v>1886</v>
      </c>
    </row>
    <row r="178">
      <c r="A178" s="30">
        <v>42124.0</v>
      </c>
      <c r="B178" s="34" t="s">
        <v>1881</v>
      </c>
    </row>
    <row r="179">
      <c r="A179" s="30">
        <v>42061.0</v>
      </c>
      <c r="B179" s="34" t="s">
        <v>1881</v>
      </c>
    </row>
    <row r="180">
      <c r="A180" s="30">
        <v>42337.0</v>
      </c>
      <c r="B180" s="34" t="s">
        <v>1884</v>
      </c>
    </row>
    <row r="181">
      <c r="A181" s="30">
        <v>40988.0</v>
      </c>
      <c r="B181" s="34" t="s">
        <v>1886</v>
      </c>
    </row>
    <row r="182">
      <c r="A182" s="30">
        <v>41264.0</v>
      </c>
      <c r="B182" s="34" t="s">
        <v>1882</v>
      </c>
    </row>
    <row r="183">
      <c r="A183" s="30">
        <v>42893.0</v>
      </c>
      <c r="B183" s="34" t="s">
        <v>1880</v>
      </c>
    </row>
    <row r="184">
      <c r="A184" s="30">
        <v>42357.0</v>
      </c>
      <c r="B184" s="34" t="s">
        <v>1883</v>
      </c>
    </row>
    <row r="185">
      <c r="A185" s="30">
        <v>41779.0</v>
      </c>
      <c r="B185" s="34" t="s">
        <v>1886</v>
      </c>
    </row>
    <row r="186">
      <c r="A186" s="30">
        <v>41034.0</v>
      </c>
      <c r="B186" s="34" t="s">
        <v>1883</v>
      </c>
    </row>
    <row r="187">
      <c r="A187" s="30">
        <v>42419.0</v>
      </c>
      <c r="B187" s="34" t="s">
        <v>1882</v>
      </c>
    </row>
    <row r="188">
      <c r="A188" s="30">
        <v>40669.0</v>
      </c>
      <c r="B188" s="34" t="s">
        <v>1882</v>
      </c>
    </row>
    <row r="189">
      <c r="A189" s="30">
        <v>41808.0</v>
      </c>
      <c r="B189" s="34" t="s">
        <v>1880</v>
      </c>
    </row>
    <row r="190">
      <c r="A190" s="30">
        <v>41561.0</v>
      </c>
      <c r="B190" s="34" t="s">
        <v>1885</v>
      </c>
    </row>
    <row r="191">
      <c r="A191" s="30">
        <v>40752.0</v>
      </c>
      <c r="B191" s="34" t="s">
        <v>1881</v>
      </c>
    </row>
    <row r="192">
      <c r="A192" s="30">
        <v>40253.0</v>
      </c>
      <c r="B192" s="34" t="s">
        <v>1886</v>
      </c>
    </row>
    <row r="193">
      <c r="A193" s="30">
        <v>42695.0</v>
      </c>
      <c r="B193" s="34" t="s">
        <v>1885</v>
      </c>
    </row>
    <row r="194">
      <c r="A194" s="30">
        <v>40328.0</v>
      </c>
      <c r="B194" s="34" t="s">
        <v>1884</v>
      </c>
    </row>
    <row r="195">
      <c r="A195" s="30">
        <v>41813.0</v>
      </c>
      <c r="B195" s="34" t="s">
        <v>1885</v>
      </c>
    </row>
    <row r="196">
      <c r="A196" s="30">
        <v>41243.0</v>
      </c>
      <c r="B196" s="34" t="s">
        <v>1882</v>
      </c>
    </row>
    <row r="197">
      <c r="A197" s="30">
        <v>40343.0</v>
      </c>
      <c r="B197" s="34" t="s">
        <v>1885</v>
      </c>
    </row>
    <row r="198">
      <c r="A198" s="30">
        <v>40875.0</v>
      </c>
      <c r="B198" s="34" t="s">
        <v>1885</v>
      </c>
    </row>
    <row r="199">
      <c r="A199" s="30">
        <v>41105.0</v>
      </c>
      <c r="B199" s="34" t="s">
        <v>1884</v>
      </c>
    </row>
    <row r="200">
      <c r="A200" s="30">
        <v>42244.0</v>
      </c>
      <c r="B200" s="34" t="s">
        <v>1882</v>
      </c>
    </row>
    <row r="201">
      <c r="A201" s="30">
        <v>42133.0</v>
      </c>
      <c r="B201" s="34" t="s">
        <v>1883</v>
      </c>
    </row>
    <row r="202">
      <c r="A202" s="30">
        <v>40181.0</v>
      </c>
      <c r="B202" s="34" t="s">
        <v>1884</v>
      </c>
    </row>
    <row r="203">
      <c r="A203" s="30">
        <v>41929.0</v>
      </c>
      <c r="B203" s="34" t="s">
        <v>1882</v>
      </c>
    </row>
    <row r="204">
      <c r="A204" s="30">
        <v>42923.0</v>
      </c>
      <c r="B204" s="34" t="s">
        <v>1882</v>
      </c>
    </row>
    <row r="205">
      <c r="A205" s="30">
        <v>42374.0</v>
      </c>
      <c r="B205" s="34" t="s">
        <v>1886</v>
      </c>
    </row>
    <row r="206">
      <c r="A206" s="30">
        <v>41910.0</v>
      </c>
      <c r="B206" s="34" t="s">
        <v>1884</v>
      </c>
    </row>
    <row r="207">
      <c r="A207" s="30">
        <v>42936.0</v>
      </c>
      <c r="B207" s="34" t="s">
        <v>1881</v>
      </c>
    </row>
    <row r="208">
      <c r="A208" s="30">
        <v>41707.0</v>
      </c>
      <c r="B208" s="34" t="s">
        <v>1884</v>
      </c>
    </row>
    <row r="209">
      <c r="A209" s="30">
        <v>41627.0</v>
      </c>
      <c r="B209" s="34" t="s">
        <v>1881</v>
      </c>
    </row>
    <row r="210">
      <c r="A210" s="30">
        <v>41265.0</v>
      </c>
      <c r="B210" s="34" t="s">
        <v>1883</v>
      </c>
    </row>
    <row r="211">
      <c r="A211" s="30">
        <v>42568.0</v>
      </c>
      <c r="B211" s="34" t="s">
        <v>1884</v>
      </c>
    </row>
    <row r="212">
      <c r="A212" s="30">
        <v>42798.0</v>
      </c>
      <c r="B212" s="34" t="s">
        <v>1883</v>
      </c>
    </row>
    <row r="213">
      <c r="A213" s="30">
        <v>40926.0</v>
      </c>
      <c r="B213" s="34" t="s">
        <v>1880</v>
      </c>
    </row>
    <row r="214">
      <c r="A214" s="30">
        <v>42788.0</v>
      </c>
      <c r="B214" s="34" t="s">
        <v>1880</v>
      </c>
    </row>
    <row r="215">
      <c r="A215" s="30">
        <v>40300.0</v>
      </c>
      <c r="B215" s="34" t="s">
        <v>1884</v>
      </c>
    </row>
    <row r="216">
      <c r="A216" s="30">
        <v>40883.0</v>
      </c>
      <c r="B216" s="34" t="s">
        <v>1886</v>
      </c>
    </row>
    <row r="217">
      <c r="A217" s="30">
        <v>40668.0</v>
      </c>
      <c r="B217" s="34" t="s">
        <v>1881</v>
      </c>
    </row>
    <row r="218">
      <c r="A218" s="30">
        <v>41804.0</v>
      </c>
      <c r="B218" s="34" t="s">
        <v>1883</v>
      </c>
    </row>
    <row r="219">
      <c r="A219" s="30">
        <v>41442.0</v>
      </c>
      <c r="B219" s="34" t="s">
        <v>1885</v>
      </c>
    </row>
    <row r="220">
      <c r="A220" s="30">
        <v>42588.0</v>
      </c>
      <c r="B220" s="34" t="s">
        <v>1883</v>
      </c>
    </row>
    <row r="221">
      <c r="A221" s="30">
        <v>40335.0</v>
      </c>
      <c r="B221" s="34" t="s">
        <v>1884</v>
      </c>
    </row>
    <row r="222">
      <c r="A222" s="30">
        <v>42426.0</v>
      </c>
      <c r="B222" s="34" t="s">
        <v>1882</v>
      </c>
    </row>
    <row r="223">
      <c r="A223" s="30">
        <v>42878.0</v>
      </c>
      <c r="B223" s="34" t="s">
        <v>1886</v>
      </c>
    </row>
    <row r="224">
      <c r="A224" s="30">
        <v>42725.0</v>
      </c>
      <c r="B224" s="34" t="s">
        <v>1880</v>
      </c>
    </row>
    <row r="225">
      <c r="A225" s="30">
        <v>42336.0</v>
      </c>
      <c r="B225" s="34" t="s">
        <v>1883</v>
      </c>
    </row>
    <row r="226">
      <c r="A226" s="30">
        <v>40334.0</v>
      </c>
      <c r="B226" s="34" t="s">
        <v>1883</v>
      </c>
    </row>
    <row r="227">
      <c r="A227" s="30">
        <v>40973.0</v>
      </c>
      <c r="B227" s="34" t="s">
        <v>1885</v>
      </c>
    </row>
    <row r="228">
      <c r="A228" s="30">
        <v>42198.0</v>
      </c>
      <c r="B228" s="34" t="s">
        <v>1885</v>
      </c>
    </row>
    <row r="229">
      <c r="A229" s="30">
        <v>41715.0</v>
      </c>
      <c r="B229" s="34" t="s">
        <v>1885</v>
      </c>
    </row>
    <row r="230">
      <c r="A230" s="30">
        <v>41089.0</v>
      </c>
      <c r="B230" s="34" t="s">
        <v>1882</v>
      </c>
    </row>
    <row r="231">
      <c r="A231" s="30">
        <v>42687.0</v>
      </c>
      <c r="B231" s="34" t="s">
        <v>1884</v>
      </c>
    </row>
    <row r="232">
      <c r="A232" s="30">
        <v>41304.0</v>
      </c>
      <c r="B232" s="34" t="s">
        <v>1880</v>
      </c>
    </row>
    <row r="233">
      <c r="A233" s="30">
        <v>42157.0</v>
      </c>
      <c r="B233" s="34" t="s">
        <v>1886</v>
      </c>
    </row>
    <row r="234">
      <c r="A234" s="30">
        <v>40424.0</v>
      </c>
      <c r="B234" s="34" t="s">
        <v>1882</v>
      </c>
    </row>
    <row r="235">
      <c r="A235" s="30">
        <v>42064.0</v>
      </c>
      <c r="B235" s="34" t="s">
        <v>1884</v>
      </c>
    </row>
    <row r="236">
      <c r="A236" s="30">
        <v>42895.0</v>
      </c>
      <c r="B236" s="34" t="s">
        <v>1882</v>
      </c>
    </row>
    <row r="237">
      <c r="A237" s="30">
        <v>42521.0</v>
      </c>
      <c r="B237" s="34" t="s">
        <v>1886</v>
      </c>
    </row>
    <row r="238">
      <c r="A238" s="30">
        <v>40528.0</v>
      </c>
      <c r="B238" s="34" t="s">
        <v>1881</v>
      </c>
    </row>
    <row r="239">
      <c r="A239" s="30">
        <v>41183.0</v>
      </c>
      <c r="B239" s="34" t="s">
        <v>1885</v>
      </c>
    </row>
    <row r="240">
      <c r="A240" s="30">
        <v>41822.0</v>
      </c>
      <c r="B240" s="34" t="s">
        <v>1880</v>
      </c>
    </row>
    <row r="241">
      <c r="A241" s="30">
        <v>41416.0</v>
      </c>
      <c r="B241" s="34" t="s">
        <v>1880</v>
      </c>
    </row>
    <row r="242">
      <c r="A242" s="30">
        <v>42864.0</v>
      </c>
      <c r="B242" s="34" t="s">
        <v>1886</v>
      </c>
    </row>
    <row r="243">
      <c r="A243" s="30">
        <v>42313.0</v>
      </c>
      <c r="B243" s="34" t="s">
        <v>1881</v>
      </c>
    </row>
    <row r="244">
      <c r="A244" s="30">
        <v>41184.0</v>
      </c>
      <c r="B244" s="34" t="s">
        <v>1886</v>
      </c>
    </row>
    <row r="245">
      <c r="A245" s="30">
        <v>42177.0</v>
      </c>
      <c r="B245" s="34" t="s">
        <v>1885</v>
      </c>
    </row>
    <row r="246">
      <c r="A246" s="30">
        <v>41249.0</v>
      </c>
      <c r="B246" s="34" t="s">
        <v>1881</v>
      </c>
    </row>
    <row r="247">
      <c r="A247" s="30">
        <v>41798.0</v>
      </c>
      <c r="B247" s="34" t="s">
        <v>1884</v>
      </c>
    </row>
    <row r="248">
      <c r="A248" s="30">
        <v>40761.0</v>
      </c>
      <c r="B248" s="34" t="s">
        <v>1883</v>
      </c>
    </row>
    <row r="249">
      <c r="A249" s="30">
        <v>40991.0</v>
      </c>
      <c r="B249" s="34" t="s">
        <v>1882</v>
      </c>
    </row>
    <row r="250">
      <c r="A250" s="30">
        <v>41070.0</v>
      </c>
      <c r="B250" s="34" t="s">
        <v>1884</v>
      </c>
    </row>
    <row r="251">
      <c r="A251" s="30">
        <v>40577.0</v>
      </c>
      <c r="B251" s="34" t="s">
        <v>1881</v>
      </c>
    </row>
    <row r="252">
      <c r="A252" s="30">
        <v>42719.0</v>
      </c>
      <c r="B252" s="34" t="s">
        <v>1881</v>
      </c>
    </row>
    <row r="253">
      <c r="A253" s="30">
        <v>42618.0</v>
      </c>
      <c r="B253" s="34" t="s">
        <v>1885</v>
      </c>
    </row>
    <row r="254">
      <c r="A254" s="30">
        <v>41912.0</v>
      </c>
      <c r="B254" s="34" t="s">
        <v>1886</v>
      </c>
    </row>
    <row r="255">
      <c r="A255" s="30">
        <v>40874.0</v>
      </c>
      <c r="B255" s="34" t="s">
        <v>1884</v>
      </c>
    </row>
    <row r="256">
      <c r="A256" s="30">
        <v>42393.0</v>
      </c>
      <c r="B256" s="34" t="s">
        <v>1884</v>
      </c>
    </row>
    <row r="257">
      <c r="A257" s="30">
        <v>41518.0</v>
      </c>
      <c r="B257" s="34" t="s">
        <v>1884</v>
      </c>
    </row>
    <row r="258">
      <c r="A258" s="30">
        <v>41869.0</v>
      </c>
      <c r="B258" s="34" t="s">
        <v>1885</v>
      </c>
    </row>
    <row r="259">
      <c r="A259" s="30">
        <v>42016.0</v>
      </c>
      <c r="B259" s="34" t="s">
        <v>1885</v>
      </c>
    </row>
    <row r="260">
      <c r="A260" s="30">
        <v>41540.0</v>
      </c>
      <c r="B260" s="34" t="s">
        <v>1885</v>
      </c>
    </row>
    <row r="261">
      <c r="A261" s="30">
        <v>41781.0</v>
      </c>
      <c r="B261" s="34" t="s">
        <v>1881</v>
      </c>
    </row>
    <row r="262">
      <c r="A262" s="30">
        <v>40234.0</v>
      </c>
      <c r="B262" s="34" t="s">
        <v>1881</v>
      </c>
    </row>
    <row r="263">
      <c r="A263" s="30">
        <v>41984.0</v>
      </c>
      <c r="B263" s="34" t="s">
        <v>1881</v>
      </c>
    </row>
    <row r="264">
      <c r="A264" s="30">
        <v>40355.0</v>
      </c>
      <c r="B264" s="34" t="s">
        <v>1883</v>
      </c>
    </row>
    <row r="265">
      <c r="A265" s="30">
        <v>40606.0</v>
      </c>
      <c r="B265" s="34" t="s">
        <v>1882</v>
      </c>
    </row>
    <row r="266">
      <c r="A266" s="30">
        <v>40379.0</v>
      </c>
      <c r="B266" s="34" t="s">
        <v>1886</v>
      </c>
    </row>
    <row r="267">
      <c r="A267" s="30">
        <v>40800.0</v>
      </c>
      <c r="B267" s="34" t="s">
        <v>1880</v>
      </c>
    </row>
    <row r="268">
      <c r="A268" s="30">
        <v>42838.0</v>
      </c>
      <c r="B268" s="34" t="s">
        <v>1881</v>
      </c>
    </row>
    <row r="269">
      <c r="A269" s="30">
        <v>41057.0</v>
      </c>
      <c r="B269" s="34" t="s">
        <v>1885</v>
      </c>
    </row>
    <row r="270">
      <c r="A270" s="30">
        <v>42084.0</v>
      </c>
      <c r="B270" s="34" t="s">
        <v>1883</v>
      </c>
    </row>
    <row r="271">
      <c r="A271" s="30">
        <v>40776.0</v>
      </c>
      <c r="B271" s="34" t="s">
        <v>1884</v>
      </c>
    </row>
    <row r="272">
      <c r="A272" s="30">
        <v>40476.0</v>
      </c>
      <c r="B272" s="34" t="s">
        <v>1885</v>
      </c>
    </row>
    <row r="273">
      <c r="A273" s="30">
        <v>41649.0</v>
      </c>
      <c r="B273" s="34" t="s">
        <v>1882</v>
      </c>
    </row>
    <row r="274">
      <c r="A274" s="30">
        <v>40179.0</v>
      </c>
      <c r="B274" s="34" t="s">
        <v>1882</v>
      </c>
    </row>
    <row r="275">
      <c r="A275" s="30">
        <v>41707.0</v>
      </c>
      <c r="B275" s="34" t="s">
        <v>1884</v>
      </c>
    </row>
    <row r="276">
      <c r="A276" s="30">
        <v>40740.0</v>
      </c>
      <c r="B276" s="34" t="s">
        <v>1883</v>
      </c>
    </row>
    <row r="277">
      <c r="A277" s="30">
        <v>40839.0</v>
      </c>
      <c r="B277" s="34" t="s">
        <v>1884</v>
      </c>
    </row>
    <row r="278">
      <c r="A278" s="30">
        <v>41168.0</v>
      </c>
      <c r="B278" s="34" t="s">
        <v>1884</v>
      </c>
    </row>
    <row r="279">
      <c r="A279" s="30">
        <v>42024.0</v>
      </c>
      <c r="B279" s="34" t="s">
        <v>1886</v>
      </c>
    </row>
    <row r="280">
      <c r="A280" s="30">
        <v>41727.0</v>
      </c>
      <c r="B280" s="34" t="s">
        <v>1883</v>
      </c>
    </row>
    <row r="281">
      <c r="A281" s="30">
        <v>42571.0</v>
      </c>
      <c r="B281" s="34" t="s">
        <v>1880</v>
      </c>
    </row>
    <row r="282">
      <c r="A282" s="30">
        <v>42711.0</v>
      </c>
      <c r="B282" s="34" t="s">
        <v>1880</v>
      </c>
    </row>
    <row r="283">
      <c r="A283" s="30">
        <v>41454.0</v>
      </c>
      <c r="B283" s="34" t="s">
        <v>1883</v>
      </c>
    </row>
    <row r="284">
      <c r="A284" s="30">
        <v>42670.0</v>
      </c>
      <c r="B284" s="34" t="s">
        <v>1881</v>
      </c>
    </row>
    <row r="285">
      <c r="A285" s="30">
        <v>41882.0</v>
      </c>
      <c r="B285" s="34" t="s">
        <v>1884</v>
      </c>
    </row>
    <row r="286">
      <c r="A286" s="30">
        <v>41853.0</v>
      </c>
      <c r="B286" s="34" t="s">
        <v>1883</v>
      </c>
    </row>
    <row r="287">
      <c r="A287" s="30">
        <v>41246.0</v>
      </c>
      <c r="B287" s="34" t="s">
        <v>1885</v>
      </c>
    </row>
    <row r="288">
      <c r="A288" s="30">
        <v>42019.0</v>
      </c>
      <c r="B288" s="34" t="s">
        <v>1881</v>
      </c>
    </row>
    <row r="289">
      <c r="A289" s="30">
        <v>42338.0</v>
      </c>
      <c r="B289" s="34" t="s">
        <v>1885</v>
      </c>
    </row>
    <row r="290">
      <c r="A290" s="30">
        <v>42421.0</v>
      </c>
      <c r="B290" s="34" t="s">
        <v>1884</v>
      </c>
    </row>
    <row r="291">
      <c r="A291" s="30">
        <v>41009.0</v>
      </c>
      <c r="B291" s="34" t="s">
        <v>1886</v>
      </c>
    </row>
    <row r="292">
      <c r="A292" s="30">
        <v>42779.0</v>
      </c>
      <c r="B292" s="34" t="s">
        <v>1885</v>
      </c>
    </row>
    <row r="293">
      <c r="A293" s="30">
        <v>41279.0</v>
      </c>
      <c r="B293" s="34" t="s">
        <v>1883</v>
      </c>
    </row>
    <row r="294">
      <c r="A294" s="30">
        <v>41570.0</v>
      </c>
      <c r="B294" s="34" t="s">
        <v>1880</v>
      </c>
    </row>
    <row r="295">
      <c r="A295" s="30">
        <v>42767.0</v>
      </c>
      <c r="B295" s="34" t="s">
        <v>1880</v>
      </c>
    </row>
    <row r="296">
      <c r="A296" s="30">
        <v>40300.0</v>
      </c>
      <c r="B296" s="34" t="s">
        <v>1884</v>
      </c>
    </row>
    <row r="297">
      <c r="A297" s="30">
        <v>41053.0</v>
      </c>
      <c r="B297" s="34" t="s">
        <v>1881</v>
      </c>
    </row>
    <row r="298">
      <c r="A298" s="30">
        <v>40325.0</v>
      </c>
      <c r="B298" s="34" t="s">
        <v>1881</v>
      </c>
    </row>
    <row r="299">
      <c r="A299" s="30">
        <v>42518.0</v>
      </c>
      <c r="B299" s="34" t="s">
        <v>1883</v>
      </c>
    </row>
    <row r="300">
      <c r="A300" s="30">
        <v>42022.0</v>
      </c>
      <c r="B300" s="34" t="s">
        <v>1884</v>
      </c>
    </row>
    <row r="301">
      <c r="A301" s="30">
        <v>42121.0</v>
      </c>
      <c r="B301" s="34" t="s">
        <v>1885</v>
      </c>
    </row>
    <row r="302">
      <c r="A302" s="30">
        <v>40441.0</v>
      </c>
      <c r="B302" s="34" t="s">
        <v>1885</v>
      </c>
    </row>
    <row r="303">
      <c r="A303" s="30">
        <v>41655.0</v>
      </c>
      <c r="B303" s="34" t="s">
        <v>1881</v>
      </c>
    </row>
    <row r="304">
      <c r="A304" s="30">
        <v>40889.0</v>
      </c>
      <c r="B304" s="34" t="s">
        <v>1885</v>
      </c>
    </row>
    <row r="305">
      <c r="A305" s="30">
        <v>42576.0</v>
      </c>
      <c r="B305" s="34" t="s">
        <v>1885</v>
      </c>
    </row>
    <row r="306">
      <c r="A306" s="30">
        <v>41720.0</v>
      </c>
      <c r="B306" s="34" t="s">
        <v>1883</v>
      </c>
    </row>
    <row r="307">
      <c r="A307" s="30">
        <v>41266.0</v>
      </c>
      <c r="B307" s="34" t="s">
        <v>1884</v>
      </c>
    </row>
    <row r="308">
      <c r="A308" s="30">
        <v>41928.0</v>
      </c>
      <c r="B308" s="34" t="s">
        <v>1881</v>
      </c>
    </row>
    <row r="309">
      <c r="A309" s="30">
        <v>40768.0</v>
      </c>
      <c r="B309" s="34" t="s">
        <v>1883</v>
      </c>
    </row>
    <row r="310">
      <c r="A310" s="30">
        <v>40647.0</v>
      </c>
      <c r="B310" s="34" t="s">
        <v>1881</v>
      </c>
    </row>
    <row r="311">
      <c r="A311" s="30">
        <v>40335.0</v>
      </c>
      <c r="B311" s="34" t="s">
        <v>1884</v>
      </c>
    </row>
    <row r="312">
      <c r="A312" s="30">
        <v>41227.0</v>
      </c>
      <c r="B312" s="34" t="s">
        <v>1880</v>
      </c>
    </row>
    <row r="313">
      <c r="A313" s="30">
        <v>41546.0</v>
      </c>
      <c r="B313" s="34" t="s">
        <v>1884</v>
      </c>
    </row>
    <row r="314">
      <c r="A314" s="30">
        <v>41484.0</v>
      </c>
      <c r="B314" s="34" t="s">
        <v>1885</v>
      </c>
    </row>
    <row r="315">
      <c r="A315" s="30">
        <v>40526.0</v>
      </c>
      <c r="B315" s="34" t="s">
        <v>1886</v>
      </c>
    </row>
    <row r="316">
      <c r="A316" s="30">
        <v>41266.0</v>
      </c>
      <c r="B316" s="34" t="s">
        <v>1884</v>
      </c>
    </row>
    <row r="317">
      <c r="A317" s="30">
        <v>41022.0</v>
      </c>
      <c r="B317" s="34" t="s">
        <v>1885</v>
      </c>
    </row>
    <row r="318">
      <c r="A318" s="30">
        <v>42209.0</v>
      </c>
      <c r="B318" s="34" t="s">
        <v>1882</v>
      </c>
    </row>
    <row r="319">
      <c r="A319" s="30">
        <v>42792.0</v>
      </c>
      <c r="B319" s="34" t="s">
        <v>1884</v>
      </c>
    </row>
    <row r="320">
      <c r="A320" s="30">
        <v>40599.0</v>
      </c>
      <c r="B320" s="34" t="s">
        <v>1882</v>
      </c>
    </row>
    <row r="321">
      <c r="A321" s="30">
        <v>41764.0</v>
      </c>
      <c r="B321" s="34" t="s">
        <v>1885</v>
      </c>
    </row>
    <row r="322">
      <c r="A322" s="30">
        <v>41257.0</v>
      </c>
      <c r="B322" s="34" t="s">
        <v>1882</v>
      </c>
    </row>
    <row r="323">
      <c r="A323" s="30">
        <v>42471.0</v>
      </c>
      <c r="B323" s="34" t="s">
        <v>1885</v>
      </c>
    </row>
    <row r="324">
      <c r="A324" s="30">
        <v>42026.0</v>
      </c>
      <c r="B324" s="34" t="s">
        <v>1881</v>
      </c>
    </row>
    <row r="325">
      <c r="A325" s="30">
        <v>40405.0</v>
      </c>
      <c r="B325" s="34" t="s">
        <v>1884</v>
      </c>
    </row>
    <row r="326">
      <c r="A326" s="30">
        <v>42739.0</v>
      </c>
      <c r="B326" s="34" t="s">
        <v>1880</v>
      </c>
    </row>
    <row r="327">
      <c r="A327" s="30">
        <v>41566.0</v>
      </c>
      <c r="B327" s="34" t="s">
        <v>1883</v>
      </c>
    </row>
    <row r="328">
      <c r="A328" s="30">
        <v>42519.0</v>
      </c>
      <c r="B328" s="34" t="s">
        <v>1884</v>
      </c>
    </row>
    <row r="329">
      <c r="A329" s="30">
        <v>40517.0</v>
      </c>
      <c r="B329" s="34" t="s">
        <v>1884</v>
      </c>
    </row>
    <row r="330">
      <c r="A330" s="30">
        <v>41075.0</v>
      </c>
      <c r="B330" s="34" t="s">
        <v>1882</v>
      </c>
    </row>
    <row r="331">
      <c r="A331" s="30">
        <v>41557.0</v>
      </c>
      <c r="B331" s="34" t="s">
        <v>1881</v>
      </c>
    </row>
    <row r="332">
      <c r="A332" s="30">
        <v>41781.0</v>
      </c>
      <c r="B332" s="34" t="s">
        <v>1881</v>
      </c>
    </row>
    <row r="333">
      <c r="A333" s="30">
        <v>42855.0</v>
      </c>
      <c r="B333" s="34" t="s">
        <v>1884</v>
      </c>
    </row>
    <row r="334">
      <c r="A334" s="30">
        <v>42284.0</v>
      </c>
      <c r="B334" s="34" t="s">
        <v>1880</v>
      </c>
    </row>
    <row r="335">
      <c r="A335" s="30">
        <v>42074.0</v>
      </c>
      <c r="B335" s="34" t="s">
        <v>1880</v>
      </c>
    </row>
    <row r="336">
      <c r="A336" s="30">
        <v>40660.0</v>
      </c>
      <c r="B336" s="34" t="s">
        <v>1880</v>
      </c>
    </row>
    <row r="337">
      <c r="A337" s="30">
        <v>42144.0</v>
      </c>
      <c r="B337" s="34" t="s">
        <v>1880</v>
      </c>
    </row>
    <row r="338">
      <c r="A338" s="30">
        <v>42362.0</v>
      </c>
      <c r="B338" s="34" t="s">
        <v>1881</v>
      </c>
    </row>
    <row r="339">
      <c r="A339" s="30">
        <v>40914.0</v>
      </c>
      <c r="B339" s="34" t="s">
        <v>1882</v>
      </c>
    </row>
    <row r="340">
      <c r="A340" s="30">
        <v>41579.0</v>
      </c>
      <c r="B340" s="34" t="s">
        <v>1882</v>
      </c>
    </row>
    <row r="341">
      <c r="A341" s="30">
        <v>41385.0</v>
      </c>
      <c r="B341" s="34" t="s">
        <v>1884</v>
      </c>
    </row>
    <row r="342">
      <c r="A342" s="30">
        <v>41090.0</v>
      </c>
      <c r="B342" s="34" t="s">
        <v>1883</v>
      </c>
    </row>
    <row r="343">
      <c r="A343" s="30">
        <v>42718.0</v>
      </c>
      <c r="B343" s="34" t="s">
        <v>1880</v>
      </c>
    </row>
    <row r="344">
      <c r="A344" s="30">
        <v>40561.0</v>
      </c>
      <c r="B344" s="34" t="s">
        <v>1886</v>
      </c>
    </row>
    <row r="345">
      <c r="A345" s="30">
        <v>40938.0</v>
      </c>
      <c r="B345" s="34" t="s">
        <v>1885</v>
      </c>
    </row>
    <row r="346">
      <c r="A346" s="30">
        <v>41584.0</v>
      </c>
      <c r="B346" s="34" t="s">
        <v>1880</v>
      </c>
    </row>
    <row r="347">
      <c r="A347" s="30">
        <v>40457.0</v>
      </c>
      <c r="B347" s="34" t="s">
        <v>1880</v>
      </c>
    </row>
    <row r="348">
      <c r="A348" s="30">
        <v>42897.0</v>
      </c>
      <c r="B348" s="34" t="s">
        <v>1884</v>
      </c>
    </row>
    <row r="349">
      <c r="A349" s="30">
        <v>40286.0</v>
      </c>
      <c r="B349" s="34" t="s">
        <v>1884</v>
      </c>
    </row>
    <row r="350">
      <c r="A350" s="30">
        <v>41053.0</v>
      </c>
      <c r="B350" s="34" t="s">
        <v>1881</v>
      </c>
    </row>
    <row r="351">
      <c r="A351" s="30">
        <v>40194.0</v>
      </c>
      <c r="B351" s="34" t="s">
        <v>1883</v>
      </c>
    </row>
    <row r="352">
      <c r="A352" s="30">
        <v>40886.0</v>
      </c>
      <c r="B352" s="34" t="s">
        <v>1882</v>
      </c>
    </row>
    <row r="353">
      <c r="A353" s="30">
        <v>40803.0</v>
      </c>
      <c r="B353" s="34" t="s">
        <v>1883</v>
      </c>
    </row>
    <row r="354">
      <c r="A354" s="30">
        <v>42150.0</v>
      </c>
      <c r="B354" s="34" t="s">
        <v>1886</v>
      </c>
    </row>
    <row r="355">
      <c r="A355" s="30">
        <v>40349.0</v>
      </c>
      <c r="B355" s="34" t="s">
        <v>1884</v>
      </c>
    </row>
    <row r="356">
      <c r="A356" s="30">
        <v>42757.0</v>
      </c>
      <c r="B356" s="34" t="s">
        <v>1884</v>
      </c>
    </row>
    <row r="357">
      <c r="A357" s="30">
        <v>41340.0</v>
      </c>
      <c r="B357" s="34" t="s">
        <v>1881</v>
      </c>
    </row>
    <row r="358">
      <c r="A358" s="30">
        <v>42856.0</v>
      </c>
      <c r="B358" s="34" t="s">
        <v>1885</v>
      </c>
    </row>
    <row r="359">
      <c r="A359" s="30">
        <v>41689.0</v>
      </c>
      <c r="B359" s="34" t="s">
        <v>1880</v>
      </c>
    </row>
    <row r="360">
      <c r="A360" s="30">
        <v>40460.0</v>
      </c>
      <c r="B360" s="34" t="s">
        <v>1883</v>
      </c>
    </row>
    <row r="361">
      <c r="A361" s="30">
        <v>40620.0</v>
      </c>
      <c r="B361" s="34" t="s">
        <v>1882</v>
      </c>
    </row>
    <row r="362">
      <c r="A362" s="30">
        <v>41892.0</v>
      </c>
      <c r="B362" s="34" t="s">
        <v>1880</v>
      </c>
    </row>
    <row r="363">
      <c r="A363" s="30">
        <v>40301.0</v>
      </c>
      <c r="B363" s="34" t="s">
        <v>1885</v>
      </c>
    </row>
    <row r="364">
      <c r="A364" s="30">
        <v>42629.0</v>
      </c>
      <c r="B364" s="34" t="s">
        <v>1882</v>
      </c>
    </row>
    <row r="365">
      <c r="A365" s="30">
        <v>42578.0</v>
      </c>
      <c r="B365" s="34" t="s">
        <v>1880</v>
      </c>
    </row>
    <row r="366">
      <c r="A366" s="30">
        <v>40993.0</v>
      </c>
      <c r="B366" s="34" t="s">
        <v>1884</v>
      </c>
    </row>
    <row r="367">
      <c r="A367" s="30">
        <v>40538.0</v>
      </c>
      <c r="B367" s="34" t="s">
        <v>1884</v>
      </c>
    </row>
    <row r="368">
      <c r="A368" s="30">
        <v>42458.0</v>
      </c>
      <c r="B368" s="34" t="s">
        <v>1886</v>
      </c>
    </row>
    <row r="369">
      <c r="A369" s="30">
        <v>42785.0</v>
      </c>
      <c r="B369" s="34" t="s">
        <v>1884</v>
      </c>
    </row>
    <row r="370">
      <c r="A370" s="30">
        <v>41433.0</v>
      </c>
      <c r="B370" s="34" t="s">
        <v>1883</v>
      </c>
    </row>
    <row r="371">
      <c r="A371" s="30">
        <v>41140.0</v>
      </c>
      <c r="B371" s="34" t="s">
        <v>1884</v>
      </c>
    </row>
    <row r="372">
      <c r="A372" s="30">
        <v>41774.0</v>
      </c>
      <c r="B372" s="34" t="s">
        <v>1881</v>
      </c>
    </row>
    <row r="373">
      <c r="A373" s="30">
        <v>40516.0</v>
      </c>
      <c r="B373" s="34" t="s">
        <v>1883</v>
      </c>
    </row>
    <row r="374">
      <c r="A374" s="30">
        <v>41914.0</v>
      </c>
      <c r="B374" s="34" t="s">
        <v>1881</v>
      </c>
    </row>
    <row r="375">
      <c r="A375" s="30">
        <v>42477.0</v>
      </c>
      <c r="B375" s="34" t="s">
        <v>1884</v>
      </c>
    </row>
    <row r="376">
      <c r="A376" s="30">
        <v>41196.0</v>
      </c>
      <c r="B376" s="34" t="s">
        <v>1884</v>
      </c>
    </row>
    <row r="377">
      <c r="A377" s="30">
        <v>41114.0</v>
      </c>
      <c r="B377" s="34" t="s">
        <v>1886</v>
      </c>
    </row>
    <row r="378">
      <c r="A378" s="30">
        <v>41234.0</v>
      </c>
      <c r="B378" s="34" t="s">
        <v>1880</v>
      </c>
    </row>
    <row r="379">
      <c r="A379" s="30">
        <v>40328.0</v>
      </c>
      <c r="B379" s="34" t="s">
        <v>1884</v>
      </c>
    </row>
    <row r="380">
      <c r="A380" s="30">
        <v>42035.0</v>
      </c>
      <c r="B380" s="34" t="s">
        <v>1883</v>
      </c>
    </row>
    <row r="381">
      <c r="A381" s="30">
        <v>40190.0</v>
      </c>
      <c r="B381" s="34" t="s">
        <v>1886</v>
      </c>
    </row>
    <row r="382">
      <c r="A382" s="30">
        <v>42146.0</v>
      </c>
      <c r="B382" s="34" t="s">
        <v>1882</v>
      </c>
    </row>
    <row r="383">
      <c r="A383" s="30">
        <v>41834.0</v>
      </c>
      <c r="B383" s="34" t="s">
        <v>1885</v>
      </c>
    </row>
    <row r="384">
      <c r="A384" s="30">
        <v>42385.0</v>
      </c>
      <c r="B384" s="34" t="s">
        <v>1883</v>
      </c>
    </row>
    <row r="385">
      <c r="A385" s="30">
        <v>41329.0</v>
      </c>
      <c r="B385" s="34" t="s">
        <v>1884</v>
      </c>
    </row>
    <row r="386">
      <c r="A386" s="30">
        <v>42724.0</v>
      </c>
      <c r="B386" s="34" t="s">
        <v>1886</v>
      </c>
    </row>
    <row r="387">
      <c r="A387" s="30">
        <v>42231.0</v>
      </c>
      <c r="B387" s="34" t="s">
        <v>1883</v>
      </c>
    </row>
    <row r="388">
      <c r="A388" s="30">
        <v>41665.0</v>
      </c>
      <c r="B388" s="34" t="s">
        <v>1884</v>
      </c>
    </row>
    <row r="389">
      <c r="A389" s="30">
        <v>40746.0</v>
      </c>
      <c r="B389" s="34" t="s">
        <v>1882</v>
      </c>
    </row>
    <row r="390">
      <c r="A390" s="30">
        <v>42741.0</v>
      </c>
      <c r="B390" s="34" t="s">
        <v>1882</v>
      </c>
    </row>
    <row r="391">
      <c r="A391" s="30">
        <v>41090.0</v>
      </c>
      <c r="B391" s="34" t="s">
        <v>1883</v>
      </c>
    </row>
    <row r="392">
      <c r="A392" s="30">
        <v>42548.0</v>
      </c>
      <c r="B392" s="34" t="s">
        <v>1885</v>
      </c>
    </row>
    <row r="393">
      <c r="A393" s="30">
        <v>41972.0</v>
      </c>
      <c r="B393" s="34" t="s">
        <v>1883</v>
      </c>
    </row>
    <row r="394">
      <c r="A394" s="30">
        <v>40954.0</v>
      </c>
      <c r="B394" s="34" t="s">
        <v>1880</v>
      </c>
    </row>
    <row r="395">
      <c r="A395" s="30">
        <v>41165.0</v>
      </c>
      <c r="B395" s="34" t="s">
        <v>1881</v>
      </c>
    </row>
    <row r="396">
      <c r="A396" s="30">
        <v>40710.0</v>
      </c>
      <c r="B396" s="34" t="s">
        <v>1881</v>
      </c>
    </row>
    <row r="397">
      <c r="A397" s="30">
        <v>41528.0</v>
      </c>
      <c r="B397" s="34" t="s">
        <v>1880</v>
      </c>
    </row>
    <row r="398">
      <c r="A398" s="30">
        <v>40631.0</v>
      </c>
      <c r="B398" s="34" t="s">
        <v>1886</v>
      </c>
    </row>
    <row r="399">
      <c r="A399" s="30">
        <v>42365.0</v>
      </c>
      <c r="B399" s="34" t="s">
        <v>1884</v>
      </c>
    </row>
    <row r="400">
      <c r="A400" s="30">
        <v>41896.0</v>
      </c>
      <c r="B400" s="34" t="s">
        <v>1884</v>
      </c>
    </row>
    <row r="401">
      <c r="A401" s="30">
        <v>40856.0</v>
      </c>
      <c r="B401" s="34" t="s">
        <v>1880</v>
      </c>
    </row>
    <row r="402">
      <c r="A402" s="30">
        <v>41137.0</v>
      </c>
      <c r="B402" s="34" t="s">
        <v>1881</v>
      </c>
    </row>
    <row r="403">
      <c r="A403" s="30">
        <v>42549.0</v>
      </c>
      <c r="B403" s="34" t="s">
        <v>1886</v>
      </c>
    </row>
    <row r="404">
      <c r="A404" s="30">
        <v>41229.0</v>
      </c>
      <c r="B404" s="34" t="s">
        <v>1882</v>
      </c>
    </row>
    <row r="405">
      <c r="A405" s="30">
        <v>41238.0</v>
      </c>
      <c r="B405" s="34" t="s">
        <v>1884</v>
      </c>
    </row>
    <row r="406">
      <c r="A406" s="30">
        <v>40489.0</v>
      </c>
      <c r="B406" s="34" t="s">
        <v>1884</v>
      </c>
    </row>
    <row r="407">
      <c r="A407" s="30">
        <v>42930.0</v>
      </c>
      <c r="B407" s="34" t="s">
        <v>1882</v>
      </c>
    </row>
    <row r="408">
      <c r="A408" s="30">
        <v>41753.0</v>
      </c>
      <c r="B408" s="34" t="s">
        <v>1881</v>
      </c>
    </row>
    <row r="409">
      <c r="A409" s="30">
        <v>40898.0</v>
      </c>
      <c r="B409" s="34" t="s">
        <v>1880</v>
      </c>
    </row>
    <row r="410">
      <c r="A410" s="30">
        <v>42034.0</v>
      </c>
      <c r="B410" s="34" t="s">
        <v>1882</v>
      </c>
    </row>
    <row r="411">
      <c r="A411" s="30">
        <v>41340.0</v>
      </c>
      <c r="B411" s="34" t="s">
        <v>1881</v>
      </c>
    </row>
    <row r="412">
      <c r="A412" s="30">
        <v>40972.0</v>
      </c>
      <c r="B412" s="34" t="s">
        <v>1884</v>
      </c>
    </row>
    <row r="413">
      <c r="A413" s="30">
        <v>41918.0</v>
      </c>
      <c r="B413" s="34" t="s">
        <v>1885</v>
      </c>
    </row>
    <row r="414">
      <c r="A414" s="30">
        <v>41321.0</v>
      </c>
      <c r="B414" s="34" t="s">
        <v>1883</v>
      </c>
    </row>
    <row r="415">
      <c r="A415" s="30">
        <v>42573.0</v>
      </c>
      <c r="B415" s="34" t="s">
        <v>1882</v>
      </c>
    </row>
    <row r="416">
      <c r="A416" s="30">
        <v>40257.0</v>
      </c>
      <c r="B416" s="34" t="s">
        <v>1883</v>
      </c>
    </row>
    <row r="417">
      <c r="A417" s="30">
        <v>40668.0</v>
      </c>
      <c r="B417" s="34" t="s">
        <v>1881</v>
      </c>
    </row>
    <row r="418">
      <c r="A418" s="30">
        <v>42638.0</v>
      </c>
      <c r="B418" s="34" t="s">
        <v>1884</v>
      </c>
    </row>
    <row r="419">
      <c r="A419" s="30">
        <v>42053.0</v>
      </c>
      <c r="B419" s="34" t="s">
        <v>1880</v>
      </c>
    </row>
    <row r="420">
      <c r="A420" s="30">
        <v>42314.0</v>
      </c>
      <c r="B420" s="34" t="s">
        <v>1882</v>
      </c>
    </row>
    <row r="421">
      <c r="A421" s="30">
        <v>40965.0</v>
      </c>
      <c r="B421" s="34" t="s">
        <v>1884</v>
      </c>
    </row>
    <row r="422">
      <c r="A422" s="30">
        <v>41364.0</v>
      </c>
      <c r="B422" s="34" t="s">
        <v>1884</v>
      </c>
    </row>
    <row r="423">
      <c r="A423" s="30">
        <v>40528.0</v>
      </c>
      <c r="B423" s="34" t="s">
        <v>1881</v>
      </c>
    </row>
    <row r="424">
      <c r="A424" s="30">
        <v>41734.0</v>
      </c>
      <c r="B424" s="34" t="s">
        <v>1883</v>
      </c>
    </row>
    <row r="425">
      <c r="A425" s="30">
        <v>42568.0</v>
      </c>
      <c r="B425" s="34" t="s">
        <v>1884</v>
      </c>
    </row>
    <row r="426">
      <c r="A426" s="30">
        <v>41631.0</v>
      </c>
      <c r="B426" s="34" t="s">
        <v>1885</v>
      </c>
    </row>
    <row r="427">
      <c r="A427" s="30">
        <v>40999.0</v>
      </c>
      <c r="B427" s="34" t="s">
        <v>1883</v>
      </c>
    </row>
    <row r="428">
      <c r="A428" s="30">
        <v>42738.0</v>
      </c>
      <c r="B428" s="34" t="s">
        <v>1886</v>
      </c>
    </row>
    <row r="429">
      <c r="A429" s="30">
        <v>40927.0</v>
      </c>
      <c r="B429" s="34" t="s">
        <v>1881</v>
      </c>
    </row>
    <row r="430">
      <c r="A430" s="30">
        <v>42704.0</v>
      </c>
      <c r="B430" s="34" t="s">
        <v>1880</v>
      </c>
    </row>
    <row r="431">
      <c r="A431" s="30">
        <v>42441.0</v>
      </c>
      <c r="B431" s="34" t="s">
        <v>1883</v>
      </c>
    </row>
    <row r="432">
      <c r="A432" s="30">
        <v>42008.0</v>
      </c>
      <c r="B432" s="34" t="s">
        <v>1884</v>
      </c>
    </row>
    <row r="433">
      <c r="A433" s="30">
        <v>40719.0</v>
      </c>
      <c r="B433" s="34" t="s">
        <v>1883</v>
      </c>
    </row>
    <row r="434">
      <c r="A434" s="30">
        <v>40729.0</v>
      </c>
      <c r="B434" s="34" t="s">
        <v>1886</v>
      </c>
    </row>
    <row r="435">
      <c r="A435" s="30">
        <v>40306.0</v>
      </c>
      <c r="B435" s="34" t="s">
        <v>1883</v>
      </c>
    </row>
    <row r="436">
      <c r="A436" s="30">
        <v>42806.0</v>
      </c>
      <c r="B436" s="34" t="s">
        <v>1884</v>
      </c>
    </row>
    <row r="437">
      <c r="A437" s="30">
        <v>40190.0</v>
      </c>
      <c r="B437" s="34" t="s">
        <v>1886</v>
      </c>
    </row>
    <row r="438">
      <c r="A438" s="30">
        <v>41135.0</v>
      </c>
      <c r="B438" s="34" t="s">
        <v>1886</v>
      </c>
    </row>
    <row r="439">
      <c r="A439" s="30">
        <v>40903.0</v>
      </c>
      <c r="B439" s="34" t="s">
        <v>1885</v>
      </c>
    </row>
    <row r="440">
      <c r="A440" s="30">
        <v>42581.0</v>
      </c>
      <c r="B440" s="34" t="s">
        <v>1883</v>
      </c>
    </row>
    <row r="441">
      <c r="A441" s="30">
        <v>42400.0</v>
      </c>
      <c r="B441" s="34" t="s">
        <v>1884</v>
      </c>
    </row>
    <row r="442">
      <c r="A442" s="30">
        <v>40463.0</v>
      </c>
      <c r="B442" s="34" t="s">
        <v>1886</v>
      </c>
    </row>
    <row r="443">
      <c r="A443" s="30">
        <v>42390.0</v>
      </c>
      <c r="B443" s="34" t="s">
        <v>1881</v>
      </c>
    </row>
    <row r="444">
      <c r="A444" s="30">
        <v>41706.0</v>
      </c>
      <c r="B444" s="34" t="s">
        <v>1883</v>
      </c>
    </row>
    <row r="445">
      <c r="A445" s="30">
        <v>40216.0</v>
      </c>
      <c r="B445" s="34" t="s">
        <v>1884</v>
      </c>
    </row>
    <row r="446">
      <c r="A446" s="30">
        <v>41362.0</v>
      </c>
      <c r="B446" s="34" t="s">
        <v>1882</v>
      </c>
    </row>
    <row r="447">
      <c r="A447" s="30">
        <v>41941.0</v>
      </c>
      <c r="B447" s="34" t="s">
        <v>1880</v>
      </c>
    </row>
    <row r="448">
      <c r="A448" s="30">
        <v>41085.0</v>
      </c>
      <c r="B448" s="34" t="s">
        <v>1885</v>
      </c>
    </row>
    <row r="449">
      <c r="A449" s="30">
        <v>40228.0</v>
      </c>
      <c r="B449" s="34" t="s">
        <v>1882</v>
      </c>
    </row>
    <row r="450">
      <c r="A450" s="30">
        <v>41776.0</v>
      </c>
      <c r="B450" s="34" t="s">
        <v>1883</v>
      </c>
    </row>
    <row r="451">
      <c r="A451" s="30">
        <v>42156.0</v>
      </c>
      <c r="B451" s="34" t="s">
        <v>1885</v>
      </c>
    </row>
    <row r="452">
      <c r="A452" s="30">
        <v>41984.0</v>
      </c>
      <c r="B452" s="34" t="s">
        <v>1881</v>
      </c>
    </row>
    <row r="453">
      <c r="A453" s="30">
        <v>41466.0</v>
      </c>
      <c r="B453" s="34" t="s">
        <v>1881</v>
      </c>
    </row>
    <row r="454">
      <c r="A454" s="30">
        <v>40357.0</v>
      </c>
      <c r="B454" s="34" t="s">
        <v>1885</v>
      </c>
    </row>
    <row r="455">
      <c r="A455" s="30">
        <v>40623.0</v>
      </c>
      <c r="B455" s="34" t="s">
        <v>1885</v>
      </c>
    </row>
    <row r="456">
      <c r="A456" s="30">
        <v>42658.0</v>
      </c>
      <c r="B456" s="34" t="s">
        <v>1883</v>
      </c>
    </row>
    <row r="457">
      <c r="A457" s="30">
        <v>42385.0</v>
      </c>
      <c r="B457" s="34" t="s">
        <v>1883</v>
      </c>
    </row>
    <row r="458">
      <c r="A458" s="30">
        <v>42219.0</v>
      </c>
      <c r="B458" s="34" t="s">
        <v>1885</v>
      </c>
    </row>
    <row r="459">
      <c r="A459" s="30">
        <v>41982.0</v>
      </c>
      <c r="B459" s="34" t="s">
        <v>1886</v>
      </c>
    </row>
    <row r="460">
      <c r="A460" s="30">
        <v>42463.0</v>
      </c>
      <c r="B460" s="34" t="s">
        <v>1884</v>
      </c>
    </row>
    <row r="461">
      <c r="A461" s="30">
        <v>41858.0</v>
      </c>
      <c r="B461" s="34" t="s">
        <v>1881</v>
      </c>
    </row>
    <row r="462">
      <c r="A462" s="30">
        <v>42519.0</v>
      </c>
      <c r="B462" s="34" t="s">
        <v>1884</v>
      </c>
    </row>
    <row r="463">
      <c r="A463" s="30">
        <v>41547.0</v>
      </c>
      <c r="B463" s="34" t="s">
        <v>1885</v>
      </c>
    </row>
    <row r="464">
      <c r="A464" s="30">
        <v>41363.0</v>
      </c>
      <c r="B464" s="34" t="s">
        <v>1883</v>
      </c>
    </row>
    <row r="465">
      <c r="A465" s="30">
        <v>41844.0</v>
      </c>
      <c r="B465" s="34" t="s">
        <v>1881</v>
      </c>
    </row>
    <row r="466">
      <c r="A466" s="30">
        <v>42695.0</v>
      </c>
      <c r="B466" s="34" t="s">
        <v>1885</v>
      </c>
    </row>
    <row r="467">
      <c r="A467" s="30">
        <v>40945.0</v>
      </c>
      <c r="B467" s="34" t="s">
        <v>1885</v>
      </c>
    </row>
    <row r="468">
      <c r="A468" s="30">
        <v>42795.0</v>
      </c>
      <c r="B468" s="34" t="s">
        <v>1880</v>
      </c>
    </row>
    <row r="469">
      <c r="A469" s="30">
        <v>41114.0</v>
      </c>
      <c r="B469" s="34" t="s">
        <v>1886</v>
      </c>
    </row>
    <row r="470">
      <c r="A470" s="30">
        <v>41298.0</v>
      </c>
      <c r="B470" s="34" t="s">
        <v>1881</v>
      </c>
    </row>
    <row r="471">
      <c r="A471" s="30">
        <v>42524.0</v>
      </c>
      <c r="B471" s="34" t="s">
        <v>1882</v>
      </c>
    </row>
    <row r="472">
      <c r="A472" s="30">
        <v>41274.0</v>
      </c>
      <c r="B472" s="34" t="s">
        <v>1885</v>
      </c>
    </row>
    <row r="473">
      <c r="A473" s="30">
        <v>42550.0</v>
      </c>
      <c r="B473" s="34" t="s">
        <v>1880</v>
      </c>
    </row>
    <row r="474">
      <c r="A474" s="30">
        <v>42134.0</v>
      </c>
      <c r="B474" s="34" t="s">
        <v>1884</v>
      </c>
    </row>
    <row r="475">
      <c r="A475" s="30">
        <v>41881.0</v>
      </c>
      <c r="B475" s="34" t="s">
        <v>1883</v>
      </c>
    </row>
    <row r="476">
      <c r="A476" s="30">
        <v>42906.0</v>
      </c>
      <c r="B476" s="34" t="s">
        <v>1886</v>
      </c>
    </row>
    <row r="477">
      <c r="A477" s="30">
        <v>40918.0</v>
      </c>
      <c r="B477" s="34" t="s">
        <v>1886</v>
      </c>
    </row>
    <row r="478">
      <c r="A478" s="30">
        <v>41095.0</v>
      </c>
      <c r="B478" s="34" t="s">
        <v>1881</v>
      </c>
    </row>
    <row r="479">
      <c r="A479" s="30">
        <v>42633.0</v>
      </c>
      <c r="B479" s="34" t="s">
        <v>1886</v>
      </c>
    </row>
    <row r="480">
      <c r="A480" s="30">
        <v>40604.0</v>
      </c>
      <c r="B480" s="34" t="s">
        <v>1880</v>
      </c>
    </row>
    <row r="481">
      <c r="A481" s="30">
        <v>40914.0</v>
      </c>
      <c r="B481" s="34" t="s">
        <v>1882</v>
      </c>
    </row>
    <row r="482">
      <c r="A482" s="30">
        <v>41615.0</v>
      </c>
      <c r="B482" s="34" t="s">
        <v>1883</v>
      </c>
    </row>
    <row r="483">
      <c r="A483" s="30">
        <v>42077.0</v>
      </c>
      <c r="B483" s="34" t="s">
        <v>1883</v>
      </c>
    </row>
    <row r="484">
      <c r="A484" s="30">
        <v>42505.0</v>
      </c>
      <c r="B484" s="34" t="s">
        <v>1884</v>
      </c>
    </row>
    <row r="485">
      <c r="A485" s="30">
        <v>41310.0</v>
      </c>
      <c r="B485" s="34" t="s">
        <v>1886</v>
      </c>
    </row>
    <row r="486">
      <c r="A486" s="30">
        <v>40897.0</v>
      </c>
      <c r="B486" s="34" t="s">
        <v>1886</v>
      </c>
    </row>
    <row r="487">
      <c r="A487" s="30">
        <v>41369.0</v>
      </c>
      <c r="B487" s="34" t="s">
        <v>1882</v>
      </c>
    </row>
    <row r="488">
      <c r="A488" s="30">
        <v>40409.0</v>
      </c>
      <c r="B488" s="34" t="s">
        <v>1881</v>
      </c>
    </row>
    <row r="489">
      <c r="A489" s="30">
        <v>42341.0</v>
      </c>
      <c r="B489" s="34" t="s">
        <v>1881</v>
      </c>
    </row>
    <row r="490">
      <c r="A490" s="30">
        <v>41582.0</v>
      </c>
      <c r="B490" s="34" t="s">
        <v>1885</v>
      </c>
    </row>
    <row r="491">
      <c r="A491" s="30">
        <v>41930.0</v>
      </c>
      <c r="B491" s="34" t="s">
        <v>1883</v>
      </c>
    </row>
    <row r="492">
      <c r="A492" s="30">
        <v>41430.0</v>
      </c>
      <c r="B492" s="34" t="s">
        <v>1880</v>
      </c>
    </row>
    <row r="493">
      <c r="A493" s="30">
        <v>42242.0</v>
      </c>
      <c r="B493" s="34" t="s">
        <v>1880</v>
      </c>
    </row>
    <row r="494">
      <c r="A494" s="30">
        <v>42583.0</v>
      </c>
      <c r="B494" s="34" t="s">
        <v>1885</v>
      </c>
    </row>
    <row r="495">
      <c r="A495" s="30">
        <v>42249.0</v>
      </c>
      <c r="B495" s="34" t="s">
        <v>1880</v>
      </c>
    </row>
    <row r="496">
      <c r="A496" s="30">
        <v>40699.0</v>
      </c>
      <c r="B496" s="34" t="s">
        <v>1884</v>
      </c>
    </row>
    <row r="497">
      <c r="A497" s="30">
        <v>41338.0</v>
      </c>
      <c r="B497" s="34" t="s">
        <v>1886</v>
      </c>
    </row>
    <row r="498">
      <c r="A498" s="30">
        <v>40409.0</v>
      </c>
      <c r="B498" s="34" t="s">
        <v>1881</v>
      </c>
    </row>
    <row r="499">
      <c r="A499" s="30">
        <v>40448.0</v>
      </c>
      <c r="B499" s="34" t="s">
        <v>1885</v>
      </c>
    </row>
    <row r="500">
      <c r="A500" s="30">
        <v>41101.0</v>
      </c>
      <c r="B500" s="34" t="s">
        <v>1880</v>
      </c>
    </row>
    <row r="501">
      <c r="A501" s="30">
        <v>40446.0</v>
      </c>
      <c r="B501" s="34" t="s">
        <v>1883</v>
      </c>
    </row>
    <row r="502">
      <c r="A502" s="30">
        <v>41568.0</v>
      </c>
      <c r="B502" s="34" t="s">
        <v>1885</v>
      </c>
    </row>
    <row r="503">
      <c r="A503" s="30">
        <v>41582.0</v>
      </c>
      <c r="B503" s="34" t="s">
        <v>1885</v>
      </c>
    </row>
    <row r="504">
      <c r="A504" s="30">
        <v>40876.0</v>
      </c>
      <c r="B504" s="34" t="s">
        <v>1886</v>
      </c>
    </row>
    <row r="505">
      <c r="A505" s="30">
        <v>42022.0</v>
      </c>
      <c r="B505" s="34" t="s">
        <v>1884</v>
      </c>
    </row>
    <row r="506">
      <c r="A506" s="30">
        <v>41326.0</v>
      </c>
      <c r="B506" s="34" t="s">
        <v>1881</v>
      </c>
    </row>
    <row r="507">
      <c r="A507" s="30">
        <v>40707.0</v>
      </c>
      <c r="B507" s="34" t="s">
        <v>1885</v>
      </c>
    </row>
    <row r="508">
      <c r="A508" s="30">
        <v>41077.0</v>
      </c>
      <c r="B508" s="34" t="s">
        <v>1884</v>
      </c>
    </row>
    <row r="509">
      <c r="A509" s="30">
        <v>42777.0</v>
      </c>
      <c r="B509" s="34" t="s">
        <v>1883</v>
      </c>
    </row>
    <row r="510">
      <c r="A510" s="30">
        <v>40823.0</v>
      </c>
      <c r="B510" s="34" t="s">
        <v>1882</v>
      </c>
    </row>
    <row r="511">
      <c r="A511" s="30">
        <v>42080.0</v>
      </c>
      <c r="B511" s="34" t="s">
        <v>1886</v>
      </c>
    </row>
    <row r="512">
      <c r="A512" s="30">
        <v>40448.0</v>
      </c>
      <c r="B512" s="34" t="s">
        <v>1885</v>
      </c>
    </row>
    <row r="513">
      <c r="A513" s="30">
        <v>41440.0</v>
      </c>
      <c r="B513" s="34" t="s">
        <v>1883</v>
      </c>
    </row>
    <row r="514">
      <c r="A514" s="30">
        <v>42083.0</v>
      </c>
      <c r="B514" s="34" t="s">
        <v>1882</v>
      </c>
    </row>
    <row r="515">
      <c r="A515" s="30">
        <v>42484.0</v>
      </c>
      <c r="B515" s="34" t="s">
        <v>1884</v>
      </c>
    </row>
    <row r="516">
      <c r="A516" s="30">
        <v>41367.0</v>
      </c>
      <c r="B516" s="34" t="s">
        <v>1880</v>
      </c>
    </row>
    <row r="517">
      <c r="A517" s="30">
        <v>41505.0</v>
      </c>
      <c r="B517" s="34" t="s">
        <v>1885</v>
      </c>
    </row>
    <row r="518">
      <c r="A518" s="30">
        <v>41643.0</v>
      </c>
      <c r="B518" s="34" t="s">
        <v>1883</v>
      </c>
    </row>
    <row r="519">
      <c r="A519" s="30">
        <v>41321.0</v>
      </c>
      <c r="B519" s="34" t="s">
        <v>1883</v>
      </c>
    </row>
    <row r="520">
      <c r="A520" s="30">
        <v>40876.0</v>
      </c>
      <c r="B520" s="34" t="s">
        <v>1886</v>
      </c>
    </row>
    <row r="521">
      <c r="A521" s="30">
        <v>41689.0</v>
      </c>
      <c r="B521" s="34" t="s">
        <v>1880</v>
      </c>
    </row>
    <row r="522">
      <c r="A522" s="30">
        <v>42161.0</v>
      </c>
      <c r="B522" s="34" t="s">
        <v>1883</v>
      </c>
    </row>
    <row r="523">
      <c r="A523" s="30">
        <v>40853.0</v>
      </c>
      <c r="B523" s="34" t="s">
        <v>1884</v>
      </c>
    </row>
    <row r="524">
      <c r="A524" s="30">
        <v>42301.0</v>
      </c>
      <c r="B524" s="34" t="s">
        <v>1883</v>
      </c>
    </row>
    <row r="525">
      <c r="A525" s="30">
        <v>41873.0</v>
      </c>
      <c r="B525" s="34" t="s">
        <v>1882</v>
      </c>
    </row>
    <row r="526">
      <c r="A526" s="30">
        <v>40282.0</v>
      </c>
      <c r="B526" s="34" t="s">
        <v>1880</v>
      </c>
    </row>
    <row r="527">
      <c r="A527" s="30">
        <v>42554.0</v>
      </c>
      <c r="B527" s="34" t="s">
        <v>1884</v>
      </c>
    </row>
    <row r="528">
      <c r="A528" s="30">
        <v>42426.0</v>
      </c>
      <c r="B528" s="34" t="s">
        <v>1882</v>
      </c>
    </row>
    <row r="529">
      <c r="A529" s="30">
        <v>41718.0</v>
      </c>
      <c r="B529" s="34" t="s">
        <v>1881</v>
      </c>
    </row>
    <row r="530">
      <c r="A530" s="30">
        <v>40901.0</v>
      </c>
      <c r="B530" s="34" t="s">
        <v>1883</v>
      </c>
    </row>
    <row r="531">
      <c r="A531" s="30">
        <v>42018.0</v>
      </c>
      <c r="B531" s="34" t="s">
        <v>1880</v>
      </c>
    </row>
    <row r="532">
      <c r="A532" s="30">
        <v>41716.0</v>
      </c>
      <c r="B532" s="34" t="s">
        <v>1886</v>
      </c>
    </row>
    <row r="533">
      <c r="A533" s="30">
        <v>40761.0</v>
      </c>
      <c r="B533" s="34" t="s">
        <v>1883</v>
      </c>
    </row>
    <row r="534">
      <c r="A534" s="30">
        <v>40940.0</v>
      </c>
      <c r="B534" s="34" t="s">
        <v>1880</v>
      </c>
    </row>
    <row r="535">
      <c r="A535" s="30">
        <v>41839.0</v>
      </c>
      <c r="B535" s="34" t="s">
        <v>1883</v>
      </c>
    </row>
    <row r="536">
      <c r="A536" s="30">
        <v>41244.0</v>
      </c>
      <c r="B536" s="34" t="s">
        <v>1883</v>
      </c>
    </row>
    <row r="537">
      <c r="A537" s="30">
        <v>40991.0</v>
      </c>
      <c r="B537" s="34" t="s">
        <v>1882</v>
      </c>
    </row>
    <row r="538">
      <c r="A538" s="30">
        <v>42098.0</v>
      </c>
      <c r="B538" s="34" t="s">
        <v>1883</v>
      </c>
    </row>
    <row r="539">
      <c r="A539" s="30">
        <v>41593.0</v>
      </c>
      <c r="B539" s="34" t="s">
        <v>1882</v>
      </c>
    </row>
    <row r="540">
      <c r="A540" s="30">
        <v>40969.0</v>
      </c>
      <c r="B540" s="34" t="s">
        <v>1881</v>
      </c>
    </row>
    <row r="541">
      <c r="A541" s="30">
        <v>42763.0</v>
      </c>
      <c r="B541" s="34" t="s">
        <v>1883</v>
      </c>
    </row>
    <row r="542">
      <c r="A542" s="30">
        <v>42417.0</v>
      </c>
      <c r="B542" s="34" t="s">
        <v>1880</v>
      </c>
    </row>
    <row r="543">
      <c r="A543" s="30">
        <v>42415.0</v>
      </c>
      <c r="B543" s="34" t="s">
        <v>1885</v>
      </c>
    </row>
    <row r="544">
      <c r="A544" s="30">
        <v>41366.0</v>
      </c>
      <c r="B544" s="34" t="s">
        <v>1886</v>
      </c>
    </row>
    <row r="545">
      <c r="A545" s="30">
        <v>42618.0</v>
      </c>
      <c r="B545" s="34" t="s">
        <v>1885</v>
      </c>
    </row>
    <row r="546">
      <c r="A546" s="30">
        <v>41646.0</v>
      </c>
      <c r="B546" s="34" t="s">
        <v>1886</v>
      </c>
    </row>
    <row r="547">
      <c r="A547" s="30">
        <v>40616.0</v>
      </c>
      <c r="B547" s="34" t="s">
        <v>1885</v>
      </c>
    </row>
    <row r="548">
      <c r="A548" s="30">
        <v>40391.0</v>
      </c>
      <c r="B548" s="34" t="s">
        <v>1884</v>
      </c>
    </row>
    <row r="549">
      <c r="A549" s="30">
        <v>40771.0</v>
      </c>
      <c r="B549" s="34" t="s">
        <v>1886</v>
      </c>
    </row>
    <row r="550">
      <c r="A550" s="30">
        <v>41344.0</v>
      </c>
      <c r="B550" s="34" t="s">
        <v>1885</v>
      </c>
    </row>
    <row r="551">
      <c r="A551" s="30">
        <v>41485.0</v>
      </c>
      <c r="B551" s="34" t="s">
        <v>1886</v>
      </c>
    </row>
    <row r="552">
      <c r="A552" s="30">
        <v>42439.0</v>
      </c>
      <c r="B552" s="34" t="s">
        <v>1881</v>
      </c>
    </row>
    <row r="553">
      <c r="A553" s="30">
        <v>42265.0</v>
      </c>
      <c r="B553" s="34" t="s">
        <v>1882</v>
      </c>
    </row>
    <row r="554">
      <c r="A554" s="30">
        <v>42686.0</v>
      </c>
      <c r="B554" s="34" t="s">
        <v>1883</v>
      </c>
    </row>
    <row r="555">
      <c r="A555" s="30">
        <v>40421.0</v>
      </c>
      <c r="B555" s="34" t="s">
        <v>1886</v>
      </c>
    </row>
    <row r="556">
      <c r="A556" s="30">
        <v>40530.0</v>
      </c>
      <c r="B556" s="34" t="s">
        <v>1883</v>
      </c>
    </row>
    <row r="557">
      <c r="A557" s="30">
        <v>41475.0</v>
      </c>
      <c r="B557" s="34" t="s">
        <v>1883</v>
      </c>
    </row>
    <row r="558">
      <c r="A558" s="30">
        <v>41605.0</v>
      </c>
      <c r="B558" s="34" t="s">
        <v>1880</v>
      </c>
    </row>
    <row r="559">
      <c r="A559" s="30">
        <v>40556.0</v>
      </c>
      <c r="B559" s="34" t="s">
        <v>1881</v>
      </c>
    </row>
    <row r="560">
      <c r="A560" s="30">
        <v>40324.0</v>
      </c>
      <c r="B560" s="34" t="s">
        <v>1880</v>
      </c>
    </row>
    <row r="561">
      <c r="A561" s="30">
        <v>42072.0</v>
      </c>
      <c r="B561" s="34" t="s">
        <v>1885</v>
      </c>
    </row>
    <row r="562">
      <c r="A562" s="30">
        <v>41867.0</v>
      </c>
      <c r="B562" s="34" t="s">
        <v>1883</v>
      </c>
    </row>
    <row r="563">
      <c r="A563" s="30">
        <v>41252.0</v>
      </c>
      <c r="B563" s="34" t="s">
        <v>1884</v>
      </c>
    </row>
    <row r="564">
      <c r="A564" s="30">
        <v>40859.0</v>
      </c>
      <c r="B564" s="34" t="s">
        <v>1883</v>
      </c>
    </row>
    <row r="565">
      <c r="A565" s="30">
        <v>40390.0</v>
      </c>
      <c r="B565" s="34" t="s">
        <v>1883</v>
      </c>
    </row>
    <row r="566">
      <c r="A566" s="30">
        <v>40677.0</v>
      </c>
      <c r="B566" s="34" t="s">
        <v>1883</v>
      </c>
    </row>
    <row r="567">
      <c r="A567" s="30">
        <v>42938.0</v>
      </c>
      <c r="B567" s="34" t="s">
        <v>1883</v>
      </c>
    </row>
    <row r="568">
      <c r="A568" s="30">
        <v>41187.0</v>
      </c>
      <c r="B568" s="34" t="s">
        <v>1882</v>
      </c>
    </row>
    <row r="569">
      <c r="A569" s="30">
        <v>42404.0</v>
      </c>
      <c r="B569" s="34" t="s">
        <v>1881</v>
      </c>
    </row>
    <row r="570">
      <c r="A570" s="30">
        <v>42805.0</v>
      </c>
      <c r="B570" s="34" t="s">
        <v>1883</v>
      </c>
    </row>
    <row r="571">
      <c r="A571" s="30">
        <v>40198.0</v>
      </c>
      <c r="B571" s="34" t="s">
        <v>1880</v>
      </c>
    </row>
    <row r="572">
      <c r="A572" s="30">
        <v>42138.0</v>
      </c>
      <c r="B572" s="34" t="s">
        <v>1881</v>
      </c>
    </row>
    <row r="573">
      <c r="A573" s="30">
        <v>40798.0</v>
      </c>
      <c r="B573" s="34" t="s">
        <v>1885</v>
      </c>
    </row>
    <row r="574">
      <c r="A574" s="30">
        <v>42404.0</v>
      </c>
      <c r="B574" s="34" t="s">
        <v>1881</v>
      </c>
    </row>
    <row r="575">
      <c r="A575" s="30">
        <v>40189.0</v>
      </c>
      <c r="B575" s="34" t="s">
        <v>1885</v>
      </c>
    </row>
    <row r="576">
      <c r="A576" s="30">
        <v>40823.0</v>
      </c>
      <c r="B576" s="34" t="s">
        <v>1882</v>
      </c>
    </row>
    <row r="577">
      <c r="A577" s="30">
        <v>42817.0</v>
      </c>
      <c r="B577" s="34" t="s">
        <v>1881</v>
      </c>
    </row>
    <row r="578">
      <c r="A578" s="30">
        <v>40201.0</v>
      </c>
      <c r="B578" s="34" t="s">
        <v>1883</v>
      </c>
    </row>
    <row r="579">
      <c r="A579" s="30">
        <v>42312.0</v>
      </c>
      <c r="B579" s="34" t="s">
        <v>1880</v>
      </c>
    </row>
    <row r="580">
      <c r="A580" s="30">
        <v>41889.0</v>
      </c>
      <c r="B580" s="34" t="s">
        <v>1884</v>
      </c>
    </row>
    <row r="581">
      <c r="A581" s="30">
        <v>42670.0</v>
      </c>
      <c r="B581" s="34" t="s">
        <v>1881</v>
      </c>
    </row>
    <row r="582">
      <c r="A582" s="30">
        <v>41144.0</v>
      </c>
      <c r="B582" s="34" t="s">
        <v>1881</v>
      </c>
    </row>
    <row r="583">
      <c r="A583" s="30">
        <v>42934.0</v>
      </c>
      <c r="B583" s="34" t="s">
        <v>1886</v>
      </c>
    </row>
    <row r="584">
      <c r="A584" s="30">
        <v>40277.0</v>
      </c>
      <c r="B584" s="34" t="s">
        <v>1882</v>
      </c>
    </row>
    <row r="585">
      <c r="A585" s="30">
        <v>42685.0</v>
      </c>
      <c r="B585" s="34" t="s">
        <v>1882</v>
      </c>
    </row>
    <row r="586">
      <c r="A586" s="30">
        <v>42842.0</v>
      </c>
      <c r="B586" s="34" t="s">
        <v>1885</v>
      </c>
    </row>
    <row r="587">
      <c r="A587" s="30">
        <v>41885.0</v>
      </c>
      <c r="B587" s="34" t="s">
        <v>1880</v>
      </c>
    </row>
    <row r="588">
      <c r="A588" s="30">
        <v>42648.0</v>
      </c>
      <c r="B588" s="34" t="s">
        <v>1880</v>
      </c>
    </row>
    <row r="589">
      <c r="A589" s="30">
        <v>42308.0</v>
      </c>
      <c r="B589" s="34" t="s">
        <v>1883</v>
      </c>
    </row>
    <row r="590">
      <c r="A590" s="30">
        <v>40605.0</v>
      </c>
      <c r="B590" s="34" t="s">
        <v>1881</v>
      </c>
    </row>
    <row r="591">
      <c r="A591" s="30">
        <v>41768.0</v>
      </c>
      <c r="B591" s="34" t="s">
        <v>1882</v>
      </c>
    </row>
    <row r="592">
      <c r="A592" s="30">
        <v>40299.0</v>
      </c>
      <c r="B592" s="34" t="s">
        <v>1883</v>
      </c>
    </row>
    <row r="593">
      <c r="A593" s="30">
        <v>41950.0</v>
      </c>
      <c r="B593" s="34" t="s">
        <v>1882</v>
      </c>
    </row>
    <row r="594">
      <c r="A594" s="30">
        <v>41353.0</v>
      </c>
      <c r="B594" s="34" t="s">
        <v>1880</v>
      </c>
    </row>
    <row r="595">
      <c r="A595" s="30">
        <v>41227.0</v>
      </c>
      <c r="B595" s="34" t="s">
        <v>1880</v>
      </c>
    </row>
    <row r="596">
      <c r="A596" s="30">
        <v>42262.0</v>
      </c>
      <c r="B596" s="34" t="s">
        <v>1886</v>
      </c>
    </row>
    <row r="597">
      <c r="A597" s="30">
        <v>41065.0</v>
      </c>
      <c r="B597" s="34" t="s">
        <v>1886</v>
      </c>
    </row>
    <row r="598">
      <c r="A598" s="30">
        <v>41210.0</v>
      </c>
      <c r="B598" s="34" t="s">
        <v>1884</v>
      </c>
    </row>
    <row r="599">
      <c r="A599" s="30">
        <v>42102.0</v>
      </c>
      <c r="B599" s="34" t="s">
        <v>1880</v>
      </c>
    </row>
    <row r="600">
      <c r="A600" s="30">
        <v>42112.0</v>
      </c>
      <c r="B600" s="34" t="s">
        <v>1883</v>
      </c>
    </row>
    <row r="601">
      <c r="A601" s="30">
        <v>41800.0</v>
      </c>
      <c r="B601" s="34" t="s">
        <v>1886</v>
      </c>
    </row>
    <row r="602">
      <c r="A602" s="30">
        <v>42431.0</v>
      </c>
      <c r="B602" s="34" t="s">
        <v>1880</v>
      </c>
    </row>
    <row r="603">
      <c r="A603" s="30">
        <v>41576.0</v>
      </c>
      <c r="B603" s="34" t="s">
        <v>1886</v>
      </c>
    </row>
    <row r="604">
      <c r="A604" s="30">
        <v>42347.0</v>
      </c>
      <c r="B604" s="34" t="s">
        <v>1880</v>
      </c>
    </row>
    <row r="605">
      <c r="A605" s="30">
        <v>40737.0</v>
      </c>
      <c r="B605" s="34" t="s">
        <v>1880</v>
      </c>
    </row>
    <row r="606">
      <c r="A606" s="30">
        <v>42352.0</v>
      </c>
      <c r="B606" s="34" t="s">
        <v>1885</v>
      </c>
    </row>
    <row r="607">
      <c r="A607" s="30">
        <v>40819.0</v>
      </c>
      <c r="B607" s="34" t="s">
        <v>1885</v>
      </c>
    </row>
    <row r="608">
      <c r="A608" s="30">
        <v>40302.0</v>
      </c>
      <c r="B608" s="34" t="s">
        <v>1886</v>
      </c>
    </row>
    <row r="609">
      <c r="A609" s="30">
        <v>42207.0</v>
      </c>
      <c r="B609" s="34" t="s">
        <v>1880</v>
      </c>
    </row>
    <row r="610">
      <c r="A610" s="30">
        <v>41209.0</v>
      </c>
      <c r="B610" s="34" t="s">
        <v>1883</v>
      </c>
    </row>
    <row r="611">
      <c r="A611" s="30">
        <v>41709.0</v>
      </c>
      <c r="B611" s="34" t="s">
        <v>1886</v>
      </c>
    </row>
    <row r="612">
      <c r="A612" s="30">
        <v>41743.0</v>
      </c>
      <c r="B612" s="34" t="s">
        <v>1885</v>
      </c>
    </row>
    <row r="613">
      <c r="A613" s="30">
        <v>40808.0</v>
      </c>
      <c r="B613" s="34" t="s">
        <v>1881</v>
      </c>
    </row>
    <row r="614">
      <c r="A614" s="30">
        <v>40851.0</v>
      </c>
      <c r="B614" s="34" t="s">
        <v>1882</v>
      </c>
    </row>
    <row r="615">
      <c r="A615" s="30">
        <v>40428.0</v>
      </c>
      <c r="B615" s="34" t="s">
        <v>1886</v>
      </c>
    </row>
    <row r="616">
      <c r="A616" s="30">
        <v>40447.0</v>
      </c>
      <c r="B616" s="34" t="s">
        <v>1884</v>
      </c>
    </row>
    <row r="617">
      <c r="A617" s="30">
        <v>42084.0</v>
      </c>
      <c r="B617" s="34" t="s">
        <v>1883</v>
      </c>
    </row>
    <row r="618">
      <c r="A618" s="30">
        <v>42139.0</v>
      </c>
      <c r="B618" s="34" t="s">
        <v>1882</v>
      </c>
    </row>
    <row r="619">
      <c r="A619" s="30">
        <v>42270.0</v>
      </c>
      <c r="B619" s="34" t="s">
        <v>1880</v>
      </c>
    </row>
    <row r="620">
      <c r="A620" s="30">
        <v>41051.0</v>
      </c>
      <c r="B620" s="34" t="s">
        <v>1886</v>
      </c>
    </row>
    <row r="621">
      <c r="A621" s="30">
        <v>42577.0</v>
      </c>
      <c r="B621" s="34" t="s">
        <v>1886</v>
      </c>
    </row>
    <row r="622">
      <c r="A622" s="30">
        <v>42918.0</v>
      </c>
      <c r="B622" s="34" t="s">
        <v>1884</v>
      </c>
    </row>
    <row r="623">
      <c r="A623" s="30">
        <v>40958.0</v>
      </c>
      <c r="B623" s="34" t="s">
        <v>1884</v>
      </c>
    </row>
    <row r="624">
      <c r="A624" s="30">
        <v>40575.0</v>
      </c>
      <c r="B624" s="34" t="s">
        <v>1886</v>
      </c>
    </row>
    <row r="625">
      <c r="A625" s="30">
        <v>40926.0</v>
      </c>
      <c r="B625" s="34" t="s">
        <v>1880</v>
      </c>
    </row>
    <row r="626">
      <c r="A626" s="30">
        <v>41155.0</v>
      </c>
      <c r="B626" s="34" t="s">
        <v>1885</v>
      </c>
    </row>
    <row r="627">
      <c r="A627" s="30">
        <v>40220.0</v>
      </c>
      <c r="B627" s="34" t="s">
        <v>1881</v>
      </c>
    </row>
    <row r="628">
      <c r="A628" s="30">
        <v>41366.0</v>
      </c>
      <c r="B628" s="34" t="s">
        <v>1886</v>
      </c>
    </row>
    <row r="629">
      <c r="A629" s="30">
        <v>40933.0</v>
      </c>
      <c r="B629" s="34" t="s">
        <v>1880</v>
      </c>
    </row>
    <row r="630">
      <c r="A630" s="30">
        <v>42169.0</v>
      </c>
      <c r="B630" s="34" t="s">
        <v>1884</v>
      </c>
    </row>
    <row r="631">
      <c r="A631" s="30">
        <v>42812.0</v>
      </c>
      <c r="B631" s="34" t="s">
        <v>1883</v>
      </c>
    </row>
    <row r="632">
      <c r="A632" s="30">
        <v>41854.0</v>
      </c>
      <c r="B632" s="34" t="s">
        <v>1884</v>
      </c>
    </row>
    <row r="633">
      <c r="A633" s="30">
        <v>42665.0</v>
      </c>
      <c r="B633" s="34" t="s">
        <v>1883</v>
      </c>
    </row>
    <row r="634">
      <c r="A634" s="30">
        <v>42016.0</v>
      </c>
      <c r="B634" s="34" t="s">
        <v>1885</v>
      </c>
    </row>
    <row r="635">
      <c r="A635" s="30">
        <v>40704.0</v>
      </c>
      <c r="B635" s="34" t="s">
        <v>1882</v>
      </c>
    </row>
    <row r="636">
      <c r="A636" s="30">
        <v>40239.0</v>
      </c>
      <c r="B636" s="34" t="s">
        <v>1886</v>
      </c>
    </row>
    <row r="637">
      <c r="A637" s="30">
        <v>40832.0</v>
      </c>
      <c r="B637" s="34" t="s">
        <v>1884</v>
      </c>
    </row>
    <row r="638">
      <c r="A638" s="30">
        <v>40225.0</v>
      </c>
      <c r="B638" s="34" t="s">
        <v>1886</v>
      </c>
    </row>
    <row r="639">
      <c r="A639" s="30">
        <v>40184.0</v>
      </c>
      <c r="B639" s="34" t="s">
        <v>1880</v>
      </c>
    </row>
    <row r="640">
      <c r="A640" s="30">
        <v>42324.0</v>
      </c>
      <c r="B640" s="34" t="s">
        <v>1885</v>
      </c>
    </row>
    <row r="641">
      <c r="A641" s="30">
        <v>40719.0</v>
      </c>
      <c r="B641" s="34" t="s">
        <v>1883</v>
      </c>
    </row>
    <row r="642">
      <c r="A642" s="30">
        <v>41603.0</v>
      </c>
      <c r="B642" s="34" t="s">
        <v>1885</v>
      </c>
    </row>
    <row r="643">
      <c r="A643" s="30">
        <v>41311.0</v>
      </c>
      <c r="B643" s="34" t="s">
        <v>1880</v>
      </c>
    </row>
    <row r="644">
      <c r="A644" s="30">
        <v>41944.0</v>
      </c>
      <c r="B644" s="34" t="s">
        <v>1883</v>
      </c>
    </row>
    <row r="645">
      <c r="A645" s="30">
        <v>41557.0</v>
      </c>
      <c r="B645" s="34" t="s">
        <v>1881</v>
      </c>
    </row>
    <row r="646">
      <c r="A646" s="30">
        <v>41265.0</v>
      </c>
      <c r="B646" s="34" t="s">
        <v>1883</v>
      </c>
    </row>
    <row r="647">
      <c r="A647" s="30">
        <v>41998.0</v>
      </c>
      <c r="B647" s="34" t="s">
        <v>1881</v>
      </c>
    </row>
    <row r="648">
      <c r="A648" s="30">
        <v>42329.0</v>
      </c>
      <c r="B648" s="34" t="s">
        <v>1883</v>
      </c>
    </row>
    <row r="649">
      <c r="A649" s="30">
        <v>41161.0</v>
      </c>
      <c r="B649" s="34" t="s">
        <v>1884</v>
      </c>
    </row>
    <row r="650">
      <c r="A650" s="30">
        <v>40697.0</v>
      </c>
      <c r="B650" s="34" t="s">
        <v>1882</v>
      </c>
    </row>
    <row r="651">
      <c r="A651" s="30">
        <v>40866.0</v>
      </c>
      <c r="B651" s="34" t="s">
        <v>1883</v>
      </c>
    </row>
    <row r="652">
      <c r="A652" s="30">
        <v>42706.0</v>
      </c>
      <c r="B652" s="34" t="s">
        <v>1882</v>
      </c>
    </row>
    <row r="653">
      <c r="A653" s="30">
        <v>41074.0</v>
      </c>
      <c r="B653" s="34" t="s">
        <v>1881</v>
      </c>
    </row>
    <row r="654">
      <c r="A654" s="30">
        <v>40912.0</v>
      </c>
      <c r="B654" s="34" t="s">
        <v>1880</v>
      </c>
    </row>
    <row r="655">
      <c r="A655" s="30">
        <v>41444.0</v>
      </c>
      <c r="B655" s="34" t="s">
        <v>1880</v>
      </c>
    </row>
    <row r="656">
      <c r="A656" s="30">
        <v>41028.0</v>
      </c>
      <c r="B656" s="34" t="s">
        <v>1884</v>
      </c>
    </row>
    <row r="657">
      <c r="A657" s="30">
        <v>42284.0</v>
      </c>
      <c r="B657" s="34" t="s">
        <v>1880</v>
      </c>
    </row>
    <row r="658">
      <c r="A658" s="30">
        <v>40533.0</v>
      </c>
      <c r="B658" s="34" t="s">
        <v>1886</v>
      </c>
    </row>
    <row r="659">
      <c r="A659" s="30">
        <v>41778.0</v>
      </c>
      <c r="B659" s="34" t="s">
        <v>1885</v>
      </c>
    </row>
    <row r="660">
      <c r="A660" s="30">
        <v>40450.0</v>
      </c>
      <c r="B660" s="34" t="s">
        <v>1880</v>
      </c>
    </row>
    <row r="661">
      <c r="A661" s="30">
        <v>41314.0</v>
      </c>
      <c r="B661" s="34" t="s">
        <v>1883</v>
      </c>
    </row>
    <row r="662">
      <c r="A662" s="30">
        <v>41128.0</v>
      </c>
      <c r="B662" s="34" t="s">
        <v>1886</v>
      </c>
    </row>
    <row r="663">
      <c r="A663" s="30">
        <v>42204.0</v>
      </c>
      <c r="B663" s="34" t="s">
        <v>1884</v>
      </c>
    </row>
    <row r="664">
      <c r="A664" s="30">
        <v>40308.0</v>
      </c>
      <c r="B664" s="34" t="s">
        <v>1885</v>
      </c>
    </row>
    <row r="665">
      <c r="A665" s="30">
        <v>42690.0</v>
      </c>
      <c r="B665" s="34" t="s">
        <v>1880</v>
      </c>
    </row>
    <row r="666">
      <c r="A666" s="30">
        <v>42025.0</v>
      </c>
      <c r="B666" s="34" t="s">
        <v>1880</v>
      </c>
    </row>
    <row r="667">
      <c r="A667" s="30">
        <v>41841.0</v>
      </c>
      <c r="B667" s="34" t="s">
        <v>1885</v>
      </c>
    </row>
    <row r="668">
      <c r="A668" s="30">
        <v>40383.0</v>
      </c>
      <c r="B668" s="34" t="s">
        <v>1883</v>
      </c>
    </row>
    <row r="669">
      <c r="A669" s="30">
        <v>41750.0</v>
      </c>
      <c r="B669" s="34" t="s">
        <v>1885</v>
      </c>
    </row>
    <row r="670">
      <c r="A670" s="30">
        <v>42886.0</v>
      </c>
      <c r="B670" s="34" t="s">
        <v>1880</v>
      </c>
    </row>
    <row r="671">
      <c r="A671" s="30">
        <v>41926.0</v>
      </c>
      <c r="B671" s="34" t="s">
        <v>1886</v>
      </c>
    </row>
    <row r="672">
      <c r="A672" s="30">
        <v>40978.0</v>
      </c>
      <c r="B672" s="34" t="s">
        <v>1883</v>
      </c>
    </row>
    <row r="673">
      <c r="A673" s="30">
        <v>42586.0</v>
      </c>
      <c r="B673" s="34" t="s">
        <v>1881</v>
      </c>
    </row>
    <row r="674">
      <c r="A674" s="30">
        <v>41394.0</v>
      </c>
      <c r="B674" s="34" t="s">
        <v>1886</v>
      </c>
    </row>
    <row r="675">
      <c r="A675" s="30">
        <v>41585.0</v>
      </c>
      <c r="B675" s="34" t="s">
        <v>1881</v>
      </c>
    </row>
    <row r="676">
      <c r="A676" s="30">
        <v>40507.0</v>
      </c>
      <c r="B676" s="34" t="s">
        <v>1881</v>
      </c>
    </row>
    <row r="677">
      <c r="A677" s="30">
        <v>41027.0</v>
      </c>
      <c r="B677" s="34" t="s">
        <v>1883</v>
      </c>
    </row>
    <row r="678">
      <c r="A678" s="30">
        <v>40703.0</v>
      </c>
      <c r="B678" s="34" t="s">
        <v>1881</v>
      </c>
    </row>
    <row r="679">
      <c r="A679" s="30">
        <v>42272.0</v>
      </c>
      <c r="B679" s="34" t="s">
        <v>1882</v>
      </c>
    </row>
    <row r="680">
      <c r="A680" s="30">
        <v>42632.0</v>
      </c>
      <c r="B680" s="34" t="s">
        <v>1885</v>
      </c>
    </row>
    <row r="681">
      <c r="A681" s="30">
        <v>41977.0</v>
      </c>
      <c r="B681" s="34" t="s">
        <v>1881</v>
      </c>
    </row>
    <row r="682">
      <c r="A682" s="30">
        <v>40991.0</v>
      </c>
      <c r="B682" s="34" t="s">
        <v>1882</v>
      </c>
    </row>
    <row r="683">
      <c r="A683" s="30">
        <v>41943.0</v>
      </c>
      <c r="B683" s="34" t="s">
        <v>1882</v>
      </c>
    </row>
    <row r="684">
      <c r="A684" s="30">
        <v>42828.0</v>
      </c>
      <c r="B684" s="34" t="s">
        <v>1885</v>
      </c>
    </row>
    <row r="685">
      <c r="A685" s="30">
        <v>42154.0</v>
      </c>
      <c r="B685" s="34" t="s">
        <v>1883</v>
      </c>
    </row>
    <row r="686">
      <c r="A686" s="30">
        <v>42567.0</v>
      </c>
      <c r="B686" s="34" t="s">
        <v>1883</v>
      </c>
    </row>
    <row r="687">
      <c r="A687" s="30">
        <v>40732.0</v>
      </c>
      <c r="B687" s="34" t="s">
        <v>1882</v>
      </c>
    </row>
    <row r="688">
      <c r="A688" s="30">
        <v>40761.0</v>
      </c>
      <c r="B688" s="34" t="s">
        <v>1883</v>
      </c>
    </row>
    <row r="689">
      <c r="A689" s="30">
        <v>42598.0</v>
      </c>
      <c r="B689" s="34" t="s">
        <v>1886</v>
      </c>
    </row>
    <row r="690">
      <c r="A690" s="30">
        <v>41994.0</v>
      </c>
      <c r="B690" s="34" t="s">
        <v>1884</v>
      </c>
    </row>
    <row r="691">
      <c r="A691" s="30">
        <v>41112.0</v>
      </c>
      <c r="B691" s="34" t="s">
        <v>1884</v>
      </c>
    </row>
    <row r="692">
      <c r="A692" s="30">
        <v>42389.0</v>
      </c>
      <c r="B692" s="34" t="s">
        <v>1880</v>
      </c>
    </row>
    <row r="693">
      <c r="A693" s="30">
        <v>40882.0</v>
      </c>
      <c r="B693" s="34" t="s">
        <v>1885</v>
      </c>
    </row>
    <row r="694">
      <c r="A694" s="30">
        <v>41182.0</v>
      </c>
      <c r="B694" s="34" t="s">
        <v>1884</v>
      </c>
    </row>
    <row r="695">
      <c r="A695" s="30">
        <v>40638.0</v>
      </c>
      <c r="B695" s="34" t="s">
        <v>1886</v>
      </c>
    </row>
    <row r="696">
      <c r="A696" s="30">
        <v>41743.0</v>
      </c>
      <c r="B696" s="34" t="s">
        <v>1885</v>
      </c>
    </row>
    <row r="697">
      <c r="A697" s="30">
        <v>41330.0</v>
      </c>
      <c r="B697" s="34" t="s">
        <v>1885</v>
      </c>
    </row>
    <row r="698">
      <c r="A698" s="30">
        <v>42391.0</v>
      </c>
      <c r="B698" s="34" t="s">
        <v>1882</v>
      </c>
    </row>
    <row r="699">
      <c r="A699" s="30">
        <v>42188.0</v>
      </c>
      <c r="B699" s="34" t="s">
        <v>1882</v>
      </c>
    </row>
    <row r="700">
      <c r="A700" s="30">
        <v>41641.0</v>
      </c>
      <c r="B700" s="34" t="s">
        <v>1881</v>
      </c>
    </row>
    <row r="701">
      <c r="A701" s="30">
        <v>40493.0</v>
      </c>
      <c r="B701" s="34" t="s">
        <v>1881</v>
      </c>
    </row>
    <row r="702">
      <c r="A702" s="30">
        <v>42846.0</v>
      </c>
      <c r="B702" s="34" t="s">
        <v>1882</v>
      </c>
    </row>
    <row r="703">
      <c r="A703" s="30">
        <v>40984.0</v>
      </c>
      <c r="B703" s="34" t="s">
        <v>1882</v>
      </c>
    </row>
    <row r="704">
      <c r="A704" s="30">
        <v>40989.0</v>
      </c>
      <c r="B704" s="34" t="s">
        <v>1880</v>
      </c>
    </row>
    <row r="705">
      <c r="A705" s="30">
        <v>40837.0</v>
      </c>
      <c r="B705" s="34" t="s">
        <v>1882</v>
      </c>
    </row>
    <row r="706">
      <c r="A706" s="30">
        <v>42832.0</v>
      </c>
      <c r="B706" s="34" t="s">
        <v>1882</v>
      </c>
    </row>
    <row r="707">
      <c r="A707" s="30">
        <v>42295.0</v>
      </c>
      <c r="B707" s="34" t="s">
        <v>1884</v>
      </c>
    </row>
    <row r="708">
      <c r="A708" s="30">
        <v>42667.0</v>
      </c>
      <c r="B708" s="34" t="s">
        <v>1885</v>
      </c>
    </row>
    <row r="709">
      <c r="A709" s="30">
        <v>40532.0</v>
      </c>
      <c r="B709" s="34" t="s">
        <v>1885</v>
      </c>
    </row>
    <row r="710">
      <c r="A710" s="30">
        <v>40440.0</v>
      </c>
      <c r="B710" s="34" t="s">
        <v>1884</v>
      </c>
    </row>
    <row r="711">
      <c r="A711" s="30">
        <v>41876.0</v>
      </c>
      <c r="B711" s="34" t="s">
        <v>1885</v>
      </c>
    </row>
    <row r="712">
      <c r="A712" s="30">
        <v>42711.0</v>
      </c>
      <c r="B712" s="34" t="s">
        <v>1880</v>
      </c>
    </row>
    <row r="713">
      <c r="A713" s="30">
        <v>42443.0</v>
      </c>
      <c r="B713" s="34" t="s">
        <v>1885</v>
      </c>
    </row>
    <row r="714">
      <c r="A714" s="30">
        <v>41248.0</v>
      </c>
      <c r="B714" s="34" t="s">
        <v>1880</v>
      </c>
    </row>
    <row r="715">
      <c r="A715" s="30">
        <v>42914.0</v>
      </c>
      <c r="B715" s="34" t="s">
        <v>1880</v>
      </c>
    </row>
    <row r="716">
      <c r="A716" s="30">
        <v>40578.0</v>
      </c>
      <c r="B716" s="34" t="s">
        <v>1882</v>
      </c>
    </row>
    <row r="717">
      <c r="A717" s="30">
        <v>42097.0</v>
      </c>
      <c r="B717" s="34" t="s">
        <v>1882</v>
      </c>
    </row>
    <row r="718">
      <c r="A718" s="30">
        <v>41221.0</v>
      </c>
      <c r="B718" s="34" t="s">
        <v>1881</v>
      </c>
    </row>
    <row r="719">
      <c r="A719" s="30">
        <v>40617.0</v>
      </c>
      <c r="B719" s="34" t="s">
        <v>1886</v>
      </c>
    </row>
    <row r="720">
      <c r="A720" s="30">
        <v>42643.0</v>
      </c>
      <c r="B720" s="34" t="s">
        <v>1882</v>
      </c>
    </row>
    <row r="721">
      <c r="A721" s="30">
        <v>41021.0</v>
      </c>
      <c r="B721" s="34" t="s">
        <v>1884</v>
      </c>
    </row>
    <row r="722">
      <c r="A722" s="30">
        <v>42194.0</v>
      </c>
      <c r="B722" s="34" t="s">
        <v>1881</v>
      </c>
    </row>
    <row r="723">
      <c r="A723" s="30">
        <v>41357.0</v>
      </c>
      <c r="B723" s="34" t="s">
        <v>1884</v>
      </c>
    </row>
    <row r="724">
      <c r="A724" s="30">
        <v>40520.0</v>
      </c>
      <c r="B724" s="34" t="s">
        <v>1880</v>
      </c>
    </row>
    <row r="725">
      <c r="A725" s="30">
        <v>42641.0</v>
      </c>
      <c r="B725" s="34" t="s">
        <v>1880</v>
      </c>
    </row>
    <row r="726">
      <c r="A726" s="30">
        <v>42496.0</v>
      </c>
      <c r="B726" s="34" t="s">
        <v>1882</v>
      </c>
    </row>
    <row r="727">
      <c r="A727" s="30">
        <v>40796.0</v>
      </c>
      <c r="B727" s="34" t="s">
        <v>1883</v>
      </c>
    </row>
    <row r="728">
      <c r="A728" s="30">
        <v>40826.0</v>
      </c>
      <c r="B728" s="34" t="s">
        <v>1885</v>
      </c>
    </row>
    <row r="729">
      <c r="A729" s="30">
        <v>40704.0</v>
      </c>
      <c r="B729" s="34" t="s">
        <v>1882</v>
      </c>
    </row>
    <row r="730">
      <c r="A730" s="30">
        <v>42051.0</v>
      </c>
      <c r="B730" s="34" t="s">
        <v>1885</v>
      </c>
    </row>
    <row r="731">
      <c r="A731" s="30">
        <v>40651.0</v>
      </c>
      <c r="B731" s="34" t="s">
        <v>1885</v>
      </c>
    </row>
    <row r="732">
      <c r="A732" s="30">
        <v>42515.0</v>
      </c>
      <c r="B732" s="34" t="s">
        <v>1880</v>
      </c>
    </row>
    <row r="733">
      <c r="A733" s="30">
        <v>40574.0</v>
      </c>
      <c r="B733" s="34" t="s">
        <v>1885</v>
      </c>
    </row>
    <row r="734">
      <c r="A734" s="30">
        <v>41729.0</v>
      </c>
      <c r="B734" s="34" t="s">
        <v>1885</v>
      </c>
    </row>
    <row r="735">
      <c r="A735" s="30">
        <v>40320.0</v>
      </c>
      <c r="B735" s="34" t="s">
        <v>1883</v>
      </c>
    </row>
    <row r="736">
      <c r="A736" s="30">
        <v>42380.0</v>
      </c>
      <c r="B736" s="34" t="s">
        <v>1885</v>
      </c>
    </row>
    <row r="737">
      <c r="A737" s="30">
        <v>40458.0</v>
      </c>
      <c r="B737" s="34" t="s">
        <v>1881</v>
      </c>
    </row>
    <row r="738">
      <c r="A738" s="30">
        <v>40229.0</v>
      </c>
      <c r="B738" s="34" t="s">
        <v>1883</v>
      </c>
    </row>
    <row r="739">
      <c r="A739" s="30">
        <v>41012.0</v>
      </c>
      <c r="B739" s="34" t="s">
        <v>1882</v>
      </c>
    </row>
    <row r="740">
      <c r="A740" s="30">
        <v>41348.0</v>
      </c>
      <c r="B740" s="34" t="s">
        <v>1882</v>
      </c>
    </row>
    <row r="741">
      <c r="A741" s="30">
        <v>42129.0</v>
      </c>
      <c r="B741" s="34" t="s">
        <v>1886</v>
      </c>
    </row>
    <row r="742">
      <c r="A742" s="30">
        <v>40589.0</v>
      </c>
      <c r="B742" s="34" t="s">
        <v>1886</v>
      </c>
    </row>
    <row r="743">
      <c r="A743" s="30">
        <v>40659.0</v>
      </c>
      <c r="B743" s="34" t="s">
        <v>1886</v>
      </c>
    </row>
    <row r="744">
      <c r="A744" s="30">
        <v>40797.0</v>
      </c>
      <c r="B744" s="34" t="s">
        <v>1884</v>
      </c>
    </row>
    <row r="745">
      <c r="A745" s="30">
        <v>42530.0</v>
      </c>
      <c r="B745" s="34" t="s">
        <v>1881</v>
      </c>
    </row>
    <row r="746">
      <c r="A746" s="30">
        <v>40441.0</v>
      </c>
      <c r="B746" s="34" t="s">
        <v>1885</v>
      </c>
    </row>
    <row r="747">
      <c r="A747" s="30">
        <v>41767.0</v>
      </c>
      <c r="B747" s="34" t="s">
        <v>1881</v>
      </c>
    </row>
    <row r="748">
      <c r="A748" s="30">
        <v>41218.0</v>
      </c>
      <c r="B748" s="34" t="s">
        <v>1885</v>
      </c>
    </row>
    <row r="749">
      <c r="A749" s="30">
        <v>41046.0</v>
      </c>
      <c r="B749" s="34" t="s">
        <v>1881</v>
      </c>
    </row>
    <row r="750">
      <c r="A750" s="30">
        <v>42688.0</v>
      </c>
      <c r="B750" s="34" t="s">
        <v>1885</v>
      </c>
    </row>
    <row r="751">
      <c r="A751" s="30">
        <v>41068.0</v>
      </c>
      <c r="B751" s="34" t="s">
        <v>1882</v>
      </c>
    </row>
    <row r="752">
      <c r="A752" s="30">
        <v>42847.0</v>
      </c>
      <c r="B752" s="34" t="s">
        <v>1883</v>
      </c>
    </row>
    <row r="753">
      <c r="A753" s="30">
        <v>40884.0</v>
      </c>
      <c r="B753" s="34" t="s">
        <v>1880</v>
      </c>
    </row>
    <row r="754">
      <c r="A754" s="30">
        <v>41769.0</v>
      </c>
      <c r="B754" s="34" t="s">
        <v>1883</v>
      </c>
    </row>
    <row r="755">
      <c r="A755" s="30">
        <v>41206.0</v>
      </c>
      <c r="B755" s="34" t="s">
        <v>1880</v>
      </c>
    </row>
    <row r="756">
      <c r="A756" s="30">
        <v>41133.0</v>
      </c>
      <c r="B756" s="34" t="s">
        <v>1884</v>
      </c>
    </row>
    <row r="757">
      <c r="A757" s="30">
        <v>41605.0</v>
      </c>
      <c r="B757" s="34" t="s">
        <v>1880</v>
      </c>
    </row>
    <row r="758">
      <c r="A758" s="30">
        <v>41158.0</v>
      </c>
      <c r="B758" s="34" t="s">
        <v>1881</v>
      </c>
    </row>
    <row r="759">
      <c r="A759" s="30">
        <v>41808.0</v>
      </c>
      <c r="B759" s="34" t="s">
        <v>1880</v>
      </c>
    </row>
    <row r="760">
      <c r="A760" s="30">
        <v>41946.0</v>
      </c>
      <c r="B760" s="34" t="s">
        <v>1885</v>
      </c>
    </row>
    <row r="761">
      <c r="A761" s="30">
        <v>41155.0</v>
      </c>
      <c r="B761" s="34" t="s">
        <v>1885</v>
      </c>
    </row>
    <row r="762">
      <c r="A762" s="30">
        <v>40952.0</v>
      </c>
      <c r="B762" s="34" t="s">
        <v>1885</v>
      </c>
    </row>
    <row r="763">
      <c r="A763" s="30">
        <v>42197.0</v>
      </c>
      <c r="B763" s="34" t="s">
        <v>1884</v>
      </c>
    </row>
    <row r="764">
      <c r="A764" s="30">
        <v>40241.0</v>
      </c>
      <c r="B764" s="34" t="s">
        <v>1881</v>
      </c>
    </row>
    <row r="765">
      <c r="A765" s="30">
        <v>41518.0</v>
      </c>
      <c r="B765" s="34" t="s">
        <v>1884</v>
      </c>
    </row>
    <row r="766">
      <c r="A766" s="30">
        <v>41738.0</v>
      </c>
      <c r="B766" s="34" t="s">
        <v>1880</v>
      </c>
    </row>
    <row r="767">
      <c r="A767" s="30">
        <v>40239.0</v>
      </c>
      <c r="B767" s="34" t="s">
        <v>1886</v>
      </c>
    </row>
    <row r="768">
      <c r="A768" s="30">
        <v>41977.0</v>
      </c>
      <c r="B768" s="34" t="s">
        <v>1881</v>
      </c>
    </row>
    <row r="769">
      <c r="A769" s="30">
        <v>41163.0</v>
      </c>
      <c r="B769" s="34" t="s">
        <v>1886</v>
      </c>
    </row>
    <row r="770">
      <c r="A770" s="30">
        <v>42118.0</v>
      </c>
      <c r="B770" s="34" t="s">
        <v>1882</v>
      </c>
    </row>
    <row r="771">
      <c r="A771" s="30">
        <v>42079.0</v>
      </c>
      <c r="B771" s="34" t="s">
        <v>1885</v>
      </c>
    </row>
    <row r="772">
      <c r="A772" s="30">
        <v>41051.0</v>
      </c>
      <c r="B772" s="34" t="s">
        <v>1886</v>
      </c>
    </row>
    <row r="773">
      <c r="A773" s="30">
        <v>41682.0</v>
      </c>
      <c r="B773" s="34" t="s">
        <v>1880</v>
      </c>
    </row>
    <row r="774">
      <c r="A774" s="30">
        <v>41949.0</v>
      </c>
      <c r="B774" s="34" t="s">
        <v>1881</v>
      </c>
    </row>
    <row r="775">
      <c r="A775" s="30">
        <v>41828.0</v>
      </c>
      <c r="B775" s="34" t="s">
        <v>1886</v>
      </c>
    </row>
    <row r="776">
      <c r="A776" s="30">
        <v>40433.0</v>
      </c>
      <c r="B776" s="34" t="s">
        <v>1884</v>
      </c>
    </row>
    <row r="777">
      <c r="A777" s="30">
        <v>42585.0</v>
      </c>
      <c r="B777" s="34" t="s">
        <v>1880</v>
      </c>
    </row>
    <row r="778">
      <c r="A778" s="30">
        <v>42471.0</v>
      </c>
      <c r="B778" s="34" t="s">
        <v>1885</v>
      </c>
    </row>
    <row r="779">
      <c r="A779" s="30">
        <v>41666.0</v>
      </c>
      <c r="B779" s="34" t="s">
        <v>1885</v>
      </c>
    </row>
    <row r="780">
      <c r="A780" s="30">
        <v>41588.0</v>
      </c>
      <c r="B780" s="34" t="s">
        <v>1884</v>
      </c>
    </row>
    <row r="781">
      <c r="A781" s="30">
        <v>40532.0</v>
      </c>
      <c r="B781" s="34" t="s">
        <v>1885</v>
      </c>
    </row>
    <row r="782">
      <c r="A782" s="30">
        <v>40564.0</v>
      </c>
      <c r="B782" s="34" t="s">
        <v>1882</v>
      </c>
    </row>
    <row r="783">
      <c r="A783" s="30">
        <v>42394.0</v>
      </c>
      <c r="B783" s="34" t="s">
        <v>1885</v>
      </c>
    </row>
    <row r="784">
      <c r="A784" s="30">
        <v>40788.0</v>
      </c>
      <c r="B784" s="34" t="s">
        <v>1882</v>
      </c>
    </row>
    <row r="785">
      <c r="A785" s="30">
        <v>42594.0</v>
      </c>
      <c r="B785" s="34" t="s">
        <v>1882</v>
      </c>
    </row>
    <row r="786">
      <c r="A786" s="30">
        <v>42513.0</v>
      </c>
      <c r="B786" s="34" t="s">
        <v>1885</v>
      </c>
    </row>
    <row r="787">
      <c r="A787" s="30">
        <v>41727.0</v>
      </c>
      <c r="B787" s="34" t="s">
        <v>1883</v>
      </c>
    </row>
    <row r="788">
      <c r="A788" s="30">
        <v>42227.0</v>
      </c>
      <c r="B788" s="34" t="s">
        <v>1886</v>
      </c>
    </row>
    <row r="789">
      <c r="A789" s="30">
        <v>42749.0</v>
      </c>
      <c r="B789" s="34" t="s">
        <v>1883</v>
      </c>
    </row>
    <row r="790">
      <c r="A790" s="30">
        <v>40670.0</v>
      </c>
      <c r="B790" s="34" t="s">
        <v>1883</v>
      </c>
    </row>
    <row r="791">
      <c r="A791" s="30">
        <v>42256.0</v>
      </c>
      <c r="B791" s="34" t="s">
        <v>1880</v>
      </c>
    </row>
    <row r="792">
      <c r="A792" s="30">
        <v>41055.0</v>
      </c>
      <c r="B792" s="34" t="s">
        <v>1883</v>
      </c>
    </row>
    <row r="793">
      <c r="A793" s="30">
        <v>42658.0</v>
      </c>
      <c r="B793" s="34" t="s">
        <v>1883</v>
      </c>
    </row>
    <row r="794">
      <c r="A794" s="30">
        <v>41227.0</v>
      </c>
      <c r="B794" s="34" t="s">
        <v>1880</v>
      </c>
    </row>
    <row r="795">
      <c r="A795" s="30">
        <v>42916.0</v>
      </c>
      <c r="B795" s="34" t="s">
        <v>1882</v>
      </c>
    </row>
    <row r="796">
      <c r="A796" s="30">
        <v>42431.0</v>
      </c>
      <c r="B796" s="34" t="s">
        <v>1880</v>
      </c>
    </row>
    <row r="797">
      <c r="A797" s="30">
        <v>42276.0</v>
      </c>
      <c r="B797" s="34" t="s">
        <v>1886</v>
      </c>
    </row>
    <row r="798">
      <c r="A798" s="30">
        <v>40545.0</v>
      </c>
      <c r="B798" s="34" t="s">
        <v>1884</v>
      </c>
    </row>
    <row r="799">
      <c r="A799" s="30">
        <v>41128.0</v>
      </c>
      <c r="B799" s="34" t="s">
        <v>1886</v>
      </c>
    </row>
    <row r="800">
      <c r="A800" s="30">
        <v>42475.0</v>
      </c>
      <c r="B800" s="34" t="s">
        <v>1882</v>
      </c>
    </row>
    <row r="801">
      <c r="A801" s="30">
        <v>41418.0</v>
      </c>
      <c r="B801" s="34" t="s">
        <v>1882</v>
      </c>
    </row>
    <row r="802">
      <c r="A802" s="30">
        <v>40228.0</v>
      </c>
      <c r="B802" s="34" t="s">
        <v>1882</v>
      </c>
    </row>
    <row r="803">
      <c r="A803" s="30">
        <v>42157.0</v>
      </c>
      <c r="B803" s="34" t="s">
        <v>1886</v>
      </c>
    </row>
    <row r="804">
      <c r="A804" s="30">
        <v>42486.0</v>
      </c>
      <c r="B804" s="34" t="s">
        <v>1886</v>
      </c>
    </row>
    <row r="805">
      <c r="A805" s="30">
        <v>42363.0</v>
      </c>
      <c r="B805" s="34" t="s">
        <v>1882</v>
      </c>
    </row>
    <row r="806">
      <c r="A806" s="30">
        <v>40794.0</v>
      </c>
      <c r="B806" s="34" t="s">
        <v>1881</v>
      </c>
    </row>
    <row r="807">
      <c r="A807" s="30">
        <v>40378.0</v>
      </c>
      <c r="B807" s="34" t="s">
        <v>1885</v>
      </c>
    </row>
    <row r="808">
      <c r="A808" s="30">
        <v>41691.0</v>
      </c>
      <c r="B808" s="34" t="s">
        <v>1882</v>
      </c>
    </row>
    <row r="809">
      <c r="A809" s="30">
        <v>41336.0</v>
      </c>
      <c r="B809" s="34" t="s">
        <v>1884</v>
      </c>
    </row>
    <row r="810">
      <c r="A810" s="30">
        <v>40983.0</v>
      </c>
      <c r="B810" s="34" t="s">
        <v>1881</v>
      </c>
    </row>
    <row r="811">
      <c r="A811" s="30">
        <v>41907.0</v>
      </c>
      <c r="B811" s="34" t="s">
        <v>1881</v>
      </c>
    </row>
    <row r="812">
      <c r="A812" s="30">
        <v>41142.0</v>
      </c>
      <c r="B812" s="34" t="s">
        <v>1886</v>
      </c>
    </row>
    <row r="813">
      <c r="A813" s="30">
        <v>40741.0</v>
      </c>
      <c r="B813" s="34" t="s">
        <v>1884</v>
      </c>
    </row>
    <row r="814">
      <c r="A814" s="30">
        <v>41744.0</v>
      </c>
      <c r="B814" s="34" t="s">
        <v>1886</v>
      </c>
    </row>
    <row r="815">
      <c r="A815" s="30">
        <v>41643.0</v>
      </c>
      <c r="B815" s="34" t="s">
        <v>1883</v>
      </c>
    </row>
    <row r="816">
      <c r="A816" s="30">
        <v>41653.0</v>
      </c>
      <c r="B816" s="34" t="s">
        <v>1886</v>
      </c>
    </row>
    <row r="817">
      <c r="A817" s="30">
        <v>41672.0</v>
      </c>
      <c r="B817" s="34" t="s">
        <v>1884</v>
      </c>
    </row>
    <row r="818">
      <c r="A818" s="30">
        <v>41310.0</v>
      </c>
      <c r="B818" s="34" t="s">
        <v>1886</v>
      </c>
    </row>
    <row r="819">
      <c r="A819" s="30">
        <v>42061.0</v>
      </c>
      <c r="B819" s="34" t="s">
        <v>1881</v>
      </c>
    </row>
    <row r="820">
      <c r="A820" s="30">
        <v>42211.0</v>
      </c>
      <c r="B820" s="34" t="s">
        <v>1884</v>
      </c>
    </row>
    <row r="821">
      <c r="A821" s="30">
        <v>41718.0</v>
      </c>
      <c r="B821" s="34" t="s">
        <v>1881</v>
      </c>
    </row>
    <row r="822">
      <c r="A822" s="30">
        <v>41191.0</v>
      </c>
      <c r="B822" s="34" t="s">
        <v>1886</v>
      </c>
    </row>
    <row r="823">
      <c r="A823" s="30">
        <v>41169.0</v>
      </c>
      <c r="B823" s="34" t="s">
        <v>1885</v>
      </c>
    </row>
    <row r="824">
      <c r="A824" s="30">
        <v>41208.0</v>
      </c>
      <c r="B824" s="34" t="s">
        <v>1882</v>
      </c>
    </row>
    <row r="825">
      <c r="A825" s="30">
        <v>41479.0</v>
      </c>
      <c r="B825" s="34" t="s">
        <v>1880</v>
      </c>
    </row>
    <row r="826">
      <c r="A826" s="30">
        <v>41498.0</v>
      </c>
      <c r="B826" s="34" t="s">
        <v>1885</v>
      </c>
    </row>
    <row r="827">
      <c r="A827" s="30">
        <v>42886.0</v>
      </c>
      <c r="B827" s="34" t="s">
        <v>1880</v>
      </c>
    </row>
    <row r="828">
      <c r="A828" s="30">
        <v>40632.0</v>
      </c>
      <c r="B828" s="34" t="s">
        <v>1880</v>
      </c>
    </row>
    <row r="829">
      <c r="A829" s="30">
        <v>42095.0</v>
      </c>
      <c r="B829" s="34" t="s">
        <v>1880</v>
      </c>
    </row>
    <row r="830">
      <c r="A830" s="30">
        <v>42296.0</v>
      </c>
      <c r="B830" s="34" t="s">
        <v>1885</v>
      </c>
    </row>
    <row r="831">
      <c r="A831" s="30">
        <v>41933.0</v>
      </c>
      <c r="B831" s="34" t="s">
        <v>1886</v>
      </c>
    </row>
    <row r="832">
      <c r="A832" s="30">
        <v>42310.0</v>
      </c>
      <c r="B832" s="34" t="s">
        <v>1885</v>
      </c>
    </row>
    <row r="833">
      <c r="A833" s="30">
        <v>40688.0</v>
      </c>
      <c r="B833" s="34" t="s">
        <v>1880</v>
      </c>
    </row>
    <row r="834">
      <c r="A834" s="30">
        <v>42304.0</v>
      </c>
      <c r="B834" s="34" t="s">
        <v>1886</v>
      </c>
    </row>
    <row r="835">
      <c r="A835" s="30">
        <v>40674.0</v>
      </c>
      <c r="B835" s="34" t="s">
        <v>1880</v>
      </c>
    </row>
    <row r="836">
      <c r="A836" s="30">
        <v>41025.0</v>
      </c>
      <c r="B836" s="34" t="s">
        <v>1881</v>
      </c>
    </row>
    <row r="837">
      <c r="A837" s="30">
        <v>42925.0</v>
      </c>
      <c r="B837" s="34" t="s">
        <v>1884</v>
      </c>
    </row>
    <row r="838">
      <c r="A838" s="30">
        <v>42209.0</v>
      </c>
      <c r="B838" s="34" t="s">
        <v>1882</v>
      </c>
    </row>
    <row r="839">
      <c r="A839" s="30">
        <v>42557.0</v>
      </c>
      <c r="B839" s="34" t="s">
        <v>1880</v>
      </c>
    </row>
    <row r="840">
      <c r="A840" s="30">
        <v>42625.0</v>
      </c>
      <c r="B840" s="34" t="s">
        <v>1885</v>
      </c>
    </row>
    <row r="841">
      <c r="A841" s="30">
        <v>42644.0</v>
      </c>
      <c r="B841" s="34" t="s">
        <v>1883</v>
      </c>
    </row>
    <row r="842">
      <c r="A842" s="30">
        <v>41445.0</v>
      </c>
      <c r="B842" s="34" t="s">
        <v>1881</v>
      </c>
    </row>
    <row r="843">
      <c r="A843" s="30">
        <v>42420.0</v>
      </c>
      <c r="B843" s="34" t="s">
        <v>1883</v>
      </c>
    </row>
    <row r="844">
      <c r="A844" s="30">
        <v>42688.0</v>
      </c>
      <c r="B844" s="34" t="s">
        <v>1885</v>
      </c>
    </row>
    <row r="845">
      <c r="A845" s="30">
        <v>40464.0</v>
      </c>
      <c r="B845" s="34" t="s">
        <v>1880</v>
      </c>
    </row>
    <row r="846">
      <c r="A846" s="30">
        <v>40640.0</v>
      </c>
      <c r="B846" s="34" t="s">
        <v>1881</v>
      </c>
    </row>
    <row r="847">
      <c r="A847" s="30">
        <v>40338.0</v>
      </c>
      <c r="B847" s="34" t="s">
        <v>1880</v>
      </c>
    </row>
    <row r="848">
      <c r="A848" s="30">
        <v>42429.0</v>
      </c>
      <c r="B848" s="34" t="s">
        <v>1885</v>
      </c>
    </row>
    <row r="849">
      <c r="A849" s="30">
        <v>41801.0</v>
      </c>
      <c r="B849" s="34" t="s">
        <v>1880</v>
      </c>
    </row>
    <row r="850">
      <c r="A850" s="30">
        <v>41194.0</v>
      </c>
      <c r="B850" s="34" t="s">
        <v>1882</v>
      </c>
    </row>
    <row r="851">
      <c r="A851" s="30">
        <v>40428.0</v>
      </c>
      <c r="B851" s="34" t="s">
        <v>1886</v>
      </c>
    </row>
    <row r="852">
      <c r="A852" s="30">
        <v>40960.0</v>
      </c>
      <c r="B852" s="34" t="s">
        <v>1886</v>
      </c>
    </row>
    <row r="853">
      <c r="A853" s="30">
        <v>40514.0</v>
      </c>
      <c r="B853" s="34" t="s">
        <v>1881</v>
      </c>
    </row>
    <row r="854">
      <c r="A854" s="30">
        <v>42355.0</v>
      </c>
      <c r="B854" s="34" t="s">
        <v>1881</v>
      </c>
    </row>
    <row r="855">
      <c r="A855" s="30">
        <v>42775.0</v>
      </c>
      <c r="B855" s="34" t="s">
        <v>1881</v>
      </c>
    </row>
    <row r="856">
      <c r="A856" s="30">
        <v>41748.0</v>
      </c>
      <c r="B856" s="34" t="s">
        <v>1883</v>
      </c>
    </row>
    <row r="857">
      <c r="A857" s="30">
        <v>42452.0</v>
      </c>
      <c r="B857" s="34" t="s">
        <v>1880</v>
      </c>
    </row>
    <row r="858">
      <c r="A858" s="30">
        <v>40189.0</v>
      </c>
      <c r="B858" s="34" t="s">
        <v>1885</v>
      </c>
    </row>
    <row r="859">
      <c r="A859" s="30">
        <v>42053.0</v>
      </c>
      <c r="B859" s="34" t="s">
        <v>1880</v>
      </c>
    </row>
    <row r="860">
      <c r="A860" s="30">
        <v>41680.0</v>
      </c>
      <c r="B860" s="34" t="s">
        <v>1885</v>
      </c>
    </row>
    <row r="861">
      <c r="A861" s="30">
        <v>41787.0</v>
      </c>
      <c r="B861" s="34" t="s">
        <v>1880</v>
      </c>
    </row>
    <row r="862">
      <c r="A862" s="30">
        <v>40718.0</v>
      </c>
      <c r="B862" s="34" t="s">
        <v>1882</v>
      </c>
    </row>
    <row r="863">
      <c r="A863" s="30">
        <v>42155.0</v>
      </c>
      <c r="B863" s="34" t="s">
        <v>1884</v>
      </c>
    </row>
    <row r="864">
      <c r="A864" s="30">
        <v>41390.0</v>
      </c>
      <c r="B864" s="34" t="s">
        <v>1882</v>
      </c>
    </row>
    <row r="865">
      <c r="A865" s="30">
        <v>42213.0</v>
      </c>
      <c r="B865" s="34" t="s">
        <v>1886</v>
      </c>
    </row>
    <row r="866">
      <c r="A866" s="30">
        <v>42722.0</v>
      </c>
      <c r="B866" s="34" t="s">
        <v>1884</v>
      </c>
    </row>
    <row r="867">
      <c r="A867" s="30">
        <v>42440.0</v>
      </c>
      <c r="B867" s="34" t="s">
        <v>1882</v>
      </c>
    </row>
    <row r="868">
      <c r="A868" s="30">
        <v>41816.0</v>
      </c>
      <c r="B868" s="34" t="s">
        <v>1881</v>
      </c>
    </row>
    <row r="869">
      <c r="A869" s="30">
        <v>40868.0</v>
      </c>
      <c r="B869" s="34" t="s">
        <v>1885</v>
      </c>
    </row>
    <row r="870">
      <c r="A870" s="30">
        <v>40383.0</v>
      </c>
      <c r="B870" s="34" t="s">
        <v>1883</v>
      </c>
    </row>
    <row r="871">
      <c r="A871" s="30">
        <v>42273.0</v>
      </c>
      <c r="B871" s="34" t="s">
        <v>1883</v>
      </c>
    </row>
    <row r="872">
      <c r="A872" s="30">
        <v>41848.0</v>
      </c>
      <c r="B872" s="34" t="s">
        <v>1885</v>
      </c>
    </row>
    <row r="873">
      <c r="A873" s="30">
        <v>41896.0</v>
      </c>
      <c r="B873" s="34" t="s">
        <v>1884</v>
      </c>
    </row>
    <row r="874">
      <c r="A874" s="30">
        <v>42046.0</v>
      </c>
      <c r="B874" s="34" t="s">
        <v>1880</v>
      </c>
    </row>
    <row r="875">
      <c r="A875" s="30">
        <v>41200.0</v>
      </c>
      <c r="B875" s="34" t="s">
        <v>1881</v>
      </c>
    </row>
    <row r="876">
      <c r="A876" s="30">
        <v>40194.0</v>
      </c>
      <c r="B876" s="34" t="s">
        <v>1883</v>
      </c>
    </row>
    <row r="877">
      <c r="A877" s="30">
        <v>41316.0</v>
      </c>
      <c r="B877" s="34" t="s">
        <v>1885</v>
      </c>
    </row>
    <row r="878">
      <c r="A878" s="30">
        <v>41814.0</v>
      </c>
      <c r="B878" s="34" t="s">
        <v>1886</v>
      </c>
    </row>
    <row r="879">
      <c r="A879" s="30">
        <v>42215.0</v>
      </c>
      <c r="B879" s="34" t="s">
        <v>1881</v>
      </c>
    </row>
    <row r="880">
      <c r="A880" s="30">
        <v>41186.0</v>
      </c>
      <c r="B880" s="34" t="s">
        <v>1881</v>
      </c>
    </row>
    <row r="881">
      <c r="A881" s="30">
        <v>41219.0</v>
      </c>
      <c r="B881" s="34" t="s">
        <v>1886</v>
      </c>
    </row>
    <row r="882">
      <c r="A882" s="30">
        <v>40482.0</v>
      </c>
      <c r="B882" s="34" t="s">
        <v>1884</v>
      </c>
    </row>
    <row r="883">
      <c r="A883" s="30">
        <v>41817.0</v>
      </c>
      <c r="B883" s="34" t="s">
        <v>1882</v>
      </c>
    </row>
    <row r="884">
      <c r="A884" s="30">
        <v>41258.0</v>
      </c>
      <c r="B884" s="34" t="s">
        <v>1883</v>
      </c>
    </row>
    <row r="885">
      <c r="A885" s="30">
        <v>40596.0</v>
      </c>
      <c r="B885" s="34" t="s">
        <v>1886</v>
      </c>
    </row>
    <row r="886">
      <c r="A886" s="30">
        <v>41063.0</v>
      </c>
      <c r="B886" s="34" t="s">
        <v>1884</v>
      </c>
    </row>
    <row r="887">
      <c r="A887" s="30">
        <v>41756.0</v>
      </c>
      <c r="B887" s="34" t="s">
        <v>1884</v>
      </c>
    </row>
    <row r="888">
      <c r="A888" s="30">
        <v>42907.0</v>
      </c>
      <c r="B888" s="34" t="s">
        <v>1880</v>
      </c>
    </row>
    <row r="889">
      <c r="A889" s="30">
        <v>40245.0</v>
      </c>
      <c r="B889" s="34" t="s">
        <v>1885</v>
      </c>
    </row>
    <row r="890">
      <c r="A890" s="30">
        <v>41420.0</v>
      </c>
      <c r="B890" s="34" t="s">
        <v>1884</v>
      </c>
    </row>
    <row r="891">
      <c r="A891" s="30">
        <v>42385.0</v>
      </c>
      <c r="B891" s="34" t="s">
        <v>1883</v>
      </c>
    </row>
    <row r="892">
      <c r="A892" s="30">
        <v>42334.0</v>
      </c>
      <c r="B892" s="34" t="s">
        <v>1881</v>
      </c>
    </row>
    <row r="893">
      <c r="A893" s="30">
        <v>41510.0</v>
      </c>
      <c r="B893" s="34" t="s">
        <v>1883</v>
      </c>
    </row>
    <row r="894">
      <c r="A894" s="30">
        <v>40954.0</v>
      </c>
      <c r="B894" s="34" t="s">
        <v>1880</v>
      </c>
    </row>
    <row r="895">
      <c r="A895" s="30">
        <v>40812.0</v>
      </c>
      <c r="B895" s="34" t="s">
        <v>1885</v>
      </c>
    </row>
    <row r="896">
      <c r="A896" s="30">
        <v>42489.0</v>
      </c>
      <c r="B896" s="34" t="s">
        <v>1882</v>
      </c>
    </row>
    <row r="897">
      <c r="A897" s="30">
        <v>40188.0</v>
      </c>
      <c r="B897" s="34" t="s">
        <v>1884</v>
      </c>
    </row>
    <row r="898">
      <c r="A898" s="30">
        <v>40352.0</v>
      </c>
      <c r="B898" s="34" t="s">
        <v>1880</v>
      </c>
    </row>
    <row r="899">
      <c r="A899" s="30">
        <v>42806.0</v>
      </c>
      <c r="B899" s="34" t="s">
        <v>1884</v>
      </c>
    </row>
    <row r="900">
      <c r="A900" s="30">
        <v>42886.0</v>
      </c>
      <c r="B900" s="34" t="s">
        <v>1880</v>
      </c>
    </row>
    <row r="901">
      <c r="A901" s="30">
        <v>41435.0</v>
      </c>
      <c r="B901" s="34" t="s">
        <v>1885</v>
      </c>
    </row>
    <row r="902">
      <c r="A902" s="30">
        <v>40188.0</v>
      </c>
      <c r="B902" s="34" t="s">
        <v>1884</v>
      </c>
    </row>
    <row r="903">
      <c r="A903" s="30">
        <v>42678.0</v>
      </c>
      <c r="B903" s="34" t="s">
        <v>1882</v>
      </c>
    </row>
    <row r="904">
      <c r="A904" s="30">
        <v>41315.0</v>
      </c>
      <c r="B904" s="34" t="s">
        <v>1884</v>
      </c>
    </row>
    <row r="905">
      <c r="A905" s="30">
        <v>42731.0</v>
      </c>
      <c r="B905" s="34" t="s">
        <v>1886</v>
      </c>
    </row>
    <row r="906">
      <c r="A906" s="30">
        <v>42013.0</v>
      </c>
      <c r="B906" s="34" t="s">
        <v>1882</v>
      </c>
    </row>
    <row r="907">
      <c r="A907" s="30">
        <v>42727.0</v>
      </c>
      <c r="B907" s="34" t="s">
        <v>1882</v>
      </c>
    </row>
    <row r="908">
      <c r="A908" s="30">
        <v>42857.0</v>
      </c>
      <c r="B908" s="34" t="s">
        <v>1886</v>
      </c>
    </row>
    <row r="909">
      <c r="A909" s="30">
        <v>41257.0</v>
      </c>
      <c r="B909" s="34" t="s">
        <v>1882</v>
      </c>
    </row>
    <row r="910">
      <c r="A910" s="30">
        <v>41085.0</v>
      </c>
      <c r="B910" s="34" t="s">
        <v>1885</v>
      </c>
    </row>
    <row r="911">
      <c r="A911" s="30">
        <v>40882.0</v>
      </c>
      <c r="B911" s="34" t="s">
        <v>1885</v>
      </c>
    </row>
    <row r="912">
      <c r="A912" s="30">
        <v>42178.0</v>
      </c>
      <c r="B912" s="34" t="s">
        <v>1886</v>
      </c>
    </row>
    <row r="913">
      <c r="A913" s="30">
        <v>41349.0</v>
      </c>
      <c r="B913" s="34" t="s">
        <v>1883</v>
      </c>
    </row>
    <row r="914">
      <c r="A914" s="30">
        <v>40413.0</v>
      </c>
      <c r="B914" s="34" t="s">
        <v>1885</v>
      </c>
    </row>
    <row r="915">
      <c r="A915" s="30">
        <v>40684.0</v>
      </c>
      <c r="B915" s="34" t="s">
        <v>1883</v>
      </c>
    </row>
    <row r="916">
      <c r="A916" s="30">
        <v>40256.0</v>
      </c>
      <c r="B916" s="34" t="s">
        <v>1882</v>
      </c>
    </row>
    <row r="917">
      <c r="A917" s="30">
        <v>42355.0</v>
      </c>
      <c r="B917" s="34" t="s">
        <v>1881</v>
      </c>
    </row>
    <row r="918">
      <c r="A918" s="30">
        <v>42797.0</v>
      </c>
      <c r="B918" s="34" t="s">
        <v>1882</v>
      </c>
    </row>
    <row r="919">
      <c r="A919" s="30">
        <v>41073.0</v>
      </c>
      <c r="B919" s="34" t="s">
        <v>1880</v>
      </c>
    </row>
    <row r="920">
      <c r="A920" s="30">
        <v>42079.0</v>
      </c>
      <c r="B920" s="34" t="s">
        <v>1885</v>
      </c>
    </row>
    <row r="921">
      <c r="A921" s="30">
        <v>42379.0</v>
      </c>
      <c r="B921" s="34" t="s">
        <v>1884</v>
      </c>
    </row>
    <row r="922">
      <c r="A922" s="30">
        <v>41966.0</v>
      </c>
      <c r="B922" s="34" t="s">
        <v>1884</v>
      </c>
    </row>
    <row r="923">
      <c r="A923" s="30">
        <v>40885.0</v>
      </c>
      <c r="B923" s="34" t="s">
        <v>1881</v>
      </c>
    </row>
    <row r="924">
      <c r="A924" s="30">
        <v>41644.0</v>
      </c>
      <c r="B924" s="34" t="s">
        <v>1884</v>
      </c>
    </row>
    <row r="925">
      <c r="A925" s="30">
        <v>40314.0</v>
      </c>
      <c r="B925" s="34" t="s">
        <v>1884</v>
      </c>
    </row>
    <row r="926">
      <c r="A926" s="30">
        <v>41596.0</v>
      </c>
      <c r="B926" s="34" t="s">
        <v>1885</v>
      </c>
    </row>
    <row r="927">
      <c r="A927" s="30">
        <v>42933.0</v>
      </c>
      <c r="B927" s="34" t="s">
        <v>1885</v>
      </c>
    </row>
    <row r="928">
      <c r="A928" s="30">
        <v>42691.0</v>
      </c>
      <c r="B928" s="34" t="s">
        <v>1881</v>
      </c>
    </row>
    <row r="929">
      <c r="A929" s="30">
        <v>42399.0</v>
      </c>
      <c r="B929" s="34" t="s">
        <v>1883</v>
      </c>
    </row>
    <row r="930">
      <c r="A930" s="30">
        <v>42048.0</v>
      </c>
      <c r="B930" s="34" t="s">
        <v>1882</v>
      </c>
    </row>
    <row r="931">
      <c r="A931" s="30">
        <v>40931.0</v>
      </c>
      <c r="B931" s="34" t="s">
        <v>1885</v>
      </c>
    </row>
    <row r="932">
      <c r="A932" s="30">
        <v>42735.0</v>
      </c>
      <c r="B932" s="34" t="s">
        <v>1883</v>
      </c>
    </row>
    <row r="933">
      <c r="A933" s="30">
        <v>40542.0</v>
      </c>
      <c r="B933" s="34" t="s">
        <v>1881</v>
      </c>
    </row>
    <row r="934">
      <c r="A934" s="30">
        <v>42631.0</v>
      </c>
      <c r="B934" s="34" t="s">
        <v>1884</v>
      </c>
    </row>
    <row r="935">
      <c r="A935" s="30">
        <v>41078.0</v>
      </c>
      <c r="B935" s="34" t="s">
        <v>1885</v>
      </c>
    </row>
    <row r="936">
      <c r="A936" s="30">
        <v>41028.0</v>
      </c>
      <c r="B936" s="34" t="s">
        <v>1884</v>
      </c>
    </row>
    <row r="937">
      <c r="A937" s="30">
        <v>42747.0</v>
      </c>
      <c r="B937" s="34" t="s">
        <v>1881</v>
      </c>
    </row>
    <row r="938">
      <c r="A938" s="30">
        <v>42087.0</v>
      </c>
      <c r="B938" s="34" t="s">
        <v>1886</v>
      </c>
    </row>
    <row r="939">
      <c r="A939" s="30">
        <v>42689.0</v>
      </c>
      <c r="B939" s="34" t="s">
        <v>1886</v>
      </c>
    </row>
    <row r="940">
      <c r="A940" s="30">
        <v>41038.0</v>
      </c>
      <c r="B940" s="34" t="s">
        <v>1880</v>
      </c>
    </row>
    <row r="941">
      <c r="A941" s="30">
        <v>41647.0</v>
      </c>
      <c r="B941" s="34" t="s">
        <v>1880</v>
      </c>
    </row>
    <row r="942">
      <c r="A942" s="30">
        <v>41280.0</v>
      </c>
      <c r="B942" s="34" t="s">
        <v>1884</v>
      </c>
    </row>
    <row r="943">
      <c r="A943" s="30">
        <v>40915.0</v>
      </c>
      <c r="B943" s="34" t="s">
        <v>1883</v>
      </c>
    </row>
    <row r="944">
      <c r="A944" s="30">
        <v>42433.0</v>
      </c>
      <c r="B944" s="34" t="s">
        <v>1882</v>
      </c>
    </row>
    <row r="945">
      <c r="A945" s="30">
        <v>41666.0</v>
      </c>
      <c r="B945" s="34" t="s">
        <v>1885</v>
      </c>
    </row>
    <row r="946">
      <c r="A946" s="30">
        <v>41720.0</v>
      </c>
      <c r="B946" s="34" t="s">
        <v>1883</v>
      </c>
    </row>
    <row r="947">
      <c r="A947" s="30">
        <v>40576.0</v>
      </c>
      <c r="B947" s="34" t="s">
        <v>1880</v>
      </c>
    </row>
    <row r="948">
      <c r="A948" s="30">
        <v>40898.0</v>
      </c>
      <c r="B948" s="34" t="s">
        <v>1880</v>
      </c>
    </row>
    <row r="949">
      <c r="A949" s="30">
        <v>41007.0</v>
      </c>
      <c r="B949" s="34" t="s">
        <v>1884</v>
      </c>
    </row>
    <row r="950">
      <c r="A950" s="30">
        <v>42070.0</v>
      </c>
      <c r="B950" s="34" t="s">
        <v>1883</v>
      </c>
    </row>
    <row r="951">
      <c r="A951" s="30">
        <v>41082.0</v>
      </c>
      <c r="B951" s="34" t="s">
        <v>1882</v>
      </c>
    </row>
    <row r="952">
      <c r="A952" s="30">
        <v>41212.0</v>
      </c>
      <c r="B952" s="34" t="s">
        <v>1886</v>
      </c>
    </row>
    <row r="953">
      <c r="A953" s="30">
        <v>42337.0</v>
      </c>
      <c r="B953" s="34" t="s">
        <v>1884</v>
      </c>
    </row>
    <row r="954">
      <c r="A954" s="30">
        <v>42825.0</v>
      </c>
      <c r="B954" s="34" t="s">
        <v>1882</v>
      </c>
    </row>
    <row r="955">
      <c r="A955" s="30">
        <v>41005.0</v>
      </c>
      <c r="B955" s="34" t="s">
        <v>1882</v>
      </c>
    </row>
    <row r="956">
      <c r="A956" s="30">
        <v>41318.0</v>
      </c>
      <c r="B956" s="34" t="s">
        <v>1880</v>
      </c>
    </row>
    <row r="957">
      <c r="A957" s="30">
        <v>41660.0</v>
      </c>
      <c r="B957" s="34" t="s">
        <v>1886</v>
      </c>
    </row>
    <row r="958">
      <c r="A958" s="30">
        <v>42182.0</v>
      </c>
      <c r="B958" s="34" t="s">
        <v>1883</v>
      </c>
    </row>
    <row r="959">
      <c r="A959" s="30">
        <v>41474.0</v>
      </c>
      <c r="B959" s="34" t="s">
        <v>1882</v>
      </c>
    </row>
    <row r="960">
      <c r="A960" s="30">
        <v>41623.0</v>
      </c>
      <c r="B960" s="34" t="s">
        <v>1884</v>
      </c>
    </row>
    <row r="961">
      <c r="A961" s="30">
        <v>42426.0</v>
      </c>
      <c r="B961" s="34" t="s">
        <v>1882</v>
      </c>
    </row>
    <row r="962">
      <c r="A962" s="30">
        <v>41822.0</v>
      </c>
      <c r="B962" s="34" t="s">
        <v>1880</v>
      </c>
    </row>
    <row r="963">
      <c r="A963" s="30">
        <v>40721.0</v>
      </c>
      <c r="B963" s="34" t="s">
        <v>1885</v>
      </c>
    </row>
    <row r="964">
      <c r="A964" s="30">
        <v>41805.0</v>
      </c>
      <c r="B964" s="34" t="s">
        <v>1884</v>
      </c>
    </row>
    <row r="965">
      <c r="A965" s="30">
        <v>40371.0</v>
      </c>
      <c r="B965" s="34" t="s">
        <v>1885</v>
      </c>
    </row>
    <row r="966">
      <c r="A966" s="30">
        <v>41648.0</v>
      </c>
      <c r="B966" s="34" t="s">
        <v>1881</v>
      </c>
    </row>
    <row r="967">
      <c r="A967" s="30">
        <v>41141.0</v>
      </c>
      <c r="B967" s="34" t="s">
        <v>1885</v>
      </c>
    </row>
    <row r="968">
      <c r="A968" s="30">
        <v>41261.0</v>
      </c>
      <c r="B968" s="34" t="s">
        <v>1886</v>
      </c>
    </row>
    <row r="969">
      <c r="A969" s="30">
        <v>41953.0</v>
      </c>
      <c r="B969" s="34" t="s">
        <v>1885</v>
      </c>
    </row>
    <row r="970">
      <c r="A970" s="30">
        <v>41660.0</v>
      </c>
      <c r="B970" s="34" t="s">
        <v>1886</v>
      </c>
    </row>
    <row r="971">
      <c r="A971" s="30">
        <v>40729.0</v>
      </c>
      <c r="B971" s="34" t="s">
        <v>1886</v>
      </c>
    </row>
    <row r="972">
      <c r="A972" s="30">
        <v>42777.0</v>
      </c>
      <c r="B972" s="34" t="s">
        <v>1883</v>
      </c>
    </row>
    <row r="973">
      <c r="A973" s="30">
        <v>41486.0</v>
      </c>
      <c r="B973" s="34" t="s">
        <v>1880</v>
      </c>
    </row>
    <row r="974">
      <c r="A974" s="30">
        <v>41201.0</v>
      </c>
      <c r="B974" s="34" t="s">
        <v>1882</v>
      </c>
    </row>
    <row r="975">
      <c r="A975" s="30">
        <v>42446.0</v>
      </c>
      <c r="B975" s="34" t="s">
        <v>1881</v>
      </c>
    </row>
    <row r="976">
      <c r="A976" s="30">
        <v>40991.0</v>
      </c>
      <c r="B976" s="34" t="s">
        <v>1882</v>
      </c>
    </row>
    <row r="977">
      <c r="A977" s="30">
        <v>40387.0</v>
      </c>
      <c r="B977" s="34" t="s">
        <v>1880</v>
      </c>
    </row>
    <row r="978">
      <c r="A978" s="30">
        <v>40587.0</v>
      </c>
      <c r="B978" s="34" t="s">
        <v>1884</v>
      </c>
    </row>
    <row r="979">
      <c r="A979" s="30">
        <v>42739.0</v>
      </c>
      <c r="B979" s="34" t="s">
        <v>1880</v>
      </c>
    </row>
    <row r="980">
      <c r="A980" s="30">
        <v>41912.0</v>
      </c>
      <c r="B980" s="34" t="s">
        <v>1886</v>
      </c>
    </row>
    <row r="981">
      <c r="A981" s="30">
        <v>41508.0</v>
      </c>
      <c r="B981" s="34" t="s">
        <v>1881</v>
      </c>
    </row>
    <row r="982">
      <c r="A982" s="30">
        <v>41786.0</v>
      </c>
      <c r="B982" s="34" t="s">
        <v>1886</v>
      </c>
    </row>
    <row r="983">
      <c r="A983" s="30">
        <v>42500.0</v>
      </c>
      <c r="B983" s="34" t="s">
        <v>1886</v>
      </c>
    </row>
    <row r="984">
      <c r="A984" s="30">
        <v>40404.0</v>
      </c>
      <c r="B984" s="34" t="s">
        <v>1883</v>
      </c>
    </row>
    <row r="985">
      <c r="A985" s="30">
        <v>40222.0</v>
      </c>
      <c r="B985" s="34" t="s">
        <v>1883</v>
      </c>
    </row>
    <row r="986">
      <c r="A986" s="30">
        <v>41767.0</v>
      </c>
      <c r="B986" s="34" t="s">
        <v>1881</v>
      </c>
    </row>
    <row r="987">
      <c r="A987" s="30">
        <v>41712.0</v>
      </c>
      <c r="B987" s="34" t="s">
        <v>1882</v>
      </c>
    </row>
    <row r="988">
      <c r="A988" s="30">
        <v>41869.0</v>
      </c>
      <c r="B988" s="34" t="s">
        <v>1885</v>
      </c>
    </row>
    <row r="989">
      <c r="A989" s="30">
        <v>42802.0</v>
      </c>
      <c r="B989" s="34" t="s">
        <v>1880</v>
      </c>
    </row>
    <row r="990">
      <c r="A990" s="30">
        <v>42933.0</v>
      </c>
      <c r="B990" s="34" t="s">
        <v>1885</v>
      </c>
    </row>
    <row r="991">
      <c r="A991" s="30">
        <v>42640.0</v>
      </c>
      <c r="B991" s="34" t="s">
        <v>1886</v>
      </c>
    </row>
    <row r="992">
      <c r="A992" s="30">
        <v>40355.0</v>
      </c>
      <c r="B992" s="34" t="s">
        <v>1883</v>
      </c>
    </row>
    <row r="993">
      <c r="A993" s="30">
        <v>41121.0</v>
      </c>
      <c r="B993" s="34" t="s">
        <v>1886</v>
      </c>
    </row>
    <row r="994">
      <c r="A994" s="30">
        <v>42689.0</v>
      </c>
      <c r="B994" s="34" t="s">
        <v>1886</v>
      </c>
    </row>
    <row r="995">
      <c r="A995" s="30">
        <v>42374.0</v>
      </c>
      <c r="B995" s="34" t="s">
        <v>1886</v>
      </c>
    </row>
    <row r="996">
      <c r="A996" s="30">
        <v>41028.0</v>
      </c>
      <c r="B996" s="34" t="s">
        <v>1884</v>
      </c>
    </row>
    <row r="997">
      <c r="A997" s="30">
        <v>40825.0</v>
      </c>
      <c r="B997" s="34" t="s">
        <v>1884</v>
      </c>
    </row>
    <row r="998">
      <c r="A998" s="30">
        <v>41202.0</v>
      </c>
      <c r="B998" s="34" t="s">
        <v>1883</v>
      </c>
    </row>
    <row r="999">
      <c r="A999" s="30">
        <v>41985.0</v>
      </c>
      <c r="B999" s="34" t="s">
        <v>1882</v>
      </c>
    </row>
    <row r="1000">
      <c r="A1000" s="30">
        <v>40704.0</v>
      </c>
      <c r="B1000" s="34" t="s">
        <v>1882</v>
      </c>
    </row>
    <row r="1001">
      <c r="A1001" s="30">
        <v>40421.0</v>
      </c>
      <c r="B1001" s="34" t="s">
        <v>1886</v>
      </c>
    </row>
    <row r="1002">
      <c r="A1002" s="30">
        <v>40196.0</v>
      </c>
      <c r="B1002" s="34" t="s">
        <v>1885</v>
      </c>
    </row>
    <row r="1003">
      <c r="A1003" s="30">
        <v>42026.0</v>
      </c>
      <c r="B1003" s="34" t="s">
        <v>1881</v>
      </c>
    </row>
    <row r="1004">
      <c r="A1004" s="30">
        <v>41347.0</v>
      </c>
      <c r="B1004" s="34" t="s">
        <v>1881</v>
      </c>
    </row>
    <row r="1005">
      <c r="A1005" s="30">
        <v>40595.0</v>
      </c>
      <c r="B1005" s="34" t="s">
        <v>1885</v>
      </c>
    </row>
    <row r="1006">
      <c r="A1006" s="30">
        <v>42926.0</v>
      </c>
      <c r="B1006" s="34" t="s">
        <v>1885</v>
      </c>
    </row>
    <row r="1007">
      <c r="A1007" s="30">
        <v>41122.0</v>
      </c>
      <c r="B1007" s="34" t="s">
        <v>1880</v>
      </c>
    </row>
    <row r="1008">
      <c r="A1008" s="30">
        <v>42580.0</v>
      </c>
      <c r="B1008" s="34" t="s">
        <v>1882</v>
      </c>
    </row>
    <row r="1009">
      <c r="A1009" s="30">
        <v>40970.0</v>
      </c>
      <c r="B1009" s="34" t="s">
        <v>1882</v>
      </c>
    </row>
    <row r="1010">
      <c r="A1010" s="30">
        <v>42181.0</v>
      </c>
      <c r="B1010" s="34" t="s">
        <v>1882</v>
      </c>
    </row>
    <row r="1011">
      <c r="A1011" s="30">
        <v>42633.0</v>
      </c>
      <c r="B1011" s="34" t="s">
        <v>1886</v>
      </c>
    </row>
    <row r="1012">
      <c r="A1012" s="30">
        <v>40600.0</v>
      </c>
      <c r="B1012" s="34" t="s">
        <v>1883</v>
      </c>
    </row>
    <row r="1013">
      <c r="A1013" s="30">
        <v>40467.0</v>
      </c>
      <c r="B1013" s="34" t="s">
        <v>1883</v>
      </c>
    </row>
    <row r="1014">
      <c r="A1014" s="30">
        <v>41826.0</v>
      </c>
      <c r="B1014" s="34" t="s">
        <v>1884</v>
      </c>
    </row>
    <row r="1015">
      <c r="A1015" s="30">
        <v>42530.0</v>
      </c>
      <c r="B1015" s="34" t="s">
        <v>1881</v>
      </c>
    </row>
    <row r="1016">
      <c r="A1016" s="30">
        <v>41171.0</v>
      </c>
      <c r="B1016" s="34" t="s">
        <v>1880</v>
      </c>
    </row>
    <row r="1017">
      <c r="A1017" s="30">
        <v>42619.0</v>
      </c>
      <c r="B1017" s="34" t="s">
        <v>1886</v>
      </c>
    </row>
    <row r="1018">
      <c r="A1018" s="30">
        <v>41712.0</v>
      </c>
      <c r="B1018" s="34" t="s">
        <v>1882</v>
      </c>
    </row>
    <row r="1019">
      <c r="A1019" s="30">
        <v>40704.0</v>
      </c>
      <c r="B1019" s="34" t="s">
        <v>1882</v>
      </c>
    </row>
    <row r="1020">
      <c r="A1020" s="30">
        <v>42926.0</v>
      </c>
      <c r="B1020" s="34" t="s">
        <v>1885</v>
      </c>
    </row>
    <row r="1021">
      <c r="A1021" s="30">
        <v>41809.0</v>
      </c>
      <c r="B1021" s="34" t="s">
        <v>1881</v>
      </c>
    </row>
    <row r="1022">
      <c r="A1022" s="30">
        <v>40460.0</v>
      </c>
      <c r="B1022" s="34" t="s">
        <v>1883</v>
      </c>
    </row>
    <row r="1023">
      <c r="A1023" s="30">
        <v>42385.0</v>
      </c>
      <c r="B1023" s="34" t="s">
        <v>1883</v>
      </c>
    </row>
    <row r="1024">
      <c r="A1024" s="30">
        <v>40329.0</v>
      </c>
      <c r="B1024" s="34" t="s">
        <v>1885</v>
      </c>
    </row>
    <row r="1025">
      <c r="A1025" s="30">
        <v>41645.0</v>
      </c>
      <c r="B1025" s="34" t="s">
        <v>1885</v>
      </c>
    </row>
    <row r="1026">
      <c r="A1026" s="30">
        <v>41846.0</v>
      </c>
      <c r="B1026" s="34" t="s">
        <v>1883</v>
      </c>
    </row>
    <row r="1027">
      <c r="A1027" s="30">
        <v>41319.0</v>
      </c>
      <c r="B1027" s="34" t="s">
        <v>1881</v>
      </c>
    </row>
    <row r="1028">
      <c r="A1028" s="30">
        <v>40378.0</v>
      </c>
      <c r="B1028" s="34" t="s">
        <v>1885</v>
      </c>
    </row>
    <row r="1029">
      <c r="A1029" s="30">
        <v>40910.0</v>
      </c>
      <c r="B1029" s="34" t="s">
        <v>1885</v>
      </c>
    </row>
    <row r="1030">
      <c r="A1030" s="30">
        <v>40565.0</v>
      </c>
      <c r="B1030" s="34" t="s">
        <v>1883</v>
      </c>
    </row>
    <row r="1031">
      <c r="A1031" s="30">
        <v>42441.0</v>
      </c>
      <c r="B1031" s="34" t="s">
        <v>1883</v>
      </c>
    </row>
    <row r="1032">
      <c r="A1032" s="30">
        <v>41967.0</v>
      </c>
      <c r="B1032" s="34" t="s">
        <v>1885</v>
      </c>
    </row>
    <row r="1033">
      <c r="A1033" s="30">
        <v>41604.0</v>
      </c>
      <c r="B1033" s="34" t="s">
        <v>1886</v>
      </c>
    </row>
    <row r="1034">
      <c r="A1034" s="30">
        <v>41452.0</v>
      </c>
      <c r="B1034" s="34" t="s">
        <v>1881</v>
      </c>
    </row>
    <row r="1035">
      <c r="A1035" s="30">
        <v>40956.0</v>
      </c>
      <c r="B1035" s="34" t="s">
        <v>1882</v>
      </c>
    </row>
    <row r="1036">
      <c r="A1036" s="30">
        <v>42419.0</v>
      </c>
      <c r="B1036" s="34" t="s">
        <v>1882</v>
      </c>
    </row>
    <row r="1037">
      <c r="A1037" s="30">
        <v>41527.0</v>
      </c>
      <c r="B1037" s="34" t="s">
        <v>1886</v>
      </c>
    </row>
    <row r="1038">
      <c r="A1038" s="30">
        <v>41073.0</v>
      </c>
      <c r="B1038" s="34" t="s">
        <v>1880</v>
      </c>
    </row>
    <row r="1039">
      <c r="A1039" s="30">
        <v>42530.0</v>
      </c>
      <c r="B1039" s="34" t="s">
        <v>1881</v>
      </c>
    </row>
    <row r="1040">
      <c r="A1040" s="30">
        <v>42317.0</v>
      </c>
      <c r="B1040" s="34" t="s">
        <v>1885</v>
      </c>
    </row>
    <row r="1041">
      <c r="A1041" s="30">
        <v>42792.0</v>
      </c>
      <c r="B1041" s="34" t="s">
        <v>1884</v>
      </c>
    </row>
    <row r="1042">
      <c r="A1042" s="30">
        <v>42850.0</v>
      </c>
      <c r="B1042" s="34" t="s">
        <v>1886</v>
      </c>
    </row>
    <row r="1043">
      <c r="A1043" s="30">
        <v>41310.0</v>
      </c>
      <c r="B1043" s="34" t="s">
        <v>1886</v>
      </c>
    </row>
    <row r="1044">
      <c r="A1044" s="30">
        <v>41428.0</v>
      </c>
      <c r="B1044" s="34" t="s">
        <v>1885</v>
      </c>
    </row>
    <row r="1045">
      <c r="A1045" s="30">
        <v>42047.0</v>
      </c>
      <c r="B1045" s="34" t="s">
        <v>1881</v>
      </c>
    </row>
    <row r="1046">
      <c r="A1046" s="30">
        <v>42927.0</v>
      </c>
      <c r="B1046" s="34" t="s">
        <v>1886</v>
      </c>
    </row>
    <row r="1047">
      <c r="A1047" s="30">
        <v>40729.0</v>
      </c>
      <c r="B1047" s="34" t="s">
        <v>1886</v>
      </c>
    </row>
    <row r="1048">
      <c r="A1048" s="30">
        <v>42710.0</v>
      </c>
      <c r="B1048" s="34" t="s">
        <v>1886</v>
      </c>
    </row>
    <row r="1049">
      <c r="A1049" s="30">
        <v>40686.0</v>
      </c>
      <c r="B1049" s="34" t="s">
        <v>1885</v>
      </c>
    </row>
    <row r="1050">
      <c r="A1050" s="30">
        <v>41564.0</v>
      </c>
      <c r="B1050" s="34" t="s">
        <v>1881</v>
      </c>
    </row>
    <row r="1051">
      <c r="A1051" s="30">
        <v>41965.0</v>
      </c>
      <c r="B1051" s="34" t="s">
        <v>1883</v>
      </c>
    </row>
    <row r="1052">
      <c r="A1052" s="30">
        <v>42889.0</v>
      </c>
      <c r="B1052" s="34" t="s">
        <v>1883</v>
      </c>
    </row>
    <row r="1053">
      <c r="A1053" s="30">
        <v>42333.0</v>
      </c>
      <c r="B1053" s="34" t="s">
        <v>1880</v>
      </c>
    </row>
    <row r="1054">
      <c r="A1054" s="30">
        <v>40229.0</v>
      </c>
      <c r="B1054" s="34" t="s">
        <v>1883</v>
      </c>
    </row>
    <row r="1055">
      <c r="A1055" s="30">
        <v>42778.0</v>
      </c>
      <c r="B1055" s="34" t="s">
        <v>1884</v>
      </c>
    </row>
    <row r="1056">
      <c r="A1056" s="30">
        <v>41557.0</v>
      </c>
      <c r="B1056" s="34" t="s">
        <v>1881</v>
      </c>
    </row>
    <row r="1057">
      <c r="A1057" s="30">
        <v>42703.0</v>
      </c>
      <c r="B1057" s="34" t="s">
        <v>1886</v>
      </c>
    </row>
    <row r="1058">
      <c r="A1058" s="30">
        <v>40208.0</v>
      </c>
      <c r="B1058" s="34" t="s">
        <v>1883</v>
      </c>
    </row>
    <row r="1059">
      <c r="A1059" s="30">
        <v>40418.0</v>
      </c>
      <c r="B1059" s="34" t="s">
        <v>1883</v>
      </c>
    </row>
    <row r="1060">
      <c r="A1060" s="30">
        <v>42701.0</v>
      </c>
      <c r="B1060" s="34" t="s">
        <v>1884</v>
      </c>
    </row>
    <row r="1061">
      <c r="A1061" s="30">
        <v>41347.0</v>
      </c>
      <c r="B1061" s="34" t="s">
        <v>1881</v>
      </c>
    </row>
    <row r="1062">
      <c r="A1062" s="30">
        <v>42440.0</v>
      </c>
      <c r="B1062" s="34" t="s">
        <v>1882</v>
      </c>
    </row>
    <row r="1063">
      <c r="A1063" s="30">
        <v>42841.0</v>
      </c>
      <c r="B1063" s="34" t="s">
        <v>1884</v>
      </c>
    </row>
    <row r="1064">
      <c r="A1064" s="30">
        <v>41180.0</v>
      </c>
      <c r="B1064" s="34" t="s">
        <v>1882</v>
      </c>
    </row>
    <row r="1065">
      <c r="A1065" s="30">
        <v>42130.0</v>
      </c>
      <c r="B1065" s="34" t="s">
        <v>1880</v>
      </c>
    </row>
    <row r="1066">
      <c r="A1066" s="30">
        <v>41564.0</v>
      </c>
      <c r="B1066" s="34" t="s">
        <v>1881</v>
      </c>
    </row>
    <row r="1067">
      <c r="A1067" s="30">
        <v>40191.0</v>
      </c>
      <c r="B1067" s="34" t="s">
        <v>1880</v>
      </c>
    </row>
    <row r="1068">
      <c r="A1068" s="30">
        <v>41112.0</v>
      </c>
      <c r="B1068" s="34" t="s">
        <v>1884</v>
      </c>
    </row>
    <row r="1069">
      <c r="A1069" s="30">
        <v>40196.0</v>
      </c>
      <c r="B1069" s="34" t="s">
        <v>1885</v>
      </c>
    </row>
    <row r="1070">
      <c r="A1070" s="30">
        <v>40516.0</v>
      </c>
      <c r="B1070" s="34" t="s">
        <v>1883</v>
      </c>
    </row>
    <row r="1071">
      <c r="A1071" s="30">
        <v>42457.0</v>
      </c>
      <c r="B1071" s="34" t="s">
        <v>1885</v>
      </c>
    </row>
    <row r="1072">
      <c r="A1072" s="30">
        <v>42109.0</v>
      </c>
      <c r="B1072" s="34" t="s">
        <v>1880</v>
      </c>
    </row>
    <row r="1073">
      <c r="A1073" s="30">
        <v>41181.0</v>
      </c>
      <c r="B1073" s="34" t="s">
        <v>1883</v>
      </c>
    </row>
    <row r="1074">
      <c r="A1074" s="30">
        <v>41623.0</v>
      </c>
      <c r="B1074" s="34" t="s">
        <v>1884</v>
      </c>
    </row>
    <row r="1075">
      <c r="A1075" s="30">
        <v>41214.0</v>
      </c>
      <c r="B1075" s="34" t="s">
        <v>1881</v>
      </c>
    </row>
    <row r="1076">
      <c r="A1076" s="30">
        <v>42503.0</v>
      </c>
      <c r="B1076" s="34" t="s">
        <v>1882</v>
      </c>
    </row>
    <row r="1077">
      <c r="A1077" s="30">
        <v>40571.0</v>
      </c>
      <c r="B1077" s="34" t="s">
        <v>1882</v>
      </c>
    </row>
    <row r="1078">
      <c r="A1078" s="30">
        <v>40838.0</v>
      </c>
      <c r="B1078" s="34" t="s">
        <v>1883</v>
      </c>
    </row>
    <row r="1079">
      <c r="A1079" s="30">
        <v>40204.0</v>
      </c>
      <c r="B1079" s="34" t="s">
        <v>1886</v>
      </c>
    </row>
    <row r="1080">
      <c r="A1080" s="30">
        <v>41261.0</v>
      </c>
      <c r="B1080" s="34" t="s">
        <v>1886</v>
      </c>
    </row>
    <row r="1081">
      <c r="A1081" s="30">
        <v>42658.0</v>
      </c>
      <c r="B1081" s="34" t="s">
        <v>1883</v>
      </c>
    </row>
    <row r="1082">
      <c r="A1082" s="30">
        <v>40656.0</v>
      </c>
      <c r="B1082" s="34" t="s">
        <v>1883</v>
      </c>
    </row>
    <row r="1083">
      <c r="A1083" s="30">
        <v>42334.0</v>
      </c>
      <c r="B1083" s="34" t="s">
        <v>1881</v>
      </c>
    </row>
    <row r="1084">
      <c r="A1084" s="30">
        <v>40852.0</v>
      </c>
      <c r="B1084" s="34" t="s">
        <v>1883</v>
      </c>
    </row>
    <row r="1085">
      <c r="A1085" s="30">
        <v>42883.0</v>
      </c>
      <c r="B1085" s="34" t="s">
        <v>1884</v>
      </c>
    </row>
    <row r="1086">
      <c r="A1086" s="30">
        <v>42347.0</v>
      </c>
      <c r="B1086" s="34" t="s">
        <v>1880</v>
      </c>
    </row>
    <row r="1087">
      <c r="A1087" s="30">
        <v>40744.0</v>
      </c>
      <c r="B1087" s="34" t="s">
        <v>1880</v>
      </c>
    </row>
    <row r="1088">
      <c r="A1088" s="30">
        <v>42538.0</v>
      </c>
      <c r="B1088" s="34" t="s">
        <v>1882</v>
      </c>
    </row>
    <row r="1089">
      <c r="A1089" s="30">
        <v>42074.0</v>
      </c>
      <c r="B1089" s="34" t="s">
        <v>1880</v>
      </c>
    </row>
    <row r="1090">
      <c r="A1090" s="30">
        <v>40748.0</v>
      </c>
      <c r="B1090" s="34" t="s">
        <v>1884</v>
      </c>
    </row>
    <row r="1091">
      <c r="A1091" s="30">
        <v>42702.0</v>
      </c>
      <c r="B1091" s="34" t="s">
        <v>1885</v>
      </c>
    </row>
    <row r="1092">
      <c r="A1092" s="30">
        <v>41353.0</v>
      </c>
      <c r="B1092" s="34" t="s">
        <v>1880</v>
      </c>
    </row>
    <row r="1093">
      <c r="A1093" s="30">
        <v>42861.0</v>
      </c>
      <c r="B1093" s="34" t="s">
        <v>1883</v>
      </c>
    </row>
    <row r="1094">
      <c r="A1094" s="30">
        <v>41856.0</v>
      </c>
      <c r="B1094" s="34" t="s">
        <v>1886</v>
      </c>
    </row>
    <row r="1095">
      <c r="A1095" s="30">
        <v>41150.0</v>
      </c>
      <c r="B1095" s="34" t="s">
        <v>1880</v>
      </c>
    </row>
    <row r="1096">
      <c r="A1096" s="30">
        <v>41438.0</v>
      </c>
      <c r="B1096" s="34" t="s">
        <v>1881</v>
      </c>
    </row>
    <row r="1097">
      <c r="A1097" s="30">
        <v>42499.0</v>
      </c>
      <c r="B1097" s="34" t="s">
        <v>1885</v>
      </c>
    </row>
    <row r="1098">
      <c r="A1098" s="30">
        <v>40604.0</v>
      </c>
      <c r="B1098" s="34" t="s">
        <v>1880</v>
      </c>
    </row>
    <row r="1099">
      <c r="A1099" s="30">
        <v>41392.0</v>
      </c>
      <c r="B1099" s="34" t="s">
        <v>1884</v>
      </c>
    </row>
    <row r="1100">
      <c r="A1100" s="30">
        <v>41360.0</v>
      </c>
      <c r="B1100" s="34" t="s">
        <v>1880</v>
      </c>
    </row>
    <row r="1101">
      <c r="A1101" s="30">
        <v>42596.0</v>
      </c>
      <c r="B1101" s="34" t="s">
        <v>1884</v>
      </c>
    </row>
    <row r="1102">
      <c r="A1102" s="30">
        <v>41847.0</v>
      </c>
      <c r="B1102" s="34" t="s">
        <v>1884</v>
      </c>
    </row>
    <row r="1103">
      <c r="A1103" s="30">
        <v>40417.0</v>
      </c>
      <c r="B1103" s="34" t="s">
        <v>1882</v>
      </c>
    </row>
    <row r="1104">
      <c r="A1104" s="30">
        <v>42761.0</v>
      </c>
      <c r="B1104" s="34" t="s">
        <v>1881</v>
      </c>
    </row>
    <row r="1105">
      <c r="A1105" s="30">
        <v>41020.0</v>
      </c>
      <c r="B1105" s="34" t="s">
        <v>1883</v>
      </c>
    </row>
    <row r="1106">
      <c r="A1106" s="30">
        <v>42829.0</v>
      </c>
      <c r="B1106" s="34" t="s">
        <v>1886</v>
      </c>
    </row>
    <row r="1107">
      <c r="A1107" s="30">
        <v>40219.0</v>
      </c>
      <c r="B1107" s="34" t="s">
        <v>1880</v>
      </c>
    </row>
    <row r="1108">
      <c r="A1108" s="30">
        <v>41687.0</v>
      </c>
      <c r="B1108" s="34" t="s">
        <v>1885</v>
      </c>
    </row>
    <row r="1109">
      <c r="A1109" s="30">
        <v>41996.0</v>
      </c>
      <c r="B1109" s="34" t="s">
        <v>1886</v>
      </c>
    </row>
    <row r="1110">
      <c r="A1110" s="30">
        <v>40522.0</v>
      </c>
      <c r="B1110" s="34" t="s">
        <v>1882</v>
      </c>
    </row>
    <row r="1111">
      <c r="A1111" s="30">
        <v>40471.0</v>
      </c>
      <c r="B1111" s="34" t="s">
        <v>1880</v>
      </c>
    </row>
    <row r="1112">
      <c r="A1112" s="30">
        <v>40643.0</v>
      </c>
      <c r="B1112" s="34" t="s">
        <v>1884</v>
      </c>
    </row>
    <row r="1113">
      <c r="A1113" s="30">
        <v>42212.0</v>
      </c>
      <c r="B1113" s="34" t="s">
        <v>1885</v>
      </c>
    </row>
    <row r="1114">
      <c r="A1114" s="30">
        <v>40254.0</v>
      </c>
      <c r="B1114" s="34" t="s">
        <v>1880</v>
      </c>
    </row>
    <row r="1115">
      <c r="A1115" s="30">
        <v>41098.0</v>
      </c>
      <c r="B1115" s="34" t="s">
        <v>1884</v>
      </c>
    </row>
    <row r="1116">
      <c r="A1116" s="30">
        <v>41811.0</v>
      </c>
      <c r="B1116" s="34" t="s">
        <v>1883</v>
      </c>
    </row>
    <row r="1117">
      <c r="A1117" s="30">
        <v>40430.0</v>
      </c>
      <c r="B1117" s="34" t="s">
        <v>1881</v>
      </c>
    </row>
    <row r="1118">
      <c r="A1118" s="30">
        <v>40447.0</v>
      </c>
      <c r="B1118" s="34" t="s">
        <v>1884</v>
      </c>
    </row>
    <row r="1119">
      <c r="A1119" s="30">
        <v>40907.0</v>
      </c>
      <c r="B1119" s="34" t="s">
        <v>1882</v>
      </c>
    </row>
    <row r="1120">
      <c r="A1120" s="30">
        <v>40892.0</v>
      </c>
      <c r="B1120" s="34" t="s">
        <v>1881</v>
      </c>
    </row>
    <row r="1121">
      <c r="A1121" s="30">
        <v>42505.0</v>
      </c>
      <c r="B1121" s="34" t="s">
        <v>1884</v>
      </c>
    </row>
    <row r="1122">
      <c r="A1122" s="30">
        <v>41968.0</v>
      </c>
      <c r="B1122" s="34" t="s">
        <v>1886</v>
      </c>
    </row>
    <row r="1123">
      <c r="A1123" s="30">
        <v>42592.0</v>
      </c>
      <c r="B1123" s="34" t="s">
        <v>1880</v>
      </c>
    </row>
    <row r="1124">
      <c r="A1124" s="30">
        <v>40999.0</v>
      </c>
      <c r="B1124" s="34" t="s">
        <v>1883</v>
      </c>
    </row>
    <row r="1125">
      <c r="A1125" s="30">
        <v>41862.0</v>
      </c>
      <c r="B1125" s="34" t="s">
        <v>1885</v>
      </c>
    </row>
    <row r="1126">
      <c r="A1126" s="30">
        <v>42203.0</v>
      </c>
      <c r="B1126" s="34" t="s">
        <v>1883</v>
      </c>
    </row>
    <row r="1127">
      <c r="A1127" s="30">
        <v>42457.0</v>
      </c>
      <c r="B1127" s="34" t="s">
        <v>1885</v>
      </c>
    </row>
    <row r="1128">
      <c r="A1128" s="30">
        <v>41408.0</v>
      </c>
      <c r="B1128" s="34" t="s">
        <v>1886</v>
      </c>
    </row>
    <row r="1129">
      <c r="A1129" s="30">
        <v>40525.0</v>
      </c>
      <c r="B1129" s="34" t="s">
        <v>1885</v>
      </c>
    </row>
    <row r="1130">
      <c r="A1130" s="30">
        <v>40753.0</v>
      </c>
      <c r="B1130" s="34" t="s">
        <v>1882</v>
      </c>
    </row>
    <row r="1131">
      <c r="A1131" s="30">
        <v>42501.0</v>
      </c>
      <c r="B1131" s="34" t="s">
        <v>1880</v>
      </c>
    </row>
    <row r="1132">
      <c r="A1132" s="30">
        <v>41635.0</v>
      </c>
      <c r="B1132" s="34" t="s">
        <v>1882</v>
      </c>
    </row>
    <row r="1133">
      <c r="A1133" s="30">
        <v>40191.0</v>
      </c>
      <c r="B1133" s="34" t="s">
        <v>1880</v>
      </c>
    </row>
    <row r="1134">
      <c r="A1134" s="30">
        <v>41710.0</v>
      </c>
      <c r="B1134" s="34" t="s">
        <v>1880</v>
      </c>
    </row>
    <row r="1135">
      <c r="A1135" s="30">
        <v>40680.0</v>
      </c>
      <c r="B1135" s="34" t="s">
        <v>1886</v>
      </c>
    </row>
    <row r="1136">
      <c r="A1136" s="30">
        <v>40741.0</v>
      </c>
      <c r="B1136" s="34" t="s">
        <v>1884</v>
      </c>
    </row>
    <row r="1137">
      <c r="A1137" s="30">
        <v>41031.0</v>
      </c>
      <c r="B1137" s="34" t="s">
        <v>1880</v>
      </c>
    </row>
    <row r="1138">
      <c r="A1138" s="30">
        <v>42629.0</v>
      </c>
      <c r="B1138" s="34" t="s">
        <v>1882</v>
      </c>
    </row>
    <row r="1139">
      <c r="A1139" s="30">
        <v>40494.0</v>
      </c>
      <c r="B1139" s="34" t="s">
        <v>1882</v>
      </c>
    </row>
    <row r="1140">
      <c r="A1140" s="30">
        <v>42716.0</v>
      </c>
      <c r="B1140" s="34" t="s">
        <v>1885</v>
      </c>
    </row>
    <row r="1141">
      <c r="A1141" s="30">
        <v>40530.0</v>
      </c>
      <c r="B1141" s="34" t="s">
        <v>1883</v>
      </c>
    </row>
    <row r="1142">
      <c r="A1142" s="30">
        <v>40369.0</v>
      </c>
      <c r="B1142" s="34" t="s">
        <v>1883</v>
      </c>
    </row>
    <row r="1143">
      <c r="A1143" s="30">
        <v>41768.0</v>
      </c>
      <c r="B1143" s="34" t="s">
        <v>1882</v>
      </c>
    </row>
    <row r="1144">
      <c r="A1144" s="30">
        <v>41584.0</v>
      </c>
      <c r="B1144" s="34" t="s">
        <v>1880</v>
      </c>
    </row>
    <row r="1145">
      <c r="A1145" s="30">
        <v>40736.0</v>
      </c>
      <c r="B1145" s="34" t="s">
        <v>1886</v>
      </c>
    </row>
    <row r="1146">
      <c r="A1146" s="30">
        <v>42204.0</v>
      </c>
      <c r="B1146" s="34" t="s">
        <v>1884</v>
      </c>
    </row>
    <row r="1147">
      <c r="A1147" s="30">
        <v>42361.0</v>
      </c>
      <c r="B1147" s="34" t="s">
        <v>1880</v>
      </c>
    </row>
    <row r="1148">
      <c r="A1148" s="30">
        <v>42813.0</v>
      </c>
      <c r="B1148" s="34" t="s">
        <v>1884</v>
      </c>
    </row>
    <row r="1149">
      <c r="A1149" s="30">
        <v>41863.0</v>
      </c>
      <c r="B1149" s="34" t="s">
        <v>1886</v>
      </c>
    </row>
    <row r="1150">
      <c r="A1150" s="30">
        <v>41759.0</v>
      </c>
      <c r="B1150" s="34" t="s">
        <v>1880</v>
      </c>
    </row>
    <row r="1151">
      <c r="A1151" s="30">
        <v>41892.0</v>
      </c>
      <c r="B1151" s="34" t="s">
        <v>1880</v>
      </c>
    </row>
    <row r="1152">
      <c r="A1152" s="30">
        <v>42603.0</v>
      </c>
      <c r="B1152" s="34" t="s">
        <v>1884</v>
      </c>
    </row>
    <row r="1153">
      <c r="A1153" s="30">
        <v>41616.0</v>
      </c>
      <c r="B1153" s="34" t="s">
        <v>1884</v>
      </c>
    </row>
    <row r="1154">
      <c r="A1154" s="30">
        <v>40476.0</v>
      </c>
      <c r="B1154" s="34" t="s">
        <v>1885</v>
      </c>
    </row>
    <row r="1155">
      <c r="A1155" s="30">
        <v>41494.0</v>
      </c>
      <c r="B1155" s="34" t="s">
        <v>1881</v>
      </c>
    </row>
    <row r="1156">
      <c r="A1156" s="30">
        <v>41191.0</v>
      </c>
      <c r="B1156" s="34" t="s">
        <v>1886</v>
      </c>
    </row>
    <row r="1157">
      <c r="A1157" s="30">
        <v>41020.0</v>
      </c>
      <c r="B1157" s="34" t="s">
        <v>1883</v>
      </c>
    </row>
    <row r="1158">
      <c r="A1158" s="30">
        <v>42727.0</v>
      </c>
      <c r="B1158" s="34" t="s">
        <v>1882</v>
      </c>
    </row>
    <row r="1159">
      <c r="A1159" s="30">
        <v>40570.0</v>
      </c>
      <c r="B1159" s="34" t="s">
        <v>1881</v>
      </c>
    </row>
    <row r="1160">
      <c r="A1160" s="30">
        <v>41793.0</v>
      </c>
      <c r="B1160" s="34" t="s">
        <v>1886</v>
      </c>
    </row>
    <row r="1161">
      <c r="A1161" s="30">
        <v>40282.0</v>
      </c>
      <c r="B1161" s="34" t="s">
        <v>1880</v>
      </c>
    </row>
    <row r="1162">
      <c r="A1162" s="30">
        <v>41861.0</v>
      </c>
      <c r="B1162" s="34" t="s">
        <v>1884</v>
      </c>
    </row>
    <row r="1163">
      <c r="A1163" s="30">
        <v>40452.0</v>
      </c>
      <c r="B1163" s="34" t="s">
        <v>1882</v>
      </c>
    </row>
    <row r="1164">
      <c r="A1164" s="30">
        <v>41583.0</v>
      </c>
      <c r="B1164" s="34" t="s">
        <v>1886</v>
      </c>
    </row>
    <row r="1165">
      <c r="A1165" s="30">
        <v>40504.0</v>
      </c>
      <c r="B1165" s="34" t="s">
        <v>1885</v>
      </c>
    </row>
    <row r="1166">
      <c r="A1166" s="30">
        <v>41854.0</v>
      </c>
      <c r="B1166" s="34" t="s">
        <v>1884</v>
      </c>
    </row>
    <row r="1167">
      <c r="A1167" s="30">
        <v>40804.0</v>
      </c>
      <c r="B1167" s="34" t="s">
        <v>1884</v>
      </c>
    </row>
    <row r="1168">
      <c r="A1168" s="30">
        <v>41257.0</v>
      </c>
      <c r="B1168" s="34" t="s">
        <v>1882</v>
      </c>
    </row>
    <row r="1169">
      <c r="A1169" s="30">
        <v>40411.0</v>
      </c>
      <c r="B1169" s="34" t="s">
        <v>1883</v>
      </c>
    </row>
    <row r="1170">
      <c r="A1170" s="30">
        <v>40348.0</v>
      </c>
      <c r="B1170" s="34" t="s">
        <v>1883</v>
      </c>
    </row>
    <row r="1171">
      <c r="A1171" s="30">
        <v>42287.0</v>
      </c>
      <c r="B1171" s="34" t="s">
        <v>1883</v>
      </c>
    </row>
    <row r="1172">
      <c r="A1172" s="30">
        <v>42787.0</v>
      </c>
      <c r="B1172" s="34" t="s">
        <v>1886</v>
      </c>
    </row>
    <row r="1173">
      <c r="A1173" s="30">
        <v>40732.0</v>
      </c>
      <c r="B1173" s="34" t="s">
        <v>1882</v>
      </c>
    </row>
    <row r="1174">
      <c r="A1174" s="30">
        <v>41385.0</v>
      </c>
      <c r="B1174" s="34" t="s">
        <v>1884</v>
      </c>
    </row>
    <row r="1175">
      <c r="A1175" s="30">
        <v>42860.0</v>
      </c>
      <c r="B1175" s="34" t="s">
        <v>1882</v>
      </c>
    </row>
    <row r="1176">
      <c r="A1176" s="30">
        <v>40278.0</v>
      </c>
      <c r="B1176" s="34" t="s">
        <v>1883</v>
      </c>
    </row>
    <row r="1177">
      <c r="A1177" s="30">
        <v>41786.0</v>
      </c>
      <c r="B1177" s="34" t="s">
        <v>1886</v>
      </c>
    </row>
    <row r="1178">
      <c r="A1178" s="30">
        <v>40969.0</v>
      </c>
      <c r="B1178" s="34" t="s">
        <v>1881</v>
      </c>
    </row>
    <row r="1179">
      <c r="A1179" s="30">
        <v>41059.0</v>
      </c>
      <c r="B1179" s="34" t="s">
        <v>1880</v>
      </c>
    </row>
    <row r="1180">
      <c r="A1180" s="30">
        <v>40646.0</v>
      </c>
      <c r="B1180" s="34" t="s">
        <v>1880</v>
      </c>
    </row>
    <row r="1181">
      <c r="A1181" s="30">
        <v>41709.0</v>
      </c>
      <c r="B1181" s="34" t="s">
        <v>1886</v>
      </c>
    </row>
    <row r="1182">
      <c r="A1182" s="30">
        <v>42229.0</v>
      </c>
      <c r="B1182" s="34" t="s">
        <v>1881</v>
      </c>
    </row>
    <row r="1183">
      <c r="A1183" s="30">
        <v>41896.0</v>
      </c>
      <c r="B1183" s="34" t="s">
        <v>1884</v>
      </c>
    </row>
    <row r="1184">
      <c r="A1184" s="30">
        <v>41402.0</v>
      </c>
      <c r="B1184" s="34" t="s">
        <v>1880</v>
      </c>
    </row>
    <row r="1185">
      <c r="A1185" s="30">
        <v>41330.0</v>
      </c>
      <c r="B1185" s="34" t="s">
        <v>1885</v>
      </c>
    </row>
    <row r="1186">
      <c r="A1186" s="30">
        <v>40970.0</v>
      </c>
      <c r="B1186" s="34" t="s">
        <v>1882</v>
      </c>
    </row>
    <row r="1187">
      <c r="A1187" s="30">
        <v>42906.0</v>
      </c>
      <c r="B1187" s="34" t="s">
        <v>1886</v>
      </c>
    </row>
    <row r="1188">
      <c r="A1188" s="30">
        <v>40498.0</v>
      </c>
      <c r="B1188" s="34" t="s">
        <v>1886</v>
      </c>
    </row>
    <row r="1189">
      <c r="A1189" s="30">
        <v>42087.0</v>
      </c>
      <c r="B1189" s="34" t="s">
        <v>1886</v>
      </c>
    </row>
    <row r="1190">
      <c r="A1190" s="30">
        <v>41742.0</v>
      </c>
      <c r="B1190" s="34" t="s">
        <v>1884</v>
      </c>
    </row>
    <row r="1191">
      <c r="A1191" s="30">
        <v>40825.0</v>
      </c>
      <c r="B1191" s="34" t="s">
        <v>1884</v>
      </c>
    </row>
    <row r="1192">
      <c r="A1192" s="30">
        <v>42675.0</v>
      </c>
      <c r="B1192" s="34" t="s">
        <v>1886</v>
      </c>
    </row>
    <row r="1193">
      <c r="A1193" s="30">
        <v>42290.0</v>
      </c>
      <c r="B1193" s="34" t="s">
        <v>1886</v>
      </c>
    </row>
    <row r="1194">
      <c r="A1194" s="30">
        <v>42338.0</v>
      </c>
      <c r="B1194" s="34" t="s">
        <v>1885</v>
      </c>
    </row>
    <row r="1195">
      <c r="A1195" s="30">
        <v>41200.0</v>
      </c>
      <c r="B1195" s="34" t="s">
        <v>1881</v>
      </c>
    </row>
    <row r="1196">
      <c r="A1196" s="30">
        <v>41652.0</v>
      </c>
      <c r="B1196" s="34" t="s">
        <v>1885</v>
      </c>
    </row>
    <row r="1197">
      <c r="A1197" s="30">
        <v>41751.0</v>
      </c>
      <c r="B1197" s="34" t="s">
        <v>1886</v>
      </c>
    </row>
    <row r="1198">
      <c r="A1198" s="30">
        <v>40342.0</v>
      </c>
      <c r="B1198" s="34" t="s">
        <v>1884</v>
      </c>
    </row>
    <row r="1199">
      <c r="A1199" s="30">
        <v>41004.0</v>
      </c>
      <c r="B1199" s="34" t="s">
        <v>1881</v>
      </c>
    </row>
    <row r="1200">
      <c r="A1200" s="30">
        <v>41676.0</v>
      </c>
      <c r="B1200" s="34" t="s">
        <v>1881</v>
      </c>
    </row>
    <row r="1201">
      <c r="A1201" s="30">
        <v>42919.0</v>
      </c>
      <c r="B1201" s="34" t="s">
        <v>1885</v>
      </c>
    </row>
    <row r="1202">
      <c r="A1202" s="30">
        <v>42134.0</v>
      </c>
      <c r="B1202" s="34" t="s">
        <v>1884</v>
      </c>
    </row>
    <row r="1203">
      <c r="A1203" s="30">
        <v>41555.0</v>
      </c>
      <c r="B1203" s="34" t="s">
        <v>1886</v>
      </c>
    </row>
    <row r="1204">
      <c r="A1204" s="30">
        <v>41580.0</v>
      </c>
      <c r="B1204" s="34" t="s">
        <v>1883</v>
      </c>
    </row>
    <row r="1205">
      <c r="A1205" s="30">
        <v>40651.0</v>
      </c>
      <c r="B1205" s="34" t="s">
        <v>1885</v>
      </c>
    </row>
    <row r="1206">
      <c r="A1206" s="30">
        <v>41817.0</v>
      </c>
      <c r="B1206" s="34" t="s">
        <v>1882</v>
      </c>
    </row>
    <row r="1207">
      <c r="A1207" s="30">
        <v>40422.0</v>
      </c>
      <c r="B1207" s="34" t="s">
        <v>1880</v>
      </c>
    </row>
    <row r="1208">
      <c r="A1208" s="30">
        <v>41578.0</v>
      </c>
      <c r="B1208" s="34" t="s">
        <v>1881</v>
      </c>
    </row>
    <row r="1209">
      <c r="A1209" s="30">
        <v>41527.0</v>
      </c>
      <c r="B1209" s="34" t="s">
        <v>1886</v>
      </c>
    </row>
    <row r="1210">
      <c r="A1210" s="30">
        <v>40772.0</v>
      </c>
      <c r="B1210" s="34" t="s">
        <v>1880</v>
      </c>
    </row>
    <row r="1211">
      <c r="A1211" s="30">
        <v>41164.0</v>
      </c>
      <c r="B1211" s="34" t="s">
        <v>1880</v>
      </c>
    </row>
    <row r="1212">
      <c r="A1212" s="30">
        <v>40289.0</v>
      </c>
      <c r="B1212" s="34" t="s">
        <v>1880</v>
      </c>
    </row>
    <row r="1213">
      <c r="A1213" s="30">
        <v>41343.0</v>
      </c>
      <c r="B1213" s="34" t="s">
        <v>1884</v>
      </c>
    </row>
    <row r="1214">
      <c r="A1214" s="30">
        <v>41561.0</v>
      </c>
      <c r="B1214" s="34" t="s">
        <v>1885</v>
      </c>
    </row>
    <row r="1215">
      <c r="A1215" s="30">
        <v>40782.0</v>
      </c>
      <c r="B1215" s="34" t="s">
        <v>1883</v>
      </c>
    </row>
    <row r="1216">
      <c r="A1216" s="30">
        <v>42864.0</v>
      </c>
      <c r="B1216" s="34" t="s">
        <v>1886</v>
      </c>
    </row>
    <row r="1217">
      <c r="A1217" s="30">
        <v>41764.0</v>
      </c>
      <c r="B1217" s="34" t="s">
        <v>1885</v>
      </c>
    </row>
    <row r="1218">
      <c r="A1218" s="30">
        <v>41491.0</v>
      </c>
      <c r="B1218" s="34" t="s">
        <v>1885</v>
      </c>
    </row>
    <row r="1219">
      <c r="A1219" s="30">
        <v>42456.0</v>
      </c>
      <c r="B1219" s="34" t="s">
        <v>1884</v>
      </c>
    </row>
    <row r="1220">
      <c r="A1220" s="30">
        <v>41186.0</v>
      </c>
      <c r="B1220" s="34" t="s">
        <v>1881</v>
      </c>
    </row>
    <row r="1221">
      <c r="A1221" s="30">
        <v>41585.0</v>
      </c>
      <c r="B1221" s="34" t="s">
        <v>1881</v>
      </c>
    </row>
    <row r="1222">
      <c r="A1222" s="30">
        <v>42811.0</v>
      </c>
      <c r="B1222" s="34" t="s">
        <v>1882</v>
      </c>
    </row>
    <row r="1223">
      <c r="A1223" s="30">
        <v>42869.0</v>
      </c>
      <c r="B1223" s="34" t="s">
        <v>1884</v>
      </c>
    </row>
    <row r="1224">
      <c r="A1224" s="30">
        <v>40642.0</v>
      </c>
      <c r="B1224" s="34" t="s">
        <v>1883</v>
      </c>
    </row>
    <row r="1225">
      <c r="A1225" s="30">
        <v>42784.0</v>
      </c>
      <c r="B1225" s="34" t="s">
        <v>1883</v>
      </c>
    </row>
    <row r="1226">
      <c r="A1226" s="30">
        <v>42190.0</v>
      </c>
      <c r="B1226" s="34" t="s">
        <v>1884</v>
      </c>
    </row>
    <row r="1227">
      <c r="A1227" s="30">
        <v>42690.0</v>
      </c>
      <c r="B1227" s="34" t="s">
        <v>1880</v>
      </c>
    </row>
    <row r="1228">
      <c r="A1228" s="30">
        <v>40558.0</v>
      </c>
      <c r="B1228" s="34" t="s">
        <v>1883</v>
      </c>
    </row>
    <row r="1229">
      <c r="A1229" s="30">
        <v>40686.0</v>
      </c>
      <c r="B1229" s="34" t="s">
        <v>1885</v>
      </c>
    </row>
    <row r="1230">
      <c r="A1230" s="30">
        <v>40591.0</v>
      </c>
      <c r="B1230" s="34" t="s">
        <v>1881</v>
      </c>
    </row>
    <row r="1231">
      <c r="A1231" s="30">
        <v>42877.0</v>
      </c>
      <c r="B1231" s="34" t="s">
        <v>1885</v>
      </c>
    </row>
    <row r="1232">
      <c r="A1232" s="30">
        <v>41779.0</v>
      </c>
      <c r="B1232" s="34" t="s">
        <v>1886</v>
      </c>
    </row>
    <row r="1233">
      <c r="A1233" s="30">
        <v>40229.0</v>
      </c>
      <c r="B1233" s="34" t="s">
        <v>1883</v>
      </c>
    </row>
    <row r="1234">
      <c r="A1234" s="30">
        <v>41445.0</v>
      </c>
      <c r="B1234" s="34" t="s">
        <v>1881</v>
      </c>
    </row>
    <row r="1235">
      <c r="A1235" s="30">
        <v>42792.0</v>
      </c>
      <c r="B1235" s="34" t="s">
        <v>1884</v>
      </c>
    </row>
    <row r="1236">
      <c r="A1236" s="30">
        <v>41813.0</v>
      </c>
      <c r="B1236" s="34" t="s">
        <v>1885</v>
      </c>
    </row>
    <row r="1237">
      <c r="A1237" s="30">
        <v>41450.0</v>
      </c>
      <c r="B1237" s="34" t="s">
        <v>1886</v>
      </c>
    </row>
    <row r="1238">
      <c r="A1238" s="30">
        <v>41556.0</v>
      </c>
      <c r="B1238" s="34" t="s">
        <v>1880</v>
      </c>
    </row>
    <row r="1239">
      <c r="A1239" s="30">
        <v>41018.0</v>
      </c>
      <c r="B1239" s="34" t="s">
        <v>1881</v>
      </c>
    </row>
    <row r="1240">
      <c r="A1240" s="30">
        <v>41591.0</v>
      </c>
      <c r="B1240" s="34" t="s">
        <v>1880</v>
      </c>
    </row>
    <row r="1241">
      <c r="A1241" s="30">
        <v>42596.0</v>
      </c>
      <c r="B1241" s="34" t="s">
        <v>1884</v>
      </c>
    </row>
    <row r="1242">
      <c r="A1242" s="30">
        <v>40684.0</v>
      </c>
      <c r="B1242" s="34" t="s">
        <v>1883</v>
      </c>
    </row>
    <row r="1243">
      <c r="A1243" s="30">
        <v>42340.0</v>
      </c>
      <c r="B1243" s="34" t="s">
        <v>1880</v>
      </c>
    </row>
    <row r="1244">
      <c r="A1244" s="30">
        <v>40454.0</v>
      </c>
      <c r="B1244" s="34" t="s">
        <v>1884</v>
      </c>
    </row>
    <row r="1245">
      <c r="A1245" s="30">
        <v>42425.0</v>
      </c>
      <c r="B1245" s="34" t="s">
        <v>1881</v>
      </c>
    </row>
    <row r="1246">
      <c r="A1246" s="30">
        <v>41165.0</v>
      </c>
      <c r="B1246" s="34" t="s">
        <v>1881</v>
      </c>
    </row>
    <row r="1247">
      <c r="A1247" s="30">
        <v>40551.0</v>
      </c>
      <c r="B1247" s="34" t="s">
        <v>1883</v>
      </c>
    </row>
    <row r="1248">
      <c r="A1248" s="30">
        <v>42522.0</v>
      </c>
      <c r="B1248" s="34" t="s">
        <v>1880</v>
      </c>
    </row>
    <row r="1249">
      <c r="A1249" s="30">
        <v>40846.0</v>
      </c>
      <c r="B1249" s="34" t="s">
        <v>1884</v>
      </c>
    </row>
    <row r="1250">
      <c r="A1250" s="30">
        <v>40251.0</v>
      </c>
      <c r="B1250" s="34" t="s">
        <v>1884</v>
      </c>
    </row>
    <row r="1251">
      <c r="A1251" s="30">
        <v>40179.0</v>
      </c>
      <c r="B1251" s="34" t="s">
        <v>1882</v>
      </c>
    </row>
    <row r="1252">
      <c r="A1252" s="30">
        <v>42802.0</v>
      </c>
      <c r="B1252" s="34" t="s">
        <v>1880</v>
      </c>
    </row>
    <row r="1253">
      <c r="A1253" s="30">
        <v>41915.0</v>
      </c>
      <c r="B1253" s="34" t="s">
        <v>1882</v>
      </c>
    </row>
    <row r="1254">
      <c r="A1254" s="30">
        <v>41279.0</v>
      </c>
      <c r="B1254" s="34" t="s">
        <v>1883</v>
      </c>
    </row>
    <row r="1255">
      <c r="A1255" s="30">
        <v>40945.0</v>
      </c>
      <c r="B1255" s="34" t="s">
        <v>1885</v>
      </c>
    </row>
    <row r="1256">
      <c r="A1256" s="30">
        <v>40583.0</v>
      </c>
      <c r="B1256" s="34" t="s">
        <v>1880</v>
      </c>
    </row>
    <row r="1257">
      <c r="A1257" s="30">
        <v>41313.0</v>
      </c>
      <c r="B1257" s="34" t="s">
        <v>1882</v>
      </c>
    </row>
    <row r="1258">
      <c r="A1258" s="30">
        <v>41992.0</v>
      </c>
      <c r="B1258" s="34" t="s">
        <v>1882</v>
      </c>
    </row>
    <row r="1259">
      <c r="A1259" s="30">
        <v>41669.0</v>
      </c>
      <c r="B1259" s="34" t="s">
        <v>1881</v>
      </c>
    </row>
    <row r="1260">
      <c r="A1260" s="30">
        <v>42082.0</v>
      </c>
      <c r="B1260" s="34" t="s">
        <v>1881</v>
      </c>
    </row>
    <row r="1261">
      <c r="A1261" s="30">
        <v>42563.0</v>
      </c>
      <c r="B1261" s="34" t="s">
        <v>1886</v>
      </c>
    </row>
    <row r="1262">
      <c r="A1262" s="30">
        <v>40329.0</v>
      </c>
      <c r="B1262" s="34" t="s">
        <v>1885</v>
      </c>
    </row>
    <row r="1263">
      <c r="A1263" s="30">
        <v>41524.0</v>
      </c>
      <c r="B1263" s="34" t="s">
        <v>1883</v>
      </c>
    </row>
    <row r="1264">
      <c r="A1264" s="30">
        <v>40515.0</v>
      </c>
      <c r="B1264" s="34" t="s">
        <v>1882</v>
      </c>
    </row>
    <row r="1265">
      <c r="A1265" s="30">
        <v>41006.0</v>
      </c>
      <c r="B1265" s="34" t="s">
        <v>1883</v>
      </c>
    </row>
    <row r="1266">
      <c r="A1266" s="30">
        <v>42631.0</v>
      </c>
      <c r="B1266" s="34" t="s">
        <v>1884</v>
      </c>
    </row>
    <row r="1267">
      <c r="A1267" s="30">
        <v>42921.0</v>
      </c>
      <c r="B1267" s="34" t="s">
        <v>1880</v>
      </c>
    </row>
    <row r="1268">
      <c r="A1268" s="30">
        <v>42759.0</v>
      </c>
      <c r="B1268" s="34" t="s">
        <v>1886</v>
      </c>
    </row>
    <row r="1269">
      <c r="A1269" s="30">
        <v>42902.0</v>
      </c>
      <c r="B1269" s="34" t="s">
        <v>1882</v>
      </c>
    </row>
    <row r="1270">
      <c r="A1270" s="30">
        <v>40738.0</v>
      </c>
      <c r="B1270" s="34" t="s">
        <v>1881</v>
      </c>
    </row>
    <row r="1271">
      <c r="A1271" s="30">
        <v>42568.0</v>
      </c>
      <c r="B1271" s="34" t="s">
        <v>1884</v>
      </c>
    </row>
    <row r="1272">
      <c r="A1272" s="30">
        <v>41782.0</v>
      </c>
      <c r="B1272" s="34" t="s">
        <v>1882</v>
      </c>
    </row>
    <row r="1273">
      <c r="A1273" s="30">
        <v>41616.0</v>
      </c>
      <c r="B1273" s="34" t="s">
        <v>1884</v>
      </c>
    </row>
    <row r="1274">
      <c r="A1274" s="30">
        <v>40685.0</v>
      </c>
      <c r="B1274" s="34" t="s">
        <v>1884</v>
      </c>
    </row>
    <row r="1275">
      <c r="A1275" s="30">
        <v>42484.0</v>
      </c>
      <c r="B1275" s="34" t="s">
        <v>1884</v>
      </c>
    </row>
    <row r="1276">
      <c r="A1276" s="30">
        <v>42600.0</v>
      </c>
      <c r="B1276" s="34" t="s">
        <v>1881</v>
      </c>
    </row>
    <row r="1277">
      <c r="A1277" s="30">
        <v>41089.0</v>
      </c>
      <c r="B1277" s="34" t="s">
        <v>1882</v>
      </c>
    </row>
    <row r="1278">
      <c r="A1278" s="30">
        <v>42247.0</v>
      </c>
      <c r="B1278" s="34" t="s">
        <v>1885</v>
      </c>
    </row>
    <row r="1279">
      <c r="A1279" s="30">
        <v>40526.0</v>
      </c>
      <c r="B1279" s="34" t="s">
        <v>1886</v>
      </c>
    </row>
    <row r="1280">
      <c r="A1280" s="30">
        <v>40422.0</v>
      </c>
      <c r="B1280" s="34" t="s">
        <v>1880</v>
      </c>
    </row>
    <row r="1281">
      <c r="A1281" s="30">
        <v>40611.0</v>
      </c>
      <c r="B1281" s="34" t="s">
        <v>1880</v>
      </c>
    </row>
    <row r="1282">
      <c r="A1282" s="30">
        <v>40415.0</v>
      </c>
      <c r="B1282" s="34" t="s">
        <v>1880</v>
      </c>
    </row>
    <row r="1283">
      <c r="A1283" s="30">
        <v>41851.0</v>
      </c>
      <c r="B1283" s="34" t="s">
        <v>1881</v>
      </c>
    </row>
    <row r="1284">
      <c r="A1284" s="30">
        <v>41336.0</v>
      </c>
      <c r="B1284" s="34" t="s">
        <v>1884</v>
      </c>
    </row>
    <row r="1285">
      <c r="A1285" s="30">
        <v>41283.0</v>
      </c>
      <c r="B1285" s="34" t="s">
        <v>1880</v>
      </c>
    </row>
    <row r="1286">
      <c r="A1286" s="30">
        <v>41147.0</v>
      </c>
      <c r="B1286" s="34" t="s">
        <v>1884</v>
      </c>
    </row>
    <row r="1287">
      <c r="A1287" s="30">
        <v>41590.0</v>
      </c>
      <c r="B1287" s="34" t="s">
        <v>1886</v>
      </c>
    </row>
    <row r="1288">
      <c r="A1288" s="30">
        <v>40905.0</v>
      </c>
      <c r="B1288" s="34" t="s">
        <v>1880</v>
      </c>
    </row>
    <row r="1289">
      <c r="A1289" s="30">
        <v>40477.0</v>
      </c>
      <c r="B1289" s="34" t="s">
        <v>1886</v>
      </c>
    </row>
    <row r="1290">
      <c r="A1290" s="30">
        <v>41759.0</v>
      </c>
      <c r="B1290" s="34" t="s">
        <v>1880</v>
      </c>
    </row>
    <row r="1291">
      <c r="A1291" s="30">
        <v>41426.0</v>
      </c>
      <c r="B1291" s="34" t="s">
        <v>1883</v>
      </c>
    </row>
    <row r="1292">
      <c r="A1292" s="30">
        <v>41112.0</v>
      </c>
      <c r="B1292" s="34" t="s">
        <v>1884</v>
      </c>
    </row>
    <row r="1293">
      <c r="A1293" s="30">
        <v>42238.0</v>
      </c>
      <c r="B1293" s="34" t="s">
        <v>1883</v>
      </c>
    </row>
    <row r="1294">
      <c r="A1294" s="30">
        <v>42809.0</v>
      </c>
      <c r="B1294" s="34" t="s">
        <v>1880</v>
      </c>
    </row>
    <row r="1295">
      <c r="A1295" s="30">
        <v>42526.0</v>
      </c>
      <c r="B1295" s="34" t="s">
        <v>1884</v>
      </c>
    </row>
    <row r="1296">
      <c r="A1296" s="30">
        <v>40681.0</v>
      </c>
      <c r="B1296" s="34" t="s">
        <v>1880</v>
      </c>
    </row>
    <row r="1297">
      <c r="A1297" s="30">
        <v>40659.0</v>
      </c>
      <c r="B1297" s="34" t="s">
        <v>1886</v>
      </c>
    </row>
    <row r="1298">
      <c r="A1298" s="30">
        <v>42939.0</v>
      </c>
      <c r="B1298" s="34" t="s">
        <v>1884</v>
      </c>
    </row>
    <row r="1299">
      <c r="A1299" s="30">
        <v>41709.0</v>
      </c>
      <c r="B1299" s="34" t="s">
        <v>1886</v>
      </c>
    </row>
    <row r="1300">
      <c r="A1300" s="30">
        <v>42772.0</v>
      </c>
      <c r="B1300" s="34" t="s">
        <v>1885</v>
      </c>
    </row>
    <row r="1301">
      <c r="A1301" s="30">
        <v>40575.0</v>
      </c>
      <c r="B1301" s="34" t="s">
        <v>1886</v>
      </c>
    </row>
    <row r="1302">
      <c r="A1302" s="30">
        <v>40355.0</v>
      </c>
      <c r="B1302" s="34" t="s">
        <v>1883</v>
      </c>
    </row>
    <row r="1303">
      <c r="A1303" s="30">
        <v>41622.0</v>
      </c>
      <c r="B1303" s="34" t="s">
        <v>1883</v>
      </c>
    </row>
    <row r="1304">
      <c r="A1304" s="30">
        <v>40439.0</v>
      </c>
      <c r="B1304" s="34" t="s">
        <v>1883</v>
      </c>
    </row>
    <row r="1305">
      <c r="A1305" s="30">
        <v>42229.0</v>
      </c>
      <c r="B1305" s="34" t="s">
        <v>1881</v>
      </c>
    </row>
    <row r="1306">
      <c r="A1306" s="30">
        <v>41523.0</v>
      </c>
      <c r="B1306" s="34" t="s">
        <v>1882</v>
      </c>
    </row>
    <row r="1307">
      <c r="A1307" s="30">
        <v>41482.0</v>
      </c>
      <c r="B1307" s="34" t="s">
        <v>1883</v>
      </c>
    </row>
    <row r="1308">
      <c r="A1308" s="30">
        <v>40935.0</v>
      </c>
      <c r="B1308" s="34" t="s">
        <v>1882</v>
      </c>
    </row>
    <row r="1309">
      <c r="A1309" s="30">
        <v>40650.0</v>
      </c>
      <c r="B1309" s="34" t="s">
        <v>1884</v>
      </c>
    </row>
    <row r="1310">
      <c r="A1310" s="30">
        <v>40578.0</v>
      </c>
      <c r="B1310" s="34" t="s">
        <v>1882</v>
      </c>
    </row>
    <row r="1311">
      <c r="A1311" s="30">
        <v>40817.0</v>
      </c>
      <c r="B1311" s="34" t="s">
        <v>1883</v>
      </c>
    </row>
    <row r="1312">
      <c r="A1312" s="30">
        <v>41305.0</v>
      </c>
      <c r="B1312" s="34" t="s">
        <v>1881</v>
      </c>
    </row>
    <row r="1313">
      <c r="A1313" s="30">
        <v>41011.0</v>
      </c>
      <c r="B1313" s="34" t="s">
        <v>1881</v>
      </c>
    </row>
    <row r="1314">
      <c r="A1314" s="30">
        <v>41864.0</v>
      </c>
      <c r="B1314" s="34" t="s">
        <v>1880</v>
      </c>
    </row>
    <row r="1315">
      <c r="A1315" s="30">
        <v>40375.0</v>
      </c>
      <c r="B1315" s="34" t="s">
        <v>1882</v>
      </c>
    </row>
    <row r="1316">
      <c r="A1316" s="30">
        <v>41098.0</v>
      </c>
      <c r="B1316" s="34" t="s">
        <v>1884</v>
      </c>
    </row>
    <row r="1317">
      <c r="A1317" s="30">
        <v>41949.0</v>
      </c>
      <c r="B1317" s="34" t="s">
        <v>1881</v>
      </c>
    </row>
    <row r="1318">
      <c r="A1318" s="30">
        <v>40510.0</v>
      </c>
      <c r="B1318" s="34" t="s">
        <v>1884</v>
      </c>
    </row>
    <row r="1319">
      <c r="A1319" s="30">
        <v>41071.0</v>
      </c>
      <c r="B1319" s="34" t="s">
        <v>1885</v>
      </c>
    </row>
    <row r="1320">
      <c r="A1320" s="30">
        <v>42116.0</v>
      </c>
      <c r="B1320" s="34" t="s">
        <v>1880</v>
      </c>
    </row>
    <row r="1321">
      <c r="A1321" s="30">
        <v>41608.0</v>
      </c>
      <c r="B1321" s="34" t="s">
        <v>1883</v>
      </c>
    </row>
    <row r="1322">
      <c r="A1322" s="30">
        <v>41656.0</v>
      </c>
      <c r="B1322" s="34" t="s">
        <v>1882</v>
      </c>
    </row>
    <row r="1323">
      <c r="A1323" s="30">
        <v>40897.0</v>
      </c>
      <c r="B1323" s="34" t="s">
        <v>1886</v>
      </c>
    </row>
    <row r="1324">
      <c r="A1324" s="30">
        <v>40610.0</v>
      </c>
      <c r="B1324" s="34" t="s">
        <v>1886</v>
      </c>
    </row>
    <row r="1325">
      <c r="A1325" s="30">
        <v>42408.0</v>
      </c>
      <c r="B1325" s="34" t="s">
        <v>1885</v>
      </c>
    </row>
    <row r="1326">
      <c r="A1326" s="30">
        <v>42162.0</v>
      </c>
      <c r="B1326" s="34" t="s">
        <v>1884</v>
      </c>
    </row>
    <row r="1327">
      <c r="A1327" s="30">
        <v>42745.0</v>
      </c>
      <c r="B1327" s="34" t="s">
        <v>1886</v>
      </c>
    </row>
    <row r="1328">
      <c r="A1328" s="30">
        <v>41978.0</v>
      </c>
      <c r="B1328" s="34" t="s">
        <v>1882</v>
      </c>
    </row>
    <row r="1329">
      <c r="A1329" s="30">
        <v>40441.0</v>
      </c>
      <c r="B1329" s="34" t="s">
        <v>1885</v>
      </c>
    </row>
    <row r="1330">
      <c r="A1330" s="30">
        <v>40344.0</v>
      </c>
      <c r="B1330" s="34" t="s">
        <v>1886</v>
      </c>
    </row>
    <row r="1331">
      <c r="A1331" s="30">
        <v>40999.0</v>
      </c>
      <c r="B1331" s="34" t="s">
        <v>1883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26.25"/>
  </cols>
  <sheetData>
    <row r="1"/>
    <row r="2"/>
    <row r="3"/>
    <row r="4"/>
    <row r="5"/>
    <row r="6"/>
    <row r="7"/>
    <row r="8"/>
  </sheetData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>
      <c r="A1" s="4" t="s">
        <v>2</v>
      </c>
      <c r="B1" s="7" t="s">
        <v>807</v>
      </c>
      <c r="C1" s="4" t="s">
        <v>808</v>
      </c>
      <c r="D1" s="4" t="s">
        <v>809</v>
      </c>
      <c r="E1" s="35" t="s">
        <v>804</v>
      </c>
    </row>
    <row r="2">
      <c r="A2" s="3" t="s">
        <v>3</v>
      </c>
      <c r="B2" s="13">
        <v>133705.0</v>
      </c>
      <c r="C2" s="13">
        <v>76121.5</v>
      </c>
      <c r="D2" s="13">
        <v>57583.5</v>
      </c>
      <c r="E2" s="28">
        <v>650.0</v>
      </c>
    </row>
    <row r="3">
      <c r="A3" s="3" t="s">
        <v>3</v>
      </c>
      <c r="B3" s="13">
        <v>409960.1</v>
      </c>
      <c r="C3" s="13">
        <v>233400.23</v>
      </c>
      <c r="D3" s="13">
        <v>176559.86999999997</v>
      </c>
      <c r="E3" s="28">
        <v>1993.0</v>
      </c>
    </row>
    <row r="4">
      <c r="A4" s="3" t="s">
        <v>4</v>
      </c>
      <c r="B4" s="13">
        <v>3136191.11</v>
      </c>
      <c r="C4" s="13">
        <v>2358420.22</v>
      </c>
      <c r="D4" s="13">
        <v>777770.8899999997</v>
      </c>
      <c r="E4" s="28">
        <v>4693.0</v>
      </c>
    </row>
    <row r="5">
      <c r="A5" s="3" t="s">
        <v>5</v>
      </c>
      <c r="B5" s="13">
        <v>127966.88</v>
      </c>
      <c r="C5" s="13">
        <v>41968.64000000001</v>
      </c>
      <c r="D5" s="13">
        <v>85998.23999999999</v>
      </c>
      <c r="E5" s="28">
        <v>1171.0</v>
      </c>
    </row>
    <row r="6">
      <c r="A6" s="3" t="s">
        <v>6</v>
      </c>
      <c r="B6" s="13">
        <v>362897.60000000003</v>
      </c>
      <c r="C6" s="13">
        <v>243129.91999999998</v>
      </c>
      <c r="D6" s="13">
        <v>119767.68000000005</v>
      </c>
      <c r="E6" s="28">
        <v>7648.0</v>
      </c>
    </row>
    <row r="7">
      <c r="A7" s="3" t="s">
        <v>7</v>
      </c>
      <c r="B7" s="13">
        <v>1445686.2000000002</v>
      </c>
      <c r="C7" s="13">
        <v>1165411.2000000002</v>
      </c>
      <c r="D7" s="13">
        <v>280275.0</v>
      </c>
      <c r="E7" s="28">
        <v>2220.0</v>
      </c>
    </row>
    <row r="8">
      <c r="A8" s="3" t="s">
        <v>8</v>
      </c>
      <c r="B8" s="13">
        <v>62492.340000000004</v>
      </c>
      <c r="C8" s="13">
        <v>46350.159999999996</v>
      </c>
      <c r="D8" s="13">
        <v>16142.180000000008</v>
      </c>
      <c r="E8" s="28">
        <v>6698.0</v>
      </c>
    </row>
    <row r="9">
      <c r="A9" s="3" t="s">
        <v>9</v>
      </c>
      <c r="B9" s="13">
        <v>680791.14</v>
      </c>
      <c r="C9" s="13">
        <v>401819.67000000004</v>
      </c>
      <c r="D9" s="13">
        <v>278971.47</v>
      </c>
      <c r="E9" s="28">
        <v>4419.0</v>
      </c>
    </row>
    <row r="10">
      <c r="A10" s="3" t="s">
        <v>10</v>
      </c>
      <c r="B10" s="13">
        <v>1339454.16</v>
      </c>
      <c r="C10" s="13">
        <v>836476.74</v>
      </c>
      <c r="D10" s="13">
        <v>502977.4199999999</v>
      </c>
      <c r="E10" s="28">
        <v>5247.0</v>
      </c>
    </row>
    <row r="11">
      <c r="A11" s="3" t="s">
        <v>3</v>
      </c>
      <c r="B11" s="13">
        <v>1504695.5</v>
      </c>
      <c r="C11" s="13">
        <v>856659.65</v>
      </c>
      <c r="D11" s="13">
        <v>648035.85</v>
      </c>
      <c r="E11" s="28">
        <v>7315.0</v>
      </c>
    </row>
    <row r="12">
      <c r="A12" s="3" t="s">
        <v>4</v>
      </c>
      <c r="B12" s="13">
        <v>2536752.92</v>
      </c>
      <c r="C12" s="13">
        <v>1907641.84</v>
      </c>
      <c r="D12" s="13">
        <v>629111.0799999998</v>
      </c>
      <c r="E12" s="28">
        <v>3796.0</v>
      </c>
    </row>
    <row r="13">
      <c r="A13" s="3" t="s">
        <v>11</v>
      </c>
      <c r="B13" s="13">
        <v>490236.18</v>
      </c>
      <c r="C13" s="13">
        <v>423769.77999999997</v>
      </c>
      <c r="D13" s="13">
        <v>66466.40000000002</v>
      </c>
      <c r="E13" s="28">
        <v>1162.0</v>
      </c>
    </row>
    <row r="14">
      <c r="A14" s="3" t="s">
        <v>8</v>
      </c>
      <c r="B14" s="13">
        <v>68015.7</v>
      </c>
      <c r="C14" s="13">
        <v>50446.8</v>
      </c>
      <c r="D14" s="13">
        <v>17568.899999999994</v>
      </c>
      <c r="E14" s="28">
        <v>7290.0</v>
      </c>
    </row>
    <row r="15">
      <c r="A15" s="3" t="s">
        <v>10</v>
      </c>
      <c r="B15" s="13">
        <v>1806361.28</v>
      </c>
      <c r="C15" s="13">
        <v>1128055.92</v>
      </c>
      <c r="D15" s="13">
        <v>678305.3600000001</v>
      </c>
      <c r="E15" s="28">
        <v>7076.0</v>
      </c>
    </row>
    <row r="16">
      <c r="A16" s="3" t="s">
        <v>5</v>
      </c>
      <c r="B16" s="13">
        <v>1045372.48</v>
      </c>
      <c r="C16" s="13">
        <v>342845.44000000006</v>
      </c>
      <c r="D16" s="13">
        <v>702527.0399999999</v>
      </c>
      <c r="E16" s="28">
        <v>9566.0</v>
      </c>
    </row>
    <row r="17">
      <c r="A17" s="3" t="s">
        <v>4</v>
      </c>
      <c r="B17" s="13">
        <v>3513763.6599999997</v>
      </c>
      <c r="C17" s="13">
        <v>2642355.3200000003</v>
      </c>
      <c r="D17" s="13">
        <v>871408.3399999994</v>
      </c>
      <c r="E17" s="28">
        <v>5258.0</v>
      </c>
    </row>
    <row r="18">
      <c r="A18" s="3" t="s">
        <v>10</v>
      </c>
      <c r="B18" s="13">
        <v>2303902.0</v>
      </c>
      <c r="C18" s="13">
        <v>1438765.5</v>
      </c>
      <c r="D18" s="13">
        <v>865136.5</v>
      </c>
      <c r="E18" s="28">
        <v>9025.0</v>
      </c>
    </row>
    <row r="19">
      <c r="A19" s="3" t="s">
        <v>5</v>
      </c>
      <c r="B19" s="13">
        <v>536346.24</v>
      </c>
      <c r="C19" s="13">
        <v>175902.72000000003</v>
      </c>
      <c r="D19" s="13">
        <v>360443.51999999996</v>
      </c>
      <c r="E19" s="28">
        <v>4908.0</v>
      </c>
    </row>
    <row r="20">
      <c r="A20" s="3" t="s">
        <v>10</v>
      </c>
      <c r="B20" s="13">
        <v>1244745.28</v>
      </c>
      <c r="C20" s="13">
        <v>777331.9199999999</v>
      </c>
      <c r="D20" s="13">
        <v>467413.3600000001</v>
      </c>
      <c r="E20" s="28">
        <v>4876.0</v>
      </c>
    </row>
    <row r="21" ht="15.75" customHeight="1">
      <c r="A21" s="3" t="s">
        <v>11</v>
      </c>
      <c r="B21" s="13">
        <v>3840464.67</v>
      </c>
      <c r="C21" s="13">
        <v>3319773.07</v>
      </c>
      <c r="D21" s="13">
        <v>520691.6000000001</v>
      </c>
      <c r="E21" s="28">
        <v>9103.0</v>
      </c>
    </row>
    <row r="22" ht="15.75" customHeight="1">
      <c r="A22" s="3" t="s">
        <v>8</v>
      </c>
      <c r="B22" s="13">
        <v>28129.95</v>
      </c>
      <c r="C22" s="13">
        <v>20863.8</v>
      </c>
      <c r="D22" s="13">
        <v>7266.1500000000015</v>
      </c>
      <c r="E22" s="28">
        <v>3015.0</v>
      </c>
    </row>
    <row r="23" ht="15.75" customHeight="1">
      <c r="A23" s="3" t="s">
        <v>10</v>
      </c>
      <c r="B23" s="13">
        <v>124066.08</v>
      </c>
      <c r="C23" s="13">
        <v>77478.12</v>
      </c>
      <c r="D23" s="13">
        <v>46587.96000000001</v>
      </c>
      <c r="E23" s="28">
        <v>486.0</v>
      </c>
    </row>
    <row r="24" ht="15.75" customHeight="1">
      <c r="A24" s="3" t="s">
        <v>7</v>
      </c>
      <c r="B24" s="13">
        <v>14326.62</v>
      </c>
      <c r="C24" s="13">
        <v>11549.12</v>
      </c>
      <c r="D24" s="13">
        <v>2777.5</v>
      </c>
      <c r="E24" s="28">
        <v>22.0</v>
      </c>
    </row>
    <row r="25" ht="15.75" customHeight="1">
      <c r="A25" s="3" t="s">
        <v>12</v>
      </c>
      <c r="B25" s="13">
        <v>1453690.0</v>
      </c>
      <c r="C25" s="13">
        <v>875572.25</v>
      </c>
      <c r="D25" s="13">
        <v>578117.75</v>
      </c>
      <c r="E25" s="28">
        <v>3325.0</v>
      </c>
    </row>
    <row r="26" ht="15.75" customHeight="1">
      <c r="A26" s="3" t="s">
        <v>8</v>
      </c>
      <c r="B26" s="13">
        <v>59236.17</v>
      </c>
      <c r="C26" s="13">
        <v>43935.08</v>
      </c>
      <c r="D26" s="13">
        <v>15301.089999999997</v>
      </c>
      <c r="E26" s="28">
        <v>6349.0</v>
      </c>
    </row>
    <row r="27" ht="15.75" customHeight="1">
      <c r="A27" s="3" t="s">
        <v>7</v>
      </c>
      <c r="B27" s="13">
        <v>4803324.96</v>
      </c>
      <c r="C27" s="13">
        <v>3872104.9600000004</v>
      </c>
      <c r="D27" s="13">
        <v>931219.9999999995</v>
      </c>
      <c r="E27" s="28">
        <v>7376.0</v>
      </c>
    </row>
    <row r="28" ht="15.75" customHeight="1">
      <c r="A28" s="3" t="s">
        <v>8</v>
      </c>
      <c r="B28" s="13">
        <v>63565.29</v>
      </c>
      <c r="C28" s="13">
        <v>47145.96</v>
      </c>
      <c r="D28" s="13">
        <v>16419.33</v>
      </c>
      <c r="E28" s="28">
        <v>6813.0</v>
      </c>
    </row>
    <row r="29" ht="15.75" customHeight="1">
      <c r="A29" s="3" t="s">
        <v>13</v>
      </c>
      <c r="B29" s="13">
        <v>502445.94000000006</v>
      </c>
      <c r="C29" s="13">
        <v>320869.92</v>
      </c>
      <c r="D29" s="13">
        <v>181576.02000000008</v>
      </c>
      <c r="E29" s="28">
        <v>3293.0</v>
      </c>
    </row>
    <row r="30" ht="15.75" customHeight="1">
      <c r="A30" s="3" t="s">
        <v>3</v>
      </c>
      <c r="B30" s="13">
        <v>608872.0</v>
      </c>
      <c r="C30" s="13">
        <v>346645.6</v>
      </c>
      <c r="D30" s="13">
        <v>262226.4</v>
      </c>
      <c r="E30" s="28">
        <v>2960.0</v>
      </c>
    </row>
    <row r="31" ht="15.75" customHeight="1">
      <c r="A31" s="3" t="s">
        <v>13</v>
      </c>
      <c r="B31" s="13">
        <v>307143.54000000004</v>
      </c>
      <c r="C31" s="13">
        <v>196146.72</v>
      </c>
      <c r="D31" s="13">
        <v>110996.82000000004</v>
      </c>
      <c r="E31" s="28">
        <v>2013.0</v>
      </c>
    </row>
    <row r="32" ht="15.75" customHeight="1">
      <c r="A32" s="3" t="s">
        <v>14</v>
      </c>
      <c r="B32" s="13">
        <v>42417.87</v>
      </c>
      <c r="C32" s="13">
        <v>29411.73</v>
      </c>
      <c r="D32" s="13">
        <v>13006.140000000003</v>
      </c>
      <c r="E32" s="28">
        <v>519.0</v>
      </c>
    </row>
    <row r="33" ht="15.75" customHeight="1">
      <c r="A33" s="3" t="s">
        <v>14</v>
      </c>
      <c r="B33" s="13">
        <v>308203.83</v>
      </c>
      <c r="C33" s="13">
        <v>213702.57</v>
      </c>
      <c r="D33" s="13">
        <v>94501.26000000001</v>
      </c>
      <c r="E33" s="28">
        <v>3771.0</v>
      </c>
    </row>
    <row r="34" ht="15.75" customHeight="1">
      <c r="A34" s="3" t="s">
        <v>8</v>
      </c>
      <c r="B34" s="13">
        <v>82719.78</v>
      </c>
      <c r="C34" s="13">
        <v>61352.72</v>
      </c>
      <c r="D34" s="13">
        <v>21367.059999999998</v>
      </c>
      <c r="E34" s="28">
        <v>8866.0</v>
      </c>
    </row>
    <row r="35" ht="15.75" customHeight="1">
      <c r="A35" s="3" t="s">
        <v>8</v>
      </c>
      <c r="B35" s="13">
        <v>75712.95</v>
      </c>
      <c r="C35" s="13">
        <v>56155.8</v>
      </c>
      <c r="D35" s="13">
        <v>19557.149999999994</v>
      </c>
      <c r="E35" s="28">
        <v>8115.0</v>
      </c>
    </row>
    <row r="36" ht="15.75" customHeight="1">
      <c r="A36" s="3" t="s">
        <v>6</v>
      </c>
      <c r="B36" s="13">
        <v>248732.90000000002</v>
      </c>
      <c r="C36" s="13">
        <v>166643.18</v>
      </c>
      <c r="D36" s="13">
        <v>82089.72000000003</v>
      </c>
      <c r="E36" s="28">
        <v>5242.0</v>
      </c>
    </row>
    <row r="37" ht="15.75" customHeight="1">
      <c r="A37" s="3" t="s">
        <v>6</v>
      </c>
      <c r="B37" s="13">
        <v>191745.45</v>
      </c>
      <c r="C37" s="13">
        <v>128463.39</v>
      </c>
      <c r="D37" s="13">
        <v>63282.06000000001</v>
      </c>
      <c r="E37" s="28">
        <v>4041.0</v>
      </c>
    </row>
    <row r="38" ht="15.75" customHeight="1">
      <c r="A38" s="3" t="s">
        <v>6</v>
      </c>
      <c r="B38" s="13">
        <v>76062.35</v>
      </c>
      <c r="C38" s="13">
        <v>50959.369999999995</v>
      </c>
      <c r="D38" s="13">
        <v>25102.98000000001</v>
      </c>
      <c r="E38" s="28">
        <v>1603.0</v>
      </c>
    </row>
    <row r="39" ht="15.75" customHeight="1">
      <c r="A39" s="3" t="s">
        <v>6</v>
      </c>
      <c r="B39" s="13">
        <v>361521.55000000005</v>
      </c>
      <c r="C39" s="13">
        <v>242208.00999999998</v>
      </c>
      <c r="D39" s="13">
        <v>119313.54000000007</v>
      </c>
      <c r="E39" s="28">
        <v>7619.0</v>
      </c>
    </row>
    <row r="40" ht="15.75" customHeight="1">
      <c r="A40" s="3" t="s">
        <v>10</v>
      </c>
      <c r="B40" s="13">
        <v>714018.16</v>
      </c>
      <c r="C40" s="13">
        <v>445897.74</v>
      </c>
      <c r="D40" s="13">
        <v>268120.42000000004</v>
      </c>
      <c r="E40" s="28">
        <v>2797.0</v>
      </c>
    </row>
    <row r="41" ht="15.75" customHeight="1">
      <c r="A41" s="3" t="s">
        <v>3</v>
      </c>
      <c r="B41" s="13">
        <v>1707721.4</v>
      </c>
      <c r="C41" s="13">
        <v>972247.22</v>
      </c>
      <c r="D41" s="13">
        <v>735474.1799999999</v>
      </c>
      <c r="E41" s="28">
        <v>8302.0</v>
      </c>
    </row>
    <row r="42" ht="15.75" customHeight="1">
      <c r="A42" s="3" t="s">
        <v>6</v>
      </c>
      <c r="B42" s="13">
        <v>243798.1</v>
      </c>
      <c r="C42" s="13">
        <v>163337.02</v>
      </c>
      <c r="D42" s="13">
        <v>80461.08000000002</v>
      </c>
      <c r="E42" s="28">
        <v>5138.0</v>
      </c>
    </row>
    <row r="43" ht="15.75" customHeight="1">
      <c r="A43" s="3" t="s">
        <v>13</v>
      </c>
      <c r="B43" s="13">
        <v>1472854.7400000002</v>
      </c>
      <c r="C43" s="13">
        <v>940588.32</v>
      </c>
      <c r="D43" s="13">
        <v>532266.4200000003</v>
      </c>
      <c r="E43" s="28">
        <v>9653.0</v>
      </c>
    </row>
    <row r="44" ht="15.75" customHeight="1">
      <c r="A44" s="3" t="s">
        <v>3</v>
      </c>
      <c r="B44" s="13">
        <v>503347.89999999997</v>
      </c>
      <c r="C44" s="13">
        <v>286568.17</v>
      </c>
      <c r="D44" s="13">
        <v>216779.72999999998</v>
      </c>
      <c r="E44" s="28">
        <v>2447.0</v>
      </c>
    </row>
    <row r="45" ht="15.75" customHeight="1">
      <c r="A45" s="3" t="s">
        <v>10</v>
      </c>
      <c r="B45" s="13">
        <v>1470923.36</v>
      </c>
      <c r="C45" s="13">
        <v>918578.0399999999</v>
      </c>
      <c r="D45" s="13">
        <v>552345.3200000002</v>
      </c>
      <c r="E45" s="28">
        <v>5762.0</v>
      </c>
    </row>
    <row r="46" ht="15.75" customHeight="1">
      <c r="A46" s="3" t="s">
        <v>9</v>
      </c>
      <c r="B46" s="13">
        <v>998462.86</v>
      </c>
      <c r="C46" s="13">
        <v>589317.3300000001</v>
      </c>
      <c r="D46" s="13">
        <v>409145.5299999999</v>
      </c>
      <c r="E46" s="28">
        <v>6481.0</v>
      </c>
    </row>
    <row r="47" ht="15.75" customHeight="1">
      <c r="A47" s="3" t="s">
        <v>8</v>
      </c>
      <c r="B47" s="13">
        <v>84193.92</v>
      </c>
      <c r="C47" s="13">
        <v>62446.08</v>
      </c>
      <c r="D47" s="13">
        <v>21747.839999999997</v>
      </c>
      <c r="E47" s="28">
        <v>9024.0</v>
      </c>
    </row>
    <row r="48" ht="15.75" customHeight="1">
      <c r="A48" s="3" t="s">
        <v>10</v>
      </c>
      <c r="B48" s="13">
        <v>2021307.04</v>
      </c>
      <c r="C48" s="13">
        <v>1262287.5599999998</v>
      </c>
      <c r="D48" s="13">
        <v>759019.4800000002</v>
      </c>
      <c r="E48" s="28">
        <v>7918.0</v>
      </c>
    </row>
    <row r="49" ht="15.75" customHeight="1">
      <c r="A49" s="3" t="s">
        <v>10</v>
      </c>
      <c r="B49" s="13">
        <v>2544631.04</v>
      </c>
      <c r="C49" s="13">
        <v>1589098.5599999998</v>
      </c>
      <c r="D49" s="13">
        <v>955532.4800000002</v>
      </c>
      <c r="E49" s="28">
        <v>9968.0</v>
      </c>
    </row>
    <row r="50" ht="15.75" customHeight="1">
      <c r="A50" s="3" t="s">
        <v>4</v>
      </c>
      <c r="B50" s="13">
        <v>2568829.88</v>
      </c>
      <c r="C50" s="13">
        <v>1931763.76</v>
      </c>
      <c r="D50" s="13">
        <v>637066.1199999999</v>
      </c>
      <c r="E50" s="28">
        <v>3844.0</v>
      </c>
    </row>
    <row r="51" ht="15.75" customHeight="1">
      <c r="A51" s="3" t="s">
        <v>7</v>
      </c>
      <c r="B51" s="13">
        <v>338629.2</v>
      </c>
      <c r="C51" s="13">
        <v>272979.2</v>
      </c>
      <c r="D51" s="13">
        <v>65650.0</v>
      </c>
      <c r="E51" s="28">
        <v>520.0</v>
      </c>
    </row>
    <row r="52" ht="15.75" customHeight="1">
      <c r="A52" s="3" t="s">
        <v>6</v>
      </c>
      <c r="B52" s="13">
        <v>134710.55000000002</v>
      </c>
      <c r="C52" s="13">
        <v>90251.81</v>
      </c>
      <c r="D52" s="13">
        <v>44458.74000000002</v>
      </c>
      <c r="E52" s="28">
        <v>2839.0</v>
      </c>
    </row>
    <row r="53" ht="15.75" customHeight="1">
      <c r="A53" s="3" t="s">
        <v>14</v>
      </c>
      <c r="B53" s="13">
        <v>153243.75</v>
      </c>
      <c r="C53" s="13">
        <v>106256.25</v>
      </c>
      <c r="D53" s="13">
        <v>46987.5</v>
      </c>
      <c r="E53" s="28">
        <v>1875.0</v>
      </c>
    </row>
    <row r="54" ht="15.75" customHeight="1">
      <c r="A54" s="3" t="s">
        <v>4</v>
      </c>
      <c r="B54" s="13">
        <v>1336.54</v>
      </c>
      <c r="C54" s="13">
        <v>1005.08</v>
      </c>
      <c r="D54" s="13">
        <v>331.4599999999999</v>
      </c>
      <c r="E54" s="28">
        <v>2.0</v>
      </c>
    </row>
    <row r="55" ht="15.75" customHeight="1">
      <c r="A55" s="3" t="s">
        <v>9</v>
      </c>
      <c r="B55" s="13">
        <v>672317.84</v>
      </c>
      <c r="C55" s="13">
        <v>396818.52</v>
      </c>
      <c r="D55" s="13">
        <v>275499.31999999995</v>
      </c>
      <c r="E55" s="28">
        <v>4364.0</v>
      </c>
    </row>
    <row r="56" ht="15.75" customHeight="1">
      <c r="A56" s="3" t="s">
        <v>7</v>
      </c>
      <c r="B56" s="13">
        <v>1277674.02</v>
      </c>
      <c r="C56" s="13">
        <v>1029971.52</v>
      </c>
      <c r="D56" s="13">
        <v>247702.5</v>
      </c>
      <c r="E56" s="28">
        <v>1962.0</v>
      </c>
    </row>
    <row r="57" ht="15.75" customHeight="1">
      <c r="A57" s="3" t="s">
        <v>14</v>
      </c>
      <c r="B57" s="13">
        <v>650080.42</v>
      </c>
      <c r="C57" s="13">
        <v>450753.18</v>
      </c>
      <c r="D57" s="13">
        <v>199327.24000000005</v>
      </c>
      <c r="E57" s="28">
        <v>7954.0</v>
      </c>
    </row>
    <row r="58" ht="15.75" customHeight="1">
      <c r="A58" s="3" t="s">
        <v>14</v>
      </c>
      <c r="B58" s="13">
        <v>98484.65000000001</v>
      </c>
      <c r="C58" s="13">
        <v>68287.35</v>
      </c>
      <c r="D58" s="13">
        <v>30197.300000000003</v>
      </c>
      <c r="E58" s="28">
        <v>1205.0</v>
      </c>
    </row>
    <row r="59" ht="15.75" customHeight="1">
      <c r="A59" s="3" t="s">
        <v>12</v>
      </c>
      <c r="B59" s="13">
        <v>4016993.6</v>
      </c>
      <c r="C59" s="13">
        <v>2419476.04</v>
      </c>
      <c r="D59" s="13">
        <v>1597517.56</v>
      </c>
      <c r="E59" s="28">
        <v>9188.0</v>
      </c>
    </row>
    <row r="60" ht="15.75" customHeight="1">
      <c r="A60" s="3" t="s">
        <v>14</v>
      </c>
      <c r="B60" s="13">
        <v>679830.14</v>
      </c>
      <c r="C60" s="13">
        <v>471381.06</v>
      </c>
      <c r="D60" s="13">
        <v>208449.08000000002</v>
      </c>
      <c r="E60" s="28">
        <v>8318.0</v>
      </c>
    </row>
    <row r="61" ht="15.75" customHeight="1">
      <c r="A61" s="3" t="s">
        <v>9</v>
      </c>
      <c r="B61" s="13">
        <v>1270378.76</v>
      </c>
      <c r="C61" s="13">
        <v>749808.78</v>
      </c>
      <c r="D61" s="13">
        <v>520569.98</v>
      </c>
      <c r="E61" s="28">
        <v>8246.0</v>
      </c>
    </row>
    <row r="62" ht="15.75" customHeight="1">
      <c r="A62" s="3" t="s">
        <v>5</v>
      </c>
      <c r="B62" s="13">
        <v>695020.8</v>
      </c>
      <c r="C62" s="13">
        <v>227942.40000000002</v>
      </c>
      <c r="D62" s="13">
        <v>467078.4</v>
      </c>
      <c r="E62" s="28">
        <v>6360.0</v>
      </c>
    </row>
    <row r="63" ht="15.75" customHeight="1">
      <c r="A63" s="3" t="s">
        <v>6</v>
      </c>
      <c r="B63" s="13">
        <v>427714.30000000005</v>
      </c>
      <c r="C63" s="13">
        <v>286555.06</v>
      </c>
      <c r="D63" s="13">
        <v>141159.24000000005</v>
      </c>
      <c r="E63" s="28">
        <v>9014.0</v>
      </c>
    </row>
    <row r="64" ht="15.75" customHeight="1">
      <c r="A64" s="3" t="s">
        <v>13</v>
      </c>
      <c r="B64" s="13">
        <v>538454.8200000001</v>
      </c>
      <c r="C64" s="13">
        <v>343865.76</v>
      </c>
      <c r="D64" s="13">
        <v>194589.06000000006</v>
      </c>
      <c r="E64" s="28">
        <v>3529.0</v>
      </c>
    </row>
    <row r="65" ht="15.75" customHeight="1">
      <c r="A65" s="3" t="s">
        <v>7</v>
      </c>
      <c r="B65" s="13">
        <v>6512.1</v>
      </c>
      <c r="C65" s="13">
        <v>5249.6</v>
      </c>
      <c r="D65" s="13">
        <v>1262.5</v>
      </c>
      <c r="E65" s="28">
        <v>10.0</v>
      </c>
    </row>
    <row r="66" ht="15.75" customHeight="1">
      <c r="A66" s="3" t="s">
        <v>5</v>
      </c>
      <c r="B66" s="13">
        <v>981334.4</v>
      </c>
      <c r="C66" s="13">
        <v>321843.2</v>
      </c>
      <c r="D66" s="13">
        <v>659491.2</v>
      </c>
      <c r="E66" s="28">
        <v>8980.0</v>
      </c>
    </row>
    <row r="67" ht="15.75" customHeight="1">
      <c r="A67" s="3" t="s">
        <v>12</v>
      </c>
      <c r="B67" s="13">
        <v>710450.0</v>
      </c>
      <c r="C67" s="13">
        <v>427911.25</v>
      </c>
      <c r="D67" s="13">
        <v>282538.75</v>
      </c>
      <c r="E67" s="28">
        <v>1625.0</v>
      </c>
    </row>
    <row r="68" ht="15.75" customHeight="1">
      <c r="A68" s="3" t="s">
        <v>9</v>
      </c>
      <c r="B68" s="13">
        <v>459098.8</v>
      </c>
      <c r="C68" s="13">
        <v>270971.4</v>
      </c>
      <c r="D68" s="13">
        <v>188127.39999999997</v>
      </c>
      <c r="E68" s="28">
        <v>2980.0</v>
      </c>
    </row>
    <row r="69" ht="15.75" customHeight="1">
      <c r="A69" s="3" t="s">
        <v>12</v>
      </c>
      <c r="B69" s="13">
        <v>2016803.5999999999</v>
      </c>
      <c r="C69" s="13">
        <v>1214741.29</v>
      </c>
      <c r="D69" s="13">
        <v>802062.3099999998</v>
      </c>
      <c r="E69" s="28">
        <v>4613.0</v>
      </c>
    </row>
    <row r="70" ht="15.75" customHeight="1">
      <c r="A70" s="3" t="s">
        <v>14</v>
      </c>
      <c r="B70" s="13">
        <v>483432.95</v>
      </c>
      <c r="C70" s="13">
        <v>335203.05</v>
      </c>
      <c r="D70" s="13">
        <v>148229.90000000002</v>
      </c>
      <c r="E70" s="28">
        <v>5915.0</v>
      </c>
    </row>
    <row r="71" ht="15.75" customHeight="1">
      <c r="A71" s="3" t="s">
        <v>10</v>
      </c>
      <c r="B71" s="13">
        <v>11742.88</v>
      </c>
      <c r="C71" s="13">
        <v>7333.32</v>
      </c>
      <c r="D71" s="13">
        <v>4409.5599999999995</v>
      </c>
      <c r="E71" s="28">
        <v>46.0</v>
      </c>
    </row>
    <row r="72" ht="15.75" customHeight="1">
      <c r="A72" s="3" t="s">
        <v>5</v>
      </c>
      <c r="B72" s="13">
        <v>470122.56</v>
      </c>
      <c r="C72" s="13">
        <v>154183.68000000002</v>
      </c>
      <c r="D72" s="13">
        <v>315938.88</v>
      </c>
      <c r="E72" s="28">
        <v>4302.0</v>
      </c>
    </row>
    <row r="73" ht="15.75" customHeight="1">
      <c r="A73" s="3" t="s">
        <v>4</v>
      </c>
      <c r="B73" s="13">
        <v>2048247.55</v>
      </c>
      <c r="C73" s="13">
        <v>1540285.1</v>
      </c>
      <c r="D73" s="13">
        <v>507962.44999999995</v>
      </c>
      <c r="E73" s="28">
        <v>3065.0</v>
      </c>
    </row>
    <row r="74" ht="15.75" customHeight="1">
      <c r="A74" s="3" t="s">
        <v>8</v>
      </c>
      <c r="B74" s="13">
        <v>8285.04</v>
      </c>
      <c r="C74" s="13">
        <v>6144.96</v>
      </c>
      <c r="D74" s="13">
        <v>2140.080000000001</v>
      </c>
      <c r="E74" s="28">
        <v>888.0</v>
      </c>
    </row>
    <row r="75" ht="15.75" customHeight="1">
      <c r="A75" s="3" t="s">
        <v>4</v>
      </c>
      <c r="B75" s="13">
        <v>1411386.24</v>
      </c>
      <c r="C75" s="13">
        <v>1061364.48</v>
      </c>
      <c r="D75" s="13">
        <v>350021.76</v>
      </c>
      <c r="E75" s="28">
        <v>2112.0</v>
      </c>
    </row>
    <row r="76" ht="15.75" customHeight="1">
      <c r="A76" s="3" t="s">
        <v>4</v>
      </c>
      <c r="B76" s="13">
        <v>5662251.71</v>
      </c>
      <c r="C76" s="13">
        <v>4258021.42</v>
      </c>
      <c r="D76" s="13">
        <v>1404230.29</v>
      </c>
      <c r="E76" s="28">
        <v>8473.0</v>
      </c>
    </row>
    <row r="77" ht="15.75" customHeight="1">
      <c r="A77" s="3" t="s">
        <v>3</v>
      </c>
      <c r="B77" s="13">
        <v>1107900.2</v>
      </c>
      <c r="C77" s="13">
        <v>630754.46</v>
      </c>
      <c r="D77" s="13">
        <v>477145.74</v>
      </c>
      <c r="E77" s="28">
        <v>5386.0</v>
      </c>
    </row>
    <row r="78" ht="15.75" customHeight="1">
      <c r="A78" s="3" t="s">
        <v>10</v>
      </c>
      <c r="B78" s="13">
        <v>389302.0</v>
      </c>
      <c r="C78" s="13">
        <v>243115.49999999997</v>
      </c>
      <c r="D78" s="13">
        <v>146186.50000000003</v>
      </c>
      <c r="E78" s="28">
        <v>1525.0</v>
      </c>
    </row>
    <row r="79" ht="15.75" customHeight="1">
      <c r="A79" s="3" t="s">
        <v>7</v>
      </c>
      <c r="B79" s="13">
        <v>811407.66</v>
      </c>
      <c r="C79" s="13">
        <v>654100.16</v>
      </c>
      <c r="D79" s="13">
        <v>157307.5</v>
      </c>
      <c r="E79" s="28">
        <v>1246.0</v>
      </c>
    </row>
    <row r="80" ht="15.75" customHeight="1">
      <c r="A80" s="3" t="s">
        <v>9</v>
      </c>
      <c r="B80" s="13">
        <v>1078265.94</v>
      </c>
      <c r="C80" s="13">
        <v>636419.0700000001</v>
      </c>
      <c r="D80" s="13">
        <v>441846.8699999999</v>
      </c>
      <c r="E80" s="28">
        <v>6999.0</v>
      </c>
    </row>
    <row r="81" ht="15.75" customHeight="1">
      <c r="A81" s="3" t="s">
        <v>12</v>
      </c>
      <c r="B81" s="13">
        <v>2201739.1999999997</v>
      </c>
      <c r="C81" s="13">
        <v>1326129.88</v>
      </c>
      <c r="D81" s="13">
        <v>875609.3199999998</v>
      </c>
      <c r="E81" s="28">
        <v>5036.0</v>
      </c>
    </row>
    <row r="82" ht="15.75" customHeight="1">
      <c r="A82" s="3" t="s">
        <v>12</v>
      </c>
      <c r="B82" s="13">
        <v>1800826.8</v>
      </c>
      <c r="C82" s="13">
        <v>1084656.27</v>
      </c>
      <c r="D82" s="13">
        <v>716170.53</v>
      </c>
      <c r="E82" s="28">
        <v>4119.0</v>
      </c>
    </row>
    <row r="83" ht="15.75" customHeight="1">
      <c r="A83" s="3" t="s">
        <v>7</v>
      </c>
      <c r="B83" s="13">
        <v>55352.850000000006</v>
      </c>
      <c r="C83" s="13">
        <v>44621.600000000006</v>
      </c>
      <c r="D83" s="13">
        <v>10731.25</v>
      </c>
      <c r="E83" s="28">
        <v>85.0</v>
      </c>
    </row>
    <row r="84" ht="15.75" customHeight="1">
      <c r="A84" s="3" t="s">
        <v>4</v>
      </c>
      <c r="B84" s="13">
        <v>1570434.5</v>
      </c>
      <c r="C84" s="13">
        <v>1180969.0</v>
      </c>
      <c r="D84" s="13">
        <v>389465.5</v>
      </c>
      <c r="E84" s="28">
        <v>2350.0</v>
      </c>
    </row>
    <row r="85" ht="15.75" customHeight="1">
      <c r="A85" s="3" t="s">
        <v>7</v>
      </c>
      <c r="B85" s="13">
        <v>2582047.6500000004</v>
      </c>
      <c r="C85" s="13">
        <v>2081466.4000000001</v>
      </c>
      <c r="D85" s="13">
        <v>500581.25000000023</v>
      </c>
      <c r="E85" s="28">
        <v>3965.0</v>
      </c>
    </row>
    <row r="86" ht="15.75" customHeight="1">
      <c r="A86" s="3" t="s">
        <v>12</v>
      </c>
      <c r="B86" s="13">
        <v>2440013.1999999997</v>
      </c>
      <c r="C86" s="13">
        <v>1469644.73</v>
      </c>
      <c r="D86" s="13">
        <v>970368.4699999997</v>
      </c>
      <c r="E86" s="28">
        <v>5581.0</v>
      </c>
    </row>
    <row r="87" ht="15.75" customHeight="1">
      <c r="A87" s="3" t="s">
        <v>10</v>
      </c>
      <c r="B87" s="13">
        <v>1447182.32</v>
      </c>
      <c r="C87" s="13">
        <v>903751.98</v>
      </c>
      <c r="D87" s="13">
        <v>543430.3400000001</v>
      </c>
      <c r="E87" s="28">
        <v>5669.0</v>
      </c>
    </row>
    <row r="88" ht="15.75" customHeight="1">
      <c r="A88" s="3" t="s">
        <v>11</v>
      </c>
      <c r="B88" s="13">
        <v>291525.99</v>
      </c>
      <c r="C88" s="13">
        <v>252000.79</v>
      </c>
      <c r="D88" s="13">
        <v>39525.19999999998</v>
      </c>
      <c r="E88" s="28">
        <v>691.0</v>
      </c>
    </row>
    <row r="89" ht="15.75" customHeight="1">
      <c r="A89" s="3" t="s">
        <v>5</v>
      </c>
      <c r="B89" s="13">
        <v>929207.84</v>
      </c>
      <c r="C89" s="13">
        <v>304747.52</v>
      </c>
      <c r="D89" s="13">
        <v>624460.32</v>
      </c>
      <c r="E89" s="28">
        <v>8503.0</v>
      </c>
    </row>
    <row r="90" ht="15.75" customHeight="1">
      <c r="A90" s="3" t="s">
        <v>7</v>
      </c>
      <c r="B90" s="13">
        <v>1302.42</v>
      </c>
      <c r="C90" s="13">
        <v>1049.92</v>
      </c>
      <c r="D90" s="13">
        <v>252.5</v>
      </c>
      <c r="E90" s="28">
        <v>2.0</v>
      </c>
    </row>
    <row r="91" ht="15.75" customHeight="1">
      <c r="A91" s="3" t="s">
        <v>8</v>
      </c>
      <c r="B91" s="13">
        <v>32319.12</v>
      </c>
      <c r="C91" s="13">
        <v>23970.88</v>
      </c>
      <c r="D91" s="13">
        <v>8348.239999999998</v>
      </c>
      <c r="E91" s="28">
        <v>3464.0</v>
      </c>
    </row>
    <row r="92" ht="15.75" customHeight="1">
      <c r="A92" s="3" t="s">
        <v>12</v>
      </c>
      <c r="B92" s="13">
        <v>1097809.2</v>
      </c>
      <c r="C92" s="13">
        <v>661221.63</v>
      </c>
      <c r="D92" s="13">
        <v>436587.56999999995</v>
      </c>
      <c r="E92" s="28">
        <v>2511.0</v>
      </c>
    </row>
    <row r="93" ht="15.75" customHeight="1">
      <c r="A93" s="3" t="s">
        <v>8</v>
      </c>
      <c r="B93" s="13">
        <v>69844.38</v>
      </c>
      <c r="C93" s="13">
        <v>51803.12</v>
      </c>
      <c r="D93" s="13">
        <v>18041.260000000002</v>
      </c>
      <c r="E93" s="28">
        <v>7486.0</v>
      </c>
    </row>
    <row r="94" ht="15.75" customHeight="1">
      <c r="A94" s="3" t="s">
        <v>5</v>
      </c>
      <c r="B94" s="13">
        <v>1051273.6</v>
      </c>
      <c r="C94" s="13">
        <v>344780.80000000005</v>
      </c>
      <c r="D94" s="13">
        <v>706492.8</v>
      </c>
      <c r="E94" s="28">
        <v>9620.0</v>
      </c>
    </row>
    <row r="95" ht="15.75" customHeight="1">
      <c r="A95" s="3" t="s">
        <v>10</v>
      </c>
      <c r="B95" s="13">
        <v>1670041.76</v>
      </c>
      <c r="C95" s="13">
        <v>1042925.6399999999</v>
      </c>
      <c r="D95" s="13">
        <v>627116.1200000001</v>
      </c>
      <c r="E95" s="28">
        <v>6542.0</v>
      </c>
    </row>
    <row r="96" ht="15.75" customHeight="1">
      <c r="A96" s="3" t="s">
        <v>13</v>
      </c>
      <c r="B96" s="13">
        <v>601775.52</v>
      </c>
      <c r="C96" s="13">
        <v>384303.36</v>
      </c>
      <c r="D96" s="13">
        <v>217472.16000000003</v>
      </c>
      <c r="E96" s="28">
        <v>3944.0</v>
      </c>
    </row>
    <row r="97" ht="15.75" customHeight="1">
      <c r="A97" s="3" t="s">
        <v>8</v>
      </c>
      <c r="B97" s="13">
        <v>86703.69</v>
      </c>
      <c r="C97" s="13">
        <v>64307.56</v>
      </c>
      <c r="D97" s="13">
        <v>22396.130000000005</v>
      </c>
      <c r="E97" s="28">
        <v>9293.0</v>
      </c>
    </row>
    <row r="98" ht="15.75" customHeight="1">
      <c r="A98" s="3" t="s">
        <v>11</v>
      </c>
      <c r="B98" s="13">
        <v>3779712.51</v>
      </c>
      <c r="C98" s="13">
        <v>3267257.71</v>
      </c>
      <c r="D98" s="13">
        <v>512454.7999999998</v>
      </c>
      <c r="E98" s="28">
        <v>8959.0</v>
      </c>
    </row>
    <row r="99" ht="15.75" customHeight="1">
      <c r="A99" s="3" t="s">
        <v>7</v>
      </c>
      <c r="B99" s="13">
        <v>5000641.59</v>
      </c>
      <c r="C99" s="13">
        <v>4031167.8400000003</v>
      </c>
      <c r="D99" s="13">
        <v>969473.7499999995</v>
      </c>
      <c r="E99" s="28">
        <v>7679.0</v>
      </c>
    </row>
    <row r="100" ht="15.75" customHeight="1">
      <c r="A100" s="3" t="s">
        <v>14</v>
      </c>
      <c r="B100" s="13">
        <v>713666.36</v>
      </c>
      <c r="C100" s="13">
        <v>494842.44</v>
      </c>
      <c r="D100" s="13">
        <v>218823.91999999998</v>
      </c>
      <c r="E100" s="28">
        <v>8732.0</v>
      </c>
    </row>
    <row r="101" ht="15.75" customHeight="1">
      <c r="A101" s="3" t="s">
        <v>12</v>
      </c>
      <c r="B101" s="13">
        <v>216851.19999999998</v>
      </c>
      <c r="C101" s="13">
        <v>130611.68</v>
      </c>
      <c r="D101" s="13">
        <v>86239.51999999999</v>
      </c>
      <c r="E101" s="28">
        <v>496.0</v>
      </c>
    </row>
    <row r="102" ht="15.75" customHeight="1">
      <c r="A102" s="3" t="s">
        <v>11</v>
      </c>
      <c r="B102" s="13">
        <v>881328.21</v>
      </c>
      <c r="C102" s="13">
        <v>761837.41</v>
      </c>
      <c r="D102" s="13">
        <v>119490.79999999993</v>
      </c>
      <c r="E102" s="28">
        <v>2089.0</v>
      </c>
    </row>
    <row r="103" ht="15.75" customHeight="1">
      <c r="A103" s="3" t="s">
        <v>5</v>
      </c>
      <c r="B103" s="13">
        <v>291340.48</v>
      </c>
      <c r="C103" s="13">
        <v>95549.44</v>
      </c>
      <c r="D103" s="13">
        <v>195791.03999999998</v>
      </c>
      <c r="E103" s="28">
        <v>2666.0</v>
      </c>
    </row>
    <row r="104" ht="15.75" customHeight="1">
      <c r="A104" s="3" t="s">
        <v>6</v>
      </c>
      <c r="B104" s="13">
        <v>123275.1</v>
      </c>
      <c r="C104" s="13">
        <v>82590.42</v>
      </c>
      <c r="D104" s="13">
        <v>40684.68000000001</v>
      </c>
      <c r="E104" s="28">
        <v>2598.0</v>
      </c>
    </row>
    <row r="105" ht="15.75" customHeight="1">
      <c r="A105" s="3" t="s">
        <v>13</v>
      </c>
      <c r="B105" s="13">
        <v>1227963.84</v>
      </c>
      <c r="C105" s="13">
        <v>784197.12</v>
      </c>
      <c r="D105" s="13">
        <v>443766.7200000001</v>
      </c>
      <c r="E105" s="28">
        <v>8048.0</v>
      </c>
    </row>
    <row r="106" ht="15.75" customHeight="1">
      <c r="A106" s="3" t="s">
        <v>7</v>
      </c>
      <c r="B106" s="13">
        <v>2949330.0900000003</v>
      </c>
      <c r="C106" s="13">
        <v>2377543.8400000003</v>
      </c>
      <c r="D106" s="13">
        <v>571786.25</v>
      </c>
      <c r="E106" s="28">
        <v>4529.0</v>
      </c>
    </row>
    <row r="107" ht="15.75" customHeight="1">
      <c r="A107" s="3" t="s">
        <v>11</v>
      </c>
      <c r="B107" s="13">
        <v>2921166.36</v>
      </c>
      <c r="C107" s="13">
        <v>2525113.56</v>
      </c>
      <c r="D107" s="13">
        <v>396052.7999999998</v>
      </c>
      <c r="E107" s="28">
        <v>6924.0</v>
      </c>
    </row>
    <row r="108" ht="15.75" customHeight="1">
      <c r="A108" s="3" t="s">
        <v>5</v>
      </c>
      <c r="B108" s="13">
        <v>195501.92</v>
      </c>
      <c r="C108" s="13">
        <v>64117.76000000001</v>
      </c>
      <c r="D108" s="13">
        <v>131384.16</v>
      </c>
      <c r="E108" s="28">
        <v>1789.0</v>
      </c>
    </row>
    <row r="109" ht="15.75" customHeight="1">
      <c r="A109" s="3" t="s">
        <v>7</v>
      </c>
      <c r="B109" s="13">
        <v>5409601.470000001</v>
      </c>
      <c r="C109" s="13">
        <v>4360842.720000001</v>
      </c>
      <c r="D109" s="13">
        <v>1048758.75</v>
      </c>
      <c r="E109" s="28">
        <v>8307.0</v>
      </c>
    </row>
    <row r="110" ht="15.75" customHeight="1">
      <c r="A110" s="3" t="s">
        <v>7</v>
      </c>
      <c r="B110" s="13">
        <v>5184934.0200000005</v>
      </c>
      <c r="C110" s="13">
        <v>4179731.5200000005</v>
      </c>
      <c r="D110" s="13">
        <v>1005202.5</v>
      </c>
      <c r="E110" s="28">
        <v>7962.0</v>
      </c>
    </row>
    <row r="111" ht="15.75" customHeight="1">
      <c r="A111" s="3" t="s">
        <v>10</v>
      </c>
      <c r="B111" s="13">
        <v>2052195.92</v>
      </c>
      <c r="C111" s="13">
        <v>1281577.38</v>
      </c>
      <c r="D111" s="13">
        <v>770618.54</v>
      </c>
      <c r="E111" s="28">
        <v>8039.0</v>
      </c>
    </row>
    <row r="112" ht="15.75" customHeight="1">
      <c r="A112" s="3" t="s">
        <v>11</v>
      </c>
      <c r="B112" s="13">
        <v>1530195.03</v>
      </c>
      <c r="C112" s="13">
        <v>1322730.63</v>
      </c>
      <c r="D112" s="13">
        <v>207464.40000000014</v>
      </c>
      <c r="E112" s="28">
        <v>3627.0</v>
      </c>
    </row>
    <row r="113" ht="15.75" customHeight="1">
      <c r="A113" s="3" t="s">
        <v>11</v>
      </c>
      <c r="B113" s="13">
        <v>784715.4</v>
      </c>
      <c r="C113" s="13">
        <v>678323.4</v>
      </c>
      <c r="D113" s="13">
        <v>106392.0</v>
      </c>
      <c r="E113" s="28">
        <v>1860.0</v>
      </c>
    </row>
    <row r="114" ht="15.75" customHeight="1">
      <c r="A114" s="3" t="s">
        <v>8</v>
      </c>
      <c r="B114" s="13">
        <v>60113.19</v>
      </c>
      <c r="C114" s="13">
        <v>44585.56</v>
      </c>
      <c r="D114" s="13">
        <v>15527.630000000005</v>
      </c>
      <c r="E114" s="28">
        <v>6443.0</v>
      </c>
    </row>
    <row r="115" ht="15.75" customHeight="1">
      <c r="A115" s="3" t="s">
        <v>5</v>
      </c>
      <c r="B115" s="13">
        <v>1067993.44</v>
      </c>
      <c r="C115" s="13">
        <v>350264.32</v>
      </c>
      <c r="D115" s="13">
        <v>717729.1199999999</v>
      </c>
      <c r="E115" s="28">
        <v>9773.0</v>
      </c>
    </row>
    <row r="116" ht="15.75" customHeight="1">
      <c r="A116" s="3" t="s">
        <v>3</v>
      </c>
      <c r="B116" s="13">
        <v>795441.8999999999</v>
      </c>
      <c r="C116" s="13">
        <v>452864.37</v>
      </c>
      <c r="D116" s="13">
        <v>342577.5299999999</v>
      </c>
      <c r="E116" s="28">
        <v>3867.0</v>
      </c>
    </row>
    <row r="117" ht="15.75" customHeight="1">
      <c r="A117" s="3" t="s">
        <v>10</v>
      </c>
      <c r="B117" s="13">
        <v>276978.8</v>
      </c>
      <c r="C117" s="13">
        <v>172970.69999999998</v>
      </c>
      <c r="D117" s="13">
        <v>104008.1</v>
      </c>
      <c r="E117" s="28">
        <v>1085.0</v>
      </c>
    </row>
    <row r="118" ht="15.75" customHeight="1">
      <c r="A118" s="3" t="s">
        <v>12</v>
      </c>
      <c r="B118" s="13">
        <v>2657301.6</v>
      </c>
      <c r="C118" s="13">
        <v>1600519.74</v>
      </c>
      <c r="D118" s="13">
        <v>1056781.86</v>
      </c>
      <c r="E118" s="28">
        <v>6078.0</v>
      </c>
    </row>
    <row r="119" ht="15.75" customHeight="1">
      <c r="A119" s="3" t="s">
        <v>4</v>
      </c>
      <c r="B119" s="13">
        <v>6261689.899999999</v>
      </c>
      <c r="C119" s="13">
        <v>4708799.8</v>
      </c>
      <c r="D119" s="13">
        <v>1552890.0999999996</v>
      </c>
      <c r="E119" s="28">
        <v>9370.0</v>
      </c>
    </row>
    <row r="120" ht="15.75" customHeight="1">
      <c r="A120" s="3" t="s">
        <v>3</v>
      </c>
      <c r="B120" s="13">
        <v>1262998.0</v>
      </c>
      <c r="C120" s="13">
        <v>719055.4</v>
      </c>
      <c r="D120" s="13">
        <v>543942.6</v>
      </c>
      <c r="E120" s="28">
        <v>6140.0</v>
      </c>
    </row>
    <row r="121" ht="15.75" customHeight="1">
      <c r="A121" s="3" t="s">
        <v>5</v>
      </c>
      <c r="B121" s="13">
        <v>548148.48</v>
      </c>
      <c r="C121" s="13">
        <v>179773.44000000003</v>
      </c>
      <c r="D121" s="13">
        <v>368375.0399999999</v>
      </c>
      <c r="E121" s="28">
        <v>5016.0</v>
      </c>
    </row>
    <row r="122" ht="15.75" customHeight="1">
      <c r="A122" s="3" t="s">
        <v>11</v>
      </c>
      <c r="B122" s="13">
        <v>259462.35</v>
      </c>
      <c r="C122" s="13">
        <v>224284.35</v>
      </c>
      <c r="D122" s="13">
        <v>35178.0</v>
      </c>
      <c r="E122" s="28">
        <v>615.0</v>
      </c>
    </row>
    <row r="123" ht="15.75" customHeight="1">
      <c r="A123" s="3" t="s">
        <v>4</v>
      </c>
      <c r="B123" s="13">
        <v>1180833.09</v>
      </c>
      <c r="C123" s="13">
        <v>887988.18</v>
      </c>
      <c r="D123" s="13">
        <v>292844.91000000003</v>
      </c>
      <c r="E123" s="28">
        <v>1767.0</v>
      </c>
    </row>
    <row r="124" ht="15.75" customHeight="1">
      <c r="A124" s="3" t="s">
        <v>12</v>
      </c>
      <c r="B124" s="13">
        <v>620824.0</v>
      </c>
      <c r="C124" s="13">
        <v>373928.6</v>
      </c>
      <c r="D124" s="13">
        <v>246895.40000000002</v>
      </c>
      <c r="E124" s="28">
        <v>1420.0</v>
      </c>
    </row>
    <row r="125" ht="15.75" customHeight="1">
      <c r="A125" s="3" t="s">
        <v>6</v>
      </c>
      <c r="B125" s="13">
        <v>37960.0</v>
      </c>
      <c r="C125" s="13">
        <v>25432.0</v>
      </c>
      <c r="D125" s="13">
        <v>12528.0</v>
      </c>
      <c r="E125" s="28">
        <v>800.0</v>
      </c>
    </row>
    <row r="126" ht="15.75" customHeight="1">
      <c r="A126" s="3" t="s">
        <v>9</v>
      </c>
      <c r="B126" s="13">
        <v>1038364.4</v>
      </c>
      <c r="C126" s="13">
        <v>612868.2000000001</v>
      </c>
      <c r="D126" s="13">
        <v>425496.19999999995</v>
      </c>
      <c r="E126" s="28">
        <v>6740.0</v>
      </c>
    </row>
    <row r="127" ht="15.75" customHeight="1">
      <c r="A127" s="3" t="s">
        <v>7</v>
      </c>
      <c r="B127" s="13">
        <v>5126325.12</v>
      </c>
      <c r="C127" s="13">
        <v>4132485.12</v>
      </c>
      <c r="D127" s="13">
        <v>993840.0</v>
      </c>
      <c r="E127" s="28">
        <v>7872.0</v>
      </c>
    </row>
    <row r="128" ht="15.75" customHeight="1">
      <c r="A128" s="3" t="s">
        <v>8</v>
      </c>
      <c r="B128" s="13">
        <v>503.82</v>
      </c>
      <c r="C128" s="13">
        <v>373.68</v>
      </c>
      <c r="D128" s="13">
        <v>130.14</v>
      </c>
      <c r="E128" s="28">
        <v>54.0</v>
      </c>
    </row>
    <row r="129" ht="15.75" customHeight="1">
      <c r="A129" s="3" t="s">
        <v>7</v>
      </c>
      <c r="B129" s="13">
        <v>2849043.75</v>
      </c>
      <c r="C129" s="13">
        <v>2296700.0</v>
      </c>
      <c r="D129" s="13">
        <v>552343.75</v>
      </c>
      <c r="E129" s="28">
        <v>4375.0</v>
      </c>
    </row>
    <row r="130" ht="15.75" customHeight="1">
      <c r="A130" s="3" t="s">
        <v>13</v>
      </c>
      <c r="B130" s="13">
        <v>451331.64</v>
      </c>
      <c r="C130" s="13">
        <v>288227.52</v>
      </c>
      <c r="D130" s="13">
        <v>163104.12</v>
      </c>
      <c r="E130" s="28">
        <v>2958.0</v>
      </c>
    </row>
    <row r="131" ht="15.75" customHeight="1">
      <c r="A131" s="3" t="s">
        <v>12</v>
      </c>
      <c r="B131" s="13">
        <v>850791.2</v>
      </c>
      <c r="C131" s="13">
        <v>512440.18</v>
      </c>
      <c r="D131" s="13">
        <v>338351.01999999996</v>
      </c>
      <c r="E131" s="28">
        <v>1946.0</v>
      </c>
    </row>
    <row r="132" ht="15.75" customHeight="1">
      <c r="A132" s="3" t="s">
        <v>5</v>
      </c>
      <c r="B132" s="13">
        <v>470013.28</v>
      </c>
      <c r="C132" s="13">
        <v>154147.84000000003</v>
      </c>
      <c r="D132" s="13">
        <v>315865.44</v>
      </c>
      <c r="E132" s="28">
        <v>4301.0</v>
      </c>
    </row>
    <row r="133" ht="15.75" customHeight="1">
      <c r="A133" s="3" t="s">
        <v>10</v>
      </c>
      <c r="B133" s="13">
        <v>135553.68</v>
      </c>
      <c r="C133" s="13">
        <v>84652.01999999999</v>
      </c>
      <c r="D133" s="13">
        <v>50901.66</v>
      </c>
      <c r="E133" s="28">
        <v>531.0</v>
      </c>
    </row>
    <row r="134" ht="15.75" customHeight="1">
      <c r="A134" s="3" t="s">
        <v>9</v>
      </c>
      <c r="B134" s="13">
        <v>1256975.54</v>
      </c>
      <c r="C134" s="13">
        <v>741897.8700000001</v>
      </c>
      <c r="D134" s="13">
        <v>515077.6699999999</v>
      </c>
      <c r="E134" s="28">
        <v>8159.0</v>
      </c>
    </row>
    <row r="135" ht="15.75" customHeight="1">
      <c r="A135" s="3" t="s">
        <v>4</v>
      </c>
      <c r="B135" s="13">
        <v>5117611.66</v>
      </c>
      <c r="C135" s="13">
        <v>3848451.3200000003</v>
      </c>
      <c r="D135" s="13">
        <v>1269160.3399999999</v>
      </c>
      <c r="E135" s="28">
        <v>7658.0</v>
      </c>
    </row>
    <row r="136" ht="15.75" customHeight="1">
      <c r="A136" s="3" t="s">
        <v>14</v>
      </c>
      <c r="B136" s="13">
        <v>391977.08</v>
      </c>
      <c r="C136" s="13">
        <v>271789.32</v>
      </c>
      <c r="D136" s="13">
        <v>120187.76000000001</v>
      </c>
      <c r="E136" s="28">
        <v>4796.0</v>
      </c>
    </row>
    <row r="137" ht="15.75" customHeight="1">
      <c r="A137" s="3" t="s">
        <v>8</v>
      </c>
      <c r="B137" s="13">
        <v>81478.89</v>
      </c>
      <c r="C137" s="13">
        <v>60432.36</v>
      </c>
      <c r="D137" s="13">
        <v>21046.53</v>
      </c>
      <c r="E137" s="28">
        <v>8733.0</v>
      </c>
    </row>
    <row r="138" ht="15.75" customHeight="1">
      <c r="A138" s="3" t="s">
        <v>9</v>
      </c>
      <c r="B138" s="13">
        <v>602528.66</v>
      </c>
      <c r="C138" s="13">
        <v>355627.23000000004</v>
      </c>
      <c r="D138" s="13">
        <v>246901.43</v>
      </c>
      <c r="E138" s="28">
        <v>3911.0</v>
      </c>
    </row>
    <row r="139" ht="15.75" customHeight="1">
      <c r="A139" s="3" t="s">
        <v>7</v>
      </c>
      <c r="B139" s="13">
        <v>4768159.62</v>
      </c>
      <c r="C139" s="13">
        <v>3843757.12</v>
      </c>
      <c r="D139" s="13">
        <v>924402.5</v>
      </c>
      <c r="E139" s="28">
        <v>7322.0</v>
      </c>
    </row>
    <row r="140" ht="15.75" customHeight="1">
      <c r="A140" s="3" t="s">
        <v>12</v>
      </c>
      <c r="B140" s="13">
        <v>539504.7999999999</v>
      </c>
      <c r="C140" s="13">
        <v>324949.22</v>
      </c>
      <c r="D140" s="13">
        <v>214555.57999999996</v>
      </c>
      <c r="E140" s="28">
        <v>1234.0</v>
      </c>
    </row>
    <row r="141" ht="15.75" customHeight="1">
      <c r="A141" s="3" t="s">
        <v>8</v>
      </c>
      <c r="B141" s="13">
        <v>64600.92</v>
      </c>
      <c r="C141" s="13">
        <v>47914.08</v>
      </c>
      <c r="D141" s="13">
        <v>16686.839999999997</v>
      </c>
      <c r="E141" s="28">
        <v>6924.0</v>
      </c>
    </row>
    <row r="142" ht="15.75" customHeight="1">
      <c r="A142" s="3" t="s">
        <v>5</v>
      </c>
      <c r="B142" s="13">
        <v>956200.0</v>
      </c>
      <c r="C142" s="13">
        <v>313600.00000000006</v>
      </c>
      <c r="D142" s="13">
        <v>642600.0</v>
      </c>
      <c r="E142" s="28">
        <v>8750.0</v>
      </c>
    </row>
    <row r="143" ht="15.75" customHeight="1">
      <c r="A143" s="3" t="s">
        <v>7</v>
      </c>
      <c r="B143" s="13">
        <v>162151.29</v>
      </c>
      <c r="C143" s="13">
        <v>130715.04000000001</v>
      </c>
      <c r="D143" s="13">
        <v>31436.25</v>
      </c>
      <c r="E143" s="28">
        <v>249.0</v>
      </c>
    </row>
    <row r="144" ht="15.75" customHeight="1">
      <c r="A144" s="3" t="s">
        <v>13</v>
      </c>
      <c r="B144" s="13">
        <v>854142.8400000001</v>
      </c>
      <c r="C144" s="13">
        <v>545469.12</v>
      </c>
      <c r="D144" s="13">
        <v>308673.7200000001</v>
      </c>
      <c r="E144" s="28">
        <v>5598.0</v>
      </c>
    </row>
    <row r="145" ht="15.75" customHeight="1">
      <c r="A145" s="3" t="s">
        <v>6</v>
      </c>
      <c r="B145" s="13">
        <v>79146.6</v>
      </c>
      <c r="C145" s="13">
        <v>53025.72</v>
      </c>
      <c r="D145" s="13">
        <v>26120.880000000005</v>
      </c>
      <c r="E145" s="28">
        <v>1668.0</v>
      </c>
    </row>
    <row r="146" ht="15.75" customHeight="1">
      <c r="A146" s="3" t="s">
        <v>5</v>
      </c>
      <c r="B146" s="13">
        <v>536455.52</v>
      </c>
      <c r="C146" s="13">
        <v>175938.56000000003</v>
      </c>
      <c r="D146" s="13">
        <v>360516.95999999996</v>
      </c>
      <c r="E146" s="28">
        <v>4909.0</v>
      </c>
    </row>
    <row r="147" ht="15.75" customHeight="1">
      <c r="A147" s="3" t="s">
        <v>6</v>
      </c>
      <c r="B147" s="13">
        <v>275020.2</v>
      </c>
      <c r="C147" s="13">
        <v>184254.84</v>
      </c>
      <c r="D147" s="13">
        <v>90765.36000000002</v>
      </c>
      <c r="E147" s="28">
        <v>5796.0</v>
      </c>
    </row>
    <row r="148" ht="15.75" customHeight="1">
      <c r="A148" s="3" t="s">
        <v>8</v>
      </c>
      <c r="B148" s="13">
        <v>2929.62</v>
      </c>
      <c r="C148" s="13">
        <v>2172.88</v>
      </c>
      <c r="D148" s="13">
        <v>756.7399999999998</v>
      </c>
      <c r="E148" s="28">
        <v>314.0</v>
      </c>
    </row>
    <row r="149" ht="15.75" customHeight="1">
      <c r="A149" s="3" t="s">
        <v>6</v>
      </c>
      <c r="B149" s="13">
        <v>420549.35000000003</v>
      </c>
      <c r="C149" s="13">
        <v>281754.77</v>
      </c>
      <c r="D149" s="13">
        <v>138794.58000000002</v>
      </c>
      <c r="E149" s="28">
        <v>8863.0</v>
      </c>
    </row>
    <row r="150" ht="15.75" customHeight="1">
      <c r="A150" s="3" t="s">
        <v>12</v>
      </c>
      <c r="B150" s="13">
        <v>786522.7999999999</v>
      </c>
      <c r="C150" s="13">
        <v>473730.67</v>
      </c>
      <c r="D150" s="13">
        <v>312792.12999999995</v>
      </c>
      <c r="E150" s="28">
        <v>1799.0</v>
      </c>
    </row>
    <row r="151" ht="15.75" customHeight="1">
      <c r="A151" s="3" t="s">
        <v>4</v>
      </c>
      <c r="B151" s="13">
        <v>48115.44</v>
      </c>
      <c r="C151" s="13">
        <v>36182.880000000005</v>
      </c>
      <c r="D151" s="13">
        <v>11932.559999999998</v>
      </c>
      <c r="E151" s="28">
        <v>72.0</v>
      </c>
    </row>
    <row r="152" ht="15.75" customHeight="1">
      <c r="A152" s="3" t="s">
        <v>3</v>
      </c>
      <c r="B152" s="13">
        <v>57596.0</v>
      </c>
      <c r="C152" s="13">
        <v>32790.8</v>
      </c>
      <c r="D152" s="13">
        <v>24805.199999999997</v>
      </c>
      <c r="E152" s="28">
        <v>280.0</v>
      </c>
    </row>
    <row r="153" ht="15.75" customHeight="1">
      <c r="A153" s="3" t="s">
        <v>14</v>
      </c>
      <c r="B153" s="13">
        <v>142373.66</v>
      </c>
      <c r="C153" s="13">
        <v>98719.14</v>
      </c>
      <c r="D153" s="13">
        <v>43654.520000000004</v>
      </c>
      <c r="E153" s="28">
        <v>1742.0</v>
      </c>
    </row>
    <row r="154" ht="15.75" customHeight="1">
      <c r="A154" s="3" t="s">
        <v>10</v>
      </c>
      <c r="B154" s="13">
        <v>201926.48</v>
      </c>
      <c r="C154" s="13">
        <v>126101.21999999999</v>
      </c>
      <c r="D154" s="13">
        <v>75825.26000000002</v>
      </c>
      <c r="E154" s="28">
        <v>791.0</v>
      </c>
    </row>
    <row r="155" ht="15.75" customHeight="1">
      <c r="A155" s="3" t="s">
        <v>14</v>
      </c>
      <c r="B155" s="13">
        <v>353237.06</v>
      </c>
      <c r="C155" s="13">
        <v>244927.74000000002</v>
      </c>
      <c r="D155" s="13">
        <v>108309.31999999998</v>
      </c>
      <c r="E155" s="28">
        <v>4322.0</v>
      </c>
    </row>
    <row r="156" ht="15.75" customHeight="1">
      <c r="A156" s="3" t="s">
        <v>3</v>
      </c>
      <c r="B156" s="13">
        <v>1366053.7</v>
      </c>
      <c r="C156" s="13">
        <v>777727.51</v>
      </c>
      <c r="D156" s="13">
        <v>588326.19</v>
      </c>
      <c r="E156" s="28">
        <v>6641.0</v>
      </c>
    </row>
    <row r="157" ht="15.75" customHeight="1">
      <c r="A157" s="3" t="s">
        <v>4</v>
      </c>
      <c r="B157" s="13">
        <v>237904.12</v>
      </c>
      <c r="C157" s="13">
        <v>178904.24000000002</v>
      </c>
      <c r="D157" s="13">
        <v>58999.879999999976</v>
      </c>
      <c r="E157" s="28">
        <v>356.0</v>
      </c>
    </row>
    <row r="158" ht="15.75" customHeight="1">
      <c r="A158" s="3" t="s">
        <v>13</v>
      </c>
      <c r="B158" s="13">
        <v>310805.46</v>
      </c>
      <c r="C158" s="13">
        <v>198485.28</v>
      </c>
      <c r="D158" s="13">
        <v>112320.18000000002</v>
      </c>
      <c r="E158" s="28">
        <v>2037.0</v>
      </c>
    </row>
    <row r="159" ht="15.75" customHeight="1">
      <c r="A159" s="3" t="s">
        <v>11</v>
      </c>
      <c r="B159" s="13">
        <v>255665.34</v>
      </c>
      <c r="C159" s="13">
        <v>221002.13999999998</v>
      </c>
      <c r="D159" s="13">
        <v>34663.20000000001</v>
      </c>
      <c r="E159" s="28">
        <v>606.0</v>
      </c>
    </row>
    <row r="160" ht="15.75" customHeight="1">
      <c r="A160" s="3" t="s">
        <v>10</v>
      </c>
      <c r="B160" s="13">
        <v>2120610.96</v>
      </c>
      <c r="C160" s="13">
        <v>1324301.94</v>
      </c>
      <c r="D160" s="13">
        <v>796309.02</v>
      </c>
      <c r="E160" s="28">
        <v>8307.0</v>
      </c>
    </row>
    <row r="161" ht="15.75" customHeight="1">
      <c r="A161" s="3" t="s">
        <v>4</v>
      </c>
      <c r="B161" s="13">
        <v>779871.09</v>
      </c>
      <c r="C161" s="13">
        <v>586464.18</v>
      </c>
      <c r="D161" s="13">
        <v>193406.90999999992</v>
      </c>
      <c r="E161" s="28">
        <v>1167.0</v>
      </c>
    </row>
    <row r="162" ht="15.75" customHeight="1">
      <c r="A162" s="3" t="s">
        <v>7</v>
      </c>
      <c r="B162" s="13">
        <v>2208253.1100000003</v>
      </c>
      <c r="C162" s="13">
        <v>1780139.36</v>
      </c>
      <c r="D162" s="13">
        <v>428113.75000000023</v>
      </c>
      <c r="E162" s="28">
        <v>3391.0</v>
      </c>
    </row>
    <row r="163" ht="15.75" customHeight="1">
      <c r="A163" s="3" t="s">
        <v>13</v>
      </c>
      <c r="B163" s="13">
        <v>961559.16</v>
      </c>
      <c r="C163" s="13">
        <v>614066.88</v>
      </c>
      <c r="D163" s="13">
        <v>347492.28</v>
      </c>
      <c r="E163" s="28">
        <v>6302.0</v>
      </c>
    </row>
    <row r="164" ht="15.75" customHeight="1">
      <c r="A164" s="3" t="s">
        <v>12</v>
      </c>
      <c r="B164" s="13">
        <v>3957971.6</v>
      </c>
      <c r="C164" s="13">
        <v>2383926.4899999998</v>
      </c>
      <c r="D164" s="13">
        <v>1574045.1100000003</v>
      </c>
      <c r="E164" s="28">
        <v>9053.0</v>
      </c>
    </row>
    <row r="165" ht="15.75" customHeight="1">
      <c r="A165" s="3" t="s">
        <v>10</v>
      </c>
      <c r="B165" s="13">
        <v>486308.4</v>
      </c>
      <c r="C165" s="13">
        <v>303695.1</v>
      </c>
      <c r="D165" s="13">
        <v>182613.30000000005</v>
      </c>
      <c r="E165" s="28">
        <v>1905.0</v>
      </c>
    </row>
    <row r="166" ht="15.75" customHeight="1">
      <c r="A166" s="3" t="s">
        <v>3</v>
      </c>
      <c r="B166" s="13">
        <v>808606.7</v>
      </c>
      <c r="C166" s="13">
        <v>460359.41</v>
      </c>
      <c r="D166" s="13">
        <v>348247.29</v>
      </c>
      <c r="E166" s="28">
        <v>3931.0</v>
      </c>
    </row>
    <row r="167" ht="15.75" customHeight="1">
      <c r="A167" s="3" t="s">
        <v>7</v>
      </c>
      <c r="B167" s="13">
        <v>2009634.06</v>
      </c>
      <c r="C167" s="13">
        <v>1620026.56</v>
      </c>
      <c r="D167" s="13">
        <v>389607.5</v>
      </c>
      <c r="E167" s="28">
        <v>3086.0</v>
      </c>
    </row>
    <row r="168" ht="15.75" customHeight="1">
      <c r="A168" s="3" t="s">
        <v>9</v>
      </c>
      <c r="B168" s="13">
        <v>128331.98</v>
      </c>
      <c r="C168" s="13">
        <v>75744.69</v>
      </c>
      <c r="D168" s="13">
        <v>52587.28999999999</v>
      </c>
      <c r="E168" s="28">
        <v>833.0</v>
      </c>
    </row>
    <row r="169" ht="15.75" customHeight="1">
      <c r="A169" s="3" t="s">
        <v>12</v>
      </c>
      <c r="B169" s="13">
        <v>3414969.1999999997</v>
      </c>
      <c r="C169" s="13">
        <v>2056870.63</v>
      </c>
      <c r="D169" s="13">
        <v>1358098.5699999998</v>
      </c>
      <c r="E169" s="28">
        <v>7811.0</v>
      </c>
    </row>
    <row r="170" ht="15.75" customHeight="1">
      <c r="A170" s="3" t="s">
        <v>12</v>
      </c>
      <c r="B170" s="13">
        <v>535132.7999999999</v>
      </c>
      <c r="C170" s="13">
        <v>322315.92</v>
      </c>
      <c r="D170" s="13">
        <v>212816.87999999995</v>
      </c>
      <c r="E170" s="28">
        <v>1224.0</v>
      </c>
    </row>
    <row r="171" ht="15.75" customHeight="1">
      <c r="A171" s="3" t="s">
        <v>7</v>
      </c>
      <c r="B171" s="13">
        <v>5740416.15</v>
      </c>
      <c r="C171" s="13">
        <v>4627522.4</v>
      </c>
      <c r="D171" s="13">
        <v>1112893.75</v>
      </c>
      <c r="E171" s="28">
        <v>8815.0</v>
      </c>
    </row>
    <row r="172" ht="15.75" customHeight="1">
      <c r="A172" s="3" t="s">
        <v>3</v>
      </c>
      <c r="B172" s="13">
        <v>473727.1</v>
      </c>
      <c r="C172" s="13">
        <v>269704.33</v>
      </c>
      <c r="D172" s="13">
        <v>204022.76999999996</v>
      </c>
      <c r="E172" s="28">
        <v>2303.0</v>
      </c>
    </row>
    <row r="173" ht="15.75" customHeight="1">
      <c r="A173" s="3" t="s">
        <v>12</v>
      </c>
      <c r="B173" s="13">
        <v>3644936.4</v>
      </c>
      <c r="C173" s="13">
        <v>2195382.21</v>
      </c>
      <c r="D173" s="13">
        <v>1449554.19</v>
      </c>
      <c r="E173" s="28">
        <v>8337.0</v>
      </c>
    </row>
    <row r="174" ht="15.75" customHeight="1">
      <c r="A174" s="3" t="s">
        <v>5</v>
      </c>
      <c r="B174" s="13">
        <v>415482.56</v>
      </c>
      <c r="C174" s="13">
        <v>136263.68000000002</v>
      </c>
      <c r="D174" s="13">
        <v>279218.88</v>
      </c>
      <c r="E174" s="28">
        <v>3802.0</v>
      </c>
    </row>
    <row r="175" ht="15.75" customHeight="1">
      <c r="A175" s="3" t="s">
        <v>7</v>
      </c>
      <c r="B175" s="13">
        <v>2974727.2800000003</v>
      </c>
      <c r="C175" s="13">
        <v>2398017.2800000003</v>
      </c>
      <c r="D175" s="13">
        <v>576710.0</v>
      </c>
      <c r="E175" s="28">
        <v>4568.0</v>
      </c>
    </row>
    <row r="176" ht="15.75" customHeight="1">
      <c r="A176" s="3" t="s">
        <v>13</v>
      </c>
      <c r="B176" s="13">
        <v>64388.76</v>
      </c>
      <c r="C176" s="13">
        <v>41119.68</v>
      </c>
      <c r="D176" s="13">
        <v>23269.08</v>
      </c>
      <c r="E176" s="28">
        <v>422.0</v>
      </c>
    </row>
    <row r="177" ht="15.75" customHeight="1">
      <c r="A177" s="3" t="s">
        <v>7</v>
      </c>
      <c r="B177" s="13">
        <v>3885770.0700000003</v>
      </c>
      <c r="C177" s="13">
        <v>3132436.3200000003</v>
      </c>
      <c r="D177" s="13">
        <v>753333.75</v>
      </c>
      <c r="E177" s="28">
        <v>5967.0</v>
      </c>
    </row>
    <row r="178" ht="15.75" customHeight="1">
      <c r="A178" s="3" t="s">
        <v>6</v>
      </c>
      <c r="B178" s="13">
        <v>425009.65</v>
      </c>
      <c r="C178" s="13">
        <v>284743.02999999997</v>
      </c>
      <c r="D178" s="13">
        <v>140266.62000000005</v>
      </c>
      <c r="E178" s="28">
        <v>8957.0</v>
      </c>
    </row>
    <row r="179" ht="15.75" customHeight="1">
      <c r="A179" s="3" t="s">
        <v>11</v>
      </c>
      <c r="B179" s="13">
        <v>758558.22</v>
      </c>
      <c r="C179" s="13">
        <v>655712.62</v>
      </c>
      <c r="D179" s="13">
        <v>102845.59999999998</v>
      </c>
      <c r="E179" s="28">
        <v>1798.0</v>
      </c>
    </row>
    <row r="180" ht="15.75" customHeight="1">
      <c r="A180" s="3" t="s">
        <v>13</v>
      </c>
      <c r="B180" s="13">
        <v>923414.16</v>
      </c>
      <c r="C180" s="13">
        <v>589706.88</v>
      </c>
      <c r="D180" s="13">
        <v>333707.28</v>
      </c>
      <c r="E180" s="28">
        <v>6052.0</v>
      </c>
    </row>
    <row r="181" ht="15.75" customHeight="1">
      <c r="A181" s="3" t="s">
        <v>13</v>
      </c>
      <c r="B181" s="13">
        <v>420815.64</v>
      </c>
      <c r="C181" s="13">
        <v>268739.52</v>
      </c>
      <c r="D181" s="13">
        <v>152076.12</v>
      </c>
      <c r="E181" s="28">
        <v>2758.0</v>
      </c>
    </row>
    <row r="182" ht="15.75" customHeight="1">
      <c r="A182" s="3" t="s">
        <v>14</v>
      </c>
      <c r="B182" s="13">
        <v>158147.55000000002</v>
      </c>
      <c r="C182" s="13">
        <v>109656.45</v>
      </c>
      <c r="D182" s="13">
        <v>48491.10000000002</v>
      </c>
      <c r="E182" s="28">
        <v>1935.0</v>
      </c>
    </row>
    <row r="183" ht="15.75" customHeight="1">
      <c r="A183" s="3" t="s">
        <v>9</v>
      </c>
      <c r="B183" s="13">
        <v>772764.96</v>
      </c>
      <c r="C183" s="13">
        <v>456104.88000000006</v>
      </c>
      <c r="D183" s="13">
        <v>316660.0799999999</v>
      </c>
      <c r="E183" s="28">
        <v>5016.0</v>
      </c>
    </row>
    <row r="184" ht="15.75" customHeight="1">
      <c r="A184" s="3" t="s">
        <v>11</v>
      </c>
      <c r="B184" s="13">
        <v>208835.55</v>
      </c>
      <c r="C184" s="13">
        <v>180521.55</v>
      </c>
      <c r="D184" s="13">
        <v>28314.0</v>
      </c>
      <c r="E184" s="28">
        <v>495.0</v>
      </c>
    </row>
    <row r="185" ht="15.75" customHeight="1">
      <c r="A185" s="3" t="s">
        <v>11</v>
      </c>
      <c r="B185" s="13">
        <v>0.0</v>
      </c>
      <c r="C185" s="13">
        <v>0.0</v>
      </c>
      <c r="D185" s="13">
        <v>0.0</v>
      </c>
      <c r="E185" s="28"/>
    </row>
    <row r="186" ht="15.75" customHeight="1">
      <c r="A186" s="3" t="s">
        <v>7</v>
      </c>
      <c r="B186" s="13">
        <v>4970685.930000001</v>
      </c>
      <c r="C186" s="13">
        <v>4007019.68</v>
      </c>
      <c r="D186" s="13">
        <v>963666.2500000005</v>
      </c>
      <c r="E186" s="28">
        <v>7633.0</v>
      </c>
    </row>
    <row r="187" ht="15.75" customHeight="1">
      <c r="A187" s="3" t="s">
        <v>6</v>
      </c>
      <c r="B187" s="13">
        <v>390133.9</v>
      </c>
      <c r="C187" s="13">
        <v>261377.38</v>
      </c>
      <c r="D187" s="13">
        <v>128756.52000000002</v>
      </c>
      <c r="E187" s="28">
        <v>8222.0</v>
      </c>
    </row>
    <row r="188" ht="15.75" customHeight="1">
      <c r="A188" s="3" t="s">
        <v>10</v>
      </c>
      <c r="B188" s="13">
        <v>1661617.52</v>
      </c>
      <c r="C188" s="13">
        <v>1037664.7799999999</v>
      </c>
      <c r="D188" s="13">
        <v>623952.7400000001</v>
      </c>
      <c r="E188" s="28">
        <v>6509.0</v>
      </c>
    </row>
    <row r="189" ht="15.75" customHeight="1">
      <c r="A189" s="3" t="s">
        <v>11</v>
      </c>
      <c r="B189" s="13">
        <v>3956062.53</v>
      </c>
      <c r="C189" s="13">
        <v>3419698.13</v>
      </c>
      <c r="D189" s="13">
        <v>536364.3999999999</v>
      </c>
      <c r="E189" s="28">
        <v>9377.0</v>
      </c>
    </row>
    <row r="190" ht="15.75" customHeight="1">
      <c r="A190" s="3" t="s">
        <v>3</v>
      </c>
      <c r="B190" s="13">
        <v>309372.8</v>
      </c>
      <c r="C190" s="13">
        <v>176133.44</v>
      </c>
      <c r="D190" s="13">
        <v>133239.36</v>
      </c>
      <c r="E190" s="28">
        <v>1504.0</v>
      </c>
    </row>
    <row r="191" ht="15.75" customHeight="1">
      <c r="A191" s="3" t="s">
        <v>5</v>
      </c>
      <c r="B191" s="13">
        <v>410346.4</v>
      </c>
      <c r="C191" s="13">
        <v>134579.2</v>
      </c>
      <c r="D191" s="13">
        <v>275767.2</v>
      </c>
      <c r="E191" s="28">
        <v>3755.0</v>
      </c>
    </row>
    <row r="192" ht="15.75" customHeight="1">
      <c r="A192" s="3" t="s">
        <v>10</v>
      </c>
      <c r="B192" s="13">
        <v>1744328.24</v>
      </c>
      <c r="C192" s="13">
        <v>1089316.8599999999</v>
      </c>
      <c r="D192" s="13">
        <v>655011.3800000001</v>
      </c>
      <c r="E192" s="28">
        <v>6833.0</v>
      </c>
    </row>
    <row r="193" ht="15.75" customHeight="1">
      <c r="A193" s="3" t="s">
        <v>6</v>
      </c>
      <c r="B193" s="13">
        <v>412198.15</v>
      </c>
      <c r="C193" s="13">
        <v>276159.73</v>
      </c>
      <c r="D193" s="13">
        <v>136038.42000000004</v>
      </c>
      <c r="E193" s="28">
        <v>8687.0</v>
      </c>
    </row>
    <row r="194" ht="15.75" customHeight="1">
      <c r="A194" s="3" t="s">
        <v>8</v>
      </c>
      <c r="B194" s="13">
        <v>63453.33</v>
      </c>
      <c r="C194" s="13">
        <v>47062.92</v>
      </c>
      <c r="D194" s="13">
        <v>16390.410000000003</v>
      </c>
      <c r="E194" s="28">
        <v>6801.0</v>
      </c>
    </row>
    <row r="195" ht="15.75" customHeight="1">
      <c r="A195" s="3" t="s">
        <v>7</v>
      </c>
      <c r="B195" s="13">
        <v>4505070.78</v>
      </c>
      <c r="C195" s="13">
        <v>3631673.2800000003</v>
      </c>
      <c r="D195" s="13">
        <v>873397.5</v>
      </c>
      <c r="E195" s="28">
        <v>6918.0</v>
      </c>
    </row>
    <row r="196" ht="15.75" customHeight="1">
      <c r="A196" s="3" t="s">
        <v>12</v>
      </c>
      <c r="B196" s="13">
        <v>708264.0</v>
      </c>
      <c r="C196" s="13">
        <v>426594.6</v>
      </c>
      <c r="D196" s="13">
        <v>281669.4</v>
      </c>
      <c r="E196" s="28">
        <v>1620.0</v>
      </c>
    </row>
    <row r="197" ht="15.75" customHeight="1">
      <c r="A197" s="3" t="s">
        <v>11</v>
      </c>
      <c r="B197" s="13">
        <v>2649469.1999999997</v>
      </c>
      <c r="C197" s="13">
        <v>2290253.2</v>
      </c>
      <c r="D197" s="13">
        <v>359215.99999999953</v>
      </c>
      <c r="E197" s="28">
        <v>6280.0</v>
      </c>
    </row>
    <row r="198" ht="15.75" customHeight="1">
      <c r="A198" s="3" t="s">
        <v>9</v>
      </c>
      <c r="B198" s="13">
        <v>29579.52</v>
      </c>
      <c r="C198" s="13">
        <v>17458.56</v>
      </c>
      <c r="D198" s="13">
        <v>12120.96</v>
      </c>
      <c r="E198" s="28">
        <v>192.0</v>
      </c>
    </row>
    <row r="199" ht="15.75" customHeight="1">
      <c r="A199" s="3" t="s">
        <v>12</v>
      </c>
      <c r="B199" s="13">
        <v>60333.6</v>
      </c>
      <c r="C199" s="13">
        <v>36339.54</v>
      </c>
      <c r="D199" s="13">
        <v>23994.059999999998</v>
      </c>
      <c r="E199" s="28">
        <v>138.0</v>
      </c>
    </row>
    <row r="200" ht="15.75" customHeight="1">
      <c r="A200" s="3" t="s">
        <v>6</v>
      </c>
      <c r="B200" s="13">
        <v>376231.05000000005</v>
      </c>
      <c r="C200" s="13">
        <v>252062.91</v>
      </c>
      <c r="D200" s="13">
        <v>124168.14000000004</v>
      </c>
      <c r="E200" s="28">
        <v>7929.0</v>
      </c>
    </row>
    <row r="201" ht="15.75" customHeight="1">
      <c r="A201" s="3" t="s">
        <v>5</v>
      </c>
      <c r="B201" s="13">
        <v>689666.08</v>
      </c>
      <c r="C201" s="13">
        <v>226186.24000000002</v>
      </c>
      <c r="D201" s="13">
        <v>463479.83999999997</v>
      </c>
      <c r="E201" s="28">
        <v>6311.0</v>
      </c>
    </row>
    <row r="202" ht="15.75" customHeight="1">
      <c r="A202" s="3" t="s">
        <v>5</v>
      </c>
      <c r="B202" s="13">
        <v>34204.64</v>
      </c>
      <c r="C202" s="13">
        <v>11217.920000000002</v>
      </c>
      <c r="D202" s="13">
        <v>22986.719999999998</v>
      </c>
      <c r="E202" s="28">
        <v>313.0</v>
      </c>
    </row>
    <row r="203" ht="15.75" customHeight="1">
      <c r="A203" s="3" t="s">
        <v>12</v>
      </c>
      <c r="B203" s="13">
        <v>752858.4</v>
      </c>
      <c r="C203" s="13">
        <v>453454.25999999995</v>
      </c>
      <c r="D203" s="13">
        <v>299404.1400000001</v>
      </c>
      <c r="E203" s="28">
        <v>1722.0</v>
      </c>
    </row>
    <row r="204" ht="15.75" customHeight="1">
      <c r="A204" s="3" t="s">
        <v>4</v>
      </c>
      <c r="B204" s="13">
        <v>604784.35</v>
      </c>
      <c r="C204" s="13">
        <v>454798.7</v>
      </c>
      <c r="D204" s="13">
        <v>149985.64999999997</v>
      </c>
      <c r="E204" s="28">
        <v>905.0</v>
      </c>
    </row>
    <row r="205" ht="15.75" customHeight="1">
      <c r="A205" s="3" t="s">
        <v>7</v>
      </c>
      <c r="B205" s="13">
        <v>5904521.07</v>
      </c>
      <c r="C205" s="13">
        <v>4759812.32</v>
      </c>
      <c r="D205" s="13">
        <v>1144708.75</v>
      </c>
      <c r="E205" s="28">
        <v>9067.0</v>
      </c>
    </row>
    <row r="206" ht="15.75" customHeight="1">
      <c r="A206" s="3" t="s">
        <v>5</v>
      </c>
      <c r="B206" s="13">
        <v>936092.48</v>
      </c>
      <c r="C206" s="13">
        <v>307005.44</v>
      </c>
      <c r="D206" s="13">
        <v>629087.04</v>
      </c>
      <c r="E206" s="28">
        <v>8566.0</v>
      </c>
    </row>
    <row r="207" ht="15.75" customHeight="1">
      <c r="A207" s="3" t="s">
        <v>12</v>
      </c>
      <c r="B207" s="13">
        <v>3843862.4</v>
      </c>
      <c r="C207" s="13">
        <v>2315197.36</v>
      </c>
      <c r="D207" s="13">
        <v>1528665.04</v>
      </c>
      <c r="E207" s="28">
        <v>8792.0</v>
      </c>
    </row>
    <row r="208" ht="15.75" customHeight="1">
      <c r="A208" s="3" t="s">
        <v>5</v>
      </c>
      <c r="B208" s="13">
        <v>989311.84</v>
      </c>
      <c r="C208" s="13">
        <v>324459.52</v>
      </c>
      <c r="D208" s="13">
        <v>664852.32</v>
      </c>
      <c r="E208" s="28">
        <v>9053.0</v>
      </c>
    </row>
    <row r="209" ht="15.75" customHeight="1">
      <c r="A209" s="3" t="s">
        <v>7</v>
      </c>
      <c r="B209" s="13">
        <v>5889543.24</v>
      </c>
      <c r="C209" s="13">
        <v>4747738.24</v>
      </c>
      <c r="D209" s="13">
        <v>1141805.0</v>
      </c>
      <c r="E209" s="28">
        <v>9044.0</v>
      </c>
    </row>
    <row r="210" ht="15.75" customHeight="1">
      <c r="A210" s="3" t="s">
        <v>6</v>
      </c>
      <c r="B210" s="13">
        <v>424392.80000000005</v>
      </c>
      <c r="C210" s="13">
        <v>284329.76</v>
      </c>
      <c r="D210" s="13">
        <v>140063.04000000004</v>
      </c>
      <c r="E210" s="28">
        <v>8944.0</v>
      </c>
    </row>
    <row r="211" ht="15.75" customHeight="1">
      <c r="A211" s="3" t="s">
        <v>14</v>
      </c>
      <c r="B211" s="13">
        <v>707046.23</v>
      </c>
      <c r="C211" s="13">
        <v>490252.17000000004</v>
      </c>
      <c r="D211" s="13">
        <v>216794.05999999994</v>
      </c>
      <c r="E211" s="28">
        <v>8651.0</v>
      </c>
    </row>
    <row r="212" ht="15.75" customHeight="1">
      <c r="A212" s="3" t="s">
        <v>7</v>
      </c>
      <c r="B212" s="13">
        <v>5598452.37</v>
      </c>
      <c r="C212" s="13">
        <v>4513081.12</v>
      </c>
      <c r="D212" s="13">
        <v>1085371.25</v>
      </c>
      <c r="E212" s="28">
        <v>8597.0</v>
      </c>
    </row>
    <row r="213" ht="15.75" customHeight="1">
      <c r="A213" s="3" t="s">
        <v>7</v>
      </c>
      <c r="B213" s="13">
        <v>5374436.13</v>
      </c>
      <c r="C213" s="13">
        <v>4332494.88</v>
      </c>
      <c r="D213" s="13">
        <v>1041941.25</v>
      </c>
      <c r="E213" s="28">
        <v>8253.0</v>
      </c>
    </row>
    <row r="214" ht="15.75" customHeight="1">
      <c r="A214" s="3" t="s">
        <v>4</v>
      </c>
      <c r="B214" s="13">
        <v>1539694.08</v>
      </c>
      <c r="C214" s="13">
        <v>1157852.1600000001</v>
      </c>
      <c r="D214" s="13">
        <v>381841.9199999999</v>
      </c>
      <c r="E214" s="28">
        <v>2304.0</v>
      </c>
    </row>
    <row r="215" ht="15.75" customHeight="1">
      <c r="A215" s="3" t="s">
        <v>6</v>
      </c>
      <c r="B215" s="13">
        <v>84698.25</v>
      </c>
      <c r="C215" s="13">
        <v>56745.15</v>
      </c>
      <c r="D215" s="13">
        <v>27953.1</v>
      </c>
      <c r="E215" s="28">
        <v>1785.0</v>
      </c>
    </row>
    <row r="216" ht="15.75" customHeight="1">
      <c r="A216" s="3" t="s">
        <v>8</v>
      </c>
      <c r="B216" s="13">
        <v>5728.62</v>
      </c>
      <c r="C216" s="13">
        <v>4248.88</v>
      </c>
      <c r="D216" s="13">
        <v>1479.7399999999998</v>
      </c>
      <c r="E216" s="28">
        <v>614.0</v>
      </c>
    </row>
    <row r="217" ht="15.75" customHeight="1">
      <c r="A217" s="3" t="s">
        <v>7</v>
      </c>
      <c r="B217" s="13">
        <v>5768418.180000001</v>
      </c>
      <c r="C217" s="13">
        <v>4650095.680000001</v>
      </c>
      <c r="D217" s="13">
        <v>1118322.5</v>
      </c>
      <c r="E217" s="28">
        <v>8858.0</v>
      </c>
    </row>
    <row r="218" ht="15.75" customHeight="1">
      <c r="A218" s="3" t="s">
        <v>3</v>
      </c>
      <c r="B218" s="13">
        <v>144195.69999999998</v>
      </c>
      <c r="C218" s="13">
        <v>82094.11</v>
      </c>
      <c r="D218" s="13">
        <v>62101.58999999998</v>
      </c>
      <c r="E218" s="28">
        <v>701.0</v>
      </c>
    </row>
    <row r="219" ht="15.75" customHeight="1">
      <c r="A219" s="3" t="s">
        <v>6</v>
      </c>
      <c r="B219" s="13">
        <v>235257.1</v>
      </c>
      <c r="C219" s="13">
        <v>157614.82</v>
      </c>
      <c r="D219" s="13">
        <v>77642.28</v>
      </c>
      <c r="E219" s="28">
        <v>4958.0</v>
      </c>
    </row>
    <row r="220" ht="15.75" customHeight="1">
      <c r="A220" s="3" t="s">
        <v>6</v>
      </c>
      <c r="B220" s="13">
        <v>414665.55000000005</v>
      </c>
      <c r="C220" s="13">
        <v>277812.81</v>
      </c>
      <c r="D220" s="13">
        <v>136852.74000000005</v>
      </c>
      <c r="E220" s="28">
        <v>8739.0</v>
      </c>
    </row>
    <row r="221" ht="15.75" customHeight="1">
      <c r="A221" s="3" t="s">
        <v>14</v>
      </c>
      <c r="B221" s="13">
        <v>314742.23000000004</v>
      </c>
      <c r="C221" s="13">
        <v>218236.17</v>
      </c>
      <c r="D221" s="13">
        <v>96506.06000000003</v>
      </c>
      <c r="E221" s="28">
        <v>3851.0</v>
      </c>
    </row>
    <row r="222" ht="15.75" customHeight="1">
      <c r="A222" s="3" t="s">
        <v>12</v>
      </c>
      <c r="B222" s="13">
        <v>963588.7999999999</v>
      </c>
      <c r="C222" s="13">
        <v>580379.32</v>
      </c>
      <c r="D222" s="13">
        <v>383209.48</v>
      </c>
      <c r="E222" s="28">
        <v>2204.0</v>
      </c>
    </row>
    <row r="223" ht="15.75" customHeight="1">
      <c r="A223" s="3" t="s">
        <v>10</v>
      </c>
      <c r="B223" s="13">
        <v>117939.36</v>
      </c>
      <c r="C223" s="13">
        <v>73652.04</v>
      </c>
      <c r="D223" s="13">
        <v>44287.32000000001</v>
      </c>
      <c r="E223" s="28">
        <v>462.0</v>
      </c>
    </row>
    <row r="224" ht="15.75" customHeight="1">
      <c r="A224" s="3" t="s">
        <v>6</v>
      </c>
      <c r="B224" s="13">
        <v>37438.05</v>
      </c>
      <c r="C224" s="13">
        <v>25082.309999999998</v>
      </c>
      <c r="D224" s="13">
        <v>12355.740000000005</v>
      </c>
      <c r="E224" s="28">
        <v>789.0</v>
      </c>
    </row>
    <row r="225" ht="15.75" customHeight="1">
      <c r="A225" s="3" t="s">
        <v>11</v>
      </c>
      <c r="B225" s="13">
        <v>108425.73</v>
      </c>
      <c r="C225" s="13">
        <v>93725.33</v>
      </c>
      <c r="D225" s="13">
        <v>14700.399999999994</v>
      </c>
      <c r="E225" s="28">
        <v>257.0</v>
      </c>
    </row>
    <row r="226" ht="15.75" customHeight="1">
      <c r="A226" s="3" t="s">
        <v>14</v>
      </c>
      <c r="B226" s="13">
        <v>361164.87</v>
      </c>
      <c r="C226" s="13">
        <v>250424.73</v>
      </c>
      <c r="D226" s="13">
        <v>110740.13999999998</v>
      </c>
      <c r="E226" s="28">
        <v>4419.0</v>
      </c>
    </row>
    <row r="227" ht="15.75" customHeight="1">
      <c r="A227" s="3" t="s">
        <v>12</v>
      </c>
      <c r="B227" s="13">
        <v>1931112.4</v>
      </c>
      <c r="C227" s="13">
        <v>1163128.6099999999</v>
      </c>
      <c r="D227" s="13">
        <v>767983.79</v>
      </c>
      <c r="E227" s="28">
        <v>4417.0</v>
      </c>
    </row>
    <row r="228" ht="15.75" customHeight="1">
      <c r="A228" s="3" t="s">
        <v>7</v>
      </c>
      <c r="B228" s="13">
        <v>5714367.75</v>
      </c>
      <c r="C228" s="13">
        <v>4606524.0</v>
      </c>
      <c r="D228" s="13">
        <v>1107843.75</v>
      </c>
      <c r="E228" s="28">
        <v>8775.0</v>
      </c>
    </row>
    <row r="229" ht="15.75" customHeight="1">
      <c r="A229" s="3" t="s">
        <v>9</v>
      </c>
      <c r="B229" s="13">
        <v>788633.14</v>
      </c>
      <c r="C229" s="13">
        <v>465470.67000000004</v>
      </c>
      <c r="D229" s="13">
        <v>323162.47</v>
      </c>
      <c r="E229" s="28">
        <v>5119.0</v>
      </c>
    </row>
    <row r="230" ht="15.75" customHeight="1">
      <c r="A230" s="3" t="s">
        <v>8</v>
      </c>
      <c r="B230" s="13">
        <v>28064.64</v>
      </c>
      <c r="C230" s="13">
        <v>20815.36</v>
      </c>
      <c r="D230" s="13">
        <v>7249.279999999999</v>
      </c>
      <c r="E230" s="28">
        <v>3008.0</v>
      </c>
    </row>
    <row r="231" ht="15.75" customHeight="1">
      <c r="A231" s="3" t="s">
        <v>5</v>
      </c>
      <c r="B231" s="13">
        <v>13441.44</v>
      </c>
      <c r="C231" s="13">
        <v>4408.320000000001</v>
      </c>
      <c r="D231" s="13">
        <v>9033.119999999999</v>
      </c>
      <c r="E231" s="28">
        <v>123.0</v>
      </c>
    </row>
    <row r="232" ht="15.75" customHeight="1">
      <c r="A232" s="3" t="s">
        <v>5</v>
      </c>
      <c r="B232" s="13">
        <v>44476.96</v>
      </c>
      <c r="C232" s="13">
        <v>14586.880000000001</v>
      </c>
      <c r="D232" s="13">
        <v>29890.079999999998</v>
      </c>
      <c r="E232" s="28">
        <v>407.0</v>
      </c>
    </row>
    <row r="233" ht="15.75" customHeight="1">
      <c r="A233" s="3" t="s">
        <v>11</v>
      </c>
      <c r="B233" s="13">
        <v>2988668.76</v>
      </c>
      <c r="C233" s="13">
        <v>2583463.96</v>
      </c>
      <c r="D233" s="13">
        <v>405204.7999999998</v>
      </c>
      <c r="E233" s="28">
        <v>7084.0</v>
      </c>
    </row>
    <row r="234" ht="15.75" customHeight="1">
      <c r="A234" s="3" t="s">
        <v>5</v>
      </c>
      <c r="B234" s="13">
        <v>977181.76</v>
      </c>
      <c r="C234" s="13">
        <v>320481.28</v>
      </c>
      <c r="D234" s="13">
        <v>656700.48</v>
      </c>
      <c r="E234" s="28">
        <v>8942.0</v>
      </c>
    </row>
    <row r="235" ht="15.75" customHeight="1">
      <c r="A235" s="3" t="s">
        <v>13</v>
      </c>
      <c r="B235" s="13">
        <v>604369.38</v>
      </c>
      <c r="C235" s="13">
        <v>385959.83999999997</v>
      </c>
      <c r="D235" s="13">
        <v>218409.54000000004</v>
      </c>
      <c r="E235" s="28">
        <v>3961.0</v>
      </c>
    </row>
    <row r="236" ht="15.75" customHeight="1">
      <c r="A236" s="3" t="s">
        <v>10</v>
      </c>
      <c r="B236" s="13">
        <v>391599.52</v>
      </c>
      <c r="C236" s="13">
        <v>244550.27999999997</v>
      </c>
      <c r="D236" s="13">
        <v>147049.24000000005</v>
      </c>
      <c r="E236" s="28">
        <v>1534.0</v>
      </c>
    </row>
    <row r="237" ht="15.75" customHeight="1">
      <c r="A237" s="3" t="s">
        <v>6</v>
      </c>
      <c r="B237" s="13">
        <v>168352.6</v>
      </c>
      <c r="C237" s="13">
        <v>112790.92</v>
      </c>
      <c r="D237" s="13">
        <v>55561.68000000001</v>
      </c>
      <c r="E237" s="28">
        <v>3548.0</v>
      </c>
    </row>
    <row r="238" ht="15.75" customHeight="1">
      <c r="A238" s="3" t="s">
        <v>7</v>
      </c>
      <c r="B238" s="13">
        <v>6282874.08</v>
      </c>
      <c r="C238" s="13">
        <v>5064814.08</v>
      </c>
      <c r="D238" s="13">
        <v>1218060.0</v>
      </c>
      <c r="E238" s="28">
        <v>9648.0</v>
      </c>
    </row>
    <row r="239" ht="15.75" customHeight="1">
      <c r="A239" s="3" t="s">
        <v>13</v>
      </c>
      <c r="B239" s="13">
        <v>467505.12000000005</v>
      </c>
      <c r="C239" s="13">
        <v>298556.16</v>
      </c>
      <c r="D239" s="13">
        <v>168948.96000000008</v>
      </c>
      <c r="E239" s="28">
        <v>3064.0</v>
      </c>
    </row>
    <row r="240" ht="15.75" customHeight="1">
      <c r="A240" s="3" t="s">
        <v>7</v>
      </c>
      <c r="B240" s="13">
        <v>1993353.81</v>
      </c>
      <c r="C240" s="13">
        <v>1606902.56</v>
      </c>
      <c r="D240" s="13">
        <v>386451.25</v>
      </c>
      <c r="E240" s="28">
        <v>3061.0</v>
      </c>
    </row>
    <row r="241" ht="15.75" customHeight="1">
      <c r="A241" s="3" t="s">
        <v>7</v>
      </c>
      <c r="B241" s="13">
        <v>2996868.4200000004</v>
      </c>
      <c r="C241" s="13">
        <v>2415865.9200000004</v>
      </c>
      <c r="D241" s="13">
        <v>581002.5</v>
      </c>
      <c r="E241" s="28">
        <v>4602.0</v>
      </c>
    </row>
    <row r="242" ht="15.75" customHeight="1">
      <c r="A242" s="3" t="s">
        <v>9</v>
      </c>
      <c r="B242" s="13">
        <v>361886.94</v>
      </c>
      <c r="C242" s="13">
        <v>213594.57</v>
      </c>
      <c r="D242" s="13">
        <v>148292.37</v>
      </c>
      <c r="E242" s="28">
        <v>2349.0</v>
      </c>
    </row>
    <row r="243" ht="15.75" customHeight="1">
      <c r="A243" s="3" t="s">
        <v>12</v>
      </c>
      <c r="B243" s="13">
        <v>2309290.4</v>
      </c>
      <c r="C243" s="13">
        <v>1390909.0599999998</v>
      </c>
      <c r="D243" s="13">
        <v>918381.3400000001</v>
      </c>
      <c r="E243" s="28">
        <v>5282.0</v>
      </c>
    </row>
    <row r="244" ht="15.75" customHeight="1">
      <c r="A244" s="3" t="s">
        <v>5</v>
      </c>
      <c r="B244" s="13">
        <v>1092362.8800000001</v>
      </c>
      <c r="C244" s="13">
        <v>358256.64</v>
      </c>
      <c r="D244" s="13">
        <v>734106.2400000001</v>
      </c>
      <c r="E244" s="28">
        <v>9996.0</v>
      </c>
    </row>
    <row r="245" ht="15.75" customHeight="1">
      <c r="A245" s="3" t="s">
        <v>4</v>
      </c>
      <c r="B245" s="13">
        <v>2742580.08</v>
      </c>
      <c r="C245" s="13">
        <v>2062424.1600000001</v>
      </c>
      <c r="D245" s="13">
        <v>680155.9199999999</v>
      </c>
      <c r="E245" s="28">
        <v>4104.0</v>
      </c>
    </row>
    <row r="246" ht="15.75" customHeight="1">
      <c r="A246" s="3" t="s">
        <v>8</v>
      </c>
      <c r="B246" s="13">
        <v>28950.99</v>
      </c>
      <c r="C246" s="13">
        <v>21472.76</v>
      </c>
      <c r="D246" s="13">
        <v>7478.230000000003</v>
      </c>
      <c r="E246" s="28">
        <v>3103.0</v>
      </c>
    </row>
    <row r="247" ht="15.75" customHeight="1">
      <c r="A247" s="3" t="s">
        <v>14</v>
      </c>
      <c r="B247" s="13">
        <v>450250.57</v>
      </c>
      <c r="C247" s="13">
        <v>312195.03</v>
      </c>
      <c r="D247" s="13">
        <v>138055.53999999998</v>
      </c>
      <c r="E247" s="28">
        <v>5509.0</v>
      </c>
    </row>
    <row r="248" ht="15.75" customHeight="1">
      <c r="A248" s="3" t="s">
        <v>8</v>
      </c>
      <c r="B248" s="13">
        <v>28381.86</v>
      </c>
      <c r="C248" s="13">
        <v>21050.64</v>
      </c>
      <c r="D248" s="13">
        <v>7331.220000000001</v>
      </c>
      <c r="E248" s="28">
        <v>3042.0</v>
      </c>
    </row>
    <row r="249" ht="15.75" customHeight="1">
      <c r="A249" s="3" t="s">
        <v>5</v>
      </c>
      <c r="B249" s="13">
        <v>881233.92</v>
      </c>
      <c r="C249" s="13">
        <v>289013.76</v>
      </c>
      <c r="D249" s="13">
        <v>592220.16</v>
      </c>
      <c r="E249" s="28">
        <v>8064.0</v>
      </c>
    </row>
    <row r="250" ht="15.75" customHeight="1">
      <c r="A250" s="3" t="s">
        <v>10</v>
      </c>
      <c r="B250" s="13">
        <v>2205874.48</v>
      </c>
      <c r="C250" s="13">
        <v>1377548.22</v>
      </c>
      <c r="D250" s="13">
        <v>828326.26</v>
      </c>
      <c r="E250" s="28">
        <v>8641.0</v>
      </c>
    </row>
    <row r="251" ht="15.75" customHeight="1">
      <c r="A251" s="3" t="s">
        <v>6</v>
      </c>
      <c r="B251" s="13">
        <v>351319.80000000005</v>
      </c>
      <c r="C251" s="13">
        <v>235373.16</v>
      </c>
      <c r="D251" s="13">
        <v>115946.64000000004</v>
      </c>
      <c r="E251" s="28">
        <v>7404.0</v>
      </c>
    </row>
    <row r="252" ht="15.75" customHeight="1">
      <c r="A252" s="3" t="s">
        <v>7</v>
      </c>
      <c r="B252" s="13">
        <v>3644822.37</v>
      </c>
      <c r="C252" s="13">
        <v>2938201.12</v>
      </c>
      <c r="D252" s="13">
        <v>706621.25</v>
      </c>
      <c r="E252" s="28">
        <v>5597.0</v>
      </c>
    </row>
    <row r="253" ht="15.75" customHeight="1">
      <c r="A253" s="3" t="s">
        <v>6</v>
      </c>
      <c r="B253" s="13">
        <v>39858.0</v>
      </c>
      <c r="C253" s="13">
        <v>26703.6</v>
      </c>
      <c r="D253" s="13">
        <v>13154.400000000001</v>
      </c>
      <c r="E253" s="28">
        <v>840.0</v>
      </c>
    </row>
    <row r="254" ht="15.75" customHeight="1">
      <c r="A254" s="3" t="s">
        <v>14</v>
      </c>
      <c r="B254" s="13">
        <v>666262.9600000001</v>
      </c>
      <c r="C254" s="13">
        <v>461973.84</v>
      </c>
      <c r="D254" s="13">
        <v>204289.12000000005</v>
      </c>
      <c r="E254" s="28">
        <v>8152.0</v>
      </c>
    </row>
    <row r="255" ht="15.75" customHeight="1">
      <c r="A255" s="3" t="s">
        <v>8</v>
      </c>
      <c r="B255" s="13">
        <v>53041.05</v>
      </c>
      <c r="C255" s="13">
        <v>39340.2</v>
      </c>
      <c r="D255" s="13">
        <v>13700.850000000006</v>
      </c>
      <c r="E255" s="28">
        <v>5685.0</v>
      </c>
    </row>
    <row r="256" ht="15.75" customHeight="1">
      <c r="A256" s="3" t="s">
        <v>5</v>
      </c>
      <c r="B256" s="13">
        <v>781024.16</v>
      </c>
      <c r="C256" s="13">
        <v>256148.48</v>
      </c>
      <c r="D256" s="13">
        <v>524875.68</v>
      </c>
      <c r="E256" s="28">
        <v>7147.0</v>
      </c>
    </row>
    <row r="257" ht="15.75" customHeight="1">
      <c r="A257" s="3" t="s">
        <v>13</v>
      </c>
      <c r="B257" s="13">
        <v>959880.78</v>
      </c>
      <c r="C257" s="13">
        <v>612995.04</v>
      </c>
      <c r="D257" s="13">
        <v>346885.74</v>
      </c>
      <c r="E257" s="28">
        <v>6291.0</v>
      </c>
    </row>
    <row r="258" ht="15.75" customHeight="1">
      <c r="A258" s="3" t="s">
        <v>13</v>
      </c>
      <c r="B258" s="13">
        <v>742912.02</v>
      </c>
      <c r="C258" s="13">
        <v>474435.36</v>
      </c>
      <c r="D258" s="13">
        <v>268476.66000000003</v>
      </c>
      <c r="E258" s="28">
        <v>4869.0</v>
      </c>
    </row>
    <row r="259" ht="15.75" customHeight="1">
      <c r="A259" s="3" t="s">
        <v>12</v>
      </c>
      <c r="B259" s="13">
        <v>3872280.4</v>
      </c>
      <c r="C259" s="13">
        <v>2332313.81</v>
      </c>
      <c r="D259" s="13">
        <v>1539966.5899999999</v>
      </c>
      <c r="E259" s="28">
        <v>8857.0</v>
      </c>
    </row>
    <row r="260" ht="15.75" customHeight="1">
      <c r="A260" s="3" t="s">
        <v>4</v>
      </c>
      <c r="B260" s="13">
        <v>4086471.05</v>
      </c>
      <c r="C260" s="13">
        <v>3073032.1</v>
      </c>
      <c r="D260" s="13">
        <v>1013438.9499999997</v>
      </c>
      <c r="E260" s="28">
        <v>6115.0</v>
      </c>
    </row>
    <row r="261" ht="15.75" customHeight="1">
      <c r="A261" s="3" t="s">
        <v>4</v>
      </c>
      <c r="B261" s="13">
        <v>2156507.29</v>
      </c>
      <c r="C261" s="13">
        <v>1621696.58</v>
      </c>
      <c r="D261" s="13">
        <v>534810.71</v>
      </c>
      <c r="E261" s="28">
        <v>3227.0</v>
      </c>
    </row>
    <row r="262" ht="15.75" customHeight="1">
      <c r="A262" s="3" t="s">
        <v>7</v>
      </c>
      <c r="B262" s="13">
        <v>4344873.12</v>
      </c>
      <c r="C262" s="13">
        <v>3502533.12</v>
      </c>
      <c r="D262" s="13">
        <v>842340.0</v>
      </c>
      <c r="E262" s="28">
        <v>6672.0</v>
      </c>
    </row>
    <row r="263" ht="15.75" customHeight="1">
      <c r="A263" s="3" t="s">
        <v>6</v>
      </c>
      <c r="B263" s="13">
        <v>191128.6</v>
      </c>
      <c r="C263" s="13">
        <v>128050.12</v>
      </c>
      <c r="D263" s="13">
        <v>63078.48000000001</v>
      </c>
      <c r="E263" s="28">
        <v>4028.0</v>
      </c>
    </row>
    <row r="264" ht="15.75" customHeight="1">
      <c r="A264" s="3" t="s">
        <v>13</v>
      </c>
      <c r="B264" s="13">
        <v>1005807.3600000001</v>
      </c>
      <c r="C264" s="13">
        <v>642324.48</v>
      </c>
      <c r="D264" s="13">
        <v>363482.8800000001</v>
      </c>
      <c r="E264" s="28">
        <v>6592.0</v>
      </c>
    </row>
    <row r="265" ht="15.75" customHeight="1">
      <c r="A265" s="3" t="s">
        <v>8</v>
      </c>
      <c r="B265" s="13">
        <v>52630.53</v>
      </c>
      <c r="C265" s="13">
        <v>39035.72</v>
      </c>
      <c r="D265" s="13">
        <v>13594.809999999998</v>
      </c>
      <c r="E265" s="28">
        <v>5641.0</v>
      </c>
    </row>
    <row r="266" ht="15.75" customHeight="1">
      <c r="A266" s="3" t="s">
        <v>11</v>
      </c>
      <c r="B266" s="13">
        <v>693587.16</v>
      </c>
      <c r="C266" s="13">
        <v>599550.36</v>
      </c>
      <c r="D266" s="13">
        <v>94036.80000000005</v>
      </c>
      <c r="E266" s="28">
        <v>1644.0</v>
      </c>
    </row>
    <row r="267" ht="15.75" customHeight="1">
      <c r="A267" s="3" t="s">
        <v>3</v>
      </c>
      <c r="B267" s="13">
        <v>809840.8999999999</v>
      </c>
      <c r="C267" s="13">
        <v>461062.07</v>
      </c>
      <c r="D267" s="13">
        <v>348778.8299999999</v>
      </c>
      <c r="E267" s="28">
        <v>3937.0</v>
      </c>
    </row>
    <row r="268" ht="15.75" customHeight="1">
      <c r="A268" s="3" t="s">
        <v>14</v>
      </c>
      <c r="B268" s="13">
        <v>577749.37</v>
      </c>
      <c r="C268" s="13">
        <v>400600.23000000004</v>
      </c>
      <c r="D268" s="13">
        <v>177149.13999999996</v>
      </c>
      <c r="E268" s="28">
        <v>7069.0</v>
      </c>
    </row>
    <row r="269" ht="15.75" customHeight="1">
      <c r="A269" s="3" t="s">
        <v>13</v>
      </c>
      <c r="B269" s="13">
        <v>658535.28</v>
      </c>
      <c r="C269" s="13">
        <v>420551.04</v>
      </c>
      <c r="D269" s="13">
        <v>237984.24000000005</v>
      </c>
      <c r="E269" s="28">
        <v>4316.0</v>
      </c>
    </row>
    <row r="270" ht="15.75" customHeight="1">
      <c r="A270" s="3" t="s">
        <v>5</v>
      </c>
      <c r="B270" s="13">
        <v>591532.64</v>
      </c>
      <c r="C270" s="13">
        <v>194001.92</v>
      </c>
      <c r="D270" s="13">
        <v>397530.72</v>
      </c>
      <c r="E270" s="28">
        <v>5413.0</v>
      </c>
    </row>
    <row r="271" ht="15.75" customHeight="1">
      <c r="A271" s="3" t="s">
        <v>10</v>
      </c>
      <c r="B271" s="13">
        <v>1301162.16</v>
      </c>
      <c r="C271" s="13">
        <v>812563.74</v>
      </c>
      <c r="D271" s="13">
        <v>488598.4199999999</v>
      </c>
      <c r="E271" s="28">
        <v>5097.0</v>
      </c>
    </row>
    <row r="272" ht="15.75" customHeight="1">
      <c r="A272" s="3" t="s">
        <v>8</v>
      </c>
      <c r="B272" s="13">
        <v>66056.4</v>
      </c>
      <c r="C272" s="13">
        <v>48993.6</v>
      </c>
      <c r="D272" s="13">
        <v>17062.799999999996</v>
      </c>
      <c r="E272" s="28">
        <v>7080.0</v>
      </c>
    </row>
    <row r="273" ht="15.75" customHeight="1">
      <c r="A273" s="3" t="s">
        <v>3</v>
      </c>
      <c r="B273" s="13">
        <v>265970.1</v>
      </c>
      <c r="C273" s="13">
        <v>151423.23</v>
      </c>
      <c r="D273" s="13">
        <v>114546.86999999997</v>
      </c>
      <c r="E273" s="28">
        <v>1293.0</v>
      </c>
    </row>
    <row r="274" ht="15.75" customHeight="1">
      <c r="A274" s="3" t="s">
        <v>10</v>
      </c>
      <c r="B274" s="13">
        <v>2391207.7600000002</v>
      </c>
      <c r="C274" s="13">
        <v>1493287.14</v>
      </c>
      <c r="D274" s="13">
        <v>897920.6200000003</v>
      </c>
      <c r="E274" s="28">
        <v>9367.0</v>
      </c>
    </row>
    <row r="275" ht="15.75" customHeight="1">
      <c r="A275" s="3" t="s">
        <v>13</v>
      </c>
      <c r="B275" s="13">
        <v>422188.86000000004</v>
      </c>
      <c r="C275" s="13">
        <v>269616.48</v>
      </c>
      <c r="D275" s="13">
        <v>152572.38000000006</v>
      </c>
      <c r="E275" s="28">
        <v>2767.0</v>
      </c>
    </row>
    <row r="276" ht="15.75" customHeight="1">
      <c r="A276" s="3" t="s">
        <v>3</v>
      </c>
      <c r="B276" s="13">
        <v>826091.2</v>
      </c>
      <c r="C276" s="13">
        <v>470313.76</v>
      </c>
      <c r="D276" s="13">
        <v>355777.43999999994</v>
      </c>
      <c r="E276" s="28">
        <v>4016.0</v>
      </c>
    </row>
    <row r="277" ht="15.75" customHeight="1">
      <c r="A277" s="3" t="s">
        <v>3</v>
      </c>
      <c r="B277" s="13">
        <v>1741867.5999999999</v>
      </c>
      <c r="C277" s="13">
        <v>991687.48</v>
      </c>
      <c r="D277" s="13">
        <v>750180.1199999999</v>
      </c>
      <c r="E277" s="28">
        <v>8468.0</v>
      </c>
    </row>
    <row r="278" ht="15.75" customHeight="1">
      <c r="A278" s="3" t="s">
        <v>13</v>
      </c>
      <c r="B278" s="13">
        <v>437294.28</v>
      </c>
      <c r="C278" s="13">
        <v>279263.04</v>
      </c>
      <c r="D278" s="13">
        <v>158031.24000000005</v>
      </c>
      <c r="E278" s="28">
        <v>2866.0</v>
      </c>
    </row>
    <row r="279" ht="15.75" customHeight="1">
      <c r="A279" s="3" t="s">
        <v>7</v>
      </c>
      <c r="B279" s="13">
        <v>369236.07</v>
      </c>
      <c r="C279" s="13">
        <v>297652.32</v>
      </c>
      <c r="D279" s="13">
        <v>71583.75</v>
      </c>
      <c r="E279" s="28">
        <v>567.0</v>
      </c>
    </row>
    <row r="280" ht="15.75" customHeight="1">
      <c r="A280" s="3" t="s">
        <v>12</v>
      </c>
      <c r="B280" s="13">
        <v>1247768.8</v>
      </c>
      <c r="C280" s="13">
        <v>751543.82</v>
      </c>
      <c r="D280" s="13">
        <v>496224.9800000001</v>
      </c>
      <c r="E280" s="28">
        <v>2854.0</v>
      </c>
    </row>
    <row r="281" ht="15.75" customHeight="1">
      <c r="A281" s="3" t="s">
        <v>12</v>
      </c>
      <c r="B281" s="13">
        <v>1167324.0</v>
      </c>
      <c r="C281" s="13">
        <v>703091.1</v>
      </c>
      <c r="D281" s="13">
        <v>464232.9</v>
      </c>
      <c r="E281" s="28">
        <v>2670.0</v>
      </c>
    </row>
    <row r="282" ht="15.75" customHeight="1">
      <c r="A282" s="3" t="s">
        <v>9</v>
      </c>
      <c r="B282" s="13">
        <v>15560.06</v>
      </c>
      <c r="C282" s="13">
        <v>9183.93</v>
      </c>
      <c r="D282" s="13">
        <v>6376.129999999999</v>
      </c>
      <c r="E282" s="28">
        <v>101.0</v>
      </c>
    </row>
    <row r="283" ht="15.75" customHeight="1">
      <c r="A283" s="3" t="s">
        <v>14</v>
      </c>
      <c r="B283" s="13">
        <v>786651.25</v>
      </c>
      <c r="C283" s="13">
        <v>545448.75</v>
      </c>
      <c r="D283" s="13">
        <v>241202.5</v>
      </c>
      <c r="E283" s="28">
        <v>9625.0</v>
      </c>
    </row>
    <row r="284" ht="15.75" customHeight="1">
      <c r="A284" s="3" t="s">
        <v>12</v>
      </c>
      <c r="B284" s="13">
        <v>3113738.4</v>
      </c>
      <c r="C284" s="13">
        <v>1875436.2599999998</v>
      </c>
      <c r="D284" s="13">
        <v>1238302.1400000001</v>
      </c>
      <c r="E284" s="28">
        <v>7122.0</v>
      </c>
    </row>
    <row r="285" ht="15.75" customHeight="1">
      <c r="A285" s="3" t="s">
        <v>9</v>
      </c>
      <c r="B285" s="13">
        <v>1305812.56</v>
      </c>
      <c r="C285" s="13">
        <v>770722.68</v>
      </c>
      <c r="D285" s="13">
        <v>535089.88</v>
      </c>
      <c r="E285" s="28">
        <v>8476.0</v>
      </c>
    </row>
    <row r="286" ht="15.75" customHeight="1">
      <c r="A286" s="3" t="s">
        <v>14</v>
      </c>
      <c r="B286" s="13">
        <v>276492.59</v>
      </c>
      <c r="C286" s="13">
        <v>191714.61000000002</v>
      </c>
      <c r="D286" s="13">
        <v>84777.98000000001</v>
      </c>
      <c r="E286" s="28">
        <v>3383.0</v>
      </c>
    </row>
    <row r="287" ht="15.75" customHeight="1">
      <c r="A287" s="3" t="s">
        <v>14</v>
      </c>
      <c r="B287" s="13">
        <v>5802.83</v>
      </c>
      <c r="C287" s="13">
        <v>4023.57</v>
      </c>
      <c r="D287" s="13">
        <v>1779.2599999999998</v>
      </c>
      <c r="E287" s="28">
        <v>71.0</v>
      </c>
    </row>
    <row r="288" ht="15.75" customHeight="1">
      <c r="A288" s="3" t="s">
        <v>10</v>
      </c>
      <c r="B288" s="13">
        <v>1575332.8800000001</v>
      </c>
      <c r="C288" s="13">
        <v>983780.82</v>
      </c>
      <c r="D288" s="13">
        <v>591552.0600000002</v>
      </c>
      <c r="E288" s="28">
        <v>6171.0</v>
      </c>
    </row>
    <row r="289" ht="15.75" customHeight="1">
      <c r="A289" s="3" t="s">
        <v>7</v>
      </c>
      <c r="B289" s="13">
        <v>5621244.720000001</v>
      </c>
      <c r="C289" s="13">
        <v>4531454.720000001</v>
      </c>
      <c r="D289" s="13">
        <v>1089790.0</v>
      </c>
      <c r="E289" s="28">
        <v>8632.0</v>
      </c>
    </row>
    <row r="290" ht="15.75" customHeight="1">
      <c r="A290" s="3" t="s">
        <v>11</v>
      </c>
      <c r="B290" s="13">
        <v>98300.37</v>
      </c>
      <c r="C290" s="13">
        <v>84972.77</v>
      </c>
      <c r="D290" s="13">
        <v>13327.599999999991</v>
      </c>
      <c r="E290" s="28">
        <v>233.0</v>
      </c>
    </row>
    <row r="291" ht="15.75" customHeight="1">
      <c r="A291" s="3" t="s">
        <v>12</v>
      </c>
      <c r="B291" s="13">
        <v>4275816.0</v>
      </c>
      <c r="C291" s="13">
        <v>2575367.4</v>
      </c>
      <c r="D291" s="13">
        <v>1700448.6</v>
      </c>
      <c r="E291" s="28">
        <v>9780.0</v>
      </c>
    </row>
    <row r="292" ht="15.75" customHeight="1">
      <c r="A292" s="3" t="s">
        <v>4</v>
      </c>
      <c r="B292" s="13">
        <v>3587273.36</v>
      </c>
      <c r="C292" s="13">
        <v>2697634.72</v>
      </c>
      <c r="D292" s="13">
        <v>889638.6399999997</v>
      </c>
      <c r="E292" s="28">
        <v>5368.0</v>
      </c>
    </row>
    <row r="293" ht="15.75" customHeight="1">
      <c r="A293" s="3" t="s">
        <v>8</v>
      </c>
      <c r="B293" s="13">
        <v>25237.65</v>
      </c>
      <c r="C293" s="13">
        <v>18718.6</v>
      </c>
      <c r="D293" s="13">
        <v>6519.050000000003</v>
      </c>
      <c r="E293" s="28">
        <v>2705.0</v>
      </c>
    </row>
    <row r="294" ht="15.75" customHeight="1">
      <c r="A294" s="3" t="s">
        <v>6</v>
      </c>
      <c r="B294" s="13">
        <v>451012.25</v>
      </c>
      <c r="C294" s="13">
        <v>302163.95</v>
      </c>
      <c r="D294" s="13">
        <v>148848.3</v>
      </c>
      <c r="E294" s="28">
        <v>9505.0</v>
      </c>
    </row>
    <row r="295" ht="15.75" customHeight="1">
      <c r="A295" s="3" t="s">
        <v>13</v>
      </c>
      <c r="B295" s="13">
        <v>476965.08</v>
      </c>
      <c r="C295" s="13">
        <v>304597.44</v>
      </c>
      <c r="D295" s="13">
        <v>172367.64</v>
      </c>
      <c r="E295" s="28">
        <v>3126.0</v>
      </c>
    </row>
    <row r="296" ht="15.75" customHeight="1">
      <c r="A296" s="3" t="s">
        <v>8</v>
      </c>
      <c r="B296" s="13">
        <v>63332.04</v>
      </c>
      <c r="C296" s="13">
        <v>46972.96</v>
      </c>
      <c r="D296" s="13">
        <v>16359.080000000002</v>
      </c>
      <c r="E296" s="28">
        <v>6788.0</v>
      </c>
    </row>
    <row r="297" ht="15.75" customHeight="1">
      <c r="A297" s="3" t="s">
        <v>12</v>
      </c>
      <c r="B297" s="13">
        <v>1654364.8</v>
      </c>
      <c r="C297" s="13">
        <v>996440.72</v>
      </c>
      <c r="D297" s="13">
        <v>657924.0800000001</v>
      </c>
      <c r="E297" s="28">
        <v>3784.0</v>
      </c>
    </row>
    <row r="298" ht="15.75" customHeight="1">
      <c r="A298" s="3" t="s">
        <v>14</v>
      </c>
      <c r="B298" s="13">
        <v>565244.68</v>
      </c>
      <c r="C298" s="13">
        <v>391929.72000000003</v>
      </c>
      <c r="D298" s="13">
        <v>173314.96000000002</v>
      </c>
      <c r="E298" s="28">
        <v>6916.0</v>
      </c>
    </row>
    <row r="299" ht="15.75" customHeight="1">
      <c r="A299" s="3" t="s">
        <v>8</v>
      </c>
      <c r="B299" s="13">
        <v>52891.77</v>
      </c>
      <c r="C299" s="13">
        <v>39229.48</v>
      </c>
      <c r="D299" s="13">
        <v>13662.289999999994</v>
      </c>
      <c r="E299" s="28">
        <v>5669.0</v>
      </c>
    </row>
    <row r="300" ht="15.75" customHeight="1">
      <c r="A300" s="3" t="s">
        <v>10</v>
      </c>
      <c r="B300" s="13">
        <v>2310794.56</v>
      </c>
      <c r="C300" s="13">
        <v>1443069.8399999999</v>
      </c>
      <c r="D300" s="13">
        <v>867724.7200000002</v>
      </c>
      <c r="E300" s="28">
        <v>9052.0</v>
      </c>
    </row>
    <row r="301" ht="15.75" customHeight="1">
      <c r="A301" s="3" t="s">
        <v>10</v>
      </c>
      <c r="B301" s="13">
        <v>894501.12</v>
      </c>
      <c r="C301" s="13">
        <v>558607.6799999999</v>
      </c>
      <c r="D301" s="13">
        <v>335893.44000000006</v>
      </c>
      <c r="E301" s="28">
        <v>3504.0</v>
      </c>
    </row>
    <row r="302" ht="15.75" customHeight="1">
      <c r="A302" s="3" t="s">
        <v>9</v>
      </c>
      <c r="B302" s="13">
        <v>177323.06</v>
      </c>
      <c r="C302" s="13">
        <v>104660.43000000001</v>
      </c>
      <c r="D302" s="13">
        <v>72662.62999999999</v>
      </c>
      <c r="E302" s="28">
        <v>1151.0</v>
      </c>
    </row>
    <row r="303" ht="15.75" customHeight="1">
      <c r="A303" s="3" t="s">
        <v>5</v>
      </c>
      <c r="B303" s="13">
        <v>357017.76</v>
      </c>
      <c r="C303" s="13">
        <v>117089.28000000001</v>
      </c>
      <c r="D303" s="13">
        <v>239928.47999999998</v>
      </c>
      <c r="E303" s="28">
        <v>3267.0</v>
      </c>
    </row>
    <row r="304" ht="15.75" customHeight="1">
      <c r="A304" s="3" t="s">
        <v>12</v>
      </c>
      <c r="B304" s="13">
        <v>3847797.1999999997</v>
      </c>
      <c r="C304" s="13">
        <v>2317567.33</v>
      </c>
      <c r="D304" s="13">
        <v>1530229.8699999996</v>
      </c>
      <c r="E304" s="28">
        <v>8801.0</v>
      </c>
    </row>
    <row r="305" ht="15.75" customHeight="1">
      <c r="A305" s="3" t="s">
        <v>8</v>
      </c>
      <c r="B305" s="13">
        <v>78661.23</v>
      </c>
      <c r="C305" s="13">
        <v>58342.52</v>
      </c>
      <c r="D305" s="13">
        <v>20318.71</v>
      </c>
      <c r="E305" s="28">
        <v>8431.0</v>
      </c>
    </row>
    <row r="306" ht="15.75" customHeight="1">
      <c r="A306" s="3" t="s">
        <v>10</v>
      </c>
      <c r="B306" s="13">
        <v>515155.04</v>
      </c>
      <c r="C306" s="13">
        <v>321709.56</v>
      </c>
      <c r="D306" s="13">
        <v>193445.47999999998</v>
      </c>
      <c r="E306" s="28">
        <v>2018.0</v>
      </c>
    </row>
    <row r="307" ht="15.75" customHeight="1">
      <c r="A307" s="3" t="s">
        <v>10</v>
      </c>
      <c r="B307" s="13">
        <v>2138991.12</v>
      </c>
      <c r="C307" s="13">
        <v>1335780.18</v>
      </c>
      <c r="D307" s="13">
        <v>803210.9400000002</v>
      </c>
      <c r="E307" s="28">
        <v>8379.0</v>
      </c>
    </row>
    <row r="308" ht="15.75" customHeight="1">
      <c r="A308" s="3" t="s">
        <v>14</v>
      </c>
      <c r="B308" s="13">
        <v>636268.05</v>
      </c>
      <c r="C308" s="13">
        <v>441175.95</v>
      </c>
      <c r="D308" s="13">
        <v>195092.10000000003</v>
      </c>
      <c r="E308" s="28">
        <v>7785.0</v>
      </c>
    </row>
    <row r="309" ht="15.75" customHeight="1">
      <c r="A309" s="3" t="s">
        <v>8</v>
      </c>
      <c r="B309" s="13">
        <v>13593.81</v>
      </c>
      <c r="C309" s="13">
        <v>10082.44</v>
      </c>
      <c r="D309" s="13">
        <v>3511.369999999999</v>
      </c>
      <c r="E309" s="28">
        <v>1457.0</v>
      </c>
    </row>
    <row r="310" ht="15.75" customHeight="1">
      <c r="A310" s="3" t="s">
        <v>9</v>
      </c>
      <c r="B310" s="13">
        <v>546142.7</v>
      </c>
      <c r="C310" s="13">
        <v>322346.85000000003</v>
      </c>
      <c r="D310" s="13">
        <v>223795.84999999992</v>
      </c>
      <c r="E310" s="28">
        <v>3545.0</v>
      </c>
    </row>
    <row r="311" ht="15.75" customHeight="1">
      <c r="A311" s="3" t="s">
        <v>3</v>
      </c>
      <c r="B311" s="13">
        <v>1571959.4</v>
      </c>
      <c r="C311" s="13">
        <v>894954.62</v>
      </c>
      <c r="D311" s="13">
        <v>677004.7799999999</v>
      </c>
      <c r="E311" s="28">
        <v>7642.0</v>
      </c>
    </row>
    <row r="312" ht="15.75" customHeight="1">
      <c r="A312" s="3" t="s">
        <v>14</v>
      </c>
      <c r="B312" s="13">
        <v>571537.89</v>
      </c>
      <c r="C312" s="13">
        <v>396293.31</v>
      </c>
      <c r="D312" s="13">
        <v>175244.58000000002</v>
      </c>
      <c r="E312" s="28">
        <v>6993.0</v>
      </c>
    </row>
    <row r="313" ht="15.75" customHeight="1">
      <c r="A313" s="3" t="s">
        <v>10</v>
      </c>
      <c r="B313" s="13">
        <v>2413417.12</v>
      </c>
      <c r="C313" s="13">
        <v>1507156.68</v>
      </c>
      <c r="D313" s="13">
        <v>906260.4400000002</v>
      </c>
      <c r="E313" s="28">
        <v>9454.0</v>
      </c>
    </row>
    <row r="314" ht="15.75" customHeight="1">
      <c r="A314" s="3" t="s">
        <v>8</v>
      </c>
      <c r="B314" s="13">
        <v>68771.43000000001</v>
      </c>
      <c r="C314" s="13">
        <v>51007.32</v>
      </c>
      <c r="D314" s="13">
        <v>17764.110000000008</v>
      </c>
      <c r="E314" s="28">
        <v>7371.0</v>
      </c>
    </row>
    <row r="315" ht="15.75" customHeight="1">
      <c r="A315" s="3" t="s">
        <v>13</v>
      </c>
      <c r="B315" s="13">
        <v>85139.64000000001</v>
      </c>
      <c r="C315" s="13">
        <v>54371.52</v>
      </c>
      <c r="D315" s="13">
        <v>30768.120000000017</v>
      </c>
      <c r="E315" s="28">
        <v>558.0</v>
      </c>
    </row>
    <row r="316" ht="15.75" customHeight="1">
      <c r="A316" s="3" t="s">
        <v>6</v>
      </c>
      <c r="B316" s="13">
        <v>252054.40000000002</v>
      </c>
      <c r="C316" s="13">
        <v>168868.47999999998</v>
      </c>
      <c r="D316" s="13">
        <v>83185.92000000004</v>
      </c>
      <c r="E316" s="28">
        <v>5312.0</v>
      </c>
    </row>
    <row r="317" ht="15.75" customHeight="1">
      <c r="A317" s="3" t="s">
        <v>4</v>
      </c>
      <c r="B317" s="13">
        <v>1883853.13</v>
      </c>
      <c r="C317" s="13">
        <v>1416660.26</v>
      </c>
      <c r="D317" s="13">
        <v>467192.8699999999</v>
      </c>
      <c r="E317" s="28">
        <v>2819.0</v>
      </c>
    </row>
    <row r="318" ht="15.75" customHeight="1">
      <c r="A318" s="3" t="s">
        <v>8</v>
      </c>
      <c r="B318" s="13">
        <v>42012.99</v>
      </c>
      <c r="C318" s="13">
        <v>31160.76</v>
      </c>
      <c r="D318" s="13">
        <v>10852.23</v>
      </c>
      <c r="E318" s="28">
        <v>4503.0</v>
      </c>
    </row>
    <row r="319" ht="15.75" customHeight="1">
      <c r="A319" s="3" t="s">
        <v>14</v>
      </c>
      <c r="B319" s="13">
        <v>272242.63</v>
      </c>
      <c r="C319" s="13">
        <v>188767.77000000002</v>
      </c>
      <c r="D319" s="13">
        <v>83474.85999999999</v>
      </c>
      <c r="E319" s="28">
        <v>3331.0</v>
      </c>
    </row>
    <row r="320" ht="15.75" customHeight="1">
      <c r="A320" s="3" t="s">
        <v>14</v>
      </c>
      <c r="B320" s="13">
        <v>18144.06</v>
      </c>
      <c r="C320" s="13">
        <v>12580.74</v>
      </c>
      <c r="D320" s="13">
        <v>5563.3200000000015</v>
      </c>
      <c r="E320" s="28">
        <v>222.0</v>
      </c>
    </row>
    <row r="321" ht="15.75" customHeight="1">
      <c r="A321" s="3" t="s">
        <v>14</v>
      </c>
      <c r="B321" s="13">
        <v>0.0</v>
      </c>
      <c r="C321" s="13">
        <v>0.0</v>
      </c>
      <c r="D321" s="13">
        <v>0.0</v>
      </c>
      <c r="E321" s="28"/>
    </row>
    <row r="322" ht="15.75" customHeight="1">
      <c r="A322" s="3" t="s">
        <v>12</v>
      </c>
      <c r="B322" s="13">
        <v>3942669.6</v>
      </c>
      <c r="C322" s="13">
        <v>2374709.94</v>
      </c>
      <c r="D322" s="13">
        <v>1567959.6600000001</v>
      </c>
      <c r="E322" s="28">
        <v>9018.0</v>
      </c>
    </row>
    <row r="323" ht="15.75" customHeight="1">
      <c r="A323" s="3" t="s">
        <v>8</v>
      </c>
      <c r="B323" s="13">
        <v>57939.3</v>
      </c>
      <c r="C323" s="13">
        <v>42973.2</v>
      </c>
      <c r="D323" s="13">
        <v>14966.100000000006</v>
      </c>
      <c r="E323" s="28">
        <v>6210.0</v>
      </c>
    </row>
    <row r="324" ht="15.75" customHeight="1">
      <c r="A324" s="3" t="s">
        <v>14</v>
      </c>
      <c r="B324" s="13">
        <v>368520.57</v>
      </c>
      <c r="C324" s="13">
        <v>255525.03</v>
      </c>
      <c r="D324" s="13">
        <v>112995.54000000001</v>
      </c>
      <c r="E324" s="28">
        <v>4509.0</v>
      </c>
    </row>
    <row r="325" ht="15.75" customHeight="1">
      <c r="A325" s="3" t="s">
        <v>6</v>
      </c>
      <c r="B325" s="13">
        <v>152504.30000000002</v>
      </c>
      <c r="C325" s="13">
        <v>102173.06</v>
      </c>
      <c r="D325" s="13">
        <v>50331.24000000002</v>
      </c>
      <c r="E325" s="28">
        <v>3214.0</v>
      </c>
    </row>
    <row r="326" ht="15.75" customHeight="1">
      <c r="A326" s="3" t="s">
        <v>12</v>
      </c>
      <c r="B326" s="13">
        <v>1641686.0</v>
      </c>
      <c r="C326" s="13">
        <v>988804.1499999999</v>
      </c>
      <c r="D326" s="13">
        <v>652881.8500000001</v>
      </c>
      <c r="E326" s="28">
        <v>3755.0</v>
      </c>
    </row>
    <row r="327" ht="15.75" customHeight="1">
      <c r="A327" s="3" t="s">
        <v>6</v>
      </c>
      <c r="B327" s="13">
        <v>246028.25000000003</v>
      </c>
      <c r="C327" s="13">
        <v>164831.15</v>
      </c>
      <c r="D327" s="13">
        <v>81197.10000000003</v>
      </c>
      <c r="E327" s="28">
        <v>5185.0</v>
      </c>
    </row>
    <row r="328" ht="15.75" customHeight="1">
      <c r="A328" s="3" t="s">
        <v>8</v>
      </c>
      <c r="B328" s="13">
        <v>12968.7</v>
      </c>
      <c r="C328" s="13">
        <v>9618.8</v>
      </c>
      <c r="D328" s="13">
        <v>3349.9000000000015</v>
      </c>
      <c r="E328" s="28">
        <v>1390.0</v>
      </c>
    </row>
    <row r="329" ht="15.75" customHeight="1">
      <c r="A329" s="3" t="s">
        <v>7</v>
      </c>
      <c r="B329" s="13">
        <v>3615517.9200000004</v>
      </c>
      <c r="C329" s="13">
        <v>2914577.9200000004</v>
      </c>
      <c r="D329" s="13">
        <v>700940.0</v>
      </c>
      <c r="E329" s="28">
        <v>5552.0</v>
      </c>
    </row>
    <row r="330" ht="15.75" customHeight="1">
      <c r="A330" s="3" t="s">
        <v>10</v>
      </c>
      <c r="B330" s="13">
        <v>2526250.88</v>
      </c>
      <c r="C330" s="13">
        <v>1577620.3199999998</v>
      </c>
      <c r="D330" s="13">
        <v>948630.56</v>
      </c>
      <c r="E330" s="28">
        <v>9896.0</v>
      </c>
    </row>
    <row r="331" ht="15.75" customHeight="1">
      <c r="A331" s="3" t="s">
        <v>13</v>
      </c>
      <c r="B331" s="13">
        <v>605437.4400000001</v>
      </c>
      <c r="C331" s="13">
        <v>386641.92</v>
      </c>
      <c r="D331" s="13">
        <v>218795.52000000008</v>
      </c>
      <c r="E331" s="28">
        <v>3968.0</v>
      </c>
    </row>
    <row r="332" ht="15.75" customHeight="1">
      <c r="A332" s="3" t="s">
        <v>10</v>
      </c>
      <c r="B332" s="13">
        <v>2100699.12</v>
      </c>
      <c r="C332" s="13">
        <v>1311867.18</v>
      </c>
      <c r="D332" s="13">
        <v>788831.9400000002</v>
      </c>
      <c r="E332" s="28">
        <v>8229.0</v>
      </c>
    </row>
    <row r="333" ht="15.75" customHeight="1">
      <c r="A333" s="3" t="s">
        <v>6</v>
      </c>
      <c r="B333" s="13">
        <v>379125.5</v>
      </c>
      <c r="C333" s="13">
        <v>254002.1</v>
      </c>
      <c r="D333" s="13">
        <v>125123.4</v>
      </c>
      <c r="E333" s="28">
        <v>7990.0</v>
      </c>
    </row>
    <row r="334" ht="15.75" customHeight="1">
      <c r="A334" s="3" t="s">
        <v>3</v>
      </c>
      <c r="B334" s="13">
        <v>1449773.5999999999</v>
      </c>
      <c r="C334" s="13">
        <v>825391.28</v>
      </c>
      <c r="D334" s="13">
        <v>624382.3199999998</v>
      </c>
      <c r="E334" s="28">
        <v>7048.0</v>
      </c>
    </row>
    <row r="335" ht="15.75" customHeight="1">
      <c r="A335" s="3" t="s">
        <v>6</v>
      </c>
      <c r="B335" s="13">
        <v>73310.25</v>
      </c>
      <c r="C335" s="13">
        <v>49115.549999999996</v>
      </c>
      <c r="D335" s="13">
        <v>24194.700000000004</v>
      </c>
      <c r="E335" s="28">
        <v>1545.0</v>
      </c>
    </row>
    <row r="336" ht="15.75" customHeight="1">
      <c r="A336" s="3" t="s">
        <v>4</v>
      </c>
      <c r="B336" s="13">
        <v>3918735.28</v>
      </c>
      <c r="C336" s="13">
        <v>2946894.56</v>
      </c>
      <c r="D336" s="13">
        <v>971840.7199999997</v>
      </c>
      <c r="E336" s="28">
        <v>5864.0</v>
      </c>
    </row>
    <row r="337" ht="15.75" customHeight="1">
      <c r="A337" s="3" t="s">
        <v>3</v>
      </c>
      <c r="B337" s="13">
        <v>186158.5</v>
      </c>
      <c r="C337" s="13">
        <v>105984.55</v>
      </c>
      <c r="D337" s="13">
        <v>80173.95</v>
      </c>
      <c r="E337" s="28">
        <v>905.0</v>
      </c>
    </row>
    <row r="338" ht="15.75" customHeight="1">
      <c r="A338" s="3" t="s">
        <v>3</v>
      </c>
      <c r="B338" s="13">
        <v>1770871.2999999998</v>
      </c>
      <c r="C338" s="13">
        <v>1008199.99</v>
      </c>
      <c r="D338" s="13">
        <v>762671.3099999998</v>
      </c>
      <c r="E338" s="28">
        <v>8609.0</v>
      </c>
    </row>
    <row r="339" ht="15.75" customHeight="1">
      <c r="A339" s="3" t="s">
        <v>5</v>
      </c>
      <c r="B339" s="13">
        <v>710975.68</v>
      </c>
      <c r="C339" s="13">
        <v>233175.04</v>
      </c>
      <c r="D339" s="13">
        <v>477800.64</v>
      </c>
      <c r="E339" s="28">
        <v>6506.0</v>
      </c>
    </row>
    <row r="340" ht="15.75" customHeight="1">
      <c r="A340" s="3" t="s">
        <v>12</v>
      </c>
      <c r="B340" s="13">
        <v>3032419.1999999997</v>
      </c>
      <c r="C340" s="13">
        <v>1826456.88</v>
      </c>
      <c r="D340" s="13">
        <v>1205962.3199999998</v>
      </c>
      <c r="E340" s="28">
        <v>6936.0</v>
      </c>
    </row>
    <row r="341" ht="15.75" customHeight="1">
      <c r="A341" s="3" t="s">
        <v>6</v>
      </c>
      <c r="B341" s="13">
        <v>203275.80000000002</v>
      </c>
      <c r="C341" s="13">
        <v>136188.36</v>
      </c>
      <c r="D341" s="13">
        <v>67087.44000000003</v>
      </c>
      <c r="E341" s="28">
        <v>4284.0</v>
      </c>
    </row>
    <row r="342" ht="15.75" customHeight="1">
      <c r="A342" s="3" t="s">
        <v>12</v>
      </c>
      <c r="B342" s="13">
        <v>3006187.1999999997</v>
      </c>
      <c r="C342" s="13">
        <v>1810657.0799999998</v>
      </c>
      <c r="D342" s="13">
        <v>1195530.1199999999</v>
      </c>
      <c r="E342" s="28">
        <v>6876.0</v>
      </c>
    </row>
    <row r="343" ht="15.75" customHeight="1">
      <c r="A343" s="3" t="s">
        <v>10</v>
      </c>
      <c r="B343" s="13">
        <v>1206963.84</v>
      </c>
      <c r="C343" s="13">
        <v>753737.7599999999</v>
      </c>
      <c r="D343" s="13">
        <v>453226.0800000002</v>
      </c>
      <c r="E343" s="28">
        <v>4728.0</v>
      </c>
    </row>
    <row r="344" ht="15.75" customHeight="1">
      <c r="A344" s="3" t="s">
        <v>12</v>
      </c>
      <c r="B344" s="13">
        <v>1743553.5999999999</v>
      </c>
      <c r="C344" s="13">
        <v>1050160.04</v>
      </c>
      <c r="D344" s="13">
        <v>693393.5599999998</v>
      </c>
      <c r="E344" s="28">
        <v>3988.0</v>
      </c>
    </row>
    <row r="345" ht="15.75" customHeight="1">
      <c r="A345" s="3" t="s">
        <v>7</v>
      </c>
      <c r="B345" s="13">
        <v>5159536.83</v>
      </c>
      <c r="C345" s="13">
        <v>4159258.08</v>
      </c>
      <c r="D345" s="13">
        <v>1000278.75</v>
      </c>
      <c r="E345" s="28">
        <v>7923.0</v>
      </c>
    </row>
    <row r="346" ht="15.75" customHeight="1">
      <c r="A346" s="3" t="s">
        <v>3</v>
      </c>
      <c r="B346" s="13">
        <v>920918.8999999999</v>
      </c>
      <c r="C346" s="13">
        <v>524301.47</v>
      </c>
      <c r="D346" s="13">
        <v>396617.42999999993</v>
      </c>
      <c r="E346" s="28">
        <v>4477.0</v>
      </c>
    </row>
    <row r="347" ht="15.75" customHeight="1">
      <c r="A347" s="3" t="s">
        <v>12</v>
      </c>
      <c r="B347" s="13">
        <v>4151214.0</v>
      </c>
      <c r="C347" s="13">
        <v>2500318.3499999996</v>
      </c>
      <c r="D347" s="13">
        <v>1650895.6500000004</v>
      </c>
      <c r="E347" s="28">
        <v>9495.0</v>
      </c>
    </row>
    <row r="348" ht="15.75" customHeight="1">
      <c r="A348" s="3" t="s">
        <v>11</v>
      </c>
      <c r="B348" s="13">
        <v>441296.94</v>
      </c>
      <c r="C348" s="13">
        <v>381465.74</v>
      </c>
      <c r="D348" s="13">
        <v>59831.20000000001</v>
      </c>
      <c r="E348" s="28">
        <v>1046.0</v>
      </c>
    </row>
    <row r="349" ht="15.75" customHeight="1">
      <c r="A349" s="3" t="s">
        <v>5</v>
      </c>
      <c r="B349" s="13">
        <v>728569.76</v>
      </c>
      <c r="C349" s="13">
        <v>238945.28000000003</v>
      </c>
      <c r="D349" s="13">
        <v>489624.48</v>
      </c>
      <c r="E349" s="28">
        <v>6667.0</v>
      </c>
    </row>
    <row r="350" ht="15.75" customHeight="1">
      <c r="A350" s="3" t="s">
        <v>14</v>
      </c>
      <c r="B350" s="13">
        <v>151527.42</v>
      </c>
      <c r="C350" s="13">
        <v>105066.18000000001</v>
      </c>
      <c r="D350" s="13">
        <v>46461.240000000005</v>
      </c>
      <c r="E350" s="28">
        <v>1854.0</v>
      </c>
    </row>
    <row r="351" ht="15.75" customHeight="1">
      <c r="A351" s="3" t="s">
        <v>12</v>
      </c>
      <c r="B351" s="13">
        <v>4149902.4</v>
      </c>
      <c r="C351" s="13">
        <v>2499528.36</v>
      </c>
      <c r="D351" s="13">
        <v>1650374.04</v>
      </c>
      <c r="E351" s="28">
        <v>9492.0</v>
      </c>
    </row>
    <row r="352" ht="15.75" customHeight="1">
      <c r="A352" s="3" t="s">
        <v>12</v>
      </c>
      <c r="B352" s="13">
        <v>4211984.8</v>
      </c>
      <c r="C352" s="13">
        <v>2536921.2199999997</v>
      </c>
      <c r="D352" s="13">
        <v>1675063.58</v>
      </c>
      <c r="E352" s="28">
        <v>9634.0</v>
      </c>
    </row>
    <row r="353" ht="15.75" customHeight="1">
      <c r="A353" s="3" t="s">
        <v>7</v>
      </c>
      <c r="B353" s="13">
        <v>6069928.41</v>
      </c>
      <c r="C353" s="13">
        <v>4893152.16</v>
      </c>
      <c r="D353" s="13">
        <v>1176776.25</v>
      </c>
      <c r="E353" s="28">
        <v>9321.0</v>
      </c>
    </row>
    <row r="354" ht="15.75" customHeight="1">
      <c r="A354" s="3" t="s">
        <v>13</v>
      </c>
      <c r="B354" s="13">
        <v>352612.38</v>
      </c>
      <c r="C354" s="13">
        <v>225183.84</v>
      </c>
      <c r="D354" s="13">
        <v>127428.54000000001</v>
      </c>
      <c r="E354" s="28">
        <v>2311.0</v>
      </c>
    </row>
    <row r="355" ht="15.75" customHeight="1">
      <c r="A355" s="3" t="s">
        <v>7</v>
      </c>
      <c r="B355" s="13">
        <v>3700175.22</v>
      </c>
      <c r="C355" s="13">
        <v>2982822.72</v>
      </c>
      <c r="D355" s="13">
        <v>717352.5</v>
      </c>
      <c r="E355" s="28">
        <v>5682.0</v>
      </c>
    </row>
    <row r="356" ht="15.75" customHeight="1">
      <c r="A356" s="3" t="s">
        <v>13</v>
      </c>
      <c r="B356" s="13">
        <v>944622.78</v>
      </c>
      <c r="C356" s="13">
        <v>603251.04</v>
      </c>
      <c r="D356" s="13">
        <v>341371.74</v>
      </c>
      <c r="E356" s="28">
        <v>6191.0</v>
      </c>
    </row>
    <row r="357" ht="15.75" customHeight="1">
      <c r="A357" s="3" t="s">
        <v>7</v>
      </c>
      <c r="B357" s="13">
        <v>3340056.0900000003</v>
      </c>
      <c r="C357" s="13">
        <v>2692519.8400000003</v>
      </c>
      <c r="D357" s="13">
        <v>647536.25</v>
      </c>
      <c r="E357" s="28">
        <v>5129.0</v>
      </c>
    </row>
    <row r="358" ht="15.75" customHeight="1">
      <c r="A358" s="3" t="s">
        <v>7</v>
      </c>
      <c r="B358" s="13">
        <v>4094157.27</v>
      </c>
      <c r="C358" s="13">
        <v>3300423.52</v>
      </c>
      <c r="D358" s="13">
        <v>793733.75</v>
      </c>
      <c r="E358" s="28">
        <v>6287.0</v>
      </c>
    </row>
    <row r="359" ht="15.75" customHeight="1">
      <c r="A359" s="3" t="s">
        <v>6</v>
      </c>
      <c r="B359" s="13">
        <v>161472.35</v>
      </c>
      <c r="C359" s="13">
        <v>108181.37</v>
      </c>
      <c r="D359" s="13">
        <v>53290.98000000001</v>
      </c>
      <c r="E359" s="28">
        <v>3403.0</v>
      </c>
    </row>
    <row r="360" ht="15.75" customHeight="1">
      <c r="A360" s="3" t="s">
        <v>11</v>
      </c>
      <c r="B360" s="13">
        <v>1545804.96</v>
      </c>
      <c r="C360" s="13">
        <v>1336224.16</v>
      </c>
      <c r="D360" s="13">
        <v>209580.80000000005</v>
      </c>
      <c r="E360" s="28">
        <v>3664.0</v>
      </c>
    </row>
    <row r="361" ht="15.75" customHeight="1">
      <c r="A361" s="3" t="s">
        <v>9</v>
      </c>
      <c r="B361" s="13">
        <v>853338.34</v>
      </c>
      <c r="C361" s="13">
        <v>503661.27</v>
      </c>
      <c r="D361" s="13">
        <v>349677.06999999995</v>
      </c>
      <c r="E361" s="28">
        <v>5539.0</v>
      </c>
    </row>
    <row r="362" ht="15.75" customHeight="1">
      <c r="A362" s="3" t="s">
        <v>12</v>
      </c>
      <c r="B362" s="13">
        <v>1838426.0</v>
      </c>
      <c r="C362" s="13">
        <v>1107302.65</v>
      </c>
      <c r="D362" s="13">
        <v>731123.3500000001</v>
      </c>
      <c r="E362" s="28">
        <v>4205.0</v>
      </c>
    </row>
    <row r="363" ht="15.75" customHeight="1">
      <c r="A363" s="3" t="s">
        <v>13</v>
      </c>
      <c r="B363" s="13">
        <v>556306.68</v>
      </c>
      <c r="C363" s="13">
        <v>355266.24</v>
      </c>
      <c r="D363" s="13">
        <v>201040.44000000006</v>
      </c>
      <c r="E363" s="28">
        <v>3646.0</v>
      </c>
    </row>
    <row r="364" ht="15.75" customHeight="1">
      <c r="A364" s="3" t="s">
        <v>10</v>
      </c>
      <c r="B364" s="13">
        <v>913391.84</v>
      </c>
      <c r="C364" s="13">
        <v>570404.76</v>
      </c>
      <c r="D364" s="13">
        <v>342987.07999999996</v>
      </c>
      <c r="E364" s="28">
        <v>3578.0</v>
      </c>
    </row>
    <row r="365" ht="15.75" customHeight="1">
      <c r="A365" s="3" t="s">
        <v>11</v>
      </c>
      <c r="B365" s="13">
        <v>3654411.1799999997</v>
      </c>
      <c r="C365" s="13">
        <v>3158944.78</v>
      </c>
      <c r="D365" s="13">
        <v>495466.3999999999</v>
      </c>
      <c r="E365" s="28">
        <v>8662.0</v>
      </c>
    </row>
    <row r="366" ht="15.75" customHeight="1">
      <c r="A366" s="3" t="s">
        <v>12</v>
      </c>
      <c r="B366" s="13">
        <v>1970897.5999999999</v>
      </c>
      <c r="C366" s="13">
        <v>1187091.64</v>
      </c>
      <c r="D366" s="13">
        <v>783805.96</v>
      </c>
      <c r="E366" s="28">
        <v>4508.0</v>
      </c>
    </row>
    <row r="367" ht="15.75" customHeight="1">
      <c r="A367" s="3" t="s">
        <v>12</v>
      </c>
      <c r="B367" s="13">
        <v>379926.8</v>
      </c>
      <c r="C367" s="13">
        <v>228833.77</v>
      </c>
      <c r="D367" s="13">
        <v>151093.03</v>
      </c>
      <c r="E367" s="28">
        <v>869.0</v>
      </c>
    </row>
    <row r="368" ht="15.75" customHeight="1">
      <c r="A368" s="3" t="s">
        <v>14</v>
      </c>
      <c r="B368" s="13">
        <v>61297.5</v>
      </c>
      <c r="C368" s="13">
        <v>42502.5</v>
      </c>
      <c r="D368" s="13">
        <v>18795.0</v>
      </c>
      <c r="E368" s="28">
        <v>750.0</v>
      </c>
    </row>
    <row r="369" ht="15.75" customHeight="1">
      <c r="A369" s="3" t="s">
        <v>13</v>
      </c>
      <c r="B369" s="13">
        <v>739097.52</v>
      </c>
      <c r="C369" s="13">
        <v>471999.36</v>
      </c>
      <c r="D369" s="13">
        <v>267098.16000000003</v>
      </c>
      <c r="E369" s="28">
        <v>4844.0</v>
      </c>
    </row>
    <row r="370" ht="15.75" customHeight="1">
      <c r="A370" s="3" t="s">
        <v>5</v>
      </c>
      <c r="B370" s="13">
        <v>674148.3200000001</v>
      </c>
      <c r="C370" s="13">
        <v>221096.96000000002</v>
      </c>
      <c r="D370" s="13">
        <v>453051.36000000004</v>
      </c>
      <c r="E370" s="28">
        <v>6169.0</v>
      </c>
    </row>
    <row r="371" ht="15.75" customHeight="1">
      <c r="A371" s="3" t="s">
        <v>12</v>
      </c>
      <c r="B371" s="13">
        <v>1810445.2</v>
      </c>
      <c r="C371" s="13">
        <v>1090449.53</v>
      </c>
      <c r="D371" s="13">
        <v>719995.6699999999</v>
      </c>
      <c r="E371" s="28">
        <v>4141.0</v>
      </c>
    </row>
    <row r="372" ht="15.75" customHeight="1">
      <c r="A372" s="3" t="s">
        <v>7</v>
      </c>
      <c r="B372" s="13">
        <v>1829248.8900000001</v>
      </c>
      <c r="C372" s="13">
        <v>1474612.6400000001</v>
      </c>
      <c r="D372" s="13">
        <v>354636.25</v>
      </c>
      <c r="E372" s="28">
        <v>2809.0</v>
      </c>
    </row>
    <row r="373" ht="15.75" customHeight="1">
      <c r="A373" s="3" t="s">
        <v>14</v>
      </c>
      <c r="B373" s="13">
        <v>190757.82</v>
      </c>
      <c r="C373" s="13">
        <v>132267.78</v>
      </c>
      <c r="D373" s="13">
        <v>58490.04000000001</v>
      </c>
      <c r="E373" s="28">
        <v>2334.0</v>
      </c>
    </row>
    <row r="374" ht="15.75" customHeight="1">
      <c r="A374" s="3" t="s">
        <v>14</v>
      </c>
      <c r="B374" s="13">
        <v>19615.2</v>
      </c>
      <c r="C374" s="13">
        <v>13600.800000000001</v>
      </c>
      <c r="D374" s="13">
        <v>6014.4</v>
      </c>
      <c r="E374" s="28">
        <v>240.0</v>
      </c>
    </row>
    <row r="375" ht="15.75" customHeight="1">
      <c r="A375" s="3" t="s">
        <v>8</v>
      </c>
      <c r="B375" s="13">
        <v>48450.69</v>
      </c>
      <c r="C375" s="13">
        <v>35935.56</v>
      </c>
      <c r="D375" s="13">
        <v>12515.130000000005</v>
      </c>
      <c r="E375" s="28">
        <v>5193.0</v>
      </c>
    </row>
    <row r="376" ht="15.75" customHeight="1">
      <c r="A376" s="3" t="s">
        <v>9</v>
      </c>
      <c r="B376" s="13">
        <v>818058.6</v>
      </c>
      <c r="C376" s="13">
        <v>482838.30000000005</v>
      </c>
      <c r="D376" s="13">
        <v>335220.29999999993</v>
      </c>
      <c r="E376" s="28">
        <v>5310.0</v>
      </c>
    </row>
    <row r="377" ht="15.75" customHeight="1">
      <c r="A377" s="3" t="s">
        <v>6</v>
      </c>
      <c r="B377" s="13">
        <v>443799.85000000003</v>
      </c>
      <c r="C377" s="13">
        <v>297331.87</v>
      </c>
      <c r="D377" s="13">
        <v>146467.98000000004</v>
      </c>
      <c r="E377" s="28">
        <v>9353.0</v>
      </c>
    </row>
    <row r="378" ht="15.75" customHeight="1">
      <c r="A378" s="3" t="s">
        <v>7</v>
      </c>
      <c r="B378" s="13">
        <v>1893718.6800000002</v>
      </c>
      <c r="C378" s="13">
        <v>1526583.6800000002</v>
      </c>
      <c r="D378" s="13">
        <v>367135.0</v>
      </c>
      <c r="E378" s="28">
        <v>2908.0</v>
      </c>
    </row>
    <row r="379" ht="15.75" customHeight="1">
      <c r="A379" s="3" t="s">
        <v>14</v>
      </c>
      <c r="B379" s="13">
        <v>82629.03</v>
      </c>
      <c r="C379" s="13">
        <v>57293.37</v>
      </c>
      <c r="D379" s="13">
        <v>25335.659999999996</v>
      </c>
      <c r="E379" s="28">
        <v>1011.0</v>
      </c>
    </row>
    <row r="380" ht="15.75" customHeight="1">
      <c r="A380" s="3" t="s">
        <v>5</v>
      </c>
      <c r="B380" s="13">
        <v>1031603.2</v>
      </c>
      <c r="C380" s="13">
        <v>338329.60000000003</v>
      </c>
      <c r="D380" s="13">
        <v>693273.5999999999</v>
      </c>
      <c r="E380" s="28">
        <v>9440.0</v>
      </c>
    </row>
    <row r="381" ht="15.75" customHeight="1">
      <c r="A381" s="3" t="s">
        <v>14</v>
      </c>
      <c r="B381" s="13">
        <v>778723.4400000001</v>
      </c>
      <c r="C381" s="13">
        <v>539951.76</v>
      </c>
      <c r="D381" s="13">
        <v>238771.68000000005</v>
      </c>
      <c r="E381" s="28">
        <v>9528.0</v>
      </c>
    </row>
    <row r="382" ht="15.75" customHeight="1">
      <c r="A382" s="3" t="s">
        <v>12</v>
      </c>
      <c r="B382" s="13">
        <v>777778.7999999999</v>
      </c>
      <c r="C382" s="13">
        <v>468464.06999999995</v>
      </c>
      <c r="D382" s="13">
        <v>309314.73</v>
      </c>
      <c r="E382" s="28">
        <v>1779.0</v>
      </c>
    </row>
    <row r="383" ht="15.75" customHeight="1">
      <c r="A383" s="3" t="s">
        <v>6</v>
      </c>
      <c r="B383" s="13">
        <v>278768.75</v>
      </c>
      <c r="C383" s="13">
        <v>186766.25</v>
      </c>
      <c r="D383" s="13">
        <v>92002.5</v>
      </c>
      <c r="E383" s="28">
        <v>5875.0</v>
      </c>
    </row>
    <row r="384" ht="15.75" customHeight="1">
      <c r="A384" s="3" t="s">
        <v>5</v>
      </c>
      <c r="B384" s="13">
        <v>938278.08</v>
      </c>
      <c r="C384" s="13">
        <v>307722.24000000005</v>
      </c>
      <c r="D384" s="13">
        <v>630555.8399999999</v>
      </c>
      <c r="E384" s="28">
        <v>8586.0</v>
      </c>
    </row>
    <row r="385" ht="15.75" customHeight="1">
      <c r="A385" s="3" t="s">
        <v>10</v>
      </c>
      <c r="B385" s="13">
        <v>611650.88</v>
      </c>
      <c r="C385" s="13">
        <v>381970.31999999995</v>
      </c>
      <c r="D385" s="13">
        <v>229680.56000000006</v>
      </c>
      <c r="E385" s="28">
        <v>2396.0</v>
      </c>
    </row>
    <row r="386" ht="15.75" customHeight="1">
      <c r="A386" s="3" t="s">
        <v>13</v>
      </c>
      <c r="B386" s="13">
        <v>750998.76</v>
      </c>
      <c r="C386" s="13">
        <v>479599.68</v>
      </c>
      <c r="D386" s="13">
        <v>271399.08</v>
      </c>
      <c r="E386" s="28">
        <v>4922.0</v>
      </c>
    </row>
    <row r="387" ht="15.75" customHeight="1">
      <c r="A387" s="3" t="s">
        <v>5</v>
      </c>
      <c r="B387" s="13">
        <v>402696.8</v>
      </c>
      <c r="C387" s="13">
        <v>132070.40000000002</v>
      </c>
      <c r="D387" s="13">
        <v>270626.39999999997</v>
      </c>
      <c r="E387" s="28">
        <v>3685.0</v>
      </c>
    </row>
    <row r="388" ht="15.75" customHeight="1">
      <c r="A388" s="3" t="s">
        <v>10</v>
      </c>
      <c r="B388" s="13">
        <v>855698.56</v>
      </c>
      <c r="C388" s="13">
        <v>534375.84</v>
      </c>
      <c r="D388" s="13">
        <v>321322.7200000001</v>
      </c>
      <c r="E388" s="28">
        <v>3352.0</v>
      </c>
    </row>
    <row r="389" ht="15.75" customHeight="1">
      <c r="A389" s="3" t="s">
        <v>9</v>
      </c>
      <c r="B389" s="13">
        <v>1419200.72</v>
      </c>
      <c r="C389" s="13">
        <v>837647.16</v>
      </c>
      <c r="D389" s="13">
        <v>581553.5599999999</v>
      </c>
      <c r="E389" s="28">
        <v>9212.0</v>
      </c>
    </row>
    <row r="390" ht="15.75" customHeight="1">
      <c r="A390" s="3" t="s">
        <v>10</v>
      </c>
      <c r="B390" s="13">
        <v>2313092.08</v>
      </c>
      <c r="C390" s="13">
        <v>1444504.6199999999</v>
      </c>
      <c r="D390" s="13">
        <v>868587.4600000002</v>
      </c>
      <c r="E390" s="28">
        <v>9061.0</v>
      </c>
    </row>
    <row r="391" ht="15.75" customHeight="1">
      <c r="A391" s="3" t="s">
        <v>3</v>
      </c>
      <c r="B391" s="13">
        <v>370465.69999999995</v>
      </c>
      <c r="C391" s="13">
        <v>210915.11</v>
      </c>
      <c r="D391" s="13">
        <v>159550.58999999997</v>
      </c>
      <c r="E391" s="28">
        <v>1801.0</v>
      </c>
    </row>
    <row r="392" ht="15.75" customHeight="1">
      <c r="A392" s="3" t="s">
        <v>9</v>
      </c>
      <c r="B392" s="13">
        <v>228779.1</v>
      </c>
      <c r="C392" s="13">
        <v>135031.05000000002</v>
      </c>
      <c r="D392" s="13">
        <v>93748.04999999999</v>
      </c>
      <c r="E392" s="28">
        <v>1485.0</v>
      </c>
    </row>
    <row r="393" ht="15.75" customHeight="1">
      <c r="A393" s="3" t="s">
        <v>8</v>
      </c>
      <c r="B393" s="13">
        <v>85966.62</v>
      </c>
      <c r="C393" s="13">
        <v>63760.88</v>
      </c>
      <c r="D393" s="13">
        <v>22205.739999999998</v>
      </c>
      <c r="E393" s="28">
        <v>9214.0</v>
      </c>
    </row>
    <row r="394" ht="15.75" customHeight="1">
      <c r="A394" s="3" t="s">
        <v>12</v>
      </c>
      <c r="B394" s="13">
        <v>2739932.4</v>
      </c>
      <c r="C394" s="13">
        <v>1650289.1099999999</v>
      </c>
      <c r="D394" s="13">
        <v>1089643.29</v>
      </c>
      <c r="E394" s="28">
        <v>6267.0</v>
      </c>
    </row>
    <row r="395" ht="15.75" customHeight="1">
      <c r="A395" s="3" t="s">
        <v>10</v>
      </c>
      <c r="B395" s="13">
        <v>1892390.64</v>
      </c>
      <c r="C395" s="13">
        <v>1181780.46</v>
      </c>
      <c r="D395" s="13">
        <v>710610.1799999999</v>
      </c>
      <c r="E395" s="28">
        <v>7413.0</v>
      </c>
    </row>
    <row r="396" ht="15.75" customHeight="1">
      <c r="A396" s="3" t="s">
        <v>4</v>
      </c>
      <c r="B396" s="13">
        <v>6294435.13</v>
      </c>
      <c r="C396" s="13">
        <v>4733424.26</v>
      </c>
      <c r="D396" s="13">
        <v>1561010.87</v>
      </c>
      <c r="E396" s="28">
        <v>9419.0</v>
      </c>
    </row>
    <row r="397" ht="15.75" customHeight="1">
      <c r="A397" s="3" t="s">
        <v>7</v>
      </c>
      <c r="B397" s="13">
        <v>2894628.45</v>
      </c>
      <c r="C397" s="13">
        <v>2333447.2</v>
      </c>
      <c r="D397" s="13">
        <v>561181.25</v>
      </c>
      <c r="E397" s="28">
        <v>4445.0</v>
      </c>
    </row>
    <row r="398" ht="15.75" customHeight="1">
      <c r="A398" s="3" t="s">
        <v>10</v>
      </c>
      <c r="B398" s="13">
        <v>1145186.08</v>
      </c>
      <c r="C398" s="13">
        <v>715158.12</v>
      </c>
      <c r="D398" s="13">
        <v>430027.9600000001</v>
      </c>
      <c r="E398" s="28">
        <v>4486.0</v>
      </c>
    </row>
    <row r="399" ht="15.75" customHeight="1">
      <c r="A399" s="3" t="s">
        <v>6</v>
      </c>
      <c r="B399" s="13">
        <v>158862.6</v>
      </c>
      <c r="C399" s="13">
        <v>106432.92</v>
      </c>
      <c r="D399" s="13">
        <v>52429.68000000001</v>
      </c>
      <c r="E399" s="28">
        <v>3348.0</v>
      </c>
    </row>
    <row r="400" ht="15.75" customHeight="1">
      <c r="A400" s="3" t="s">
        <v>14</v>
      </c>
      <c r="B400" s="13">
        <v>585350.26</v>
      </c>
      <c r="C400" s="13">
        <v>405870.54000000004</v>
      </c>
      <c r="D400" s="13">
        <v>179479.71999999997</v>
      </c>
      <c r="E400" s="28">
        <v>7162.0</v>
      </c>
    </row>
    <row r="401" ht="15.75" customHeight="1">
      <c r="A401" s="3" t="s">
        <v>7</v>
      </c>
      <c r="B401" s="13">
        <v>22792.350000000002</v>
      </c>
      <c r="C401" s="13">
        <v>18373.600000000002</v>
      </c>
      <c r="D401" s="13">
        <v>4418.75</v>
      </c>
      <c r="E401" s="28">
        <v>35.0</v>
      </c>
    </row>
    <row r="402" ht="15.75" customHeight="1">
      <c r="A402" s="3" t="s">
        <v>5</v>
      </c>
      <c r="B402" s="13">
        <v>535144.16</v>
      </c>
      <c r="C402" s="13">
        <v>175508.48</v>
      </c>
      <c r="D402" s="13">
        <v>359635.68000000005</v>
      </c>
      <c r="E402" s="28">
        <v>4897.0</v>
      </c>
    </row>
    <row r="403" ht="15.75" customHeight="1">
      <c r="A403" s="3" t="s">
        <v>5</v>
      </c>
      <c r="B403" s="13">
        <v>170695.36000000002</v>
      </c>
      <c r="C403" s="13">
        <v>55982.08</v>
      </c>
      <c r="D403" s="13">
        <v>114713.28000000001</v>
      </c>
      <c r="E403" s="28">
        <v>1562.0</v>
      </c>
    </row>
    <row r="404" ht="15.75" customHeight="1">
      <c r="A404" s="3" t="s">
        <v>12</v>
      </c>
      <c r="B404" s="13">
        <v>3936986.0</v>
      </c>
      <c r="C404" s="13">
        <v>2371286.65</v>
      </c>
      <c r="D404" s="13">
        <v>1565699.35</v>
      </c>
      <c r="E404" s="28">
        <v>9005.0</v>
      </c>
    </row>
    <row r="405" ht="15.75" customHeight="1">
      <c r="A405" s="3" t="s">
        <v>6</v>
      </c>
      <c r="B405" s="13">
        <v>278341.7</v>
      </c>
      <c r="C405" s="13">
        <v>186480.13999999998</v>
      </c>
      <c r="D405" s="13">
        <v>91861.56000000003</v>
      </c>
      <c r="E405" s="28">
        <v>5866.0</v>
      </c>
    </row>
    <row r="406" ht="15.75" customHeight="1">
      <c r="A406" s="3" t="s">
        <v>5</v>
      </c>
      <c r="B406" s="13">
        <v>1081325.6</v>
      </c>
      <c r="C406" s="13">
        <v>354636.80000000005</v>
      </c>
      <c r="D406" s="13">
        <v>726688.8</v>
      </c>
      <c r="E406" s="28">
        <v>9895.0</v>
      </c>
    </row>
    <row r="407" ht="15.75" customHeight="1">
      <c r="A407" s="3" t="s">
        <v>4</v>
      </c>
      <c r="B407" s="13">
        <v>1168804.23</v>
      </c>
      <c r="C407" s="13">
        <v>878942.4600000001</v>
      </c>
      <c r="D407" s="13">
        <v>289861.7699999999</v>
      </c>
      <c r="E407" s="28">
        <v>1749.0</v>
      </c>
    </row>
    <row r="408" ht="15.75" customHeight="1">
      <c r="A408" s="3" t="s">
        <v>5</v>
      </c>
      <c r="B408" s="13">
        <v>756982.56</v>
      </c>
      <c r="C408" s="13">
        <v>248263.68000000002</v>
      </c>
      <c r="D408" s="13">
        <v>508718.88</v>
      </c>
      <c r="E408" s="28">
        <v>6927.0</v>
      </c>
    </row>
    <row r="409" ht="15.75" customHeight="1">
      <c r="A409" s="3" t="s">
        <v>11</v>
      </c>
      <c r="B409" s="13">
        <v>4196117.9399999995</v>
      </c>
      <c r="C409" s="13">
        <v>3627206.7399999998</v>
      </c>
      <c r="D409" s="13">
        <v>568911.1999999997</v>
      </c>
      <c r="E409" s="28">
        <v>9946.0</v>
      </c>
    </row>
    <row r="410" ht="15.75" customHeight="1">
      <c r="A410" s="3" t="s">
        <v>12</v>
      </c>
      <c r="B410" s="13">
        <v>782150.7999999999</v>
      </c>
      <c r="C410" s="13">
        <v>471097.37</v>
      </c>
      <c r="D410" s="13">
        <v>311053.42999999993</v>
      </c>
      <c r="E410" s="28">
        <v>1789.0</v>
      </c>
    </row>
    <row r="411" ht="15.75" customHeight="1">
      <c r="A411" s="3" t="s">
        <v>10</v>
      </c>
      <c r="B411" s="13">
        <v>1599839.76</v>
      </c>
      <c r="C411" s="13">
        <v>999085.1399999999</v>
      </c>
      <c r="D411" s="13">
        <v>600754.6200000001</v>
      </c>
      <c r="E411" s="28">
        <v>6267.0</v>
      </c>
    </row>
    <row r="412" ht="15.75" customHeight="1">
      <c r="A412" s="3" t="s">
        <v>5</v>
      </c>
      <c r="B412" s="13">
        <v>1083401.92</v>
      </c>
      <c r="C412" s="13">
        <v>355317.76</v>
      </c>
      <c r="D412" s="13">
        <v>728084.1599999999</v>
      </c>
      <c r="E412" s="28">
        <v>9914.0</v>
      </c>
    </row>
    <row r="413" ht="15.75" customHeight="1">
      <c r="A413" s="3" t="s">
        <v>8</v>
      </c>
      <c r="B413" s="13">
        <v>41854.38</v>
      </c>
      <c r="C413" s="13">
        <v>31043.12</v>
      </c>
      <c r="D413" s="13">
        <v>10811.259999999998</v>
      </c>
      <c r="E413" s="28">
        <v>4486.0</v>
      </c>
    </row>
    <row r="414" ht="15.75" customHeight="1">
      <c r="A414" s="3" t="s">
        <v>14</v>
      </c>
      <c r="B414" s="13">
        <v>254343.76</v>
      </c>
      <c r="C414" s="13">
        <v>176357.04</v>
      </c>
      <c r="D414" s="13">
        <v>77986.72</v>
      </c>
      <c r="E414" s="28">
        <v>3112.0</v>
      </c>
    </row>
    <row r="415" ht="15.75" customHeight="1">
      <c r="A415" s="3" t="s">
        <v>5</v>
      </c>
      <c r="B415" s="13">
        <v>863530.56</v>
      </c>
      <c r="C415" s="13">
        <v>283207.68000000005</v>
      </c>
      <c r="D415" s="13">
        <v>580322.88</v>
      </c>
      <c r="E415" s="28">
        <v>7902.0</v>
      </c>
    </row>
    <row r="416" ht="15.75" customHeight="1">
      <c r="A416" s="3" t="s">
        <v>4</v>
      </c>
      <c r="B416" s="13">
        <v>623495.91</v>
      </c>
      <c r="C416" s="13">
        <v>468869.82</v>
      </c>
      <c r="D416" s="13">
        <v>154626.09000000003</v>
      </c>
      <c r="E416" s="28">
        <v>933.0</v>
      </c>
    </row>
    <row r="417" ht="15.75" customHeight="1">
      <c r="A417" s="3" t="s">
        <v>9</v>
      </c>
      <c r="B417" s="13">
        <v>957020.72</v>
      </c>
      <c r="C417" s="13">
        <v>564857.16</v>
      </c>
      <c r="D417" s="13">
        <v>392163.55999999994</v>
      </c>
      <c r="E417" s="28">
        <v>6212.0</v>
      </c>
    </row>
    <row r="418" ht="15.75" customHeight="1">
      <c r="A418" s="3" t="s">
        <v>8</v>
      </c>
      <c r="B418" s="13">
        <v>9413.97</v>
      </c>
      <c r="C418" s="13">
        <v>6982.28</v>
      </c>
      <c r="D418" s="13">
        <v>2431.6899999999996</v>
      </c>
      <c r="E418" s="28">
        <v>1009.0</v>
      </c>
    </row>
    <row r="419" ht="15.75" customHeight="1">
      <c r="A419" s="3" t="s">
        <v>7</v>
      </c>
      <c r="B419" s="13">
        <v>1222321.1700000002</v>
      </c>
      <c r="C419" s="13">
        <v>985349.92</v>
      </c>
      <c r="D419" s="13">
        <v>236971.25000000012</v>
      </c>
      <c r="E419" s="28">
        <v>1877.0</v>
      </c>
    </row>
    <row r="420" ht="15.75" customHeight="1">
      <c r="A420" s="3" t="s">
        <v>12</v>
      </c>
      <c r="B420" s="13">
        <v>1252140.8</v>
      </c>
      <c r="C420" s="13">
        <v>754177.12</v>
      </c>
      <c r="D420" s="13">
        <v>497963.68000000005</v>
      </c>
      <c r="E420" s="28">
        <v>2864.0</v>
      </c>
    </row>
    <row r="421" ht="15.75" customHeight="1">
      <c r="A421" s="3" t="s">
        <v>12</v>
      </c>
      <c r="B421" s="13">
        <v>4183566.8</v>
      </c>
      <c r="C421" s="13">
        <v>2519804.77</v>
      </c>
      <c r="D421" s="13">
        <v>1663762.0299999998</v>
      </c>
      <c r="E421" s="28">
        <v>9569.0</v>
      </c>
    </row>
    <row r="422" ht="15.75" customHeight="1">
      <c r="A422" s="3" t="s">
        <v>14</v>
      </c>
      <c r="B422" s="13">
        <v>627931.5900000001</v>
      </c>
      <c r="C422" s="13">
        <v>435395.61</v>
      </c>
      <c r="D422" s="13">
        <v>192535.9800000001</v>
      </c>
      <c r="E422" s="28">
        <v>7683.0</v>
      </c>
    </row>
    <row r="423" ht="15.75" customHeight="1">
      <c r="A423" s="3" t="s">
        <v>9</v>
      </c>
      <c r="B423" s="13">
        <v>1463724.06</v>
      </c>
      <c r="C423" s="13">
        <v>863925.93</v>
      </c>
      <c r="D423" s="13">
        <v>599798.13</v>
      </c>
      <c r="E423" s="28">
        <v>9501.0</v>
      </c>
    </row>
    <row r="424" ht="15.75" customHeight="1">
      <c r="A424" s="3" t="s">
        <v>14</v>
      </c>
      <c r="B424" s="13">
        <v>413553.80000000005</v>
      </c>
      <c r="C424" s="13">
        <v>286750.2</v>
      </c>
      <c r="D424" s="13">
        <v>126803.60000000003</v>
      </c>
      <c r="E424" s="28">
        <v>5060.0</v>
      </c>
    </row>
    <row r="425" ht="15.75" customHeight="1">
      <c r="A425" s="3" t="s">
        <v>9</v>
      </c>
      <c r="B425" s="13">
        <v>452628.28</v>
      </c>
      <c r="C425" s="13">
        <v>267152.34</v>
      </c>
      <c r="D425" s="13">
        <v>185475.94</v>
      </c>
      <c r="E425" s="28">
        <v>2938.0</v>
      </c>
    </row>
    <row r="426" ht="15.75" customHeight="1">
      <c r="A426" s="3" t="s">
        <v>14</v>
      </c>
      <c r="B426" s="13">
        <v>817218.27</v>
      </c>
      <c r="C426" s="13">
        <v>566643.3300000001</v>
      </c>
      <c r="D426" s="13">
        <v>250574.93999999994</v>
      </c>
      <c r="E426" s="28">
        <v>9999.0</v>
      </c>
    </row>
    <row r="427" ht="15.75" customHeight="1">
      <c r="A427" s="3" t="s">
        <v>13</v>
      </c>
      <c r="B427" s="13">
        <v>336133.74000000005</v>
      </c>
      <c r="C427" s="13">
        <v>214660.32</v>
      </c>
      <c r="D427" s="13">
        <v>121473.42000000004</v>
      </c>
      <c r="E427" s="28">
        <v>2203.0</v>
      </c>
    </row>
    <row r="428" ht="15.75" customHeight="1">
      <c r="A428" s="3" t="s">
        <v>12</v>
      </c>
      <c r="B428" s="13">
        <v>1046656.7999999999</v>
      </c>
      <c r="C428" s="13">
        <v>630412.02</v>
      </c>
      <c r="D428" s="13">
        <v>416244.7799999999</v>
      </c>
      <c r="E428" s="28">
        <v>2394.0</v>
      </c>
    </row>
    <row r="429" ht="15.75" customHeight="1">
      <c r="A429" s="3" t="s">
        <v>7</v>
      </c>
      <c r="B429" s="13">
        <v>2492180.67</v>
      </c>
      <c r="C429" s="13">
        <v>2009021.9200000002</v>
      </c>
      <c r="D429" s="13">
        <v>483158.74999999977</v>
      </c>
      <c r="E429" s="28">
        <v>3827.0</v>
      </c>
    </row>
    <row r="430" ht="15.75" customHeight="1">
      <c r="A430" s="3" t="s">
        <v>3</v>
      </c>
      <c r="B430" s="13">
        <v>1228440.4</v>
      </c>
      <c r="C430" s="13">
        <v>699380.92</v>
      </c>
      <c r="D430" s="13">
        <v>529059.4799999999</v>
      </c>
      <c r="E430" s="28">
        <v>5972.0</v>
      </c>
    </row>
    <row r="431" ht="15.75" customHeight="1">
      <c r="A431" s="3" t="s">
        <v>13</v>
      </c>
      <c r="B431" s="13">
        <v>714226.9800000001</v>
      </c>
      <c r="C431" s="13">
        <v>456116.64</v>
      </c>
      <c r="D431" s="13">
        <v>258110.34000000008</v>
      </c>
      <c r="E431" s="28">
        <v>4681.0</v>
      </c>
    </row>
    <row r="432" ht="15.75" customHeight="1">
      <c r="A432" s="3" t="s">
        <v>3</v>
      </c>
      <c r="B432" s="13">
        <v>1074165.4</v>
      </c>
      <c r="C432" s="13">
        <v>611548.42</v>
      </c>
      <c r="D432" s="13">
        <v>462616.97999999986</v>
      </c>
      <c r="E432" s="28">
        <v>5222.0</v>
      </c>
    </row>
    <row r="433" ht="15.75" customHeight="1">
      <c r="A433" s="3" t="s">
        <v>9</v>
      </c>
      <c r="B433" s="13">
        <v>570792.3</v>
      </c>
      <c r="C433" s="13">
        <v>336895.65</v>
      </c>
      <c r="D433" s="13">
        <v>233896.65000000002</v>
      </c>
      <c r="E433" s="28">
        <v>3705.0</v>
      </c>
    </row>
    <row r="434" ht="15.75" customHeight="1">
      <c r="A434" s="3" t="s">
        <v>3</v>
      </c>
      <c r="B434" s="13">
        <v>116631.9</v>
      </c>
      <c r="C434" s="13">
        <v>66401.37</v>
      </c>
      <c r="D434" s="13">
        <v>50230.53</v>
      </c>
      <c r="E434" s="28">
        <v>567.0</v>
      </c>
    </row>
    <row r="435" ht="15.75" customHeight="1">
      <c r="A435" s="3" t="s">
        <v>14</v>
      </c>
      <c r="B435" s="13">
        <v>248867.85</v>
      </c>
      <c r="C435" s="13">
        <v>172560.15</v>
      </c>
      <c r="D435" s="13">
        <v>76307.70000000001</v>
      </c>
      <c r="E435" s="28">
        <v>3045.0</v>
      </c>
    </row>
    <row r="436" ht="15.75" customHeight="1">
      <c r="A436" s="3" t="s">
        <v>8</v>
      </c>
      <c r="B436" s="13">
        <v>59460.090000000004</v>
      </c>
      <c r="C436" s="13">
        <v>44101.159999999996</v>
      </c>
      <c r="D436" s="13">
        <v>15358.930000000008</v>
      </c>
      <c r="E436" s="28">
        <v>6373.0</v>
      </c>
    </row>
    <row r="437" ht="15.75" customHeight="1">
      <c r="A437" s="3" t="s">
        <v>5</v>
      </c>
      <c r="B437" s="13">
        <v>627485.76</v>
      </c>
      <c r="C437" s="13">
        <v>205793.28000000003</v>
      </c>
      <c r="D437" s="13">
        <v>421692.48</v>
      </c>
      <c r="E437" s="28">
        <v>5742.0</v>
      </c>
    </row>
    <row r="438" ht="15.75" customHeight="1">
      <c r="A438" s="3" t="s">
        <v>8</v>
      </c>
      <c r="B438" s="13">
        <v>2929.62</v>
      </c>
      <c r="C438" s="13">
        <v>2172.88</v>
      </c>
      <c r="D438" s="13">
        <v>756.7399999999998</v>
      </c>
      <c r="E438" s="28">
        <v>314.0</v>
      </c>
    </row>
    <row r="439" ht="15.75" customHeight="1">
      <c r="A439" s="3" t="s">
        <v>9</v>
      </c>
      <c r="B439" s="13">
        <v>768451.28</v>
      </c>
      <c r="C439" s="13">
        <v>453558.84</v>
      </c>
      <c r="D439" s="13">
        <v>314892.44</v>
      </c>
      <c r="E439" s="28">
        <v>4988.0</v>
      </c>
    </row>
    <row r="440" ht="15.75" customHeight="1">
      <c r="A440" s="3" t="s">
        <v>4</v>
      </c>
      <c r="B440" s="13">
        <v>5183102.12</v>
      </c>
      <c r="C440" s="13">
        <v>3897700.24</v>
      </c>
      <c r="D440" s="13">
        <v>1285401.88</v>
      </c>
      <c r="E440" s="28">
        <v>7756.0</v>
      </c>
    </row>
    <row r="441" ht="15.75" customHeight="1">
      <c r="A441" s="3" t="s">
        <v>8</v>
      </c>
      <c r="B441" s="13">
        <v>68538.18000000001</v>
      </c>
      <c r="C441" s="13">
        <v>50834.32</v>
      </c>
      <c r="D441" s="13">
        <v>17703.860000000008</v>
      </c>
      <c r="E441" s="28">
        <v>7346.0</v>
      </c>
    </row>
    <row r="442" ht="15.75" customHeight="1">
      <c r="A442" s="3" t="s">
        <v>6</v>
      </c>
      <c r="B442" s="13">
        <v>218981.75</v>
      </c>
      <c r="C442" s="13">
        <v>146710.85</v>
      </c>
      <c r="D442" s="13">
        <v>72270.9</v>
      </c>
      <c r="E442" s="28">
        <v>4615.0</v>
      </c>
    </row>
    <row r="443" ht="15.75" customHeight="1">
      <c r="A443" s="3" t="s">
        <v>14</v>
      </c>
      <c r="B443" s="13">
        <v>86061.69</v>
      </c>
      <c r="C443" s="13">
        <v>59673.51</v>
      </c>
      <c r="D443" s="13">
        <v>26388.18</v>
      </c>
      <c r="E443" s="28">
        <v>1053.0</v>
      </c>
    </row>
    <row r="444" ht="15.75" customHeight="1">
      <c r="A444" s="3" t="s">
        <v>5</v>
      </c>
      <c r="B444" s="13">
        <v>816103.04</v>
      </c>
      <c r="C444" s="13">
        <v>267653.12000000005</v>
      </c>
      <c r="D444" s="13">
        <v>548449.9199999999</v>
      </c>
      <c r="E444" s="28">
        <v>7468.0</v>
      </c>
    </row>
    <row r="445" ht="15.75" customHeight="1">
      <c r="A445" s="3" t="s">
        <v>14</v>
      </c>
      <c r="B445" s="13">
        <v>551023.66</v>
      </c>
      <c r="C445" s="13">
        <v>382069.14</v>
      </c>
      <c r="D445" s="13">
        <v>168954.52000000002</v>
      </c>
      <c r="E445" s="28">
        <v>6742.0</v>
      </c>
    </row>
    <row r="446" ht="15.75" customHeight="1">
      <c r="A446" s="3" t="s">
        <v>14</v>
      </c>
      <c r="B446" s="13">
        <v>42744.79</v>
      </c>
      <c r="C446" s="13">
        <v>29638.41</v>
      </c>
      <c r="D446" s="13">
        <v>13106.380000000001</v>
      </c>
      <c r="E446" s="28">
        <v>523.0</v>
      </c>
    </row>
    <row r="447" ht="15.75" customHeight="1">
      <c r="A447" s="3" t="s">
        <v>6</v>
      </c>
      <c r="B447" s="13">
        <v>414855.35000000003</v>
      </c>
      <c r="C447" s="13">
        <v>277939.97</v>
      </c>
      <c r="D447" s="13">
        <v>136915.38000000006</v>
      </c>
      <c r="E447" s="28">
        <v>8743.0</v>
      </c>
    </row>
    <row r="448" ht="15.75" customHeight="1">
      <c r="A448" s="3" t="s">
        <v>10</v>
      </c>
      <c r="B448" s="13">
        <v>1706802.08</v>
      </c>
      <c r="C448" s="13">
        <v>1065882.1199999999</v>
      </c>
      <c r="D448" s="13">
        <v>640919.9600000002</v>
      </c>
      <c r="E448" s="28">
        <v>6686.0</v>
      </c>
    </row>
    <row r="449" ht="15.75" customHeight="1">
      <c r="A449" s="3" t="s">
        <v>3</v>
      </c>
      <c r="B449" s="13">
        <v>952185.2999999999</v>
      </c>
      <c r="C449" s="13">
        <v>542102.19</v>
      </c>
      <c r="D449" s="13">
        <v>410083.11</v>
      </c>
      <c r="E449" s="28">
        <v>4629.0</v>
      </c>
    </row>
    <row r="450" ht="15.75" customHeight="1">
      <c r="A450" s="3" t="s">
        <v>10</v>
      </c>
      <c r="B450" s="13">
        <v>1743051.84</v>
      </c>
      <c r="C450" s="13">
        <v>1088519.76</v>
      </c>
      <c r="D450" s="13">
        <v>654532.0800000001</v>
      </c>
      <c r="E450" s="28">
        <v>6828.0</v>
      </c>
    </row>
    <row r="451" ht="15.75" customHeight="1">
      <c r="A451" s="3" t="s">
        <v>9</v>
      </c>
      <c r="B451" s="13">
        <v>946236.52</v>
      </c>
      <c r="C451" s="13">
        <v>558492.06</v>
      </c>
      <c r="D451" s="13">
        <v>387744.45999999996</v>
      </c>
      <c r="E451" s="28">
        <v>6142.0</v>
      </c>
    </row>
    <row r="452" ht="15.75" customHeight="1">
      <c r="A452" s="3" t="s">
        <v>8</v>
      </c>
      <c r="B452" s="13">
        <v>71561.1</v>
      </c>
      <c r="C452" s="13">
        <v>53076.4</v>
      </c>
      <c r="D452" s="13">
        <v>18484.700000000004</v>
      </c>
      <c r="E452" s="28">
        <v>7670.0</v>
      </c>
    </row>
    <row r="453" ht="15.75" customHeight="1">
      <c r="A453" s="3" t="s">
        <v>13</v>
      </c>
      <c r="B453" s="13">
        <v>1048682.34</v>
      </c>
      <c r="C453" s="13">
        <v>669705.12</v>
      </c>
      <c r="D453" s="13">
        <v>378977.2200000001</v>
      </c>
      <c r="E453" s="28">
        <v>6873.0</v>
      </c>
    </row>
    <row r="454" ht="15.75" customHeight="1">
      <c r="A454" s="3" t="s">
        <v>3</v>
      </c>
      <c r="B454" s="13">
        <v>1123533.4</v>
      </c>
      <c r="C454" s="13">
        <v>639654.82</v>
      </c>
      <c r="D454" s="13">
        <v>483878.57999999996</v>
      </c>
      <c r="E454" s="28">
        <v>5462.0</v>
      </c>
    </row>
    <row r="455" ht="15.75" customHeight="1">
      <c r="A455" s="3" t="s">
        <v>3</v>
      </c>
      <c r="B455" s="13">
        <v>1599934.5999999999</v>
      </c>
      <c r="C455" s="13">
        <v>910881.58</v>
      </c>
      <c r="D455" s="13">
        <v>689053.0199999999</v>
      </c>
      <c r="E455" s="28">
        <v>7778.0</v>
      </c>
    </row>
    <row r="456" ht="15.75" customHeight="1">
      <c r="A456" s="3" t="s">
        <v>9</v>
      </c>
      <c r="B456" s="13">
        <v>851797.74</v>
      </c>
      <c r="C456" s="13">
        <v>502751.97000000003</v>
      </c>
      <c r="D456" s="13">
        <v>349045.76999999996</v>
      </c>
      <c r="E456" s="28">
        <v>5529.0</v>
      </c>
    </row>
    <row r="457" ht="15.75" customHeight="1">
      <c r="A457" s="3" t="s">
        <v>13</v>
      </c>
      <c r="B457" s="13">
        <v>350934.0</v>
      </c>
      <c r="C457" s="13">
        <v>224112.0</v>
      </c>
      <c r="D457" s="13">
        <v>126822.0</v>
      </c>
      <c r="E457" s="28">
        <v>2300.0</v>
      </c>
    </row>
    <row r="458" ht="15.75" customHeight="1">
      <c r="A458" s="3" t="s">
        <v>10</v>
      </c>
      <c r="B458" s="13">
        <v>1316478.96</v>
      </c>
      <c r="C458" s="13">
        <v>822128.94</v>
      </c>
      <c r="D458" s="13">
        <v>494350.02</v>
      </c>
      <c r="E458" s="28">
        <v>5157.0</v>
      </c>
    </row>
    <row r="459" ht="15.75" customHeight="1">
      <c r="A459" s="3" t="s">
        <v>10</v>
      </c>
      <c r="B459" s="13">
        <v>2354192.16</v>
      </c>
      <c r="C459" s="13">
        <v>1470171.24</v>
      </c>
      <c r="D459" s="13">
        <v>884020.9200000002</v>
      </c>
      <c r="E459" s="28">
        <v>9222.0</v>
      </c>
    </row>
    <row r="460" ht="15.75" customHeight="1">
      <c r="A460" s="3" t="s">
        <v>13</v>
      </c>
      <c r="B460" s="13">
        <v>502445.94000000006</v>
      </c>
      <c r="C460" s="13">
        <v>320869.92</v>
      </c>
      <c r="D460" s="13">
        <v>181576.02000000008</v>
      </c>
      <c r="E460" s="28">
        <v>3293.0</v>
      </c>
    </row>
    <row r="461" ht="15.75" customHeight="1">
      <c r="A461" s="3" t="s">
        <v>9</v>
      </c>
      <c r="B461" s="13">
        <v>44061.16</v>
      </c>
      <c r="C461" s="13">
        <v>26005.980000000003</v>
      </c>
      <c r="D461" s="13">
        <v>18055.18</v>
      </c>
      <c r="E461" s="28">
        <v>286.0</v>
      </c>
    </row>
    <row r="462" ht="15.75" customHeight="1">
      <c r="A462" s="3" t="s">
        <v>3</v>
      </c>
      <c r="B462" s="13">
        <v>918039.1</v>
      </c>
      <c r="C462" s="13">
        <v>522661.93</v>
      </c>
      <c r="D462" s="13">
        <v>395377.17</v>
      </c>
      <c r="E462" s="28">
        <v>4463.0</v>
      </c>
    </row>
    <row r="463" ht="15.75" customHeight="1">
      <c r="A463" s="3" t="s">
        <v>9</v>
      </c>
      <c r="B463" s="13">
        <v>786014.12</v>
      </c>
      <c r="C463" s="13">
        <v>463924.86000000004</v>
      </c>
      <c r="D463" s="13">
        <v>322089.25999999995</v>
      </c>
      <c r="E463" s="28">
        <v>5102.0</v>
      </c>
    </row>
    <row r="464" ht="15.75" customHeight="1">
      <c r="A464" s="3" t="s">
        <v>9</v>
      </c>
      <c r="B464" s="13">
        <v>676015.28</v>
      </c>
      <c r="C464" s="13">
        <v>399000.84</v>
      </c>
      <c r="D464" s="13">
        <v>277014.44</v>
      </c>
      <c r="E464" s="28">
        <v>4388.0</v>
      </c>
    </row>
    <row r="465" ht="15.75" customHeight="1">
      <c r="A465" s="3" t="s">
        <v>14</v>
      </c>
      <c r="B465" s="13">
        <v>276492.59</v>
      </c>
      <c r="C465" s="13">
        <v>191714.61000000002</v>
      </c>
      <c r="D465" s="13">
        <v>84777.98000000001</v>
      </c>
      <c r="E465" s="28">
        <v>3383.0</v>
      </c>
    </row>
    <row r="466" ht="15.75" customHeight="1">
      <c r="A466" s="3" t="s">
        <v>7</v>
      </c>
      <c r="B466" s="13">
        <v>3146646.72</v>
      </c>
      <c r="C466" s="13">
        <v>2536606.72</v>
      </c>
      <c r="D466" s="13">
        <v>610040.0</v>
      </c>
      <c r="E466" s="28">
        <v>4832.0</v>
      </c>
    </row>
    <row r="467" ht="15.75" customHeight="1">
      <c r="A467" s="3" t="s">
        <v>14</v>
      </c>
      <c r="B467" s="13">
        <v>254915.87000000002</v>
      </c>
      <c r="C467" s="13">
        <v>176753.73</v>
      </c>
      <c r="D467" s="13">
        <v>78162.14000000001</v>
      </c>
      <c r="E467" s="28">
        <v>3119.0</v>
      </c>
    </row>
    <row r="468" ht="15.75" customHeight="1">
      <c r="A468" s="3" t="s">
        <v>7</v>
      </c>
      <c r="B468" s="13">
        <v>6045833.640000001</v>
      </c>
      <c r="C468" s="13">
        <v>4873728.640000001</v>
      </c>
      <c r="D468" s="13">
        <v>1172105.0</v>
      </c>
      <c r="E468" s="28">
        <v>9284.0</v>
      </c>
    </row>
    <row r="469" ht="15.75" customHeight="1">
      <c r="A469" s="3" t="s">
        <v>11</v>
      </c>
      <c r="B469" s="13">
        <v>2620358.79</v>
      </c>
      <c r="C469" s="13">
        <v>2265089.59</v>
      </c>
      <c r="D469" s="13">
        <v>355269.2000000002</v>
      </c>
      <c r="E469" s="28">
        <v>6211.0</v>
      </c>
    </row>
    <row r="470" ht="15.75" customHeight="1">
      <c r="A470" s="3" t="s">
        <v>3</v>
      </c>
      <c r="B470" s="13">
        <v>528443.2999999999</v>
      </c>
      <c r="C470" s="13">
        <v>300855.59</v>
      </c>
      <c r="D470" s="13">
        <v>227587.7099999999</v>
      </c>
      <c r="E470" s="28">
        <v>2569.0</v>
      </c>
    </row>
    <row r="471" ht="15.75" customHeight="1">
      <c r="A471" s="3" t="s">
        <v>10</v>
      </c>
      <c r="B471" s="13">
        <v>511581.12</v>
      </c>
      <c r="C471" s="13">
        <v>319477.68</v>
      </c>
      <c r="D471" s="13">
        <v>192103.44</v>
      </c>
      <c r="E471" s="28">
        <v>2004.0</v>
      </c>
    </row>
    <row r="472" ht="15.75" customHeight="1">
      <c r="A472" s="3" t="s">
        <v>9</v>
      </c>
      <c r="B472" s="13">
        <v>1245729.16</v>
      </c>
      <c r="C472" s="13">
        <v>735259.9800000001</v>
      </c>
      <c r="D472" s="13">
        <v>510469.1799999998</v>
      </c>
      <c r="E472" s="28">
        <v>8086.0</v>
      </c>
    </row>
    <row r="473" ht="15.75" customHeight="1">
      <c r="A473" s="3" t="s">
        <v>8</v>
      </c>
      <c r="B473" s="13">
        <v>68668.8</v>
      </c>
      <c r="C473" s="13">
        <v>50931.2</v>
      </c>
      <c r="D473" s="13">
        <v>17737.600000000006</v>
      </c>
      <c r="E473" s="28">
        <v>7360.0</v>
      </c>
    </row>
    <row r="474" ht="15.75" customHeight="1">
      <c r="A474" s="3" t="s">
        <v>6</v>
      </c>
      <c r="B474" s="13">
        <v>303442.75</v>
      </c>
      <c r="C474" s="13">
        <v>203297.05</v>
      </c>
      <c r="D474" s="13">
        <v>100145.70000000001</v>
      </c>
      <c r="E474" s="28">
        <v>6395.0</v>
      </c>
    </row>
    <row r="475" ht="15.75" customHeight="1">
      <c r="A475" s="3" t="s">
        <v>10</v>
      </c>
      <c r="B475" s="13">
        <v>1797681.76</v>
      </c>
      <c r="C475" s="13">
        <v>1122635.64</v>
      </c>
      <c r="D475" s="13">
        <v>675046.1200000001</v>
      </c>
      <c r="E475" s="28">
        <v>7042.0</v>
      </c>
    </row>
    <row r="476" ht="15.75" customHeight="1">
      <c r="A476" s="3" t="s">
        <v>13</v>
      </c>
      <c r="B476" s="13">
        <v>334302.78</v>
      </c>
      <c r="C476" s="13">
        <v>213491.04</v>
      </c>
      <c r="D476" s="13">
        <v>120811.74000000002</v>
      </c>
      <c r="E476" s="28">
        <v>2191.0</v>
      </c>
    </row>
    <row r="477" ht="15.75" customHeight="1">
      <c r="A477" s="3" t="s">
        <v>10</v>
      </c>
      <c r="B477" s="13">
        <v>1159737.04</v>
      </c>
      <c r="C477" s="13">
        <v>724245.0599999999</v>
      </c>
      <c r="D477" s="13">
        <v>435491.9800000001</v>
      </c>
      <c r="E477" s="28">
        <v>4543.0</v>
      </c>
    </row>
    <row r="478" ht="15.75" customHeight="1">
      <c r="A478" s="3" t="s">
        <v>9</v>
      </c>
      <c r="B478" s="13">
        <v>669236.64</v>
      </c>
      <c r="C478" s="13">
        <v>394999.92000000004</v>
      </c>
      <c r="D478" s="13">
        <v>274236.72</v>
      </c>
      <c r="E478" s="28">
        <v>4344.0</v>
      </c>
    </row>
    <row r="479" ht="15.75" customHeight="1">
      <c r="A479" s="3" t="s">
        <v>6</v>
      </c>
      <c r="B479" s="13">
        <v>218554.7</v>
      </c>
      <c r="C479" s="13">
        <v>146424.74</v>
      </c>
      <c r="D479" s="13">
        <v>72129.96000000002</v>
      </c>
      <c r="E479" s="28">
        <v>4606.0</v>
      </c>
    </row>
    <row r="480" ht="15.75" customHeight="1">
      <c r="A480" s="3" t="s">
        <v>13</v>
      </c>
      <c r="B480" s="13">
        <v>607115.8200000001</v>
      </c>
      <c r="C480" s="13">
        <v>387713.76</v>
      </c>
      <c r="D480" s="13">
        <v>219402.06000000006</v>
      </c>
      <c r="E480" s="28">
        <v>3979.0</v>
      </c>
    </row>
    <row r="481" ht="15.75" customHeight="1">
      <c r="A481" s="3" t="s">
        <v>12</v>
      </c>
      <c r="B481" s="13">
        <v>2283495.6</v>
      </c>
      <c r="C481" s="13">
        <v>1375372.5899999999</v>
      </c>
      <c r="D481" s="13">
        <v>908123.0100000002</v>
      </c>
      <c r="E481" s="28">
        <v>5223.0</v>
      </c>
    </row>
    <row r="482" ht="15.75" customHeight="1">
      <c r="A482" s="3" t="s">
        <v>11</v>
      </c>
      <c r="B482" s="13">
        <v>3080640.78</v>
      </c>
      <c r="C482" s="13">
        <v>2662966.38</v>
      </c>
      <c r="D482" s="13">
        <v>417674.3999999999</v>
      </c>
      <c r="E482" s="28">
        <v>7302.0</v>
      </c>
    </row>
    <row r="483" ht="15.75" customHeight="1">
      <c r="A483" s="3" t="s">
        <v>4</v>
      </c>
      <c r="B483" s="13">
        <v>5010688.46</v>
      </c>
      <c r="C483" s="13">
        <v>3768044.92</v>
      </c>
      <c r="D483" s="13">
        <v>1242643.54</v>
      </c>
      <c r="E483" s="28">
        <v>7498.0</v>
      </c>
    </row>
    <row r="484" ht="15.75" customHeight="1">
      <c r="A484" s="3" t="s">
        <v>11</v>
      </c>
      <c r="B484" s="13">
        <v>2678579.61</v>
      </c>
      <c r="C484" s="13">
        <v>2315416.81</v>
      </c>
      <c r="D484" s="13">
        <v>363162.7999999998</v>
      </c>
      <c r="E484" s="28">
        <v>6349.0</v>
      </c>
    </row>
    <row r="485" ht="15.75" customHeight="1">
      <c r="A485" s="3" t="s">
        <v>3</v>
      </c>
      <c r="B485" s="13">
        <v>740520.0</v>
      </c>
      <c r="C485" s="13">
        <v>421596.0</v>
      </c>
      <c r="D485" s="13">
        <v>318924.0</v>
      </c>
      <c r="E485" s="28">
        <v>3600.0</v>
      </c>
    </row>
    <row r="486" ht="15.75" customHeight="1">
      <c r="A486" s="3" t="s">
        <v>6</v>
      </c>
      <c r="B486" s="13">
        <v>380359.2</v>
      </c>
      <c r="C486" s="13">
        <v>254828.63999999998</v>
      </c>
      <c r="D486" s="13">
        <v>125530.56000000003</v>
      </c>
      <c r="E486" s="28">
        <v>8016.0</v>
      </c>
    </row>
    <row r="487" ht="15.75" customHeight="1">
      <c r="A487" s="3" t="s">
        <v>7</v>
      </c>
      <c r="B487" s="13">
        <v>97681.5</v>
      </c>
      <c r="C487" s="13">
        <v>78744.0</v>
      </c>
      <c r="D487" s="13">
        <v>18937.5</v>
      </c>
      <c r="E487" s="28">
        <v>150.0</v>
      </c>
    </row>
    <row r="488" ht="15.75" customHeight="1">
      <c r="A488" s="3" t="s">
        <v>6</v>
      </c>
      <c r="B488" s="13">
        <v>377464.75</v>
      </c>
      <c r="C488" s="13">
        <v>252889.44999999998</v>
      </c>
      <c r="D488" s="13">
        <v>124575.30000000002</v>
      </c>
      <c r="E488" s="28">
        <v>7955.0</v>
      </c>
    </row>
    <row r="489" ht="15.75" customHeight="1">
      <c r="A489" s="3" t="s">
        <v>13</v>
      </c>
      <c r="B489" s="13">
        <v>873062.7600000001</v>
      </c>
      <c r="C489" s="13">
        <v>557551.6799999999</v>
      </c>
      <c r="D489" s="13">
        <v>315511.0800000002</v>
      </c>
      <c r="E489" s="28">
        <v>5722.0</v>
      </c>
    </row>
    <row r="490" ht="15.75" customHeight="1">
      <c r="A490" s="3" t="s">
        <v>7</v>
      </c>
      <c r="B490" s="13">
        <v>5087903.73</v>
      </c>
      <c r="C490" s="13">
        <v>4101512.4800000004</v>
      </c>
      <c r="D490" s="13">
        <v>986391.25</v>
      </c>
      <c r="E490" s="28">
        <v>7813.0</v>
      </c>
    </row>
    <row r="491" ht="15.75" customHeight="1">
      <c r="A491" s="3" t="s">
        <v>13</v>
      </c>
      <c r="B491" s="13">
        <v>928601.8800000001</v>
      </c>
      <c r="C491" s="13">
        <v>593019.84</v>
      </c>
      <c r="D491" s="13">
        <v>335582.04000000015</v>
      </c>
      <c r="E491" s="28">
        <v>6086.0</v>
      </c>
    </row>
    <row r="492" ht="15.75" customHeight="1">
      <c r="A492" s="3" t="s">
        <v>14</v>
      </c>
      <c r="B492" s="13">
        <v>724127.8</v>
      </c>
      <c r="C492" s="13">
        <v>502096.2</v>
      </c>
      <c r="D492" s="13">
        <v>222031.60000000003</v>
      </c>
      <c r="E492" s="28">
        <v>8860.0</v>
      </c>
    </row>
    <row r="493" ht="15.75" customHeight="1">
      <c r="A493" s="3" t="s">
        <v>3</v>
      </c>
      <c r="B493" s="13">
        <v>526180.6</v>
      </c>
      <c r="C493" s="13">
        <v>299567.38</v>
      </c>
      <c r="D493" s="13">
        <v>226613.21999999997</v>
      </c>
      <c r="E493" s="28">
        <v>2558.0</v>
      </c>
    </row>
    <row r="494" ht="15.75" customHeight="1">
      <c r="A494" s="3" t="s">
        <v>5</v>
      </c>
      <c r="B494" s="13">
        <v>1005157.4400000001</v>
      </c>
      <c r="C494" s="13">
        <v>329656.32</v>
      </c>
      <c r="D494" s="13">
        <v>675501.1200000001</v>
      </c>
      <c r="E494" s="28">
        <v>9198.0</v>
      </c>
    </row>
    <row r="495" ht="15.75" customHeight="1">
      <c r="A495" s="3" t="s">
        <v>6</v>
      </c>
      <c r="B495" s="13">
        <v>198862.95</v>
      </c>
      <c r="C495" s="13">
        <v>133231.88999999998</v>
      </c>
      <c r="D495" s="13">
        <v>65631.06000000003</v>
      </c>
      <c r="E495" s="28">
        <v>4191.0</v>
      </c>
    </row>
    <row r="496" ht="15.75" customHeight="1">
      <c r="A496" s="3" t="s">
        <v>6</v>
      </c>
      <c r="B496" s="13">
        <v>313739.4</v>
      </c>
      <c r="C496" s="13">
        <v>210195.47999999998</v>
      </c>
      <c r="D496" s="13">
        <v>103543.92000000004</v>
      </c>
      <c r="E496" s="28">
        <v>6612.0</v>
      </c>
    </row>
    <row r="497" ht="15.75" customHeight="1">
      <c r="A497" s="3" t="s">
        <v>7</v>
      </c>
      <c r="B497" s="13">
        <v>4303846.890000001</v>
      </c>
      <c r="C497" s="13">
        <v>3469460.64</v>
      </c>
      <c r="D497" s="13">
        <v>834386.2500000005</v>
      </c>
      <c r="E497" s="28">
        <v>6609.0</v>
      </c>
    </row>
    <row r="498" ht="15.75" customHeight="1">
      <c r="A498" s="3" t="s">
        <v>7</v>
      </c>
      <c r="B498" s="13">
        <v>346443.72000000003</v>
      </c>
      <c r="C498" s="13">
        <v>279278.72000000003</v>
      </c>
      <c r="D498" s="13">
        <v>67165.0</v>
      </c>
      <c r="E498" s="28">
        <v>532.0</v>
      </c>
    </row>
    <row r="499" ht="15.75" customHeight="1">
      <c r="A499" s="3" t="s">
        <v>12</v>
      </c>
      <c r="B499" s="13">
        <v>1401663.2</v>
      </c>
      <c r="C499" s="13">
        <v>844235.98</v>
      </c>
      <c r="D499" s="13">
        <v>557427.22</v>
      </c>
      <c r="E499" s="28">
        <v>3206.0</v>
      </c>
    </row>
    <row r="500" ht="15.75" customHeight="1">
      <c r="A500" s="3" t="s">
        <v>7</v>
      </c>
      <c r="B500" s="13">
        <v>438915.54000000004</v>
      </c>
      <c r="C500" s="13">
        <v>353823.04000000004</v>
      </c>
      <c r="D500" s="13">
        <v>85092.5</v>
      </c>
      <c r="E500" s="28">
        <v>674.0</v>
      </c>
    </row>
    <row r="501" ht="15.75" customHeight="1">
      <c r="A501" s="3" t="s">
        <v>14</v>
      </c>
      <c r="B501" s="13">
        <v>237180.46000000002</v>
      </c>
      <c r="C501" s="13">
        <v>164456.34</v>
      </c>
      <c r="D501" s="13">
        <v>72724.12000000002</v>
      </c>
      <c r="E501" s="28">
        <v>2902.0</v>
      </c>
    </row>
    <row r="502" ht="15.75" customHeight="1">
      <c r="A502" s="3" t="s">
        <v>6</v>
      </c>
      <c r="B502" s="13">
        <v>104342.55</v>
      </c>
      <c r="C502" s="13">
        <v>69906.20999999999</v>
      </c>
      <c r="D502" s="13">
        <v>34436.34000000001</v>
      </c>
      <c r="E502" s="28">
        <v>2199.0</v>
      </c>
    </row>
    <row r="503" ht="15.75" customHeight="1">
      <c r="A503" s="3" t="s">
        <v>6</v>
      </c>
      <c r="B503" s="13">
        <v>18458.050000000003</v>
      </c>
      <c r="C503" s="13">
        <v>12366.31</v>
      </c>
      <c r="D503" s="13">
        <v>6091.740000000003</v>
      </c>
      <c r="E503" s="28">
        <v>389.0</v>
      </c>
    </row>
    <row r="504" ht="15.75" customHeight="1">
      <c r="A504" s="3" t="s">
        <v>11</v>
      </c>
      <c r="B504" s="13">
        <v>3248974.8899999997</v>
      </c>
      <c r="C504" s="13">
        <v>2808477.69</v>
      </c>
      <c r="D504" s="13">
        <v>440497.1999999997</v>
      </c>
      <c r="E504" s="28">
        <v>7701.0</v>
      </c>
    </row>
    <row r="505" ht="15.75" customHeight="1">
      <c r="A505" s="3" t="s">
        <v>11</v>
      </c>
      <c r="B505" s="13">
        <v>625240.98</v>
      </c>
      <c r="C505" s="13">
        <v>540470.58</v>
      </c>
      <c r="D505" s="13">
        <v>84770.40000000002</v>
      </c>
      <c r="E505" s="28">
        <v>1482.0</v>
      </c>
    </row>
    <row r="506" ht="15.75" customHeight="1">
      <c r="A506" s="3" t="s">
        <v>13</v>
      </c>
      <c r="B506" s="13">
        <v>862839.9</v>
      </c>
      <c r="C506" s="13">
        <v>551023.2</v>
      </c>
      <c r="D506" s="13">
        <v>311816.70000000007</v>
      </c>
      <c r="E506" s="28">
        <v>5655.0</v>
      </c>
    </row>
    <row r="507" ht="15.75" customHeight="1">
      <c r="A507" s="3" t="s">
        <v>14</v>
      </c>
      <c r="B507" s="13">
        <v>423116.21</v>
      </c>
      <c r="C507" s="13">
        <v>293380.59</v>
      </c>
      <c r="D507" s="13">
        <v>129735.62</v>
      </c>
      <c r="E507" s="28">
        <v>5177.0</v>
      </c>
    </row>
    <row r="508" ht="15.75" customHeight="1">
      <c r="A508" s="3" t="s">
        <v>14</v>
      </c>
      <c r="B508" s="13">
        <v>208738.42</v>
      </c>
      <c r="C508" s="13">
        <v>144735.18</v>
      </c>
      <c r="D508" s="13">
        <v>64003.24000000002</v>
      </c>
      <c r="E508" s="28">
        <v>2554.0</v>
      </c>
    </row>
    <row r="509" ht="15.75" customHeight="1">
      <c r="A509" s="3" t="s">
        <v>6</v>
      </c>
      <c r="B509" s="13">
        <v>443657.5</v>
      </c>
      <c r="C509" s="13">
        <v>297236.5</v>
      </c>
      <c r="D509" s="13">
        <v>146421.0</v>
      </c>
      <c r="E509" s="28">
        <v>9350.0</v>
      </c>
    </row>
    <row r="510" ht="15.75" customHeight="1">
      <c r="A510" s="3" t="s">
        <v>3</v>
      </c>
      <c r="B510" s="13">
        <v>1671106.7999999998</v>
      </c>
      <c r="C510" s="13">
        <v>951401.64</v>
      </c>
      <c r="D510" s="13">
        <v>719705.1599999998</v>
      </c>
      <c r="E510" s="28">
        <v>8124.0</v>
      </c>
    </row>
    <row r="511" ht="15.75" customHeight="1">
      <c r="A511" s="3" t="s">
        <v>8</v>
      </c>
      <c r="B511" s="13">
        <v>32878.92</v>
      </c>
      <c r="C511" s="13">
        <v>24386.079999999998</v>
      </c>
      <c r="D511" s="13">
        <v>8492.84</v>
      </c>
      <c r="E511" s="28">
        <v>3524.0</v>
      </c>
    </row>
    <row r="512" ht="15.75" customHeight="1">
      <c r="A512" s="3" t="s">
        <v>10</v>
      </c>
      <c r="B512" s="13">
        <v>180482.96</v>
      </c>
      <c r="C512" s="13">
        <v>112709.93999999999</v>
      </c>
      <c r="D512" s="13">
        <v>67773.02</v>
      </c>
      <c r="E512" s="28">
        <v>707.0</v>
      </c>
    </row>
    <row r="513" ht="15.75" customHeight="1">
      <c r="A513" s="3" t="s">
        <v>3</v>
      </c>
      <c r="B513" s="13">
        <v>1971840.2</v>
      </c>
      <c r="C513" s="13">
        <v>1122616.46</v>
      </c>
      <c r="D513" s="13">
        <v>849223.74</v>
      </c>
      <c r="E513" s="28">
        <v>9586.0</v>
      </c>
    </row>
    <row r="514" ht="15.75" customHeight="1">
      <c r="A514" s="3" t="s">
        <v>3</v>
      </c>
      <c r="B514" s="13">
        <v>1052361.2</v>
      </c>
      <c r="C514" s="13">
        <v>599134.76</v>
      </c>
      <c r="D514" s="13">
        <v>453226.43999999994</v>
      </c>
      <c r="E514" s="28">
        <v>5116.0</v>
      </c>
    </row>
    <row r="515" ht="15.75" customHeight="1">
      <c r="A515" s="3" t="s">
        <v>6</v>
      </c>
      <c r="B515" s="13">
        <v>167688.30000000002</v>
      </c>
      <c r="C515" s="13">
        <v>112345.86</v>
      </c>
      <c r="D515" s="13">
        <v>55342.44000000002</v>
      </c>
      <c r="E515" s="28">
        <v>3534.0</v>
      </c>
    </row>
    <row r="516" ht="15.75" customHeight="1">
      <c r="A516" s="3" t="s">
        <v>10</v>
      </c>
      <c r="B516" s="13">
        <v>1420888.48</v>
      </c>
      <c r="C516" s="13">
        <v>887331.72</v>
      </c>
      <c r="D516" s="13">
        <v>533556.76</v>
      </c>
      <c r="E516" s="28">
        <v>5566.0</v>
      </c>
    </row>
    <row r="517" ht="15.75" customHeight="1">
      <c r="A517" s="3" t="s">
        <v>10</v>
      </c>
      <c r="B517" s="13">
        <v>1944467.76</v>
      </c>
      <c r="C517" s="13">
        <v>1214302.14</v>
      </c>
      <c r="D517" s="13">
        <v>730165.6200000001</v>
      </c>
      <c r="E517" s="28">
        <v>7617.0</v>
      </c>
    </row>
    <row r="518" ht="15.75" customHeight="1">
      <c r="A518" s="3" t="s">
        <v>4</v>
      </c>
      <c r="B518" s="13">
        <v>3170272.88</v>
      </c>
      <c r="C518" s="13">
        <v>2384049.7600000002</v>
      </c>
      <c r="D518" s="13">
        <v>786223.1199999996</v>
      </c>
      <c r="E518" s="28">
        <v>4744.0</v>
      </c>
    </row>
    <row r="519" ht="15.75" customHeight="1">
      <c r="A519" s="3" t="s">
        <v>3</v>
      </c>
      <c r="B519" s="13">
        <v>1419947.0999999999</v>
      </c>
      <c r="C519" s="13">
        <v>808410.33</v>
      </c>
      <c r="D519" s="13">
        <v>611536.7699999999</v>
      </c>
      <c r="E519" s="28">
        <v>6903.0</v>
      </c>
    </row>
    <row r="520" ht="15.75" customHeight="1">
      <c r="A520" s="3" t="s">
        <v>7</v>
      </c>
      <c r="B520" s="13">
        <v>3386943.21</v>
      </c>
      <c r="C520" s="13">
        <v>2730316.96</v>
      </c>
      <c r="D520" s="13">
        <v>656626.25</v>
      </c>
      <c r="E520" s="28">
        <v>5201.0</v>
      </c>
    </row>
    <row r="521" ht="15.75" customHeight="1">
      <c r="A521" s="3" t="s">
        <v>14</v>
      </c>
      <c r="B521" s="13">
        <v>324876.75</v>
      </c>
      <c r="C521" s="13">
        <v>225263.25</v>
      </c>
      <c r="D521" s="13">
        <v>99613.5</v>
      </c>
      <c r="E521" s="28">
        <v>3975.0</v>
      </c>
    </row>
    <row r="522" ht="15.75" customHeight="1">
      <c r="A522" s="3" t="s">
        <v>3</v>
      </c>
      <c r="B522" s="13">
        <v>1256621.3</v>
      </c>
      <c r="C522" s="13">
        <v>715424.99</v>
      </c>
      <c r="D522" s="13">
        <v>541196.31</v>
      </c>
      <c r="E522" s="28">
        <v>6109.0</v>
      </c>
    </row>
    <row r="523" ht="15.75" customHeight="1">
      <c r="A523" s="3" t="s">
        <v>9</v>
      </c>
      <c r="B523" s="13">
        <v>892623.64</v>
      </c>
      <c r="C523" s="13">
        <v>526848.42</v>
      </c>
      <c r="D523" s="13">
        <v>365775.22</v>
      </c>
      <c r="E523" s="28">
        <v>5794.0</v>
      </c>
    </row>
    <row r="524" ht="15.75" customHeight="1">
      <c r="A524" s="3" t="s">
        <v>8</v>
      </c>
      <c r="B524" s="13">
        <v>33028.2</v>
      </c>
      <c r="C524" s="13">
        <v>24496.8</v>
      </c>
      <c r="D524" s="13">
        <v>8531.399999999998</v>
      </c>
      <c r="E524" s="28">
        <v>3540.0</v>
      </c>
    </row>
    <row r="525" ht="15.75" customHeight="1">
      <c r="A525" s="3" t="s">
        <v>12</v>
      </c>
      <c r="B525" s="13">
        <v>146024.8</v>
      </c>
      <c r="C525" s="13">
        <v>87952.22</v>
      </c>
      <c r="D525" s="13">
        <v>58072.57999999999</v>
      </c>
      <c r="E525" s="28">
        <v>334.0</v>
      </c>
    </row>
    <row r="526" ht="15.75" customHeight="1">
      <c r="A526" s="3" t="s">
        <v>11</v>
      </c>
      <c r="B526" s="13">
        <v>2047010.28</v>
      </c>
      <c r="C526" s="13">
        <v>1769475.88</v>
      </c>
      <c r="D526" s="13">
        <v>277534.40000000014</v>
      </c>
      <c r="E526" s="28">
        <v>4852.0</v>
      </c>
    </row>
    <row r="527" ht="15.75" customHeight="1">
      <c r="A527" s="3" t="s">
        <v>13</v>
      </c>
      <c r="B527" s="13">
        <v>1302728.04</v>
      </c>
      <c r="C527" s="13">
        <v>831942.72</v>
      </c>
      <c r="D527" s="13">
        <v>470785.32000000007</v>
      </c>
      <c r="E527" s="28">
        <v>8538.0</v>
      </c>
    </row>
    <row r="528" ht="15.75" customHeight="1">
      <c r="A528" s="3" t="s">
        <v>3</v>
      </c>
      <c r="B528" s="13">
        <v>1849860.0999999999</v>
      </c>
      <c r="C528" s="13">
        <v>1053170.23</v>
      </c>
      <c r="D528" s="13">
        <v>796689.8699999999</v>
      </c>
      <c r="E528" s="28">
        <v>8993.0</v>
      </c>
    </row>
    <row r="529" ht="15.75" customHeight="1">
      <c r="A529" s="3" t="s">
        <v>12</v>
      </c>
      <c r="B529" s="13">
        <v>2623200.0</v>
      </c>
      <c r="C529" s="13">
        <v>1579980.0</v>
      </c>
      <c r="D529" s="13">
        <v>1043220.0</v>
      </c>
      <c r="E529" s="28">
        <v>6000.0</v>
      </c>
    </row>
    <row r="530" ht="15.75" customHeight="1">
      <c r="A530" s="3" t="s">
        <v>10</v>
      </c>
      <c r="B530" s="13">
        <v>1689443.04</v>
      </c>
      <c r="C530" s="13">
        <v>1055041.5599999998</v>
      </c>
      <c r="D530" s="13">
        <v>634401.4800000002</v>
      </c>
      <c r="E530" s="28">
        <v>6618.0</v>
      </c>
    </row>
    <row r="531" ht="15.75" customHeight="1">
      <c r="A531" s="3" t="s">
        <v>8</v>
      </c>
      <c r="B531" s="13">
        <v>49504.98</v>
      </c>
      <c r="C531" s="13">
        <v>36717.52</v>
      </c>
      <c r="D531" s="13">
        <v>12787.460000000006</v>
      </c>
      <c r="E531" s="28">
        <v>5306.0</v>
      </c>
    </row>
    <row r="532" ht="15.75" customHeight="1">
      <c r="A532" s="3" t="s">
        <v>9</v>
      </c>
      <c r="B532" s="13">
        <v>206440.4</v>
      </c>
      <c r="C532" s="13">
        <v>121846.20000000001</v>
      </c>
      <c r="D532" s="13">
        <v>84594.19999999998</v>
      </c>
      <c r="E532" s="28">
        <v>1340.0</v>
      </c>
    </row>
    <row r="533" ht="15.75" customHeight="1">
      <c r="A533" s="3" t="s">
        <v>3</v>
      </c>
      <c r="B533" s="13">
        <v>97707.5</v>
      </c>
      <c r="C533" s="13">
        <v>55627.25</v>
      </c>
      <c r="D533" s="13">
        <v>42080.25</v>
      </c>
      <c r="E533" s="28">
        <v>475.0</v>
      </c>
    </row>
    <row r="534" ht="15.75" customHeight="1">
      <c r="A534" s="3" t="s">
        <v>9</v>
      </c>
      <c r="B534" s="13">
        <v>847946.24</v>
      </c>
      <c r="C534" s="13">
        <v>500478.72000000003</v>
      </c>
      <c r="D534" s="13">
        <v>347467.51999999996</v>
      </c>
      <c r="E534" s="28">
        <v>5504.0</v>
      </c>
    </row>
    <row r="535" ht="15.75" customHeight="1">
      <c r="A535" s="3" t="s">
        <v>14</v>
      </c>
      <c r="B535" s="13">
        <v>530345.97</v>
      </c>
      <c r="C535" s="13">
        <v>367731.63</v>
      </c>
      <c r="D535" s="13">
        <v>162614.33999999997</v>
      </c>
      <c r="E535" s="28">
        <v>6489.0</v>
      </c>
    </row>
    <row r="536" ht="15.75" customHeight="1">
      <c r="A536" s="3" t="s">
        <v>7</v>
      </c>
      <c r="B536" s="13">
        <v>3528906.99</v>
      </c>
      <c r="C536" s="13">
        <v>2844758.24</v>
      </c>
      <c r="D536" s="13">
        <v>684148.75</v>
      </c>
      <c r="E536" s="28">
        <v>5419.0</v>
      </c>
    </row>
    <row r="537" ht="15.75" customHeight="1">
      <c r="A537" s="3" t="s">
        <v>11</v>
      </c>
      <c r="B537" s="13">
        <v>2558762.85</v>
      </c>
      <c r="C537" s="13">
        <v>2211844.85</v>
      </c>
      <c r="D537" s="13">
        <v>346918.0</v>
      </c>
      <c r="E537" s="28">
        <v>6065.0</v>
      </c>
    </row>
    <row r="538" ht="15.75" customHeight="1">
      <c r="A538" s="3" t="s">
        <v>7</v>
      </c>
      <c r="B538" s="13">
        <v>1833156.1500000001</v>
      </c>
      <c r="C538" s="13">
        <v>1477762.4000000001</v>
      </c>
      <c r="D538" s="13">
        <v>355393.75</v>
      </c>
      <c r="E538" s="28">
        <v>2815.0</v>
      </c>
    </row>
    <row r="539" ht="15.75" customHeight="1">
      <c r="A539" s="3" t="s">
        <v>11</v>
      </c>
      <c r="B539" s="13">
        <v>3938765.04</v>
      </c>
      <c r="C539" s="13">
        <v>3404745.84</v>
      </c>
      <c r="D539" s="13">
        <v>534019.2000000002</v>
      </c>
      <c r="E539" s="28">
        <v>9336.0</v>
      </c>
    </row>
    <row r="540" ht="15.75" customHeight="1">
      <c r="A540" s="3" t="s">
        <v>10</v>
      </c>
      <c r="B540" s="13">
        <v>1922003.12</v>
      </c>
      <c r="C540" s="13">
        <v>1200273.18</v>
      </c>
      <c r="D540" s="13">
        <v>721729.9400000002</v>
      </c>
      <c r="E540" s="28">
        <v>7529.0</v>
      </c>
    </row>
    <row r="541" ht="15.75" customHeight="1">
      <c r="A541" s="3" t="s">
        <v>8</v>
      </c>
      <c r="B541" s="13">
        <v>76216.77</v>
      </c>
      <c r="C541" s="13">
        <v>56529.479999999996</v>
      </c>
      <c r="D541" s="13">
        <v>19687.290000000008</v>
      </c>
      <c r="E541" s="28">
        <v>8169.0</v>
      </c>
    </row>
    <row r="542" ht="15.75" customHeight="1">
      <c r="A542" s="3" t="s">
        <v>14</v>
      </c>
      <c r="B542" s="13">
        <v>75191.6</v>
      </c>
      <c r="C542" s="13">
        <v>52136.4</v>
      </c>
      <c r="D542" s="13">
        <v>23055.200000000004</v>
      </c>
      <c r="E542" s="28">
        <v>920.0</v>
      </c>
    </row>
    <row r="543" ht="15.75" customHeight="1">
      <c r="A543" s="3" t="s">
        <v>10</v>
      </c>
      <c r="B543" s="13">
        <v>157252.48</v>
      </c>
      <c r="C543" s="13">
        <v>98202.71999999999</v>
      </c>
      <c r="D543" s="13">
        <v>59049.760000000024</v>
      </c>
      <c r="E543" s="28">
        <v>616.0</v>
      </c>
    </row>
    <row r="544" ht="15.75" customHeight="1">
      <c r="A544" s="3" t="s">
        <v>11</v>
      </c>
      <c r="B544" s="13">
        <v>414717.87</v>
      </c>
      <c r="C544" s="13">
        <v>358490.27</v>
      </c>
      <c r="D544" s="13">
        <v>56227.59999999998</v>
      </c>
      <c r="E544" s="28">
        <v>983.0</v>
      </c>
    </row>
    <row r="545" ht="15.75" customHeight="1">
      <c r="A545" s="3" t="s">
        <v>4</v>
      </c>
      <c r="B545" s="13">
        <v>3857922.71</v>
      </c>
      <c r="C545" s="13">
        <v>2901163.42</v>
      </c>
      <c r="D545" s="13">
        <v>956759.29</v>
      </c>
      <c r="E545" s="28">
        <v>5773.0</v>
      </c>
    </row>
    <row r="546" ht="15.75" customHeight="1">
      <c r="A546" s="3" t="s">
        <v>13</v>
      </c>
      <c r="B546" s="13">
        <v>978495.54</v>
      </c>
      <c r="C546" s="13">
        <v>624882.72</v>
      </c>
      <c r="D546" s="13">
        <v>353612.82000000007</v>
      </c>
      <c r="E546" s="28">
        <v>6413.0</v>
      </c>
    </row>
    <row r="547" ht="15.75" customHeight="1">
      <c r="A547" s="3" t="s">
        <v>9</v>
      </c>
      <c r="B547" s="13">
        <v>859500.74</v>
      </c>
      <c r="C547" s="13">
        <v>507298.47000000003</v>
      </c>
      <c r="D547" s="13">
        <v>352202.26999999996</v>
      </c>
      <c r="E547" s="28">
        <v>5579.0</v>
      </c>
    </row>
    <row r="548" ht="15.75" customHeight="1">
      <c r="A548" s="3" t="s">
        <v>8</v>
      </c>
      <c r="B548" s="13">
        <v>17596.38</v>
      </c>
      <c r="C548" s="13">
        <v>13051.119999999999</v>
      </c>
      <c r="D548" s="13">
        <v>4545.260000000002</v>
      </c>
      <c r="E548" s="28">
        <v>1886.0</v>
      </c>
    </row>
    <row r="549" ht="15.75" customHeight="1">
      <c r="A549" s="3" t="s">
        <v>14</v>
      </c>
      <c r="B549" s="13">
        <v>98157.73000000001</v>
      </c>
      <c r="C549" s="13">
        <v>68060.67</v>
      </c>
      <c r="D549" s="13">
        <v>30097.060000000012</v>
      </c>
      <c r="E549" s="28">
        <v>1201.0</v>
      </c>
    </row>
    <row r="550" ht="15.75" customHeight="1">
      <c r="A550" s="3" t="s">
        <v>14</v>
      </c>
      <c r="B550" s="13">
        <v>661359.16</v>
      </c>
      <c r="C550" s="13">
        <v>458573.64</v>
      </c>
      <c r="D550" s="13">
        <v>202785.52000000002</v>
      </c>
      <c r="E550" s="28">
        <v>8092.0</v>
      </c>
    </row>
    <row r="551" ht="15.75" customHeight="1">
      <c r="A551" s="3" t="s">
        <v>5</v>
      </c>
      <c r="B551" s="13">
        <v>603553.4400000001</v>
      </c>
      <c r="C551" s="13">
        <v>197944.32</v>
      </c>
      <c r="D551" s="13">
        <v>405609.12000000005</v>
      </c>
      <c r="E551" s="28">
        <v>5523.0</v>
      </c>
    </row>
    <row r="552" ht="15.75" customHeight="1">
      <c r="A552" s="3" t="s">
        <v>10</v>
      </c>
      <c r="B552" s="13">
        <v>1775727.68</v>
      </c>
      <c r="C552" s="13">
        <v>1108925.52</v>
      </c>
      <c r="D552" s="13">
        <v>666802.1599999999</v>
      </c>
      <c r="E552" s="28">
        <v>6956.0</v>
      </c>
    </row>
    <row r="553" ht="15.75" customHeight="1">
      <c r="A553" s="3" t="s">
        <v>7</v>
      </c>
      <c r="B553" s="13">
        <v>5326246.59</v>
      </c>
      <c r="C553" s="13">
        <v>4293647.84</v>
      </c>
      <c r="D553" s="13">
        <v>1032598.75</v>
      </c>
      <c r="E553" s="28">
        <v>8179.0</v>
      </c>
    </row>
    <row r="554" ht="15.75" customHeight="1">
      <c r="A554" s="3" t="s">
        <v>9</v>
      </c>
      <c r="B554" s="13">
        <v>831461.8200000001</v>
      </c>
      <c r="C554" s="13">
        <v>490749.21</v>
      </c>
      <c r="D554" s="13">
        <v>340712.61000000004</v>
      </c>
      <c r="E554" s="28">
        <v>5397.0</v>
      </c>
    </row>
    <row r="555" ht="15.75" customHeight="1">
      <c r="A555" s="3" t="s">
        <v>8</v>
      </c>
      <c r="B555" s="13">
        <v>77131.11</v>
      </c>
      <c r="C555" s="13">
        <v>57207.64</v>
      </c>
      <c r="D555" s="13">
        <v>19923.47</v>
      </c>
      <c r="E555" s="28">
        <v>8267.0</v>
      </c>
    </row>
    <row r="556" ht="15.75" customHeight="1">
      <c r="A556" s="3" t="s">
        <v>11</v>
      </c>
      <c r="B556" s="13">
        <v>1964741.73</v>
      </c>
      <c r="C556" s="13">
        <v>1698361.33</v>
      </c>
      <c r="D556" s="13">
        <v>266380.3999999999</v>
      </c>
      <c r="E556" s="28">
        <v>4657.0</v>
      </c>
    </row>
    <row r="557" ht="15.75" customHeight="1">
      <c r="A557" s="3" t="s">
        <v>3</v>
      </c>
      <c r="B557" s="13">
        <v>1898405.2999999998</v>
      </c>
      <c r="C557" s="13">
        <v>1080808.19</v>
      </c>
      <c r="D557" s="13">
        <v>817597.1099999999</v>
      </c>
      <c r="E557" s="28">
        <v>9229.0</v>
      </c>
    </row>
    <row r="558" ht="15.75" customHeight="1">
      <c r="A558" s="3" t="s">
        <v>6</v>
      </c>
      <c r="B558" s="13">
        <v>224106.35</v>
      </c>
      <c r="C558" s="13">
        <v>150144.16999999998</v>
      </c>
      <c r="D558" s="13">
        <v>73962.18000000002</v>
      </c>
      <c r="E558" s="28">
        <v>4723.0</v>
      </c>
    </row>
    <row r="559" ht="15.75" customHeight="1">
      <c r="A559" s="3" t="s">
        <v>9</v>
      </c>
      <c r="B559" s="13">
        <v>784165.4</v>
      </c>
      <c r="C559" s="13">
        <v>462833.7</v>
      </c>
      <c r="D559" s="13">
        <v>321331.7</v>
      </c>
      <c r="E559" s="28">
        <v>5090.0</v>
      </c>
    </row>
    <row r="560" ht="15.75" customHeight="1">
      <c r="A560" s="3" t="s">
        <v>10</v>
      </c>
      <c r="B560" s="13">
        <v>1235555.2</v>
      </c>
      <c r="C560" s="13">
        <v>771592.7999999999</v>
      </c>
      <c r="D560" s="13">
        <v>463962.4</v>
      </c>
      <c r="E560" s="28">
        <v>4840.0</v>
      </c>
    </row>
    <row r="561" ht="15.75" customHeight="1">
      <c r="A561" s="3" t="s">
        <v>5</v>
      </c>
      <c r="B561" s="13">
        <v>128076.16</v>
      </c>
      <c r="C561" s="13">
        <v>42004.48</v>
      </c>
      <c r="D561" s="13">
        <v>86071.68</v>
      </c>
      <c r="E561" s="28">
        <v>1172.0</v>
      </c>
    </row>
    <row r="562" ht="15.75" customHeight="1">
      <c r="A562" s="3" t="s">
        <v>8</v>
      </c>
      <c r="B562" s="13">
        <v>12632.82</v>
      </c>
      <c r="C562" s="13">
        <v>9369.68</v>
      </c>
      <c r="D562" s="13">
        <v>3263.1399999999994</v>
      </c>
      <c r="E562" s="28">
        <v>1354.0</v>
      </c>
    </row>
    <row r="563" ht="15.75" customHeight="1">
      <c r="A563" s="3" t="s">
        <v>10</v>
      </c>
      <c r="B563" s="13">
        <v>379090.8</v>
      </c>
      <c r="C563" s="13">
        <v>236738.69999999998</v>
      </c>
      <c r="D563" s="13">
        <v>142352.1</v>
      </c>
      <c r="E563" s="28">
        <v>1485.0</v>
      </c>
    </row>
    <row r="564" ht="15.75" customHeight="1">
      <c r="A564" s="3" t="s">
        <v>14</v>
      </c>
      <c r="B564" s="13">
        <v>28115.120000000003</v>
      </c>
      <c r="C564" s="13">
        <v>19494.48</v>
      </c>
      <c r="D564" s="13">
        <v>8620.640000000003</v>
      </c>
      <c r="E564" s="28">
        <v>344.0</v>
      </c>
    </row>
    <row r="565" ht="15.75" customHeight="1">
      <c r="A565" s="3" t="s">
        <v>8</v>
      </c>
      <c r="B565" s="13">
        <v>38803.47</v>
      </c>
      <c r="C565" s="13">
        <v>28780.28</v>
      </c>
      <c r="D565" s="13">
        <v>10023.190000000002</v>
      </c>
      <c r="E565" s="28">
        <v>4159.0</v>
      </c>
    </row>
    <row r="566" ht="15.75" customHeight="1">
      <c r="A566" s="3" t="s">
        <v>5</v>
      </c>
      <c r="B566" s="13">
        <v>609563.84</v>
      </c>
      <c r="C566" s="13">
        <v>199915.52000000002</v>
      </c>
      <c r="D566" s="13">
        <v>409648.31999999995</v>
      </c>
      <c r="E566" s="28">
        <v>5578.0</v>
      </c>
    </row>
    <row r="567" ht="15.75" customHeight="1">
      <c r="A567" s="3" t="s">
        <v>13</v>
      </c>
      <c r="B567" s="13">
        <v>320265.42000000004</v>
      </c>
      <c r="C567" s="13">
        <v>204526.56</v>
      </c>
      <c r="D567" s="13">
        <v>115738.86000000004</v>
      </c>
      <c r="E567" s="28">
        <v>2099.0</v>
      </c>
    </row>
    <row r="568" ht="15.75" customHeight="1">
      <c r="A568" s="3" t="s">
        <v>9</v>
      </c>
      <c r="B568" s="13">
        <v>818058.6</v>
      </c>
      <c r="C568" s="13">
        <v>482838.30000000005</v>
      </c>
      <c r="D568" s="13">
        <v>335220.29999999993</v>
      </c>
      <c r="E568" s="28">
        <v>5310.0</v>
      </c>
    </row>
    <row r="569" ht="15.75" customHeight="1">
      <c r="A569" s="3" t="s">
        <v>6</v>
      </c>
      <c r="B569" s="13">
        <v>133192.15</v>
      </c>
      <c r="C569" s="13">
        <v>89234.53</v>
      </c>
      <c r="D569" s="13">
        <v>43957.619999999995</v>
      </c>
      <c r="E569" s="28">
        <v>2807.0</v>
      </c>
    </row>
    <row r="570" ht="15.75" customHeight="1">
      <c r="A570" s="3" t="s">
        <v>13</v>
      </c>
      <c r="B570" s="13">
        <v>186910.50000000003</v>
      </c>
      <c r="C570" s="13">
        <v>119364.0</v>
      </c>
      <c r="D570" s="13">
        <v>67546.50000000003</v>
      </c>
      <c r="E570" s="28">
        <v>1225.0</v>
      </c>
    </row>
    <row r="571" ht="15.75" customHeight="1">
      <c r="A571" s="3" t="s">
        <v>3</v>
      </c>
      <c r="B571" s="13">
        <v>1533493.5</v>
      </c>
      <c r="C571" s="13">
        <v>873055.05</v>
      </c>
      <c r="D571" s="13">
        <v>660438.45</v>
      </c>
      <c r="E571" s="28">
        <v>7455.0</v>
      </c>
    </row>
    <row r="572" ht="15.75" customHeight="1">
      <c r="A572" s="3" t="s">
        <v>12</v>
      </c>
      <c r="B572" s="13">
        <v>529449.2</v>
      </c>
      <c r="C572" s="13">
        <v>318892.63</v>
      </c>
      <c r="D572" s="13">
        <v>210556.56999999995</v>
      </c>
      <c r="E572" s="28">
        <v>1211.0</v>
      </c>
    </row>
    <row r="573" ht="15.75" customHeight="1">
      <c r="A573" s="3" t="s">
        <v>6</v>
      </c>
      <c r="B573" s="13">
        <v>226716.1</v>
      </c>
      <c r="C573" s="13">
        <v>151892.62</v>
      </c>
      <c r="D573" s="13">
        <v>74823.48000000001</v>
      </c>
      <c r="E573" s="28">
        <v>4778.0</v>
      </c>
    </row>
    <row r="574" ht="15.75" customHeight="1">
      <c r="A574" s="3" t="s">
        <v>14</v>
      </c>
      <c r="B574" s="13">
        <v>690700.23</v>
      </c>
      <c r="C574" s="13">
        <v>478918.17000000004</v>
      </c>
      <c r="D574" s="13">
        <v>211782.05999999994</v>
      </c>
      <c r="E574" s="28">
        <v>8451.0</v>
      </c>
    </row>
    <row r="575" ht="15.75" customHeight="1">
      <c r="A575" s="3" t="s">
        <v>10</v>
      </c>
      <c r="B575" s="13">
        <v>1592436.64</v>
      </c>
      <c r="C575" s="13">
        <v>994461.96</v>
      </c>
      <c r="D575" s="13">
        <v>597974.6799999999</v>
      </c>
      <c r="E575" s="28">
        <v>6238.0</v>
      </c>
    </row>
    <row r="576" ht="15.75" customHeight="1">
      <c r="A576" s="3" t="s">
        <v>8</v>
      </c>
      <c r="B576" s="13">
        <v>45772.98</v>
      </c>
      <c r="C576" s="13">
        <v>33949.52</v>
      </c>
      <c r="D576" s="13">
        <v>11823.460000000006</v>
      </c>
      <c r="E576" s="28">
        <v>4906.0</v>
      </c>
    </row>
    <row r="577" ht="15.75" customHeight="1">
      <c r="A577" s="3" t="s">
        <v>10</v>
      </c>
      <c r="B577" s="13">
        <v>1213856.4</v>
      </c>
      <c r="C577" s="13">
        <v>758042.1</v>
      </c>
      <c r="D577" s="13">
        <v>455814.29999999993</v>
      </c>
      <c r="E577" s="28">
        <v>4755.0</v>
      </c>
    </row>
    <row r="578" ht="15.75" customHeight="1">
      <c r="A578" s="3" t="s">
        <v>13</v>
      </c>
      <c r="B578" s="13">
        <v>1380543.84</v>
      </c>
      <c r="C578" s="13">
        <v>881637.12</v>
      </c>
      <c r="D578" s="13">
        <v>498906.7200000001</v>
      </c>
      <c r="E578" s="28">
        <v>9048.0</v>
      </c>
    </row>
    <row r="579" ht="15.75" customHeight="1">
      <c r="A579" s="3" t="s">
        <v>3</v>
      </c>
      <c r="B579" s="13">
        <v>262473.2</v>
      </c>
      <c r="C579" s="13">
        <v>149432.36</v>
      </c>
      <c r="D579" s="13">
        <v>113040.84000000003</v>
      </c>
      <c r="E579" s="28">
        <v>1276.0</v>
      </c>
    </row>
    <row r="580" ht="15.75" customHeight="1">
      <c r="A580" s="3" t="s">
        <v>10</v>
      </c>
      <c r="B580" s="13">
        <v>2215319.84</v>
      </c>
      <c r="C580" s="13">
        <v>1383446.7599999998</v>
      </c>
      <c r="D580" s="13">
        <v>831873.0800000001</v>
      </c>
      <c r="E580" s="28">
        <v>8678.0</v>
      </c>
    </row>
    <row r="581" ht="15.75" customHeight="1">
      <c r="A581" s="3" t="s">
        <v>8</v>
      </c>
      <c r="B581" s="13">
        <v>59814.63</v>
      </c>
      <c r="C581" s="13">
        <v>44364.12</v>
      </c>
      <c r="D581" s="13">
        <v>15450.509999999995</v>
      </c>
      <c r="E581" s="28">
        <v>6411.0</v>
      </c>
    </row>
    <row r="582" ht="15.75" customHeight="1">
      <c r="A582" s="3" t="s">
        <v>11</v>
      </c>
      <c r="B582" s="13">
        <v>3779712.51</v>
      </c>
      <c r="C582" s="13">
        <v>3267257.71</v>
      </c>
      <c r="D582" s="13">
        <v>512454.7999999998</v>
      </c>
      <c r="E582" s="28">
        <v>8959.0</v>
      </c>
    </row>
    <row r="583" ht="15.75" customHeight="1">
      <c r="A583" s="3" t="s">
        <v>3</v>
      </c>
      <c r="B583" s="13">
        <v>688272.2</v>
      </c>
      <c r="C583" s="13">
        <v>391850.06</v>
      </c>
      <c r="D583" s="13">
        <v>296422.13999999996</v>
      </c>
      <c r="E583" s="28">
        <v>3346.0</v>
      </c>
    </row>
    <row r="584" ht="15.75" customHeight="1">
      <c r="A584" s="3" t="s">
        <v>7</v>
      </c>
      <c r="B584" s="13">
        <v>6340180.5600000005</v>
      </c>
      <c r="C584" s="13">
        <v>5111010.5600000005</v>
      </c>
      <c r="D584" s="13">
        <v>1229170.0</v>
      </c>
      <c r="E584" s="28">
        <v>9736.0</v>
      </c>
    </row>
    <row r="585" ht="15.75" customHeight="1">
      <c r="A585" s="3" t="s">
        <v>13</v>
      </c>
      <c r="B585" s="13">
        <v>37382.100000000006</v>
      </c>
      <c r="C585" s="13">
        <v>23872.8</v>
      </c>
      <c r="D585" s="13">
        <v>13509.300000000007</v>
      </c>
      <c r="E585" s="28">
        <v>245.0</v>
      </c>
    </row>
    <row r="586" ht="15.75" customHeight="1">
      <c r="A586" s="3" t="s">
        <v>14</v>
      </c>
      <c r="B586" s="13">
        <v>504355.83</v>
      </c>
      <c r="C586" s="13">
        <v>349710.57</v>
      </c>
      <c r="D586" s="13">
        <v>154645.26</v>
      </c>
      <c r="E586" s="28">
        <v>6171.0</v>
      </c>
    </row>
    <row r="587" ht="15.75" customHeight="1">
      <c r="A587" s="3" t="s">
        <v>12</v>
      </c>
      <c r="B587" s="13">
        <v>4090880.4</v>
      </c>
      <c r="C587" s="13">
        <v>2463978.81</v>
      </c>
      <c r="D587" s="13">
        <v>1626901.5899999999</v>
      </c>
      <c r="E587" s="28">
        <v>9357.0</v>
      </c>
    </row>
    <row r="588" ht="15.75" customHeight="1">
      <c r="A588" s="3" t="s">
        <v>9</v>
      </c>
      <c r="B588" s="13">
        <v>542137.14</v>
      </c>
      <c r="C588" s="13">
        <v>319982.67000000004</v>
      </c>
      <c r="D588" s="13">
        <v>222154.46999999997</v>
      </c>
      <c r="E588" s="28">
        <v>3519.0</v>
      </c>
    </row>
    <row r="589" ht="15.75" customHeight="1">
      <c r="A589" s="3" t="s">
        <v>8</v>
      </c>
      <c r="B589" s="13">
        <v>23539.59</v>
      </c>
      <c r="C589" s="13">
        <v>17459.16</v>
      </c>
      <c r="D589" s="13">
        <v>6080.43</v>
      </c>
      <c r="E589" s="28">
        <v>2523.0</v>
      </c>
    </row>
    <row r="590" ht="15.75" customHeight="1">
      <c r="A590" s="3" t="s">
        <v>13</v>
      </c>
      <c r="B590" s="13">
        <v>52945.26</v>
      </c>
      <c r="C590" s="13">
        <v>33811.68</v>
      </c>
      <c r="D590" s="13">
        <v>19133.58</v>
      </c>
      <c r="E590" s="28">
        <v>347.0</v>
      </c>
    </row>
    <row r="591" ht="15.75" customHeight="1">
      <c r="A591" s="3" t="s">
        <v>9</v>
      </c>
      <c r="B591" s="13">
        <v>403945.32</v>
      </c>
      <c r="C591" s="13">
        <v>238418.46000000002</v>
      </c>
      <c r="D591" s="13">
        <v>165526.86</v>
      </c>
      <c r="E591" s="28">
        <v>2622.0</v>
      </c>
    </row>
    <row r="592" ht="15.75" customHeight="1">
      <c r="A592" s="3" t="s">
        <v>13</v>
      </c>
      <c r="B592" s="13">
        <v>880691.7600000001</v>
      </c>
      <c r="C592" s="13">
        <v>562423.6799999999</v>
      </c>
      <c r="D592" s="13">
        <v>318268.0800000002</v>
      </c>
      <c r="E592" s="28">
        <v>5772.0</v>
      </c>
    </row>
    <row r="593" ht="15.75" customHeight="1">
      <c r="A593" s="3" t="s">
        <v>9</v>
      </c>
      <c r="B593" s="13">
        <v>1336624.56</v>
      </c>
      <c r="C593" s="13">
        <v>788908.68</v>
      </c>
      <c r="D593" s="13">
        <v>547715.88</v>
      </c>
      <c r="E593" s="28">
        <v>8676.0</v>
      </c>
    </row>
    <row r="594" ht="15.75" customHeight="1">
      <c r="A594" s="3" t="s">
        <v>4</v>
      </c>
      <c r="B594" s="13">
        <v>4879707.54</v>
      </c>
      <c r="C594" s="13">
        <v>3669547.08</v>
      </c>
      <c r="D594" s="13">
        <v>1210160.46</v>
      </c>
      <c r="E594" s="28">
        <v>7302.0</v>
      </c>
    </row>
    <row r="595" ht="15.75" customHeight="1">
      <c r="A595" s="3" t="s">
        <v>3</v>
      </c>
      <c r="B595" s="13">
        <v>762118.5</v>
      </c>
      <c r="C595" s="13">
        <v>433892.55</v>
      </c>
      <c r="D595" s="13">
        <v>328225.95</v>
      </c>
      <c r="E595" s="28">
        <v>3705.0</v>
      </c>
    </row>
    <row r="596" ht="15.75" customHeight="1">
      <c r="A596" s="3" t="s">
        <v>6</v>
      </c>
      <c r="B596" s="13">
        <v>278436.60000000003</v>
      </c>
      <c r="C596" s="13">
        <v>186543.72</v>
      </c>
      <c r="D596" s="13">
        <v>91892.88000000003</v>
      </c>
      <c r="E596" s="28">
        <v>5868.0</v>
      </c>
    </row>
    <row r="597" ht="15.75" customHeight="1">
      <c r="A597" s="3" t="s">
        <v>9</v>
      </c>
      <c r="B597" s="13">
        <v>1104764.26</v>
      </c>
      <c r="C597" s="13">
        <v>652059.03</v>
      </c>
      <c r="D597" s="13">
        <v>452705.23</v>
      </c>
      <c r="E597" s="28">
        <v>7171.0</v>
      </c>
    </row>
    <row r="598" ht="15.75" customHeight="1">
      <c r="A598" s="3" t="s">
        <v>8</v>
      </c>
      <c r="B598" s="13">
        <v>7977.15</v>
      </c>
      <c r="C598" s="13">
        <v>5916.6</v>
      </c>
      <c r="D598" s="13">
        <v>2060.5499999999993</v>
      </c>
      <c r="E598" s="28">
        <v>855.0</v>
      </c>
    </row>
    <row r="599" ht="15.75" customHeight="1">
      <c r="A599" s="3" t="s">
        <v>4</v>
      </c>
      <c r="B599" s="13">
        <v>137663.62</v>
      </c>
      <c r="C599" s="13">
        <v>103523.24</v>
      </c>
      <c r="D599" s="13">
        <v>34140.37999999999</v>
      </c>
      <c r="E599" s="28">
        <v>206.0</v>
      </c>
    </row>
    <row r="600" ht="15.75" customHeight="1">
      <c r="A600" s="3" t="s">
        <v>10</v>
      </c>
      <c r="B600" s="13">
        <v>547320.32</v>
      </c>
      <c r="C600" s="13">
        <v>341796.48</v>
      </c>
      <c r="D600" s="13">
        <v>205523.83999999997</v>
      </c>
      <c r="E600" s="28">
        <v>2144.0</v>
      </c>
    </row>
    <row r="601" ht="15.75" customHeight="1">
      <c r="A601" s="3" t="s">
        <v>5</v>
      </c>
      <c r="B601" s="13">
        <v>681907.2</v>
      </c>
      <c r="C601" s="13">
        <v>223641.60000000003</v>
      </c>
      <c r="D601" s="13">
        <v>458265.5999999999</v>
      </c>
      <c r="E601" s="28">
        <v>6240.0</v>
      </c>
    </row>
    <row r="602" ht="15.75" customHeight="1">
      <c r="A602" s="3" t="s">
        <v>11</v>
      </c>
      <c r="B602" s="13">
        <v>1942381.5599999998</v>
      </c>
      <c r="C602" s="13">
        <v>1679032.76</v>
      </c>
      <c r="D602" s="13">
        <v>263348.7999999998</v>
      </c>
      <c r="E602" s="28">
        <v>4604.0</v>
      </c>
    </row>
    <row r="603" ht="15.75" customHeight="1">
      <c r="A603" s="3" t="s">
        <v>12</v>
      </c>
      <c r="B603" s="13">
        <v>3332775.6</v>
      </c>
      <c r="C603" s="13">
        <v>2007364.5899999999</v>
      </c>
      <c r="D603" s="13">
        <v>1325411.0100000002</v>
      </c>
      <c r="E603" s="28">
        <v>7623.0</v>
      </c>
    </row>
    <row r="604" ht="15.75" customHeight="1">
      <c r="A604" s="3" t="s">
        <v>11</v>
      </c>
      <c r="B604" s="13">
        <v>3519406.38</v>
      </c>
      <c r="C604" s="13">
        <v>3042243.98</v>
      </c>
      <c r="D604" s="13">
        <v>477162.3999999999</v>
      </c>
      <c r="E604" s="28">
        <v>8342.0</v>
      </c>
    </row>
    <row r="605" ht="15.75" customHeight="1">
      <c r="A605" s="3" t="s">
        <v>13</v>
      </c>
      <c r="B605" s="13">
        <v>619627.38</v>
      </c>
      <c r="C605" s="13">
        <v>395703.83999999997</v>
      </c>
      <c r="D605" s="13">
        <v>223923.54000000004</v>
      </c>
      <c r="E605" s="28">
        <v>4061.0</v>
      </c>
    </row>
    <row r="606" ht="15.75" customHeight="1">
      <c r="A606" s="3" t="s">
        <v>3</v>
      </c>
      <c r="B606" s="13">
        <v>197266.3</v>
      </c>
      <c r="C606" s="13">
        <v>112308.49</v>
      </c>
      <c r="D606" s="13">
        <v>84957.80999999998</v>
      </c>
      <c r="E606" s="28">
        <v>959.0</v>
      </c>
    </row>
    <row r="607" ht="15.75" customHeight="1">
      <c r="A607" s="3" t="s">
        <v>11</v>
      </c>
      <c r="B607" s="13">
        <v>791043.75</v>
      </c>
      <c r="C607" s="13">
        <v>683793.75</v>
      </c>
      <c r="D607" s="13">
        <v>107250.0</v>
      </c>
      <c r="E607" s="28">
        <v>1875.0</v>
      </c>
    </row>
    <row r="608" ht="15.75" customHeight="1">
      <c r="A608" s="3" t="s">
        <v>5</v>
      </c>
      <c r="B608" s="13">
        <v>672399.84</v>
      </c>
      <c r="C608" s="13">
        <v>220523.52000000002</v>
      </c>
      <c r="D608" s="13">
        <v>451876.31999999995</v>
      </c>
      <c r="E608" s="28">
        <v>6153.0</v>
      </c>
    </row>
    <row r="609" ht="15.75" customHeight="1">
      <c r="A609" s="3" t="s">
        <v>13</v>
      </c>
      <c r="B609" s="13">
        <v>532199.04</v>
      </c>
      <c r="C609" s="13">
        <v>339870.72</v>
      </c>
      <c r="D609" s="13">
        <v>192328.32000000007</v>
      </c>
      <c r="E609" s="28">
        <v>3488.0</v>
      </c>
    </row>
    <row r="610" ht="15.75" customHeight="1">
      <c r="A610" s="3" t="s">
        <v>13</v>
      </c>
      <c r="B610" s="13">
        <v>1338279.1800000002</v>
      </c>
      <c r="C610" s="13">
        <v>854646.24</v>
      </c>
      <c r="D610" s="13">
        <v>483632.9400000002</v>
      </c>
      <c r="E610" s="28">
        <v>8771.0</v>
      </c>
    </row>
    <row r="611" ht="15.75" customHeight="1">
      <c r="A611" s="3" t="s">
        <v>5</v>
      </c>
      <c r="B611" s="13">
        <v>179437.76</v>
      </c>
      <c r="C611" s="13">
        <v>58849.280000000006</v>
      </c>
      <c r="D611" s="13">
        <v>120588.48000000001</v>
      </c>
      <c r="E611" s="28">
        <v>1642.0</v>
      </c>
    </row>
    <row r="612" ht="15.75" customHeight="1">
      <c r="A612" s="3" t="s">
        <v>5</v>
      </c>
      <c r="B612" s="13">
        <v>943195.68</v>
      </c>
      <c r="C612" s="13">
        <v>309335.04000000004</v>
      </c>
      <c r="D612" s="13">
        <v>633860.64</v>
      </c>
      <c r="E612" s="28">
        <v>8631.0</v>
      </c>
    </row>
    <row r="613" ht="15.75" customHeight="1">
      <c r="A613" s="3" t="s">
        <v>14</v>
      </c>
      <c r="B613" s="13">
        <v>490134.81</v>
      </c>
      <c r="C613" s="13">
        <v>339849.99</v>
      </c>
      <c r="D613" s="13">
        <v>150284.82</v>
      </c>
      <c r="E613" s="28">
        <v>5997.0</v>
      </c>
    </row>
    <row r="614" ht="15.75" customHeight="1">
      <c r="A614" s="3" t="s">
        <v>6</v>
      </c>
      <c r="B614" s="13">
        <v>233643.80000000002</v>
      </c>
      <c r="C614" s="13">
        <v>156533.96</v>
      </c>
      <c r="D614" s="13">
        <v>77109.84000000003</v>
      </c>
      <c r="E614" s="28">
        <v>4924.0</v>
      </c>
    </row>
    <row r="615" ht="15.75" customHeight="1">
      <c r="A615" s="3" t="s">
        <v>13</v>
      </c>
      <c r="B615" s="13">
        <v>354901.08</v>
      </c>
      <c r="C615" s="13">
        <v>226645.44</v>
      </c>
      <c r="D615" s="13">
        <v>128255.64000000001</v>
      </c>
      <c r="E615" s="28">
        <v>2326.0</v>
      </c>
    </row>
    <row r="616" ht="15.75" customHeight="1">
      <c r="A616" s="3" t="s">
        <v>6</v>
      </c>
      <c r="B616" s="13">
        <v>53428.700000000004</v>
      </c>
      <c r="C616" s="13">
        <v>35795.54</v>
      </c>
      <c r="D616" s="13">
        <v>17633.160000000003</v>
      </c>
      <c r="E616" s="28">
        <v>1126.0</v>
      </c>
    </row>
    <row r="617" ht="15.75" customHeight="1">
      <c r="A617" s="3" t="s">
        <v>7</v>
      </c>
      <c r="B617" s="13">
        <v>3802415.1900000004</v>
      </c>
      <c r="C617" s="13">
        <v>3065241.4400000004</v>
      </c>
      <c r="D617" s="13">
        <v>737173.75</v>
      </c>
      <c r="E617" s="28">
        <v>5839.0</v>
      </c>
    </row>
    <row r="618" ht="15.75" customHeight="1">
      <c r="A618" s="3" t="s">
        <v>4</v>
      </c>
      <c r="B618" s="13">
        <v>4683904.43</v>
      </c>
      <c r="C618" s="13">
        <v>3522302.8600000003</v>
      </c>
      <c r="D618" s="13">
        <v>1161601.5699999994</v>
      </c>
      <c r="E618" s="28">
        <v>7009.0</v>
      </c>
    </row>
    <row r="619" ht="15.75" customHeight="1">
      <c r="A619" s="3" t="s">
        <v>11</v>
      </c>
      <c r="B619" s="13">
        <v>1055568.78</v>
      </c>
      <c r="C619" s="13">
        <v>912454.38</v>
      </c>
      <c r="D619" s="13">
        <v>143114.40000000002</v>
      </c>
      <c r="E619" s="28">
        <v>2502.0</v>
      </c>
    </row>
    <row r="620" ht="15.75" customHeight="1">
      <c r="A620" s="3" t="s">
        <v>7</v>
      </c>
      <c r="B620" s="13">
        <v>3061338.21</v>
      </c>
      <c r="C620" s="13">
        <v>2467836.96</v>
      </c>
      <c r="D620" s="13">
        <v>593501.25</v>
      </c>
      <c r="E620" s="28">
        <v>4701.0</v>
      </c>
    </row>
    <row r="621" ht="15.75" customHeight="1">
      <c r="A621" s="3" t="s">
        <v>5</v>
      </c>
      <c r="B621" s="13">
        <v>852056.16</v>
      </c>
      <c r="C621" s="13">
        <v>279444.48000000004</v>
      </c>
      <c r="D621" s="13">
        <v>572611.6799999999</v>
      </c>
      <c r="E621" s="28">
        <v>7797.0</v>
      </c>
    </row>
    <row r="622" ht="15.75" customHeight="1">
      <c r="A622" s="3" t="s">
        <v>7</v>
      </c>
      <c r="B622" s="13">
        <v>2889418.77</v>
      </c>
      <c r="C622" s="13">
        <v>2329247.52</v>
      </c>
      <c r="D622" s="13">
        <v>560171.25</v>
      </c>
      <c r="E622" s="28">
        <v>4437.0</v>
      </c>
    </row>
    <row r="623" ht="15.75" customHeight="1">
      <c r="A623" s="3" t="s">
        <v>9</v>
      </c>
      <c r="B623" s="13">
        <v>1112621.32</v>
      </c>
      <c r="C623" s="13">
        <v>656696.4600000001</v>
      </c>
      <c r="D623" s="13">
        <v>455924.86</v>
      </c>
      <c r="E623" s="28">
        <v>7222.0</v>
      </c>
    </row>
    <row r="624" ht="15.75" customHeight="1">
      <c r="A624" s="3" t="s">
        <v>11</v>
      </c>
      <c r="B624" s="13">
        <v>3207629.67</v>
      </c>
      <c r="C624" s="13">
        <v>2772738.07</v>
      </c>
      <c r="D624" s="13">
        <v>434891.6000000001</v>
      </c>
      <c r="E624" s="28">
        <v>7603.0</v>
      </c>
    </row>
    <row r="625" ht="15.75" customHeight="1">
      <c r="A625" s="3" t="s">
        <v>13</v>
      </c>
      <c r="B625" s="13">
        <v>168600.90000000002</v>
      </c>
      <c r="C625" s="13">
        <v>107671.2</v>
      </c>
      <c r="D625" s="13">
        <v>60929.700000000026</v>
      </c>
      <c r="E625" s="28">
        <v>1105.0</v>
      </c>
    </row>
    <row r="626" ht="15.75" customHeight="1">
      <c r="A626" s="3" t="s">
        <v>4</v>
      </c>
      <c r="B626" s="13">
        <v>702351.77</v>
      </c>
      <c r="C626" s="13">
        <v>528169.54</v>
      </c>
      <c r="D626" s="13">
        <v>174182.22999999998</v>
      </c>
      <c r="E626" s="28">
        <v>1051.0</v>
      </c>
    </row>
    <row r="627" ht="15.75" customHeight="1">
      <c r="A627" s="3" t="s">
        <v>11</v>
      </c>
      <c r="B627" s="13">
        <v>3550626.2399999998</v>
      </c>
      <c r="C627" s="13">
        <v>3069231.04</v>
      </c>
      <c r="D627" s="13">
        <v>481395.1999999997</v>
      </c>
      <c r="E627" s="28">
        <v>8416.0</v>
      </c>
    </row>
    <row r="628" ht="15.75" customHeight="1">
      <c r="A628" s="3" t="s">
        <v>7</v>
      </c>
      <c r="B628" s="13">
        <v>1430708.37</v>
      </c>
      <c r="C628" s="13">
        <v>1153337.12</v>
      </c>
      <c r="D628" s="13">
        <v>277371.25</v>
      </c>
      <c r="E628" s="28">
        <v>2197.0</v>
      </c>
    </row>
    <row r="629" ht="15.75" customHeight="1">
      <c r="A629" s="3" t="s">
        <v>4</v>
      </c>
      <c r="B629" s="13">
        <v>1829723.26</v>
      </c>
      <c r="C629" s="13">
        <v>1375954.52</v>
      </c>
      <c r="D629" s="13">
        <v>453768.74</v>
      </c>
      <c r="E629" s="28">
        <v>2738.0</v>
      </c>
    </row>
    <row r="630" ht="15.75" customHeight="1">
      <c r="A630" s="3" t="s">
        <v>8</v>
      </c>
      <c r="B630" s="13">
        <v>84287.22</v>
      </c>
      <c r="C630" s="13">
        <v>62515.28</v>
      </c>
      <c r="D630" s="13">
        <v>21771.940000000002</v>
      </c>
      <c r="E630" s="28">
        <v>9034.0</v>
      </c>
    </row>
    <row r="631" ht="15.75" customHeight="1">
      <c r="A631" s="3" t="s">
        <v>13</v>
      </c>
      <c r="B631" s="13">
        <v>1470871.2000000002</v>
      </c>
      <c r="C631" s="13">
        <v>939321.6</v>
      </c>
      <c r="D631" s="13">
        <v>531549.6000000002</v>
      </c>
      <c r="E631" s="28">
        <v>9640.0</v>
      </c>
    </row>
    <row r="632" ht="15.75" customHeight="1">
      <c r="A632" s="3" t="s">
        <v>11</v>
      </c>
      <c r="B632" s="13">
        <v>1192261.14</v>
      </c>
      <c r="C632" s="13">
        <v>1030613.94</v>
      </c>
      <c r="D632" s="13">
        <v>161647.19999999995</v>
      </c>
      <c r="E632" s="28">
        <v>2826.0</v>
      </c>
    </row>
    <row r="633" ht="15.75" customHeight="1">
      <c r="A633" s="3" t="s">
        <v>3</v>
      </c>
      <c r="B633" s="13">
        <v>266587.2</v>
      </c>
      <c r="C633" s="13">
        <v>151774.56</v>
      </c>
      <c r="D633" s="13">
        <v>114812.64000000001</v>
      </c>
      <c r="E633" s="28">
        <v>1296.0</v>
      </c>
    </row>
    <row r="634" ht="15.75" customHeight="1">
      <c r="A634" s="3" t="s">
        <v>13</v>
      </c>
      <c r="B634" s="13">
        <v>763662.9</v>
      </c>
      <c r="C634" s="13">
        <v>487687.2</v>
      </c>
      <c r="D634" s="13">
        <v>275975.7</v>
      </c>
      <c r="E634" s="28">
        <v>5005.0</v>
      </c>
    </row>
    <row r="635" ht="15.75" customHeight="1">
      <c r="A635" s="3" t="s">
        <v>3</v>
      </c>
      <c r="B635" s="13">
        <v>839256.0</v>
      </c>
      <c r="C635" s="13">
        <v>477808.8</v>
      </c>
      <c r="D635" s="13">
        <v>361447.2</v>
      </c>
      <c r="E635" s="28">
        <v>4080.0</v>
      </c>
    </row>
    <row r="636" ht="15.75" customHeight="1">
      <c r="A636" s="3" t="s">
        <v>5</v>
      </c>
      <c r="B636" s="13">
        <v>929317.12</v>
      </c>
      <c r="C636" s="13">
        <v>304783.36000000004</v>
      </c>
      <c r="D636" s="13">
        <v>624533.76</v>
      </c>
      <c r="E636" s="28">
        <v>8504.0</v>
      </c>
    </row>
    <row r="637" ht="15.75" customHeight="1">
      <c r="A637" s="3" t="s">
        <v>7</v>
      </c>
      <c r="B637" s="13">
        <v>6036716.7</v>
      </c>
      <c r="C637" s="13">
        <v>4866379.2</v>
      </c>
      <c r="D637" s="13">
        <v>1170337.5</v>
      </c>
      <c r="E637" s="28">
        <v>9270.0</v>
      </c>
    </row>
    <row r="638" ht="15.75" customHeight="1">
      <c r="A638" s="3" t="s">
        <v>7</v>
      </c>
      <c r="B638" s="13">
        <v>3879257.97</v>
      </c>
      <c r="C638" s="13">
        <v>3127186.72</v>
      </c>
      <c r="D638" s="13">
        <v>752071.25</v>
      </c>
      <c r="E638" s="28">
        <v>5957.0</v>
      </c>
    </row>
    <row r="639" ht="15.75" customHeight="1">
      <c r="A639" s="3" t="s">
        <v>12</v>
      </c>
      <c r="B639" s="13">
        <v>1302418.8</v>
      </c>
      <c r="C639" s="13">
        <v>784460.07</v>
      </c>
      <c r="D639" s="13">
        <v>517958.7300000001</v>
      </c>
      <c r="E639" s="28">
        <v>2979.0</v>
      </c>
    </row>
    <row r="640" ht="15.75" customHeight="1">
      <c r="A640" s="3" t="s">
        <v>5</v>
      </c>
      <c r="B640" s="13">
        <v>649560.32</v>
      </c>
      <c r="C640" s="13">
        <v>213032.96000000002</v>
      </c>
      <c r="D640" s="13">
        <v>436527.3599999999</v>
      </c>
      <c r="E640" s="28">
        <v>5944.0</v>
      </c>
    </row>
    <row r="641" ht="15.75" customHeight="1">
      <c r="A641" s="3" t="s">
        <v>5</v>
      </c>
      <c r="B641" s="13">
        <v>864951.2</v>
      </c>
      <c r="C641" s="13">
        <v>283673.60000000003</v>
      </c>
      <c r="D641" s="13">
        <v>581277.5999999999</v>
      </c>
      <c r="E641" s="28">
        <v>7915.0</v>
      </c>
    </row>
    <row r="642" ht="15.75" customHeight="1">
      <c r="A642" s="3" t="s">
        <v>9</v>
      </c>
      <c r="B642" s="13">
        <v>867819.98</v>
      </c>
      <c r="C642" s="13">
        <v>512208.69000000006</v>
      </c>
      <c r="D642" s="13">
        <v>355611.2899999999</v>
      </c>
      <c r="E642" s="28">
        <v>5633.0</v>
      </c>
    </row>
    <row r="643" ht="15.75" customHeight="1">
      <c r="A643" s="3" t="s">
        <v>5</v>
      </c>
      <c r="B643" s="13">
        <v>393954.4</v>
      </c>
      <c r="C643" s="13">
        <v>129203.20000000001</v>
      </c>
      <c r="D643" s="13">
        <v>264751.2</v>
      </c>
      <c r="E643" s="28">
        <v>3605.0</v>
      </c>
    </row>
    <row r="644" ht="15.75" customHeight="1">
      <c r="A644" s="3" t="s">
        <v>10</v>
      </c>
      <c r="B644" s="13">
        <v>580251.4400000001</v>
      </c>
      <c r="C644" s="13">
        <v>362361.66</v>
      </c>
      <c r="D644" s="13">
        <v>217889.7800000001</v>
      </c>
      <c r="E644" s="28">
        <v>2273.0</v>
      </c>
    </row>
    <row r="645" ht="15.75" customHeight="1">
      <c r="A645" s="3" t="s">
        <v>3</v>
      </c>
      <c r="B645" s="13">
        <v>420656.5</v>
      </c>
      <c r="C645" s="13">
        <v>239489.95</v>
      </c>
      <c r="D645" s="13">
        <v>181166.55</v>
      </c>
      <c r="E645" s="28">
        <v>2045.0</v>
      </c>
    </row>
    <row r="646" ht="15.75" customHeight="1">
      <c r="A646" s="3" t="s">
        <v>11</v>
      </c>
      <c r="B646" s="13">
        <v>7172.13</v>
      </c>
      <c r="C646" s="13">
        <v>6199.73</v>
      </c>
      <c r="D646" s="13">
        <v>972.4000000000005</v>
      </c>
      <c r="E646" s="28">
        <v>17.0</v>
      </c>
    </row>
    <row r="647" ht="15.75" customHeight="1">
      <c r="A647" s="3" t="s">
        <v>4</v>
      </c>
      <c r="B647" s="13">
        <v>2097031.26</v>
      </c>
      <c r="C647" s="13">
        <v>1576970.52</v>
      </c>
      <c r="D647" s="13">
        <v>520060.74</v>
      </c>
      <c r="E647" s="28">
        <v>3138.0</v>
      </c>
    </row>
    <row r="648" ht="15.75" customHeight="1">
      <c r="A648" s="3" t="s">
        <v>10</v>
      </c>
      <c r="B648" s="13">
        <v>2001395.2</v>
      </c>
      <c r="C648" s="13">
        <v>1249852.7999999998</v>
      </c>
      <c r="D648" s="13">
        <v>751542.4000000001</v>
      </c>
      <c r="E648" s="28">
        <v>7840.0</v>
      </c>
    </row>
    <row r="649" ht="15.75" customHeight="1">
      <c r="A649" s="3" t="s">
        <v>13</v>
      </c>
      <c r="B649" s="13">
        <v>1507490.4000000001</v>
      </c>
      <c r="C649" s="13">
        <v>962707.2</v>
      </c>
      <c r="D649" s="13">
        <v>544783.2000000002</v>
      </c>
      <c r="E649" s="28">
        <v>9880.0</v>
      </c>
    </row>
    <row r="650" ht="15.75" customHeight="1">
      <c r="A650" s="3" t="s">
        <v>12</v>
      </c>
      <c r="B650" s="13">
        <v>4100498.8</v>
      </c>
      <c r="C650" s="13">
        <v>2469772.07</v>
      </c>
      <c r="D650" s="13">
        <v>1630726.73</v>
      </c>
      <c r="E650" s="28">
        <v>9379.0</v>
      </c>
    </row>
    <row r="651" ht="15.75" customHeight="1">
      <c r="A651" s="3" t="s">
        <v>5</v>
      </c>
      <c r="B651" s="13">
        <v>824736.16</v>
      </c>
      <c r="C651" s="13">
        <v>270484.48000000004</v>
      </c>
      <c r="D651" s="13">
        <v>554251.6799999999</v>
      </c>
      <c r="E651" s="28">
        <v>7547.0</v>
      </c>
    </row>
    <row r="652" ht="15.75" customHeight="1">
      <c r="A652" s="3" t="s">
        <v>8</v>
      </c>
      <c r="B652" s="13">
        <v>16560.75</v>
      </c>
      <c r="C652" s="13">
        <v>12283.0</v>
      </c>
      <c r="D652" s="13">
        <v>4277.75</v>
      </c>
      <c r="E652" s="28">
        <v>1775.0</v>
      </c>
    </row>
    <row r="653" ht="15.75" customHeight="1">
      <c r="A653" s="3" t="s">
        <v>9</v>
      </c>
      <c r="B653" s="13">
        <v>510554.84</v>
      </c>
      <c r="C653" s="13">
        <v>301342.02</v>
      </c>
      <c r="D653" s="13">
        <v>209212.82</v>
      </c>
      <c r="E653" s="28">
        <v>3314.0</v>
      </c>
    </row>
    <row r="654" ht="15.75" customHeight="1">
      <c r="A654" s="3" t="s">
        <v>14</v>
      </c>
      <c r="B654" s="13">
        <v>554047.67</v>
      </c>
      <c r="C654" s="13">
        <v>384165.93</v>
      </c>
      <c r="D654" s="13">
        <v>169881.74000000005</v>
      </c>
      <c r="E654" s="28">
        <v>6779.0</v>
      </c>
    </row>
    <row r="655" ht="15.75" customHeight="1">
      <c r="A655" s="3" t="s">
        <v>7</v>
      </c>
      <c r="B655" s="13">
        <v>449986.11000000004</v>
      </c>
      <c r="C655" s="13">
        <v>362747.36000000004</v>
      </c>
      <c r="D655" s="13">
        <v>87238.75</v>
      </c>
      <c r="E655" s="28">
        <v>691.0</v>
      </c>
    </row>
    <row r="656" ht="15.75" customHeight="1">
      <c r="A656" s="3" t="s">
        <v>5</v>
      </c>
      <c r="B656" s="13">
        <v>586833.6</v>
      </c>
      <c r="C656" s="13">
        <v>192460.80000000002</v>
      </c>
      <c r="D656" s="13">
        <v>394372.79999999993</v>
      </c>
      <c r="E656" s="28">
        <v>5370.0</v>
      </c>
    </row>
    <row r="657" ht="15.75" customHeight="1">
      <c r="A657" s="3" t="s">
        <v>10</v>
      </c>
      <c r="B657" s="13">
        <v>1414506.48</v>
      </c>
      <c r="C657" s="13">
        <v>883346.22</v>
      </c>
      <c r="D657" s="13">
        <v>531160.26</v>
      </c>
      <c r="E657" s="28">
        <v>5541.0</v>
      </c>
    </row>
    <row r="658" ht="15.75" customHeight="1">
      <c r="A658" s="3" t="s">
        <v>11</v>
      </c>
      <c r="B658" s="13">
        <v>3692803.17</v>
      </c>
      <c r="C658" s="13">
        <v>3192131.57</v>
      </c>
      <c r="D658" s="13">
        <v>500671.6000000001</v>
      </c>
      <c r="E658" s="28">
        <v>8753.0</v>
      </c>
    </row>
    <row r="659" ht="15.75" customHeight="1">
      <c r="A659" s="3" t="s">
        <v>11</v>
      </c>
      <c r="B659" s="13">
        <v>2947323.54</v>
      </c>
      <c r="C659" s="13">
        <v>2547724.34</v>
      </c>
      <c r="D659" s="13">
        <v>399599.2000000002</v>
      </c>
      <c r="E659" s="28">
        <v>6986.0</v>
      </c>
    </row>
    <row r="660" ht="15.75" customHeight="1">
      <c r="A660" s="3" t="s">
        <v>4</v>
      </c>
      <c r="B660" s="13">
        <v>5639530.53</v>
      </c>
      <c r="C660" s="13">
        <v>4240935.0600000005</v>
      </c>
      <c r="D660" s="13">
        <v>1398595.4699999997</v>
      </c>
      <c r="E660" s="28">
        <v>8439.0</v>
      </c>
    </row>
    <row r="661" ht="15.75" customHeight="1">
      <c r="A661" s="3" t="s">
        <v>7</v>
      </c>
      <c r="B661" s="13">
        <v>1387077.3</v>
      </c>
      <c r="C661" s="13">
        <v>1118164.8</v>
      </c>
      <c r="D661" s="13">
        <v>268912.5</v>
      </c>
      <c r="E661" s="28">
        <v>2130.0</v>
      </c>
    </row>
    <row r="662" ht="15.75" customHeight="1">
      <c r="A662" s="3" t="s">
        <v>6</v>
      </c>
      <c r="B662" s="13">
        <v>52716.950000000004</v>
      </c>
      <c r="C662" s="13">
        <v>35318.69</v>
      </c>
      <c r="D662" s="13">
        <v>17398.260000000002</v>
      </c>
      <c r="E662" s="28">
        <v>1111.0</v>
      </c>
    </row>
    <row r="663" ht="15.75" customHeight="1">
      <c r="A663" s="3" t="s">
        <v>9</v>
      </c>
      <c r="B663" s="13">
        <v>181174.56</v>
      </c>
      <c r="C663" s="13">
        <v>106933.68000000001</v>
      </c>
      <c r="D663" s="13">
        <v>74240.87999999999</v>
      </c>
      <c r="E663" s="28">
        <v>1176.0</v>
      </c>
    </row>
    <row r="664" ht="15.75" customHeight="1">
      <c r="A664" s="3" t="s">
        <v>14</v>
      </c>
      <c r="B664" s="13">
        <v>518822.04000000004</v>
      </c>
      <c r="C664" s="13">
        <v>359741.16000000003</v>
      </c>
      <c r="D664" s="13">
        <v>159080.88</v>
      </c>
      <c r="E664" s="28">
        <v>6348.0</v>
      </c>
    </row>
    <row r="665" ht="15.75" customHeight="1">
      <c r="A665" s="3" t="s">
        <v>13</v>
      </c>
      <c r="B665" s="13">
        <v>228870.00000000003</v>
      </c>
      <c r="C665" s="13">
        <v>146160.0</v>
      </c>
      <c r="D665" s="13">
        <v>82710.00000000003</v>
      </c>
      <c r="E665" s="28">
        <v>1500.0</v>
      </c>
    </row>
    <row r="666" ht="15.75" customHeight="1">
      <c r="A666" s="3" t="s">
        <v>5</v>
      </c>
      <c r="B666" s="13">
        <v>257791.52</v>
      </c>
      <c r="C666" s="13">
        <v>84546.56000000001</v>
      </c>
      <c r="D666" s="13">
        <v>173244.95999999996</v>
      </c>
      <c r="E666" s="28">
        <v>2359.0</v>
      </c>
    </row>
    <row r="667" ht="15.75" customHeight="1">
      <c r="A667" s="3" t="s">
        <v>5</v>
      </c>
      <c r="B667" s="13">
        <v>179765.6</v>
      </c>
      <c r="C667" s="13">
        <v>58956.8</v>
      </c>
      <c r="D667" s="13">
        <v>120808.8</v>
      </c>
      <c r="E667" s="28">
        <v>1645.0</v>
      </c>
    </row>
    <row r="668" ht="15.75" customHeight="1">
      <c r="A668" s="3" t="s">
        <v>12</v>
      </c>
      <c r="B668" s="13">
        <v>3324468.8</v>
      </c>
      <c r="C668" s="13">
        <v>2002361.3199999998</v>
      </c>
      <c r="D668" s="13">
        <v>1322107.48</v>
      </c>
      <c r="E668" s="28">
        <v>7604.0</v>
      </c>
    </row>
    <row r="669" ht="15.75" customHeight="1">
      <c r="A669" s="3" t="s">
        <v>6</v>
      </c>
      <c r="B669" s="13">
        <v>5409.3</v>
      </c>
      <c r="C669" s="13">
        <v>3624.06</v>
      </c>
      <c r="D669" s="13">
        <v>1785.2400000000002</v>
      </c>
      <c r="E669" s="28">
        <v>114.0</v>
      </c>
    </row>
    <row r="670" ht="15.75" customHeight="1">
      <c r="A670" s="3" t="s">
        <v>11</v>
      </c>
      <c r="B670" s="13">
        <v>825638.73</v>
      </c>
      <c r="C670" s="13">
        <v>713698.33</v>
      </c>
      <c r="D670" s="13">
        <v>111940.40000000002</v>
      </c>
      <c r="E670" s="28">
        <v>1957.0</v>
      </c>
    </row>
    <row r="671" ht="15.75" customHeight="1">
      <c r="A671" s="3" t="s">
        <v>4</v>
      </c>
      <c r="B671" s="13">
        <v>3233758.53</v>
      </c>
      <c r="C671" s="13">
        <v>2431791.06</v>
      </c>
      <c r="D671" s="13">
        <v>801967.4699999997</v>
      </c>
      <c r="E671" s="28">
        <v>4839.0</v>
      </c>
    </row>
    <row r="672" ht="15.75" customHeight="1">
      <c r="A672" s="3" t="s">
        <v>14</v>
      </c>
      <c r="B672" s="13">
        <v>814275.99</v>
      </c>
      <c r="C672" s="13">
        <v>564603.21</v>
      </c>
      <c r="D672" s="13">
        <v>249672.78000000003</v>
      </c>
      <c r="E672" s="28">
        <v>9963.0</v>
      </c>
    </row>
    <row r="673" ht="15.75" customHeight="1">
      <c r="A673" s="3" t="s">
        <v>5</v>
      </c>
      <c r="B673" s="13">
        <v>430563.2</v>
      </c>
      <c r="C673" s="13">
        <v>141209.6</v>
      </c>
      <c r="D673" s="13">
        <v>289353.6</v>
      </c>
      <c r="E673" s="28">
        <v>3940.0</v>
      </c>
    </row>
    <row r="674" ht="15.75" customHeight="1">
      <c r="A674" s="3" t="s">
        <v>11</v>
      </c>
      <c r="B674" s="13">
        <v>2772239.19</v>
      </c>
      <c r="C674" s="13">
        <v>2396377.9899999998</v>
      </c>
      <c r="D674" s="13">
        <v>375861.2000000002</v>
      </c>
      <c r="E674" s="28">
        <v>6571.0</v>
      </c>
    </row>
    <row r="675" ht="15.75" customHeight="1">
      <c r="A675" s="3" t="s">
        <v>14</v>
      </c>
      <c r="B675" s="13">
        <v>314088.39</v>
      </c>
      <c r="C675" s="13">
        <v>217782.81</v>
      </c>
      <c r="D675" s="13">
        <v>96305.58000000002</v>
      </c>
      <c r="E675" s="28">
        <v>3843.0</v>
      </c>
    </row>
    <row r="676" ht="15.75" customHeight="1">
      <c r="A676" s="3" t="s">
        <v>4</v>
      </c>
      <c r="B676" s="13">
        <v>2320901.71</v>
      </c>
      <c r="C676" s="13">
        <v>1745321.4200000002</v>
      </c>
      <c r="D676" s="13">
        <v>575580.2899999998</v>
      </c>
      <c r="E676" s="28">
        <v>3473.0</v>
      </c>
    </row>
    <row r="677" ht="15.75" customHeight="1">
      <c r="A677" s="3" t="s">
        <v>14</v>
      </c>
      <c r="B677" s="13">
        <v>420337.39</v>
      </c>
      <c r="C677" s="13">
        <v>291453.81</v>
      </c>
      <c r="D677" s="13">
        <v>128883.58000000002</v>
      </c>
      <c r="E677" s="28">
        <v>5143.0</v>
      </c>
    </row>
    <row r="678" ht="15.75" customHeight="1">
      <c r="A678" s="3" t="s">
        <v>3</v>
      </c>
      <c r="B678" s="13">
        <v>426416.1</v>
      </c>
      <c r="C678" s="13">
        <v>242769.03</v>
      </c>
      <c r="D678" s="13">
        <v>183647.06999999998</v>
      </c>
      <c r="E678" s="28">
        <v>2073.0</v>
      </c>
    </row>
    <row r="679" ht="15.75" customHeight="1">
      <c r="A679" s="3" t="s">
        <v>14</v>
      </c>
      <c r="B679" s="13">
        <v>275920.48000000004</v>
      </c>
      <c r="C679" s="13">
        <v>191317.92</v>
      </c>
      <c r="D679" s="13">
        <v>84602.56000000003</v>
      </c>
      <c r="E679" s="28">
        <v>3376.0</v>
      </c>
    </row>
    <row r="680" ht="15.75" customHeight="1">
      <c r="A680" s="3" t="s">
        <v>8</v>
      </c>
      <c r="B680" s="13">
        <v>82243.95</v>
      </c>
      <c r="C680" s="13">
        <v>60999.8</v>
      </c>
      <c r="D680" s="13">
        <v>21244.149999999994</v>
      </c>
      <c r="E680" s="28">
        <v>8815.0</v>
      </c>
    </row>
    <row r="681" ht="15.75" customHeight="1">
      <c r="A681" s="3" t="s">
        <v>13</v>
      </c>
      <c r="B681" s="13">
        <v>910444.8600000001</v>
      </c>
      <c r="C681" s="13">
        <v>581424.48</v>
      </c>
      <c r="D681" s="13">
        <v>329020.3800000001</v>
      </c>
      <c r="E681" s="28">
        <v>5967.0</v>
      </c>
    </row>
    <row r="682" ht="15.75" customHeight="1">
      <c r="A682" s="3" t="s">
        <v>4</v>
      </c>
      <c r="B682" s="13">
        <v>2334267.11</v>
      </c>
      <c r="C682" s="13">
        <v>1755372.22</v>
      </c>
      <c r="D682" s="13">
        <v>578894.8899999999</v>
      </c>
      <c r="E682" s="28">
        <v>3493.0</v>
      </c>
    </row>
    <row r="683" ht="15.75" customHeight="1">
      <c r="A683" s="3" t="s">
        <v>7</v>
      </c>
      <c r="B683" s="13">
        <v>3009892.62</v>
      </c>
      <c r="C683" s="13">
        <v>2426365.12</v>
      </c>
      <c r="D683" s="13">
        <v>583527.5</v>
      </c>
      <c r="E683" s="28">
        <v>4622.0</v>
      </c>
    </row>
    <row r="684" ht="15.75" customHeight="1">
      <c r="A684" s="3" t="s">
        <v>4</v>
      </c>
      <c r="B684" s="13">
        <v>4955890.32</v>
      </c>
      <c r="C684" s="13">
        <v>3726836.64</v>
      </c>
      <c r="D684" s="13">
        <v>1229053.6800000002</v>
      </c>
      <c r="E684" s="28">
        <v>7416.0</v>
      </c>
    </row>
    <row r="685" ht="15.75" customHeight="1">
      <c r="A685" s="3" t="s">
        <v>12</v>
      </c>
      <c r="B685" s="13">
        <v>2522206.8</v>
      </c>
      <c r="C685" s="13">
        <v>1519150.77</v>
      </c>
      <c r="D685" s="13">
        <v>1003056.0299999998</v>
      </c>
      <c r="E685" s="28">
        <v>5769.0</v>
      </c>
    </row>
    <row r="686" ht="15.75" customHeight="1">
      <c r="A686" s="3" t="s">
        <v>10</v>
      </c>
      <c r="B686" s="13">
        <v>1786194.16</v>
      </c>
      <c r="C686" s="13">
        <v>1115461.74</v>
      </c>
      <c r="D686" s="13">
        <v>670732.4199999999</v>
      </c>
      <c r="E686" s="28">
        <v>6997.0</v>
      </c>
    </row>
    <row r="687" ht="15.75" customHeight="1">
      <c r="A687" s="3" t="s">
        <v>3</v>
      </c>
      <c r="B687" s="13">
        <v>1855825.4</v>
      </c>
      <c r="C687" s="13">
        <v>1056566.42</v>
      </c>
      <c r="D687" s="13">
        <v>799258.98</v>
      </c>
      <c r="E687" s="28">
        <v>9022.0</v>
      </c>
    </row>
    <row r="688" ht="15.75" customHeight="1">
      <c r="A688" s="3" t="s">
        <v>11</v>
      </c>
      <c r="B688" s="13">
        <v>4117224.51</v>
      </c>
      <c r="C688" s="13">
        <v>3559009.71</v>
      </c>
      <c r="D688" s="13">
        <v>558214.7999999998</v>
      </c>
      <c r="E688" s="28">
        <v>9759.0</v>
      </c>
    </row>
    <row r="689" ht="15.75" customHeight="1">
      <c r="A689" s="3" t="s">
        <v>11</v>
      </c>
      <c r="B689" s="13">
        <v>1553398.98</v>
      </c>
      <c r="C689" s="13">
        <v>1342788.58</v>
      </c>
      <c r="D689" s="13">
        <v>210610.3999999999</v>
      </c>
      <c r="E689" s="28">
        <v>3682.0</v>
      </c>
    </row>
    <row r="690" ht="15.75" customHeight="1">
      <c r="A690" s="3" t="s">
        <v>14</v>
      </c>
      <c r="B690" s="13">
        <v>470029.23000000004</v>
      </c>
      <c r="C690" s="13">
        <v>325909.17</v>
      </c>
      <c r="D690" s="13">
        <v>144120.06000000006</v>
      </c>
      <c r="E690" s="28">
        <v>5751.0</v>
      </c>
    </row>
    <row r="691" ht="15.75" customHeight="1">
      <c r="A691" s="3" t="s">
        <v>3</v>
      </c>
      <c r="B691" s="13">
        <v>818891.7</v>
      </c>
      <c r="C691" s="13">
        <v>466214.91</v>
      </c>
      <c r="D691" s="13">
        <v>352676.79</v>
      </c>
      <c r="E691" s="28">
        <v>3981.0</v>
      </c>
    </row>
    <row r="692" ht="15.75" customHeight="1">
      <c r="A692" s="3" t="s">
        <v>6</v>
      </c>
      <c r="B692" s="13">
        <v>154497.2</v>
      </c>
      <c r="C692" s="13">
        <v>103508.23999999999</v>
      </c>
      <c r="D692" s="13">
        <v>50988.96000000002</v>
      </c>
      <c r="E692" s="28">
        <v>3256.0</v>
      </c>
    </row>
    <row r="693" ht="15.75" customHeight="1">
      <c r="A693" s="3" t="s">
        <v>6</v>
      </c>
      <c r="B693" s="13">
        <v>459268.55000000005</v>
      </c>
      <c r="C693" s="13">
        <v>307695.41</v>
      </c>
      <c r="D693" s="13">
        <v>151573.14000000007</v>
      </c>
      <c r="E693" s="28">
        <v>9679.0</v>
      </c>
    </row>
    <row r="694" ht="15.75" customHeight="1">
      <c r="A694" s="3" t="s">
        <v>9</v>
      </c>
      <c r="B694" s="13">
        <v>514714.46</v>
      </c>
      <c r="C694" s="13">
        <v>303797.13</v>
      </c>
      <c r="D694" s="13">
        <v>210917.33000000002</v>
      </c>
      <c r="E694" s="28">
        <v>3341.0</v>
      </c>
    </row>
    <row r="695" ht="15.75" customHeight="1">
      <c r="A695" s="3" t="s">
        <v>3</v>
      </c>
      <c r="B695" s="13">
        <v>434232.69999999995</v>
      </c>
      <c r="C695" s="13">
        <v>247219.21</v>
      </c>
      <c r="D695" s="13">
        <v>187013.48999999996</v>
      </c>
      <c r="E695" s="28">
        <v>2111.0</v>
      </c>
    </row>
    <row r="696" ht="15.75" customHeight="1">
      <c r="A696" s="3" t="s">
        <v>3</v>
      </c>
      <c r="B696" s="13">
        <v>747308.1</v>
      </c>
      <c r="C696" s="13">
        <v>425460.63</v>
      </c>
      <c r="D696" s="13">
        <v>321847.47</v>
      </c>
      <c r="E696" s="28">
        <v>3633.0</v>
      </c>
    </row>
    <row r="697" ht="15.75" customHeight="1">
      <c r="A697" s="3" t="s">
        <v>9</v>
      </c>
      <c r="B697" s="13">
        <v>458020.38</v>
      </c>
      <c r="C697" s="13">
        <v>270334.89</v>
      </c>
      <c r="D697" s="13">
        <v>187685.49</v>
      </c>
      <c r="E697" s="28">
        <v>2973.0</v>
      </c>
    </row>
    <row r="698" ht="15.75" customHeight="1">
      <c r="A698" s="3" t="s">
        <v>9</v>
      </c>
      <c r="B698" s="13">
        <v>75797.52</v>
      </c>
      <c r="C698" s="13">
        <v>44737.560000000005</v>
      </c>
      <c r="D698" s="13">
        <v>31059.96</v>
      </c>
      <c r="E698" s="28">
        <v>492.0</v>
      </c>
    </row>
    <row r="699" ht="15.75" customHeight="1">
      <c r="A699" s="3" t="s">
        <v>7</v>
      </c>
      <c r="B699" s="13">
        <v>637534.5900000001</v>
      </c>
      <c r="C699" s="13">
        <v>513935.84</v>
      </c>
      <c r="D699" s="13">
        <v>123598.75000000006</v>
      </c>
      <c r="E699" s="28">
        <v>979.0</v>
      </c>
    </row>
    <row r="700" ht="15.75" customHeight="1">
      <c r="A700" s="3" t="s">
        <v>14</v>
      </c>
      <c r="B700" s="13">
        <v>771939.8500000001</v>
      </c>
      <c r="C700" s="13">
        <v>535248.15</v>
      </c>
      <c r="D700" s="13">
        <v>236691.70000000007</v>
      </c>
      <c r="E700" s="28">
        <v>9445.0</v>
      </c>
    </row>
    <row r="701" ht="15.75" customHeight="1">
      <c r="A701" s="3" t="s">
        <v>5</v>
      </c>
      <c r="B701" s="13">
        <v>109717.12</v>
      </c>
      <c r="C701" s="13">
        <v>35983.36</v>
      </c>
      <c r="D701" s="13">
        <v>73733.76</v>
      </c>
      <c r="E701" s="28">
        <v>1004.0</v>
      </c>
    </row>
    <row r="702" ht="15.75" customHeight="1">
      <c r="A702" s="3" t="s">
        <v>10</v>
      </c>
      <c r="B702" s="13">
        <v>87561.04</v>
      </c>
      <c r="C702" s="13">
        <v>54681.06</v>
      </c>
      <c r="D702" s="13">
        <v>32879.979999999996</v>
      </c>
      <c r="E702" s="28">
        <v>343.0</v>
      </c>
    </row>
    <row r="703" ht="15.75" customHeight="1">
      <c r="A703" s="3" t="s">
        <v>6</v>
      </c>
      <c r="B703" s="13">
        <v>359718.45</v>
      </c>
      <c r="C703" s="13">
        <v>240999.99</v>
      </c>
      <c r="D703" s="13">
        <v>118718.46000000002</v>
      </c>
      <c r="E703" s="28">
        <v>7581.0</v>
      </c>
    </row>
    <row r="704" ht="15.75" customHeight="1">
      <c r="A704" s="3" t="s">
        <v>8</v>
      </c>
      <c r="B704" s="13">
        <v>83130.3</v>
      </c>
      <c r="C704" s="13">
        <v>61657.2</v>
      </c>
      <c r="D704" s="13">
        <v>21473.100000000006</v>
      </c>
      <c r="E704" s="28">
        <v>8910.0</v>
      </c>
    </row>
    <row r="705" ht="15.75" customHeight="1">
      <c r="A705" s="3" t="s">
        <v>12</v>
      </c>
      <c r="B705" s="13">
        <v>4037979.1999999997</v>
      </c>
      <c r="C705" s="13">
        <v>2432115.88</v>
      </c>
      <c r="D705" s="13">
        <v>1605863.3199999998</v>
      </c>
      <c r="E705" s="28">
        <v>9236.0</v>
      </c>
    </row>
    <row r="706" ht="15.75" customHeight="1">
      <c r="A706" s="3" t="s">
        <v>13</v>
      </c>
      <c r="B706" s="13">
        <v>1386189.3</v>
      </c>
      <c r="C706" s="13">
        <v>885242.4</v>
      </c>
      <c r="D706" s="13">
        <v>500946.9</v>
      </c>
      <c r="E706" s="28">
        <v>9085.0</v>
      </c>
    </row>
    <row r="707" ht="15.75" customHeight="1">
      <c r="A707" s="3" t="s">
        <v>3</v>
      </c>
      <c r="B707" s="13">
        <v>939020.5</v>
      </c>
      <c r="C707" s="13">
        <v>534607.15</v>
      </c>
      <c r="D707" s="13">
        <v>404413.35</v>
      </c>
      <c r="E707" s="28">
        <v>4565.0</v>
      </c>
    </row>
    <row r="708" ht="15.75" customHeight="1">
      <c r="A708" s="3" t="s">
        <v>10</v>
      </c>
      <c r="B708" s="13">
        <v>1830357.6</v>
      </c>
      <c r="C708" s="13">
        <v>1143041.4</v>
      </c>
      <c r="D708" s="13">
        <v>687316.2000000002</v>
      </c>
      <c r="E708" s="28">
        <v>7170.0</v>
      </c>
    </row>
    <row r="709" ht="15.75" customHeight="1">
      <c r="A709" s="3" t="s">
        <v>4</v>
      </c>
      <c r="B709" s="13">
        <v>3698206.1799999997</v>
      </c>
      <c r="C709" s="13">
        <v>2781056.3600000003</v>
      </c>
      <c r="D709" s="13">
        <v>917149.8199999994</v>
      </c>
      <c r="E709" s="28">
        <v>5534.0</v>
      </c>
    </row>
    <row r="710" ht="15.75" customHeight="1">
      <c r="A710" s="3" t="s">
        <v>14</v>
      </c>
      <c r="B710" s="13">
        <v>221896.95</v>
      </c>
      <c r="C710" s="13">
        <v>153859.05000000002</v>
      </c>
      <c r="D710" s="13">
        <v>68037.9</v>
      </c>
      <c r="E710" s="28">
        <v>2715.0</v>
      </c>
    </row>
    <row r="711" ht="15.75" customHeight="1">
      <c r="A711" s="3" t="s">
        <v>4</v>
      </c>
      <c r="B711" s="13">
        <v>5493179.399999999</v>
      </c>
      <c r="C711" s="13">
        <v>4130878.8000000003</v>
      </c>
      <c r="D711" s="13">
        <v>1362300.5999999992</v>
      </c>
      <c r="E711" s="28">
        <v>8220.0</v>
      </c>
    </row>
    <row r="712" ht="15.75" customHeight="1">
      <c r="A712" s="3" t="s">
        <v>9</v>
      </c>
      <c r="B712" s="13">
        <v>939303.8200000001</v>
      </c>
      <c r="C712" s="13">
        <v>554400.2100000001</v>
      </c>
      <c r="D712" s="13">
        <v>384903.61</v>
      </c>
      <c r="E712" s="28">
        <v>6097.0</v>
      </c>
    </row>
    <row r="713" ht="15.75" customHeight="1">
      <c r="A713" s="3" t="s">
        <v>3</v>
      </c>
      <c r="B713" s="13">
        <v>863322.8999999999</v>
      </c>
      <c r="C713" s="13">
        <v>491510.67</v>
      </c>
      <c r="D713" s="13">
        <v>371812.2299999999</v>
      </c>
      <c r="E713" s="28">
        <v>4197.0</v>
      </c>
    </row>
    <row r="714" ht="15.75" customHeight="1">
      <c r="A714" s="3" t="s">
        <v>4</v>
      </c>
      <c r="B714" s="13">
        <v>967654.96</v>
      </c>
      <c r="C714" s="13">
        <v>727677.92</v>
      </c>
      <c r="D714" s="13">
        <v>239977.03999999992</v>
      </c>
      <c r="E714" s="28">
        <v>1448.0</v>
      </c>
    </row>
    <row r="715" ht="15.75" customHeight="1">
      <c r="A715" s="3" t="s">
        <v>12</v>
      </c>
      <c r="B715" s="13">
        <v>863470.0</v>
      </c>
      <c r="C715" s="13">
        <v>520076.74999999994</v>
      </c>
      <c r="D715" s="13">
        <v>343393.25000000006</v>
      </c>
      <c r="E715" s="28">
        <v>1975.0</v>
      </c>
    </row>
    <row r="716" ht="15.75" customHeight="1">
      <c r="A716" s="3" t="s">
        <v>13</v>
      </c>
      <c r="B716" s="13">
        <v>923719.3200000001</v>
      </c>
      <c r="C716" s="13">
        <v>589901.76</v>
      </c>
      <c r="D716" s="13">
        <v>333817.56000000006</v>
      </c>
      <c r="E716" s="28">
        <v>6054.0</v>
      </c>
    </row>
    <row r="717" ht="15.75" customHeight="1">
      <c r="A717" s="3" t="s">
        <v>7</v>
      </c>
      <c r="B717" s="13">
        <v>4894494.36</v>
      </c>
      <c r="C717" s="13">
        <v>3945599.3600000003</v>
      </c>
      <c r="D717" s="13">
        <v>948895.0</v>
      </c>
      <c r="E717" s="28">
        <v>7516.0</v>
      </c>
    </row>
    <row r="718" ht="15.75" customHeight="1">
      <c r="A718" s="3" t="s">
        <v>7</v>
      </c>
      <c r="B718" s="13">
        <v>4337058.600000001</v>
      </c>
      <c r="C718" s="13">
        <v>3496233.6</v>
      </c>
      <c r="D718" s="13">
        <v>840825.0000000005</v>
      </c>
      <c r="E718" s="28">
        <v>6660.0</v>
      </c>
    </row>
    <row r="719" ht="15.75" customHeight="1">
      <c r="A719" s="3" t="s">
        <v>14</v>
      </c>
      <c r="B719" s="13">
        <v>713421.17</v>
      </c>
      <c r="C719" s="13">
        <v>494672.43</v>
      </c>
      <c r="D719" s="13">
        <v>218748.74000000005</v>
      </c>
      <c r="E719" s="28">
        <v>8729.0</v>
      </c>
    </row>
    <row r="720" ht="15.75" customHeight="1">
      <c r="A720" s="3" t="s">
        <v>12</v>
      </c>
      <c r="B720" s="13">
        <v>4205426.8</v>
      </c>
      <c r="C720" s="13">
        <v>2532971.27</v>
      </c>
      <c r="D720" s="13">
        <v>1672455.5299999998</v>
      </c>
      <c r="E720" s="28">
        <v>9619.0</v>
      </c>
    </row>
    <row r="721" ht="15.75" customHeight="1">
      <c r="A721" s="3" t="s">
        <v>14</v>
      </c>
      <c r="B721" s="13">
        <v>252954.35</v>
      </c>
      <c r="C721" s="13">
        <v>175393.65</v>
      </c>
      <c r="D721" s="13">
        <v>77560.70000000001</v>
      </c>
      <c r="E721" s="28">
        <v>3095.0</v>
      </c>
    </row>
    <row r="722" ht="15.75" customHeight="1">
      <c r="A722" s="3" t="s">
        <v>11</v>
      </c>
      <c r="B722" s="13">
        <v>3083594.01</v>
      </c>
      <c r="C722" s="13">
        <v>2665519.21</v>
      </c>
      <c r="D722" s="13">
        <v>418074.7999999998</v>
      </c>
      <c r="E722" s="28">
        <v>7309.0</v>
      </c>
    </row>
    <row r="723" ht="15.75" customHeight="1">
      <c r="A723" s="3" t="s">
        <v>8</v>
      </c>
      <c r="B723" s="13">
        <v>85154.91</v>
      </c>
      <c r="C723" s="13">
        <v>63158.84</v>
      </c>
      <c r="D723" s="13">
        <v>21996.070000000007</v>
      </c>
      <c r="E723" s="28">
        <v>9127.0</v>
      </c>
    </row>
    <row r="724" ht="15.75" customHeight="1">
      <c r="A724" s="3" t="s">
        <v>9</v>
      </c>
      <c r="B724" s="13">
        <v>904178.14</v>
      </c>
      <c r="C724" s="13">
        <v>533668.17</v>
      </c>
      <c r="D724" s="13">
        <v>370509.97</v>
      </c>
      <c r="E724" s="28">
        <v>5869.0</v>
      </c>
    </row>
    <row r="725" ht="15.75" customHeight="1">
      <c r="A725" s="3" t="s">
        <v>8</v>
      </c>
      <c r="B725" s="13">
        <v>46258.14</v>
      </c>
      <c r="C725" s="13">
        <v>34309.36</v>
      </c>
      <c r="D725" s="13">
        <v>11948.779999999999</v>
      </c>
      <c r="E725" s="28">
        <v>4958.0</v>
      </c>
    </row>
    <row r="726" ht="15.75" customHeight="1">
      <c r="A726" s="3" t="s">
        <v>10</v>
      </c>
      <c r="B726" s="13">
        <v>1766027.04</v>
      </c>
      <c r="C726" s="13">
        <v>1102867.5599999998</v>
      </c>
      <c r="D726" s="13">
        <v>663159.4800000002</v>
      </c>
      <c r="E726" s="28">
        <v>6918.0</v>
      </c>
    </row>
    <row r="727" ht="15.75" customHeight="1">
      <c r="A727" s="3" t="s">
        <v>3</v>
      </c>
      <c r="B727" s="13">
        <v>1037962.2</v>
      </c>
      <c r="C727" s="13">
        <v>590937.0599999999</v>
      </c>
      <c r="D727" s="13">
        <v>447025.14</v>
      </c>
      <c r="E727" s="28">
        <v>5046.0</v>
      </c>
    </row>
    <row r="728" ht="15.75" customHeight="1">
      <c r="A728" s="3" t="s">
        <v>3</v>
      </c>
      <c r="B728" s="13">
        <v>176696.3</v>
      </c>
      <c r="C728" s="13">
        <v>100597.49</v>
      </c>
      <c r="D728" s="13">
        <v>76098.80999999998</v>
      </c>
      <c r="E728" s="28">
        <v>859.0</v>
      </c>
    </row>
    <row r="729" ht="15.75" customHeight="1">
      <c r="A729" s="3" t="s">
        <v>6</v>
      </c>
      <c r="B729" s="13">
        <v>105671.15000000001</v>
      </c>
      <c r="C729" s="13">
        <v>70796.33</v>
      </c>
      <c r="D729" s="13">
        <v>34874.82000000001</v>
      </c>
      <c r="E729" s="28">
        <v>2227.0</v>
      </c>
    </row>
    <row r="730" ht="15.75" customHeight="1">
      <c r="A730" s="3" t="s">
        <v>7</v>
      </c>
      <c r="B730" s="13">
        <v>3397362.5700000003</v>
      </c>
      <c r="C730" s="13">
        <v>2738716.3200000003</v>
      </c>
      <c r="D730" s="13">
        <v>658646.25</v>
      </c>
      <c r="E730" s="28">
        <v>5217.0</v>
      </c>
    </row>
    <row r="731" ht="15.75" customHeight="1">
      <c r="A731" s="3" t="s">
        <v>13</v>
      </c>
      <c r="B731" s="13">
        <v>1068975.48</v>
      </c>
      <c r="C731" s="13">
        <v>682664.64</v>
      </c>
      <c r="D731" s="13">
        <v>386310.83999999997</v>
      </c>
      <c r="E731" s="28">
        <v>7006.0</v>
      </c>
    </row>
    <row r="732" ht="15.75" customHeight="1">
      <c r="A732" s="3" t="s">
        <v>4</v>
      </c>
      <c r="B732" s="13">
        <v>910183.74</v>
      </c>
      <c r="C732" s="13">
        <v>684459.48</v>
      </c>
      <c r="D732" s="13">
        <v>225724.26</v>
      </c>
      <c r="E732" s="28">
        <v>1362.0</v>
      </c>
    </row>
    <row r="733" ht="15.75" customHeight="1">
      <c r="A733" s="3" t="s">
        <v>4</v>
      </c>
      <c r="B733" s="13">
        <v>1589146.06</v>
      </c>
      <c r="C733" s="13">
        <v>1195040.12</v>
      </c>
      <c r="D733" s="13">
        <v>394105.93999999994</v>
      </c>
      <c r="E733" s="28">
        <v>2378.0</v>
      </c>
    </row>
    <row r="734" ht="15.75" customHeight="1">
      <c r="A734" s="3" t="s">
        <v>7</v>
      </c>
      <c r="B734" s="13">
        <v>1966654.2000000002</v>
      </c>
      <c r="C734" s="13">
        <v>1585379.2000000002</v>
      </c>
      <c r="D734" s="13">
        <v>381275.0</v>
      </c>
      <c r="E734" s="28">
        <v>3020.0</v>
      </c>
    </row>
    <row r="735" ht="15.75" customHeight="1">
      <c r="A735" s="3" t="s">
        <v>12</v>
      </c>
      <c r="B735" s="13">
        <v>3474865.6</v>
      </c>
      <c r="C735" s="13">
        <v>2092946.8399999999</v>
      </c>
      <c r="D735" s="13">
        <v>1381918.7600000002</v>
      </c>
      <c r="E735" s="28">
        <v>7948.0</v>
      </c>
    </row>
    <row r="736" ht="15.75" customHeight="1">
      <c r="A736" s="3" t="s">
        <v>13</v>
      </c>
      <c r="B736" s="13">
        <v>802570.8</v>
      </c>
      <c r="C736" s="13">
        <v>512534.39999999997</v>
      </c>
      <c r="D736" s="13">
        <v>290036.4000000001</v>
      </c>
      <c r="E736" s="28">
        <v>5260.0</v>
      </c>
    </row>
    <row r="737" ht="15.75" customHeight="1">
      <c r="A737" s="3" t="s">
        <v>13</v>
      </c>
      <c r="B737" s="13">
        <v>774343.5000000001</v>
      </c>
      <c r="C737" s="13">
        <v>494508.0</v>
      </c>
      <c r="D737" s="13">
        <v>279835.5000000001</v>
      </c>
      <c r="E737" s="28">
        <v>5075.0</v>
      </c>
    </row>
    <row r="738" ht="15.75" customHeight="1">
      <c r="A738" s="3" t="s">
        <v>4</v>
      </c>
      <c r="B738" s="13">
        <v>516572.70999999996</v>
      </c>
      <c r="C738" s="13">
        <v>388463.42000000004</v>
      </c>
      <c r="D738" s="13">
        <v>128109.28999999992</v>
      </c>
      <c r="E738" s="28">
        <v>773.0</v>
      </c>
    </row>
    <row r="739" ht="15.75" customHeight="1">
      <c r="A739" s="3" t="s">
        <v>13</v>
      </c>
      <c r="B739" s="13">
        <v>569733.7200000001</v>
      </c>
      <c r="C739" s="13">
        <v>363840.95999999996</v>
      </c>
      <c r="D739" s="13">
        <v>205892.76000000013</v>
      </c>
      <c r="E739" s="28">
        <v>3734.0</v>
      </c>
    </row>
    <row r="740" ht="15.75" customHeight="1">
      <c r="A740" s="3" t="s">
        <v>7</v>
      </c>
      <c r="B740" s="13">
        <v>6359716.86</v>
      </c>
      <c r="C740" s="13">
        <v>5126759.36</v>
      </c>
      <c r="D740" s="13">
        <v>1232957.5</v>
      </c>
      <c r="E740" s="28">
        <v>9766.0</v>
      </c>
    </row>
    <row r="741" ht="15.75" customHeight="1">
      <c r="A741" s="3" t="s">
        <v>3</v>
      </c>
      <c r="B741" s="13">
        <v>498205.39999999997</v>
      </c>
      <c r="C741" s="13">
        <v>283640.42</v>
      </c>
      <c r="D741" s="13">
        <v>214564.97999999998</v>
      </c>
      <c r="E741" s="28">
        <v>2422.0</v>
      </c>
    </row>
    <row r="742" ht="15.75" customHeight="1">
      <c r="A742" s="3" t="s">
        <v>10</v>
      </c>
      <c r="B742" s="13">
        <v>473799.68</v>
      </c>
      <c r="C742" s="13">
        <v>295883.51999999996</v>
      </c>
      <c r="D742" s="13">
        <v>177916.16000000003</v>
      </c>
      <c r="E742" s="28">
        <v>1856.0</v>
      </c>
    </row>
    <row r="743" ht="15.75" customHeight="1">
      <c r="A743" s="3" t="s">
        <v>14</v>
      </c>
      <c r="B743" s="13">
        <v>455399.56</v>
      </c>
      <c r="C743" s="13">
        <v>315765.24</v>
      </c>
      <c r="D743" s="13">
        <v>139634.32</v>
      </c>
      <c r="E743" s="28">
        <v>5572.0</v>
      </c>
    </row>
    <row r="744" ht="15.75" customHeight="1">
      <c r="A744" s="3" t="s">
        <v>14</v>
      </c>
      <c r="B744" s="13">
        <v>623027.79</v>
      </c>
      <c r="C744" s="13">
        <v>431995.41000000003</v>
      </c>
      <c r="D744" s="13">
        <v>191032.38</v>
      </c>
      <c r="E744" s="28">
        <v>7623.0</v>
      </c>
    </row>
    <row r="745" ht="15.75" customHeight="1">
      <c r="A745" s="3" t="s">
        <v>14</v>
      </c>
      <c r="B745" s="13">
        <v>530019.05</v>
      </c>
      <c r="C745" s="13">
        <v>367504.95</v>
      </c>
      <c r="D745" s="13">
        <v>162514.10000000003</v>
      </c>
      <c r="E745" s="28">
        <v>6485.0</v>
      </c>
    </row>
    <row r="746" ht="15.75" customHeight="1">
      <c r="A746" s="3" t="s">
        <v>8</v>
      </c>
      <c r="B746" s="13">
        <v>38066.4</v>
      </c>
      <c r="C746" s="13">
        <v>28233.6</v>
      </c>
      <c r="D746" s="13">
        <v>9832.800000000003</v>
      </c>
      <c r="E746" s="28">
        <v>4080.0</v>
      </c>
    </row>
    <row r="747" ht="15.75" customHeight="1">
      <c r="A747" s="3" t="s">
        <v>3</v>
      </c>
      <c r="B747" s="13">
        <v>1638811.9</v>
      </c>
      <c r="C747" s="13">
        <v>933015.37</v>
      </c>
      <c r="D747" s="13">
        <v>705796.5299999999</v>
      </c>
      <c r="E747" s="28">
        <v>7967.0</v>
      </c>
    </row>
    <row r="748" ht="15.75" customHeight="1">
      <c r="A748" s="3" t="s">
        <v>13</v>
      </c>
      <c r="B748" s="13">
        <v>935010.2400000001</v>
      </c>
      <c r="C748" s="13">
        <v>597112.32</v>
      </c>
      <c r="D748" s="13">
        <v>337897.92000000016</v>
      </c>
      <c r="E748" s="28">
        <v>6128.0</v>
      </c>
    </row>
    <row r="749" ht="15.75" customHeight="1">
      <c r="A749" s="3" t="s">
        <v>5</v>
      </c>
      <c r="B749" s="13">
        <v>836647.68</v>
      </c>
      <c r="C749" s="13">
        <v>274391.04000000004</v>
      </c>
      <c r="D749" s="13">
        <v>562256.64</v>
      </c>
      <c r="E749" s="28">
        <v>7656.0</v>
      </c>
    </row>
    <row r="750" ht="15.75" customHeight="1">
      <c r="A750" s="3" t="s">
        <v>14</v>
      </c>
      <c r="B750" s="13">
        <v>302319.27</v>
      </c>
      <c r="C750" s="13">
        <v>209622.33000000002</v>
      </c>
      <c r="D750" s="13">
        <v>92696.94</v>
      </c>
      <c r="E750" s="28">
        <v>3699.0</v>
      </c>
    </row>
    <row r="751" ht="15.75" customHeight="1">
      <c r="A751" s="3" t="s">
        <v>14</v>
      </c>
      <c r="B751" s="13">
        <v>611340.4</v>
      </c>
      <c r="C751" s="13">
        <v>423891.60000000003</v>
      </c>
      <c r="D751" s="13">
        <v>187448.8</v>
      </c>
      <c r="E751" s="28">
        <v>7480.0</v>
      </c>
    </row>
    <row r="752" ht="15.75" customHeight="1">
      <c r="A752" s="3" t="s">
        <v>13</v>
      </c>
      <c r="B752" s="13">
        <v>1514966.82</v>
      </c>
      <c r="C752" s="13">
        <v>967481.76</v>
      </c>
      <c r="D752" s="13">
        <v>547485.06</v>
      </c>
      <c r="E752" s="28">
        <v>9929.0</v>
      </c>
    </row>
    <row r="753" ht="15.75" customHeight="1">
      <c r="A753" s="3" t="s">
        <v>14</v>
      </c>
      <c r="B753" s="13">
        <v>552903.4500000001</v>
      </c>
      <c r="C753" s="13">
        <v>383372.55</v>
      </c>
      <c r="D753" s="13">
        <v>169530.90000000008</v>
      </c>
      <c r="E753" s="28">
        <v>6765.0</v>
      </c>
    </row>
    <row r="754" ht="15.75" customHeight="1">
      <c r="A754" s="3" t="s">
        <v>6</v>
      </c>
      <c r="B754" s="13">
        <v>453574.55000000005</v>
      </c>
      <c r="C754" s="13">
        <v>303880.61</v>
      </c>
      <c r="D754" s="13">
        <v>149693.94000000006</v>
      </c>
      <c r="E754" s="28">
        <v>9559.0</v>
      </c>
    </row>
    <row r="755" ht="15.75" customHeight="1">
      <c r="A755" s="3" t="s">
        <v>14</v>
      </c>
      <c r="B755" s="13">
        <v>778886.9</v>
      </c>
      <c r="C755" s="13">
        <v>540065.1</v>
      </c>
      <c r="D755" s="13">
        <v>238821.80000000005</v>
      </c>
      <c r="E755" s="28">
        <v>9530.0</v>
      </c>
    </row>
    <row r="756" ht="15.75" customHeight="1">
      <c r="A756" s="3" t="s">
        <v>11</v>
      </c>
      <c r="B756" s="13">
        <v>2324613.9</v>
      </c>
      <c r="C756" s="13">
        <v>2009441.9</v>
      </c>
      <c r="D756" s="13">
        <v>315172.0</v>
      </c>
      <c r="E756" s="28">
        <v>5510.0</v>
      </c>
    </row>
    <row r="757" ht="15.75" customHeight="1">
      <c r="A757" s="3" t="s">
        <v>10</v>
      </c>
      <c r="B757" s="13">
        <v>1951360.32</v>
      </c>
      <c r="C757" s="13">
        <v>1218606.48</v>
      </c>
      <c r="D757" s="13">
        <v>732753.8400000001</v>
      </c>
      <c r="E757" s="28">
        <v>7644.0</v>
      </c>
    </row>
    <row r="758" ht="15.75" customHeight="1">
      <c r="A758" s="3" t="s">
        <v>13</v>
      </c>
      <c r="B758" s="13">
        <v>860398.6200000001</v>
      </c>
      <c r="C758" s="13">
        <v>549464.16</v>
      </c>
      <c r="D758" s="13">
        <v>310934.4600000001</v>
      </c>
      <c r="E758" s="28">
        <v>5639.0</v>
      </c>
    </row>
    <row r="759" ht="15.75" customHeight="1">
      <c r="A759" s="3" t="s">
        <v>14</v>
      </c>
      <c r="B759" s="13">
        <v>229007.46000000002</v>
      </c>
      <c r="C759" s="13">
        <v>158789.34</v>
      </c>
      <c r="D759" s="13">
        <v>70218.12000000002</v>
      </c>
      <c r="E759" s="28">
        <v>2802.0</v>
      </c>
    </row>
    <row r="760" ht="15.75" customHeight="1">
      <c r="A760" s="3" t="s">
        <v>8</v>
      </c>
      <c r="B760" s="13">
        <v>92637.57</v>
      </c>
      <c r="C760" s="13">
        <v>68708.68</v>
      </c>
      <c r="D760" s="13">
        <v>23928.890000000014</v>
      </c>
      <c r="E760" s="28">
        <v>9929.0</v>
      </c>
    </row>
    <row r="761" ht="15.75" customHeight="1">
      <c r="A761" s="3" t="s">
        <v>6</v>
      </c>
      <c r="B761" s="13">
        <v>46406.100000000006</v>
      </c>
      <c r="C761" s="13">
        <v>31090.62</v>
      </c>
      <c r="D761" s="13">
        <v>15315.480000000007</v>
      </c>
      <c r="E761" s="28">
        <v>978.0</v>
      </c>
    </row>
    <row r="762" ht="15.75" customHeight="1">
      <c r="A762" s="3" t="s">
        <v>6</v>
      </c>
      <c r="B762" s="13">
        <v>69514.25</v>
      </c>
      <c r="C762" s="13">
        <v>46572.35</v>
      </c>
      <c r="D762" s="13">
        <v>22941.9</v>
      </c>
      <c r="E762" s="28">
        <v>1465.0</v>
      </c>
    </row>
    <row r="763" ht="15.75" customHeight="1">
      <c r="A763" s="3" t="s">
        <v>8</v>
      </c>
      <c r="B763" s="13">
        <v>43123.26</v>
      </c>
      <c r="C763" s="13">
        <v>31984.239999999998</v>
      </c>
      <c r="D763" s="13">
        <v>11139.020000000004</v>
      </c>
      <c r="E763" s="28">
        <v>4622.0</v>
      </c>
    </row>
    <row r="764" ht="15.75" customHeight="1">
      <c r="A764" s="3" t="s">
        <v>6</v>
      </c>
      <c r="B764" s="13">
        <v>146715.40000000002</v>
      </c>
      <c r="C764" s="13">
        <v>98294.68</v>
      </c>
      <c r="D764" s="13">
        <v>48420.72000000003</v>
      </c>
      <c r="E764" s="28">
        <v>3092.0</v>
      </c>
    </row>
    <row r="765" ht="15.75" customHeight="1">
      <c r="A765" s="3" t="s">
        <v>5</v>
      </c>
      <c r="B765" s="13">
        <v>258556.48</v>
      </c>
      <c r="C765" s="13">
        <v>84797.44</v>
      </c>
      <c r="D765" s="13">
        <v>173759.04</v>
      </c>
      <c r="E765" s="28">
        <v>2366.0</v>
      </c>
    </row>
    <row r="766" ht="15.75" customHeight="1">
      <c r="A766" s="3" t="s">
        <v>8</v>
      </c>
      <c r="B766" s="13">
        <v>3489.42</v>
      </c>
      <c r="C766" s="13">
        <v>2588.08</v>
      </c>
      <c r="D766" s="13">
        <v>901.3400000000001</v>
      </c>
      <c r="E766" s="28">
        <v>374.0</v>
      </c>
    </row>
    <row r="767" ht="15.75" customHeight="1">
      <c r="A767" s="3" t="s">
        <v>7</v>
      </c>
      <c r="B767" s="13">
        <v>1814922.27</v>
      </c>
      <c r="C767" s="13">
        <v>1463063.52</v>
      </c>
      <c r="D767" s="13">
        <v>351858.75</v>
      </c>
      <c r="E767" s="28">
        <v>2787.0</v>
      </c>
    </row>
    <row r="768" ht="15.75" customHeight="1">
      <c r="A768" s="3" t="s">
        <v>7</v>
      </c>
      <c r="B768" s="13">
        <v>1470432.1800000002</v>
      </c>
      <c r="C768" s="13">
        <v>1185359.6800000002</v>
      </c>
      <c r="D768" s="13">
        <v>285072.5</v>
      </c>
      <c r="E768" s="28">
        <v>2258.0</v>
      </c>
    </row>
    <row r="769" ht="15.75" customHeight="1">
      <c r="A769" s="3" t="s">
        <v>5</v>
      </c>
      <c r="B769" s="13">
        <v>347510.4</v>
      </c>
      <c r="C769" s="13">
        <v>113971.20000000001</v>
      </c>
      <c r="D769" s="13">
        <v>233539.2</v>
      </c>
      <c r="E769" s="28">
        <v>3180.0</v>
      </c>
    </row>
    <row r="770" ht="15.75" customHeight="1">
      <c r="A770" s="3" t="s">
        <v>14</v>
      </c>
      <c r="B770" s="13">
        <v>791881.9700000001</v>
      </c>
      <c r="C770" s="13">
        <v>549075.63</v>
      </c>
      <c r="D770" s="13">
        <v>242806.34000000008</v>
      </c>
      <c r="E770" s="28">
        <v>9689.0</v>
      </c>
    </row>
    <row r="771" ht="15.75" customHeight="1">
      <c r="A771" s="3" t="s">
        <v>11</v>
      </c>
      <c r="B771" s="13">
        <v>1121805.51</v>
      </c>
      <c r="C771" s="13">
        <v>969710.71</v>
      </c>
      <c r="D771" s="13">
        <v>152094.80000000005</v>
      </c>
      <c r="E771" s="28">
        <v>2659.0</v>
      </c>
    </row>
    <row r="772" ht="15.75" customHeight="1">
      <c r="A772" s="3" t="s">
        <v>14</v>
      </c>
      <c r="B772" s="13">
        <v>174003.17</v>
      </c>
      <c r="C772" s="13">
        <v>120650.43000000001</v>
      </c>
      <c r="D772" s="13">
        <v>53352.740000000005</v>
      </c>
      <c r="E772" s="28">
        <v>2129.0</v>
      </c>
    </row>
    <row r="773" ht="15.75" customHeight="1">
      <c r="A773" s="3" t="s">
        <v>8</v>
      </c>
      <c r="B773" s="13">
        <v>4599.69</v>
      </c>
      <c r="C773" s="13">
        <v>3411.56</v>
      </c>
      <c r="D773" s="13">
        <v>1188.1299999999997</v>
      </c>
      <c r="E773" s="28">
        <v>493.0</v>
      </c>
    </row>
    <row r="774" ht="15.75" customHeight="1">
      <c r="A774" s="3" t="s">
        <v>9</v>
      </c>
      <c r="B774" s="13">
        <v>432754.54</v>
      </c>
      <c r="C774" s="13">
        <v>255422.37000000002</v>
      </c>
      <c r="D774" s="13">
        <v>177332.16999999995</v>
      </c>
      <c r="E774" s="28">
        <v>2809.0</v>
      </c>
    </row>
    <row r="775" ht="15.75" customHeight="1">
      <c r="A775" s="3" t="s">
        <v>12</v>
      </c>
      <c r="B775" s="13">
        <v>1826184.4</v>
      </c>
      <c r="C775" s="13">
        <v>1099929.41</v>
      </c>
      <c r="D775" s="13">
        <v>726254.99</v>
      </c>
      <c r="E775" s="28">
        <v>4177.0</v>
      </c>
    </row>
    <row r="776" ht="15.75" customHeight="1">
      <c r="A776" s="3" t="s">
        <v>6</v>
      </c>
      <c r="B776" s="13">
        <v>346195.2</v>
      </c>
      <c r="C776" s="13">
        <v>231939.84</v>
      </c>
      <c r="D776" s="13">
        <v>114255.36000000002</v>
      </c>
      <c r="E776" s="28">
        <v>7296.0</v>
      </c>
    </row>
    <row r="777" ht="15.75" customHeight="1">
      <c r="A777" s="3" t="s">
        <v>4</v>
      </c>
      <c r="B777" s="13">
        <v>4962573.02</v>
      </c>
      <c r="C777" s="13">
        <v>3731862.04</v>
      </c>
      <c r="D777" s="13">
        <v>1230710.9799999995</v>
      </c>
      <c r="E777" s="28">
        <v>7426.0</v>
      </c>
    </row>
    <row r="778" ht="15.75" customHeight="1">
      <c r="A778" s="3" t="s">
        <v>9</v>
      </c>
      <c r="B778" s="13">
        <v>65937.68000000001</v>
      </c>
      <c r="C778" s="13">
        <v>38918.04</v>
      </c>
      <c r="D778" s="13">
        <v>27019.640000000007</v>
      </c>
      <c r="E778" s="28">
        <v>428.0</v>
      </c>
    </row>
    <row r="779" ht="15.75" customHeight="1">
      <c r="A779" s="3" t="s">
        <v>10</v>
      </c>
      <c r="B779" s="13">
        <v>839105.36</v>
      </c>
      <c r="C779" s="13">
        <v>524013.54</v>
      </c>
      <c r="D779" s="13">
        <v>315091.82</v>
      </c>
      <c r="E779" s="28">
        <v>3287.0</v>
      </c>
    </row>
    <row r="780" ht="15.75" customHeight="1">
      <c r="A780" s="3" t="s">
        <v>8</v>
      </c>
      <c r="B780" s="13">
        <v>33420.06</v>
      </c>
      <c r="C780" s="13">
        <v>24787.44</v>
      </c>
      <c r="D780" s="13">
        <v>8632.619999999999</v>
      </c>
      <c r="E780" s="28">
        <v>3582.0</v>
      </c>
    </row>
    <row r="781" ht="15.75" customHeight="1">
      <c r="A781" s="3" t="s">
        <v>11</v>
      </c>
      <c r="B781" s="13">
        <v>3118610.88</v>
      </c>
      <c r="C781" s="13">
        <v>2695788.48</v>
      </c>
      <c r="D781" s="13">
        <v>422822.3999999999</v>
      </c>
      <c r="E781" s="28">
        <v>7392.0</v>
      </c>
    </row>
    <row r="782" ht="15.75" customHeight="1">
      <c r="A782" s="3" t="s">
        <v>10</v>
      </c>
      <c r="B782" s="13">
        <v>1040776.56</v>
      </c>
      <c r="C782" s="13">
        <v>649955.34</v>
      </c>
      <c r="D782" s="13">
        <v>390821.2200000001</v>
      </c>
      <c r="E782" s="28">
        <v>4077.0</v>
      </c>
    </row>
    <row r="783" ht="15.75" customHeight="1">
      <c r="A783" s="3" t="s">
        <v>13</v>
      </c>
      <c r="B783" s="13">
        <v>220172.94000000003</v>
      </c>
      <c r="C783" s="13">
        <v>140605.91999999998</v>
      </c>
      <c r="D783" s="13">
        <v>79567.02000000005</v>
      </c>
      <c r="E783" s="28">
        <v>1443.0</v>
      </c>
    </row>
    <row r="784" ht="15.75" customHeight="1">
      <c r="A784" s="3" t="s">
        <v>12</v>
      </c>
      <c r="B784" s="13">
        <v>3645373.6</v>
      </c>
      <c r="C784" s="13">
        <v>2195645.54</v>
      </c>
      <c r="D784" s="13">
        <v>1449728.06</v>
      </c>
      <c r="E784" s="28">
        <v>8338.0</v>
      </c>
    </row>
    <row r="785" ht="15.75" customHeight="1">
      <c r="A785" s="3" t="s">
        <v>9</v>
      </c>
      <c r="B785" s="13">
        <v>187953.2</v>
      </c>
      <c r="C785" s="13">
        <v>110934.6</v>
      </c>
      <c r="D785" s="13">
        <v>77018.6</v>
      </c>
      <c r="E785" s="28">
        <v>1220.0</v>
      </c>
    </row>
    <row r="786" ht="15.75" customHeight="1">
      <c r="A786" s="3" t="s">
        <v>11</v>
      </c>
      <c r="B786" s="13">
        <v>143020.71</v>
      </c>
      <c r="C786" s="13">
        <v>123629.91</v>
      </c>
      <c r="D786" s="13">
        <v>19390.79999999999</v>
      </c>
      <c r="E786" s="28">
        <v>339.0</v>
      </c>
    </row>
    <row r="787" ht="15.75" customHeight="1">
      <c r="A787" s="3" t="s">
        <v>12</v>
      </c>
      <c r="B787" s="13">
        <v>873088.4</v>
      </c>
      <c r="C787" s="13">
        <v>525870.01</v>
      </c>
      <c r="D787" s="13">
        <v>347218.39</v>
      </c>
      <c r="E787" s="28">
        <v>1997.0</v>
      </c>
    </row>
    <row r="788" ht="15.75" customHeight="1">
      <c r="A788" s="3" t="s">
        <v>3</v>
      </c>
      <c r="B788" s="13">
        <v>1001347.6</v>
      </c>
      <c r="C788" s="13">
        <v>570091.48</v>
      </c>
      <c r="D788" s="13">
        <v>431256.12</v>
      </c>
      <c r="E788" s="28">
        <v>4868.0</v>
      </c>
    </row>
    <row r="789" ht="15.75" customHeight="1">
      <c r="A789" s="3" t="s">
        <v>11</v>
      </c>
      <c r="B789" s="13">
        <v>2886571.38</v>
      </c>
      <c r="C789" s="13">
        <v>2495208.98</v>
      </c>
      <c r="D789" s="13">
        <v>391362.3999999999</v>
      </c>
      <c r="E789" s="28">
        <v>6842.0</v>
      </c>
    </row>
    <row r="790" ht="15.75" customHeight="1">
      <c r="A790" s="3" t="s">
        <v>7</v>
      </c>
      <c r="B790" s="13">
        <v>4151463.75</v>
      </c>
      <c r="C790" s="13">
        <v>3346620.0</v>
      </c>
      <c r="D790" s="13">
        <v>804843.75</v>
      </c>
      <c r="E790" s="28">
        <v>6375.0</v>
      </c>
    </row>
    <row r="791" ht="15.75" customHeight="1">
      <c r="A791" s="3" t="s">
        <v>4</v>
      </c>
      <c r="B791" s="13">
        <v>4985962.47</v>
      </c>
      <c r="C791" s="13">
        <v>3749450.94</v>
      </c>
      <c r="D791" s="13">
        <v>1236511.5299999998</v>
      </c>
      <c r="E791" s="28">
        <v>7461.0</v>
      </c>
    </row>
    <row r="792" ht="15.75" customHeight="1">
      <c r="A792" s="3" t="s">
        <v>5</v>
      </c>
      <c r="B792" s="13">
        <v>353083.68</v>
      </c>
      <c r="C792" s="13">
        <v>115799.04000000001</v>
      </c>
      <c r="D792" s="13">
        <v>237284.63999999998</v>
      </c>
      <c r="E792" s="28">
        <v>3231.0</v>
      </c>
    </row>
    <row r="793" ht="15.75" customHeight="1">
      <c r="A793" s="3" t="s">
        <v>8</v>
      </c>
      <c r="B793" s="13">
        <v>14209.59</v>
      </c>
      <c r="C793" s="13">
        <v>10539.16</v>
      </c>
      <c r="D793" s="13">
        <v>3670.4300000000003</v>
      </c>
      <c r="E793" s="28">
        <v>1523.0</v>
      </c>
    </row>
    <row r="794" ht="15.75" customHeight="1">
      <c r="A794" s="3" t="s">
        <v>7</v>
      </c>
      <c r="B794" s="13">
        <v>4784439.87</v>
      </c>
      <c r="C794" s="13">
        <v>3856881.12</v>
      </c>
      <c r="D794" s="13">
        <v>927558.75</v>
      </c>
      <c r="E794" s="28">
        <v>7347.0</v>
      </c>
    </row>
    <row r="795" ht="15.75" customHeight="1">
      <c r="A795" s="3" t="s">
        <v>7</v>
      </c>
      <c r="B795" s="13">
        <v>1436569.26</v>
      </c>
      <c r="C795" s="13">
        <v>1158061.76</v>
      </c>
      <c r="D795" s="13">
        <v>278507.5</v>
      </c>
      <c r="E795" s="28">
        <v>2206.0</v>
      </c>
    </row>
    <row r="796" ht="15.75" customHeight="1">
      <c r="A796" s="3" t="s">
        <v>12</v>
      </c>
      <c r="B796" s="13">
        <v>1137594.4</v>
      </c>
      <c r="C796" s="13">
        <v>685184.6599999999</v>
      </c>
      <c r="D796" s="13">
        <v>452409.74</v>
      </c>
      <c r="E796" s="28">
        <v>2602.0</v>
      </c>
    </row>
    <row r="797" ht="15.75" customHeight="1">
      <c r="A797" s="3" t="s">
        <v>14</v>
      </c>
      <c r="B797" s="13">
        <v>214459.52000000002</v>
      </c>
      <c r="C797" s="13">
        <v>148702.08000000002</v>
      </c>
      <c r="D797" s="13">
        <v>65757.44</v>
      </c>
      <c r="E797" s="28">
        <v>2624.0</v>
      </c>
    </row>
    <row r="798" ht="15.75" customHeight="1">
      <c r="A798" s="3" t="s">
        <v>5</v>
      </c>
      <c r="B798" s="13">
        <v>1061218.08</v>
      </c>
      <c r="C798" s="13">
        <v>348042.24000000005</v>
      </c>
      <c r="D798" s="13">
        <v>713175.8400000001</v>
      </c>
      <c r="E798" s="28">
        <v>9711.0</v>
      </c>
    </row>
    <row r="799" ht="15.75" customHeight="1">
      <c r="A799" s="3" t="s">
        <v>3</v>
      </c>
      <c r="B799" s="13">
        <v>1756472.2999999998</v>
      </c>
      <c r="C799" s="13">
        <v>1000002.29</v>
      </c>
      <c r="D799" s="13">
        <v>756470.0099999998</v>
      </c>
      <c r="E799" s="28">
        <v>8539.0</v>
      </c>
    </row>
    <row r="800" ht="15.75" customHeight="1">
      <c r="A800" s="3" t="s">
        <v>14</v>
      </c>
      <c r="B800" s="13">
        <v>124965.17000000001</v>
      </c>
      <c r="C800" s="13">
        <v>86648.43000000001</v>
      </c>
      <c r="D800" s="13">
        <v>38316.740000000005</v>
      </c>
      <c r="E800" s="28">
        <v>1529.0</v>
      </c>
    </row>
    <row r="801" ht="15.75" customHeight="1">
      <c r="A801" s="3" t="s">
        <v>12</v>
      </c>
      <c r="B801" s="13">
        <v>114983.59999999999</v>
      </c>
      <c r="C801" s="13">
        <v>69255.79</v>
      </c>
      <c r="D801" s="13">
        <v>45727.81</v>
      </c>
      <c r="E801" s="28">
        <v>263.0</v>
      </c>
    </row>
    <row r="802" ht="15.75" customHeight="1">
      <c r="A802" s="3" t="s">
        <v>11</v>
      </c>
      <c r="B802" s="13">
        <v>1349626.1099999999</v>
      </c>
      <c r="C802" s="13">
        <v>1166643.31</v>
      </c>
      <c r="D802" s="13">
        <v>182982.7999999998</v>
      </c>
      <c r="E802" s="28">
        <v>3199.0</v>
      </c>
    </row>
    <row r="803" ht="15.75" customHeight="1">
      <c r="A803" s="3" t="s">
        <v>14</v>
      </c>
      <c r="B803" s="13">
        <v>812477.93</v>
      </c>
      <c r="C803" s="13">
        <v>563356.47</v>
      </c>
      <c r="D803" s="13">
        <v>249121.46000000008</v>
      </c>
      <c r="E803" s="28">
        <v>9941.0</v>
      </c>
    </row>
    <row r="804" ht="15.75" customHeight="1">
      <c r="A804" s="3" t="s">
        <v>7</v>
      </c>
      <c r="B804" s="13">
        <v>2825600.19</v>
      </c>
      <c r="C804" s="13">
        <v>2277801.44</v>
      </c>
      <c r="D804" s="13">
        <v>547798.75</v>
      </c>
      <c r="E804" s="28">
        <v>4339.0</v>
      </c>
    </row>
    <row r="805" ht="15.75" customHeight="1">
      <c r="A805" s="3" t="s">
        <v>9</v>
      </c>
      <c r="B805" s="13">
        <v>73794.74</v>
      </c>
      <c r="C805" s="13">
        <v>43555.47</v>
      </c>
      <c r="D805" s="13">
        <v>30239.270000000004</v>
      </c>
      <c r="E805" s="28">
        <v>479.0</v>
      </c>
    </row>
    <row r="806" ht="15.75" customHeight="1">
      <c r="A806" s="3" t="s">
        <v>8</v>
      </c>
      <c r="B806" s="13">
        <v>38253.0</v>
      </c>
      <c r="C806" s="13">
        <v>28372.0</v>
      </c>
      <c r="D806" s="13">
        <v>9881.0</v>
      </c>
      <c r="E806" s="28">
        <v>4100.0</v>
      </c>
    </row>
    <row r="807" ht="15.75" customHeight="1">
      <c r="A807" s="3" t="s">
        <v>10</v>
      </c>
      <c r="B807" s="13">
        <v>800302.8</v>
      </c>
      <c r="C807" s="13">
        <v>499781.69999999995</v>
      </c>
      <c r="D807" s="13">
        <v>300521.1000000001</v>
      </c>
      <c r="E807" s="28">
        <v>3135.0</v>
      </c>
    </row>
    <row r="808" ht="15.75" customHeight="1">
      <c r="A808" s="3" t="s">
        <v>10</v>
      </c>
      <c r="B808" s="13">
        <v>1220238.4</v>
      </c>
      <c r="C808" s="13">
        <v>762027.6</v>
      </c>
      <c r="D808" s="13">
        <v>458210.79999999993</v>
      </c>
      <c r="E808" s="28">
        <v>4780.0</v>
      </c>
    </row>
    <row r="809" ht="15.75" customHeight="1">
      <c r="A809" s="3" t="s">
        <v>10</v>
      </c>
      <c r="B809" s="13">
        <v>1427781.04</v>
      </c>
      <c r="C809" s="13">
        <v>891636.0599999999</v>
      </c>
      <c r="D809" s="13">
        <v>536144.9800000001</v>
      </c>
      <c r="E809" s="28">
        <v>5593.0</v>
      </c>
    </row>
    <row r="810" ht="15.75" customHeight="1">
      <c r="A810" s="3" t="s">
        <v>11</v>
      </c>
      <c r="B810" s="13">
        <v>2831303.79</v>
      </c>
      <c r="C810" s="13">
        <v>2447434.59</v>
      </c>
      <c r="D810" s="13">
        <v>383869.2000000002</v>
      </c>
      <c r="E810" s="28">
        <v>6711.0</v>
      </c>
    </row>
    <row r="811" ht="15.75" customHeight="1">
      <c r="A811" s="3" t="s">
        <v>11</v>
      </c>
      <c r="B811" s="13">
        <v>919720.2</v>
      </c>
      <c r="C811" s="13">
        <v>795024.2</v>
      </c>
      <c r="D811" s="13">
        <v>124696.0</v>
      </c>
      <c r="E811" s="28">
        <v>2180.0</v>
      </c>
    </row>
    <row r="812" ht="15.75" customHeight="1">
      <c r="A812" s="3" t="s">
        <v>5</v>
      </c>
      <c r="B812" s="13">
        <v>321501.76</v>
      </c>
      <c r="C812" s="13">
        <v>105441.28000000001</v>
      </c>
      <c r="D812" s="13">
        <v>216060.47999999998</v>
      </c>
      <c r="E812" s="28">
        <v>2942.0</v>
      </c>
    </row>
    <row r="813" ht="15.75" customHeight="1">
      <c r="A813" s="3" t="s">
        <v>11</v>
      </c>
      <c r="B813" s="13">
        <v>70455.63</v>
      </c>
      <c r="C813" s="13">
        <v>60903.23</v>
      </c>
      <c r="D813" s="13">
        <v>9552.400000000001</v>
      </c>
      <c r="E813" s="28">
        <v>167.0</v>
      </c>
    </row>
    <row r="814" ht="15.75" customHeight="1">
      <c r="A814" s="3" t="s">
        <v>5</v>
      </c>
      <c r="B814" s="13">
        <v>678956.64</v>
      </c>
      <c r="C814" s="13">
        <v>222673.92</v>
      </c>
      <c r="D814" s="13">
        <v>456282.72</v>
      </c>
      <c r="E814" s="28">
        <v>6213.0</v>
      </c>
    </row>
    <row r="815" ht="15.75" customHeight="1">
      <c r="A815" s="3" t="s">
        <v>8</v>
      </c>
      <c r="B815" s="13">
        <v>13584.48</v>
      </c>
      <c r="C815" s="13">
        <v>10075.52</v>
      </c>
      <c r="D815" s="13">
        <v>3508.959999999999</v>
      </c>
      <c r="E815" s="28">
        <v>1456.0</v>
      </c>
    </row>
    <row r="816" ht="15.75" customHeight="1">
      <c r="A816" s="3" t="s">
        <v>14</v>
      </c>
      <c r="B816" s="13">
        <v>277391.62</v>
      </c>
      <c r="C816" s="13">
        <v>192337.98</v>
      </c>
      <c r="D816" s="13">
        <v>85053.63999999998</v>
      </c>
      <c r="E816" s="28">
        <v>3394.0</v>
      </c>
    </row>
    <row r="817" ht="15.75" customHeight="1">
      <c r="A817" s="3" t="s">
        <v>8</v>
      </c>
      <c r="B817" s="13">
        <v>73119.21</v>
      </c>
      <c r="C817" s="13">
        <v>54232.04</v>
      </c>
      <c r="D817" s="13">
        <v>18887.170000000006</v>
      </c>
      <c r="E817" s="28">
        <v>7837.0</v>
      </c>
    </row>
    <row r="818" ht="15.75" customHeight="1">
      <c r="A818" s="3" t="s">
        <v>3</v>
      </c>
      <c r="B818" s="13">
        <v>430530.1</v>
      </c>
      <c r="C818" s="13">
        <v>245111.23</v>
      </c>
      <c r="D818" s="13">
        <v>185418.86999999997</v>
      </c>
      <c r="E818" s="28">
        <v>2093.0</v>
      </c>
    </row>
    <row r="819" ht="15.75" customHeight="1">
      <c r="A819" s="3" t="s">
        <v>9</v>
      </c>
      <c r="B819" s="13">
        <v>618242.78</v>
      </c>
      <c r="C819" s="13">
        <v>364902.09</v>
      </c>
      <c r="D819" s="13">
        <v>253340.69</v>
      </c>
      <c r="E819" s="28">
        <v>4013.0</v>
      </c>
    </row>
    <row r="820" ht="15.75" customHeight="1">
      <c r="A820" s="3" t="s">
        <v>13</v>
      </c>
      <c r="B820" s="13">
        <v>516025.56000000006</v>
      </c>
      <c r="C820" s="13">
        <v>329542.08</v>
      </c>
      <c r="D820" s="13">
        <v>186483.48000000004</v>
      </c>
      <c r="E820" s="28">
        <v>3382.0</v>
      </c>
    </row>
    <row r="821" ht="15.75" customHeight="1">
      <c r="A821" s="3" t="s">
        <v>12</v>
      </c>
      <c r="B821" s="13">
        <v>3090566.8</v>
      </c>
      <c r="C821" s="13">
        <v>1861479.7699999998</v>
      </c>
      <c r="D821" s="13">
        <v>1229087.03</v>
      </c>
      <c r="E821" s="28">
        <v>7069.0</v>
      </c>
    </row>
    <row r="822" ht="15.75" customHeight="1">
      <c r="A822" s="3" t="s">
        <v>10</v>
      </c>
      <c r="B822" s="13">
        <v>2402184.8</v>
      </c>
      <c r="C822" s="13">
        <v>1500142.2</v>
      </c>
      <c r="D822" s="13">
        <v>902042.5999999999</v>
      </c>
      <c r="E822" s="28">
        <v>9410.0</v>
      </c>
    </row>
    <row r="823" ht="15.75" customHeight="1">
      <c r="A823" s="3" t="s">
        <v>11</v>
      </c>
      <c r="B823" s="13">
        <v>129098.34</v>
      </c>
      <c r="C823" s="13">
        <v>111595.14</v>
      </c>
      <c r="D823" s="13">
        <v>17503.199999999997</v>
      </c>
      <c r="E823" s="28">
        <v>306.0</v>
      </c>
    </row>
    <row r="824" ht="15.75" customHeight="1">
      <c r="A824" s="3" t="s">
        <v>12</v>
      </c>
      <c r="B824" s="13">
        <v>1303293.2</v>
      </c>
      <c r="C824" s="13">
        <v>784986.73</v>
      </c>
      <c r="D824" s="13">
        <v>518306.47</v>
      </c>
      <c r="E824" s="28">
        <v>2981.0</v>
      </c>
    </row>
    <row r="825" ht="15.75" customHeight="1">
      <c r="A825" s="3" t="s">
        <v>14</v>
      </c>
      <c r="B825" s="13">
        <v>67754.17</v>
      </c>
      <c r="C825" s="13">
        <v>46979.43</v>
      </c>
      <c r="D825" s="13">
        <v>20774.739999999998</v>
      </c>
      <c r="E825" s="28">
        <v>829.0</v>
      </c>
    </row>
    <row r="826" ht="15.75" customHeight="1">
      <c r="A826" s="3" t="s">
        <v>8</v>
      </c>
      <c r="B826" s="13">
        <v>43897.65</v>
      </c>
      <c r="C826" s="13">
        <v>32558.6</v>
      </c>
      <c r="D826" s="13">
        <v>11339.050000000003</v>
      </c>
      <c r="E826" s="28">
        <v>4705.0</v>
      </c>
    </row>
    <row r="827" ht="15.75" customHeight="1">
      <c r="A827" s="3" t="s">
        <v>6</v>
      </c>
      <c r="B827" s="13">
        <v>31933.850000000002</v>
      </c>
      <c r="C827" s="13">
        <v>21394.67</v>
      </c>
      <c r="D827" s="13">
        <v>10539.180000000004</v>
      </c>
      <c r="E827" s="28">
        <v>673.0</v>
      </c>
    </row>
    <row r="828" ht="15.75" customHeight="1">
      <c r="A828" s="3" t="s">
        <v>3</v>
      </c>
      <c r="B828" s="13">
        <v>146047.0</v>
      </c>
      <c r="C828" s="13">
        <v>83148.1</v>
      </c>
      <c r="D828" s="13">
        <v>62898.899999999994</v>
      </c>
      <c r="E828" s="28">
        <v>710.0</v>
      </c>
    </row>
    <row r="829" ht="15.75" customHeight="1">
      <c r="A829" s="3" t="s">
        <v>10</v>
      </c>
      <c r="B829" s="13">
        <v>1696846.16</v>
      </c>
      <c r="C829" s="13">
        <v>1059664.74</v>
      </c>
      <c r="D829" s="13">
        <v>637181.4199999999</v>
      </c>
      <c r="E829" s="28">
        <v>6647.0</v>
      </c>
    </row>
    <row r="830" ht="15.75" customHeight="1">
      <c r="A830" s="3" t="s">
        <v>7</v>
      </c>
      <c r="B830" s="13">
        <v>3813485.7600000002</v>
      </c>
      <c r="C830" s="13">
        <v>3074165.7600000002</v>
      </c>
      <c r="D830" s="13">
        <v>739320.0</v>
      </c>
      <c r="E830" s="28">
        <v>5856.0</v>
      </c>
    </row>
    <row r="831" ht="15.75" customHeight="1">
      <c r="A831" s="3" t="s">
        <v>8</v>
      </c>
      <c r="B831" s="13">
        <v>1044.96</v>
      </c>
      <c r="C831" s="13">
        <v>775.04</v>
      </c>
      <c r="D831" s="13">
        <v>269.9200000000001</v>
      </c>
      <c r="E831" s="28">
        <v>112.0</v>
      </c>
    </row>
    <row r="832" ht="15.75" customHeight="1">
      <c r="A832" s="3" t="s">
        <v>7</v>
      </c>
      <c r="B832" s="13">
        <v>2635446.87</v>
      </c>
      <c r="C832" s="13">
        <v>2124513.12</v>
      </c>
      <c r="D832" s="13">
        <v>510933.75</v>
      </c>
      <c r="E832" s="28">
        <v>4047.0</v>
      </c>
    </row>
    <row r="833" ht="15.75" customHeight="1">
      <c r="A833" s="3" t="s">
        <v>6</v>
      </c>
      <c r="B833" s="13">
        <v>356966.35000000003</v>
      </c>
      <c r="C833" s="13">
        <v>239156.16999999998</v>
      </c>
      <c r="D833" s="13">
        <v>117810.18000000005</v>
      </c>
      <c r="E833" s="28">
        <v>7523.0</v>
      </c>
    </row>
    <row r="834" ht="15.75" customHeight="1">
      <c r="A834" s="3" t="s">
        <v>6</v>
      </c>
      <c r="B834" s="13">
        <v>148708.30000000002</v>
      </c>
      <c r="C834" s="13">
        <v>99629.86</v>
      </c>
      <c r="D834" s="13">
        <v>49078.44000000002</v>
      </c>
      <c r="E834" s="28">
        <v>3134.0</v>
      </c>
    </row>
    <row r="835" ht="15.75" customHeight="1">
      <c r="A835" s="3" t="s">
        <v>11</v>
      </c>
      <c r="B835" s="13">
        <v>2099746.53</v>
      </c>
      <c r="C835" s="13">
        <v>1815062.13</v>
      </c>
      <c r="D835" s="13">
        <v>284684.3999999999</v>
      </c>
      <c r="E835" s="28">
        <v>4977.0</v>
      </c>
    </row>
    <row r="836" ht="15.75" customHeight="1">
      <c r="A836" s="3" t="s">
        <v>11</v>
      </c>
      <c r="B836" s="13">
        <v>1499818.95</v>
      </c>
      <c r="C836" s="13">
        <v>1296472.95</v>
      </c>
      <c r="D836" s="13">
        <v>203346.0</v>
      </c>
      <c r="E836" s="28">
        <v>3555.0</v>
      </c>
    </row>
    <row r="837" ht="15.75" customHeight="1">
      <c r="A837" s="3" t="s">
        <v>8</v>
      </c>
      <c r="B837" s="13">
        <v>89194.8</v>
      </c>
      <c r="C837" s="13">
        <v>66155.2</v>
      </c>
      <c r="D837" s="13">
        <v>23039.600000000006</v>
      </c>
      <c r="E837" s="28">
        <v>9560.0</v>
      </c>
    </row>
    <row r="838" ht="15.75" customHeight="1">
      <c r="A838" s="3" t="s">
        <v>14</v>
      </c>
      <c r="B838" s="13">
        <v>403255.82</v>
      </c>
      <c r="C838" s="13">
        <v>279609.78</v>
      </c>
      <c r="D838" s="13">
        <v>123646.03999999998</v>
      </c>
      <c r="E838" s="28">
        <v>4934.0</v>
      </c>
    </row>
    <row r="839" ht="15.75" customHeight="1">
      <c r="A839" s="3" t="s">
        <v>7</v>
      </c>
      <c r="B839" s="13">
        <v>5294988.510000001</v>
      </c>
      <c r="C839" s="13">
        <v>4268449.760000001</v>
      </c>
      <c r="D839" s="13">
        <v>1026538.75</v>
      </c>
      <c r="E839" s="28">
        <v>8131.0</v>
      </c>
    </row>
    <row r="840" ht="15.75" customHeight="1">
      <c r="A840" s="3" t="s">
        <v>11</v>
      </c>
      <c r="B840" s="13">
        <v>650976.27</v>
      </c>
      <c r="C840" s="13">
        <v>562716.67</v>
      </c>
      <c r="D840" s="13">
        <v>88259.59999999998</v>
      </c>
      <c r="E840" s="28">
        <v>1543.0</v>
      </c>
    </row>
    <row r="841" ht="15.75" customHeight="1">
      <c r="A841" s="3" t="s">
        <v>11</v>
      </c>
      <c r="B841" s="13">
        <v>144286.38</v>
      </c>
      <c r="C841" s="13">
        <v>124723.98</v>
      </c>
      <c r="D841" s="13">
        <v>19562.40000000001</v>
      </c>
      <c r="E841" s="28">
        <v>342.0</v>
      </c>
    </row>
    <row r="842" ht="15.75" customHeight="1">
      <c r="A842" s="3" t="s">
        <v>3</v>
      </c>
      <c r="B842" s="13">
        <v>1319771.2</v>
      </c>
      <c r="C842" s="13">
        <v>751377.76</v>
      </c>
      <c r="D842" s="13">
        <v>568393.44</v>
      </c>
      <c r="E842" s="28">
        <v>6416.0</v>
      </c>
    </row>
    <row r="843" ht="15.75" customHeight="1">
      <c r="A843" s="3" t="s">
        <v>10</v>
      </c>
      <c r="B843" s="13">
        <v>440358.0</v>
      </c>
      <c r="C843" s="13">
        <v>274999.5</v>
      </c>
      <c r="D843" s="13">
        <v>165358.5</v>
      </c>
      <c r="E843" s="28">
        <v>1725.0</v>
      </c>
    </row>
    <row r="844" ht="15.75" customHeight="1">
      <c r="A844" s="3" t="s">
        <v>6</v>
      </c>
      <c r="B844" s="13">
        <v>439814.05000000005</v>
      </c>
      <c r="C844" s="13">
        <v>294661.51</v>
      </c>
      <c r="D844" s="13">
        <v>145152.54000000004</v>
      </c>
      <c r="E844" s="28">
        <v>9269.0</v>
      </c>
    </row>
    <row r="845" ht="15.75" customHeight="1">
      <c r="A845" s="3" t="s">
        <v>10</v>
      </c>
      <c r="B845" s="13">
        <v>1306523.04</v>
      </c>
      <c r="C845" s="13">
        <v>815911.5599999999</v>
      </c>
      <c r="D845" s="13">
        <v>490611.4800000001</v>
      </c>
      <c r="E845" s="28">
        <v>5118.0</v>
      </c>
    </row>
    <row r="846" ht="15.75" customHeight="1">
      <c r="A846" s="3" t="s">
        <v>5</v>
      </c>
      <c r="B846" s="13">
        <v>1075643.04</v>
      </c>
      <c r="C846" s="13">
        <v>352773.12000000005</v>
      </c>
      <c r="D846" s="13">
        <v>722869.9199999999</v>
      </c>
      <c r="E846" s="28">
        <v>9843.0</v>
      </c>
    </row>
    <row r="847" ht="15.75" customHeight="1">
      <c r="A847" s="3" t="s">
        <v>7</v>
      </c>
      <c r="B847" s="13">
        <v>991141.6200000001</v>
      </c>
      <c r="C847" s="13">
        <v>798989.1200000001</v>
      </c>
      <c r="D847" s="13">
        <v>192152.5</v>
      </c>
      <c r="E847" s="28">
        <v>1522.0</v>
      </c>
    </row>
    <row r="848" ht="15.75" customHeight="1">
      <c r="A848" s="3" t="s">
        <v>6</v>
      </c>
      <c r="B848" s="13">
        <v>468568.75</v>
      </c>
      <c r="C848" s="13">
        <v>313926.25</v>
      </c>
      <c r="D848" s="13">
        <v>154642.5</v>
      </c>
      <c r="E848" s="28">
        <v>9875.0</v>
      </c>
    </row>
    <row r="849" ht="15.75" customHeight="1">
      <c r="A849" s="3" t="s">
        <v>9</v>
      </c>
      <c r="B849" s="13">
        <v>1149133.54</v>
      </c>
      <c r="C849" s="13">
        <v>678246.87</v>
      </c>
      <c r="D849" s="13">
        <v>470886.67000000004</v>
      </c>
      <c r="E849" s="28">
        <v>7459.0</v>
      </c>
    </row>
    <row r="850" ht="15.75" customHeight="1">
      <c r="A850" s="3" t="s">
        <v>10</v>
      </c>
      <c r="B850" s="13">
        <v>2354447.44</v>
      </c>
      <c r="C850" s="13">
        <v>1470330.66</v>
      </c>
      <c r="D850" s="13">
        <v>884116.78</v>
      </c>
      <c r="E850" s="28">
        <v>9223.0</v>
      </c>
    </row>
    <row r="851" ht="15.75" customHeight="1">
      <c r="A851" s="3" t="s">
        <v>9</v>
      </c>
      <c r="B851" s="13">
        <v>732863.42</v>
      </c>
      <c r="C851" s="13">
        <v>432554.01</v>
      </c>
      <c r="D851" s="13">
        <v>300309.41000000003</v>
      </c>
      <c r="E851" s="28">
        <v>4757.0</v>
      </c>
    </row>
    <row r="852" ht="15.75" customHeight="1">
      <c r="A852" s="3" t="s">
        <v>3</v>
      </c>
      <c r="B852" s="13">
        <v>1783007.5999999999</v>
      </c>
      <c r="C852" s="13">
        <v>1015109.48</v>
      </c>
      <c r="D852" s="13">
        <v>767898.1199999999</v>
      </c>
      <c r="E852" s="28">
        <v>8668.0</v>
      </c>
    </row>
    <row r="853" ht="15.75" customHeight="1">
      <c r="A853" s="3" t="s">
        <v>13</v>
      </c>
      <c r="B853" s="13">
        <v>288528.78</v>
      </c>
      <c r="C853" s="13">
        <v>184259.04</v>
      </c>
      <c r="D853" s="13">
        <v>104269.74000000002</v>
      </c>
      <c r="E853" s="28">
        <v>1891.0</v>
      </c>
    </row>
    <row r="854" ht="15.75" customHeight="1">
      <c r="A854" s="3" t="s">
        <v>6</v>
      </c>
      <c r="B854" s="13">
        <v>56655.3</v>
      </c>
      <c r="C854" s="13">
        <v>37957.26</v>
      </c>
      <c r="D854" s="13">
        <v>18698.04</v>
      </c>
      <c r="E854" s="28">
        <v>1194.0</v>
      </c>
    </row>
    <row r="855" ht="15.75" customHeight="1">
      <c r="A855" s="3" t="s">
        <v>6</v>
      </c>
      <c r="B855" s="13">
        <v>399149.4</v>
      </c>
      <c r="C855" s="13">
        <v>267417.48</v>
      </c>
      <c r="D855" s="13">
        <v>131731.92000000004</v>
      </c>
      <c r="E855" s="28">
        <v>8412.0</v>
      </c>
    </row>
    <row r="856" ht="15.75" customHeight="1">
      <c r="A856" s="3" t="s">
        <v>14</v>
      </c>
      <c r="B856" s="13">
        <v>241757.34000000003</v>
      </c>
      <c r="C856" s="13">
        <v>167629.86000000002</v>
      </c>
      <c r="D856" s="13">
        <v>74127.48000000001</v>
      </c>
      <c r="E856" s="28">
        <v>2958.0</v>
      </c>
    </row>
    <row r="857" ht="15.75" customHeight="1">
      <c r="A857" s="3" t="s">
        <v>7</v>
      </c>
      <c r="B857" s="13">
        <v>3478763.8200000003</v>
      </c>
      <c r="C857" s="13">
        <v>2804336.3200000003</v>
      </c>
      <c r="D857" s="13">
        <v>674427.5</v>
      </c>
      <c r="E857" s="28">
        <v>5342.0</v>
      </c>
    </row>
    <row r="858" ht="15.75" customHeight="1">
      <c r="A858" s="3" t="s">
        <v>13</v>
      </c>
      <c r="B858" s="13">
        <v>1299523.86</v>
      </c>
      <c r="C858" s="13">
        <v>829896.48</v>
      </c>
      <c r="D858" s="13">
        <v>469627.3800000001</v>
      </c>
      <c r="E858" s="28">
        <v>8517.0</v>
      </c>
    </row>
    <row r="859" ht="15.75" customHeight="1">
      <c r="A859" s="3" t="s">
        <v>4</v>
      </c>
      <c r="B859" s="13">
        <v>1919939.71</v>
      </c>
      <c r="C859" s="13">
        <v>1443797.4200000002</v>
      </c>
      <c r="D859" s="13">
        <v>476142.2899999998</v>
      </c>
      <c r="E859" s="28">
        <v>2873.0</v>
      </c>
    </row>
    <row r="860" ht="15.75" customHeight="1">
      <c r="A860" s="3" t="s">
        <v>3</v>
      </c>
      <c r="B860" s="13">
        <v>1067788.7</v>
      </c>
      <c r="C860" s="13">
        <v>607918.01</v>
      </c>
      <c r="D860" s="13">
        <v>459870.68999999994</v>
      </c>
      <c r="E860" s="28">
        <v>5191.0</v>
      </c>
    </row>
    <row r="861" ht="15.75" customHeight="1">
      <c r="A861" s="3" t="s">
        <v>8</v>
      </c>
      <c r="B861" s="13">
        <v>57855.33</v>
      </c>
      <c r="C861" s="13">
        <v>42910.92</v>
      </c>
      <c r="D861" s="13">
        <v>14944.410000000003</v>
      </c>
      <c r="E861" s="28">
        <v>6201.0</v>
      </c>
    </row>
    <row r="862" ht="15.75" customHeight="1">
      <c r="A862" s="3" t="s">
        <v>4</v>
      </c>
      <c r="B862" s="13">
        <v>5191789.63</v>
      </c>
      <c r="C862" s="13">
        <v>3904233.2600000002</v>
      </c>
      <c r="D862" s="13">
        <v>1287556.3699999996</v>
      </c>
      <c r="E862" s="28">
        <v>7769.0</v>
      </c>
    </row>
    <row r="863" ht="15.75" customHeight="1">
      <c r="A863" s="3" t="s">
        <v>7</v>
      </c>
      <c r="B863" s="13">
        <v>5807490.78</v>
      </c>
      <c r="C863" s="13">
        <v>4681593.28</v>
      </c>
      <c r="D863" s="13">
        <v>1125897.5</v>
      </c>
      <c r="E863" s="28">
        <v>8918.0</v>
      </c>
    </row>
    <row r="864" ht="15.75" customHeight="1">
      <c r="A864" s="3" t="s">
        <v>4</v>
      </c>
      <c r="B864" s="13">
        <v>6468853.6</v>
      </c>
      <c r="C864" s="13">
        <v>4864587.2</v>
      </c>
      <c r="D864" s="13">
        <v>1604266.3999999994</v>
      </c>
      <c r="E864" s="28">
        <v>9680.0</v>
      </c>
    </row>
    <row r="865" ht="15.75" customHeight="1">
      <c r="A865" s="3" t="s">
        <v>12</v>
      </c>
      <c r="B865" s="13">
        <v>170945.19999999998</v>
      </c>
      <c r="C865" s="13">
        <v>102962.03</v>
      </c>
      <c r="D865" s="13">
        <v>67983.16999999998</v>
      </c>
      <c r="E865" s="28">
        <v>391.0</v>
      </c>
    </row>
    <row r="866" ht="15.75" customHeight="1">
      <c r="A866" s="3" t="s">
        <v>5</v>
      </c>
      <c r="B866" s="13">
        <v>13441.44</v>
      </c>
      <c r="C866" s="13">
        <v>4408.320000000001</v>
      </c>
      <c r="D866" s="13">
        <v>9033.119999999999</v>
      </c>
      <c r="E866" s="28">
        <v>123.0</v>
      </c>
    </row>
    <row r="867" ht="15.75" customHeight="1">
      <c r="A867" s="3" t="s">
        <v>7</v>
      </c>
      <c r="B867" s="13">
        <v>21489.93</v>
      </c>
      <c r="C867" s="13">
        <v>17323.68</v>
      </c>
      <c r="D867" s="13">
        <v>4166.25</v>
      </c>
      <c r="E867" s="28">
        <v>33.0</v>
      </c>
    </row>
    <row r="868" ht="15.75" customHeight="1">
      <c r="A868" s="3" t="s">
        <v>11</v>
      </c>
      <c r="B868" s="13">
        <v>1632714.3</v>
      </c>
      <c r="C868" s="13">
        <v>1411350.3</v>
      </c>
      <c r="D868" s="13">
        <v>221364.0</v>
      </c>
      <c r="E868" s="28">
        <v>3870.0</v>
      </c>
    </row>
    <row r="869" ht="15.75" customHeight="1">
      <c r="A869" s="3" t="s">
        <v>11</v>
      </c>
      <c r="B869" s="13">
        <v>3794478.6599999997</v>
      </c>
      <c r="C869" s="13">
        <v>3280021.86</v>
      </c>
      <c r="D869" s="13">
        <v>514456.7999999998</v>
      </c>
      <c r="E869" s="28">
        <v>8994.0</v>
      </c>
    </row>
    <row r="870" ht="15.75" customHeight="1">
      <c r="A870" s="3" t="s">
        <v>8</v>
      </c>
      <c r="B870" s="13">
        <v>92908.14</v>
      </c>
      <c r="C870" s="13">
        <v>68909.36</v>
      </c>
      <c r="D870" s="13">
        <v>23998.78</v>
      </c>
      <c r="E870" s="28">
        <v>9958.0</v>
      </c>
    </row>
    <row r="871" ht="15.75" customHeight="1">
      <c r="A871" s="3" t="s">
        <v>8</v>
      </c>
      <c r="B871" s="13">
        <v>84921.66</v>
      </c>
      <c r="C871" s="13">
        <v>62985.84</v>
      </c>
      <c r="D871" s="13">
        <v>21935.820000000007</v>
      </c>
      <c r="E871" s="28">
        <v>9102.0</v>
      </c>
    </row>
    <row r="872" ht="15.75" customHeight="1">
      <c r="A872" s="3" t="s">
        <v>4</v>
      </c>
      <c r="B872" s="13">
        <v>4142605.73</v>
      </c>
      <c r="C872" s="13">
        <v>3115245.46</v>
      </c>
      <c r="D872" s="13">
        <v>1027360.27</v>
      </c>
      <c r="E872" s="28">
        <v>6199.0</v>
      </c>
    </row>
    <row r="873" ht="15.75" customHeight="1">
      <c r="A873" s="3" t="s">
        <v>3</v>
      </c>
      <c r="B873" s="13">
        <v>1179689.5</v>
      </c>
      <c r="C873" s="13">
        <v>671625.85</v>
      </c>
      <c r="D873" s="13">
        <v>508063.65</v>
      </c>
      <c r="E873" s="28">
        <v>5735.0</v>
      </c>
    </row>
    <row r="874" ht="15.75" customHeight="1">
      <c r="A874" s="3" t="s">
        <v>14</v>
      </c>
      <c r="B874" s="13">
        <v>417149.92000000004</v>
      </c>
      <c r="C874" s="13">
        <v>289243.68</v>
      </c>
      <c r="D874" s="13">
        <v>127906.24000000005</v>
      </c>
      <c r="E874" s="28">
        <v>5104.0</v>
      </c>
    </row>
    <row r="875" ht="15.75" customHeight="1">
      <c r="A875" s="3" t="s">
        <v>10</v>
      </c>
      <c r="B875" s="13">
        <v>1272570.8</v>
      </c>
      <c r="C875" s="13">
        <v>794708.7</v>
      </c>
      <c r="D875" s="13">
        <v>477862.1000000001</v>
      </c>
      <c r="E875" s="28">
        <v>4985.0</v>
      </c>
    </row>
    <row r="876" ht="15.75" customHeight="1">
      <c r="A876" s="3" t="s">
        <v>14</v>
      </c>
      <c r="B876" s="13">
        <v>290877.07</v>
      </c>
      <c r="C876" s="13">
        <v>201688.53</v>
      </c>
      <c r="D876" s="13">
        <v>89188.54000000001</v>
      </c>
      <c r="E876" s="28">
        <v>3559.0</v>
      </c>
    </row>
    <row r="877" ht="15.75" customHeight="1">
      <c r="A877" s="3" t="s">
        <v>11</v>
      </c>
      <c r="B877" s="13">
        <v>3346431.48</v>
      </c>
      <c r="C877" s="13">
        <v>2892721.08</v>
      </c>
      <c r="D877" s="13">
        <v>453710.3999999999</v>
      </c>
      <c r="E877" s="28">
        <v>7932.0</v>
      </c>
    </row>
    <row r="878" ht="15.75" customHeight="1">
      <c r="A878" s="3" t="s">
        <v>8</v>
      </c>
      <c r="B878" s="13">
        <v>50587.26</v>
      </c>
      <c r="C878" s="13">
        <v>37520.24</v>
      </c>
      <c r="D878" s="13">
        <v>13067.020000000004</v>
      </c>
      <c r="E878" s="28">
        <v>5422.0</v>
      </c>
    </row>
    <row r="879" ht="15.75" customHeight="1">
      <c r="A879" s="3" t="s">
        <v>12</v>
      </c>
      <c r="B879" s="13">
        <v>1678848.0</v>
      </c>
      <c r="C879" s="13">
        <v>1011187.2</v>
      </c>
      <c r="D879" s="13">
        <v>667660.8</v>
      </c>
      <c r="E879" s="28">
        <v>3840.0</v>
      </c>
    </row>
    <row r="880" ht="15.75" customHeight="1">
      <c r="A880" s="3" t="s">
        <v>9</v>
      </c>
      <c r="B880" s="13">
        <v>1245112.92</v>
      </c>
      <c r="C880" s="13">
        <v>734896.26</v>
      </c>
      <c r="D880" s="13">
        <v>510216.6599999999</v>
      </c>
      <c r="E880" s="28">
        <v>8082.0</v>
      </c>
    </row>
    <row r="881" ht="15.75" customHeight="1">
      <c r="A881" s="3" t="s">
        <v>9</v>
      </c>
      <c r="B881" s="13">
        <v>781392.3200000001</v>
      </c>
      <c r="C881" s="13">
        <v>461196.96</v>
      </c>
      <c r="D881" s="13">
        <v>320195.36000000004</v>
      </c>
      <c r="E881" s="28">
        <v>5072.0</v>
      </c>
    </row>
    <row r="882" ht="15.75" customHeight="1">
      <c r="A882" s="3" t="s">
        <v>7</v>
      </c>
      <c r="B882" s="13">
        <v>4080481.8600000003</v>
      </c>
      <c r="C882" s="13">
        <v>3289399.3600000003</v>
      </c>
      <c r="D882" s="13">
        <v>791082.5</v>
      </c>
      <c r="E882" s="28">
        <v>6266.0</v>
      </c>
    </row>
    <row r="883" ht="15.75" customHeight="1">
      <c r="A883" s="3" t="s">
        <v>4</v>
      </c>
      <c r="B883" s="13">
        <v>1397352.57</v>
      </c>
      <c r="C883" s="13">
        <v>1050811.1400000001</v>
      </c>
      <c r="D883" s="13">
        <v>346541.42999999993</v>
      </c>
      <c r="E883" s="28">
        <v>2091.0</v>
      </c>
    </row>
    <row r="884" ht="15.75" customHeight="1">
      <c r="A884" s="3" t="s">
        <v>3</v>
      </c>
      <c r="B884" s="13">
        <v>1710395.5</v>
      </c>
      <c r="C884" s="13">
        <v>973769.65</v>
      </c>
      <c r="D884" s="13">
        <v>736625.85</v>
      </c>
      <c r="E884" s="28">
        <v>8315.0</v>
      </c>
    </row>
    <row r="885" ht="15.75" customHeight="1">
      <c r="A885" s="3" t="s">
        <v>4</v>
      </c>
      <c r="B885" s="13">
        <v>132317.46</v>
      </c>
      <c r="C885" s="13">
        <v>99502.92</v>
      </c>
      <c r="D885" s="13">
        <v>32814.53999999999</v>
      </c>
      <c r="E885" s="28">
        <v>198.0</v>
      </c>
    </row>
    <row r="886" ht="15.75" customHeight="1">
      <c r="A886" s="3" t="s">
        <v>12</v>
      </c>
      <c r="B886" s="13">
        <v>753295.6</v>
      </c>
      <c r="C886" s="13">
        <v>453717.58999999997</v>
      </c>
      <c r="D886" s="13">
        <v>299578.01</v>
      </c>
      <c r="E886" s="28">
        <v>1723.0</v>
      </c>
    </row>
    <row r="887" ht="15.75" customHeight="1">
      <c r="A887" s="3" t="s">
        <v>4</v>
      </c>
      <c r="B887" s="13">
        <v>1449477.63</v>
      </c>
      <c r="C887" s="13">
        <v>1090009.26</v>
      </c>
      <c r="D887" s="13">
        <v>359468.3699999999</v>
      </c>
      <c r="E887" s="28">
        <v>2169.0</v>
      </c>
    </row>
    <row r="888" ht="15.75" customHeight="1">
      <c r="A888" s="3" t="s">
        <v>9</v>
      </c>
      <c r="B888" s="13">
        <v>339394.18</v>
      </c>
      <c r="C888" s="13">
        <v>200318.79</v>
      </c>
      <c r="D888" s="13">
        <v>139075.38999999998</v>
      </c>
      <c r="E888" s="28">
        <v>2203.0</v>
      </c>
    </row>
    <row r="889" ht="15.75" customHeight="1">
      <c r="A889" s="3" t="s">
        <v>6</v>
      </c>
      <c r="B889" s="13">
        <v>137984.6</v>
      </c>
      <c r="C889" s="13">
        <v>92445.31999999999</v>
      </c>
      <c r="D889" s="13">
        <v>45539.28000000001</v>
      </c>
      <c r="E889" s="28">
        <v>2908.0</v>
      </c>
    </row>
    <row r="890" ht="15.75" customHeight="1">
      <c r="A890" s="3" t="s">
        <v>9</v>
      </c>
      <c r="B890" s="13">
        <v>1144049.56</v>
      </c>
      <c r="C890" s="13">
        <v>675246.18</v>
      </c>
      <c r="D890" s="13">
        <v>468803.38</v>
      </c>
      <c r="E890" s="28">
        <v>7426.0</v>
      </c>
    </row>
    <row r="891" ht="15.75" customHeight="1">
      <c r="A891" s="3" t="s">
        <v>11</v>
      </c>
      <c r="B891" s="13">
        <v>2477759.9699999997</v>
      </c>
      <c r="C891" s="13">
        <v>2141824.37</v>
      </c>
      <c r="D891" s="13">
        <v>335935.5999999996</v>
      </c>
      <c r="E891" s="28">
        <v>5873.0</v>
      </c>
    </row>
    <row r="892" ht="15.75" customHeight="1">
      <c r="A892" s="3" t="s">
        <v>6</v>
      </c>
      <c r="B892" s="13">
        <v>45362.200000000004</v>
      </c>
      <c r="C892" s="13">
        <v>30391.239999999998</v>
      </c>
      <c r="D892" s="13">
        <v>14970.960000000006</v>
      </c>
      <c r="E892" s="28">
        <v>956.0</v>
      </c>
    </row>
    <row r="893" ht="15.75" customHeight="1">
      <c r="A893" s="3" t="s">
        <v>12</v>
      </c>
      <c r="B893" s="13">
        <v>288989.2</v>
      </c>
      <c r="C893" s="13">
        <v>174061.12999999998</v>
      </c>
      <c r="D893" s="13">
        <v>114928.07000000004</v>
      </c>
      <c r="E893" s="28">
        <v>661.0</v>
      </c>
    </row>
    <row r="894" ht="15.75" customHeight="1">
      <c r="A894" s="3" t="s">
        <v>5</v>
      </c>
      <c r="B894" s="13">
        <v>247519.2</v>
      </c>
      <c r="C894" s="13">
        <v>81177.6</v>
      </c>
      <c r="D894" s="13">
        <v>166341.6</v>
      </c>
      <c r="E894" s="28">
        <v>2265.0</v>
      </c>
    </row>
    <row r="895" ht="15.75" customHeight="1">
      <c r="A895" s="3" t="s">
        <v>10</v>
      </c>
      <c r="B895" s="13">
        <v>1156163.12</v>
      </c>
      <c r="C895" s="13">
        <v>722013.1799999999</v>
      </c>
      <c r="D895" s="13">
        <v>434149.9400000002</v>
      </c>
      <c r="E895" s="28">
        <v>4529.0</v>
      </c>
    </row>
    <row r="896" ht="15.75" customHeight="1">
      <c r="A896" s="3" t="s">
        <v>5</v>
      </c>
      <c r="B896" s="13">
        <v>242820.16</v>
      </c>
      <c r="C896" s="13">
        <v>79636.48000000001</v>
      </c>
      <c r="D896" s="13">
        <v>163183.68</v>
      </c>
      <c r="E896" s="28">
        <v>2222.0</v>
      </c>
    </row>
    <row r="897" ht="15.75" customHeight="1">
      <c r="A897" s="3" t="s">
        <v>3</v>
      </c>
      <c r="B897" s="13">
        <v>1721091.9</v>
      </c>
      <c r="C897" s="13">
        <v>979859.37</v>
      </c>
      <c r="D897" s="13">
        <v>741232.5299999999</v>
      </c>
      <c r="E897" s="28">
        <v>8367.0</v>
      </c>
    </row>
    <row r="898" ht="15.75" customHeight="1">
      <c r="A898" s="3" t="s">
        <v>4</v>
      </c>
      <c r="B898" s="13">
        <v>3960168.02</v>
      </c>
      <c r="C898" s="13">
        <v>2978052.04</v>
      </c>
      <c r="D898" s="13">
        <v>982115.98</v>
      </c>
      <c r="E898" s="28">
        <v>5926.0</v>
      </c>
    </row>
    <row r="899" ht="15.75" customHeight="1">
      <c r="A899" s="3" t="s">
        <v>9</v>
      </c>
      <c r="B899" s="13">
        <v>3389.32</v>
      </c>
      <c r="C899" s="13">
        <v>2000.46</v>
      </c>
      <c r="D899" s="13">
        <v>1388.8600000000001</v>
      </c>
      <c r="E899" s="28">
        <v>22.0</v>
      </c>
    </row>
    <row r="900" ht="15.75" customHeight="1">
      <c r="A900" s="3" t="s">
        <v>4</v>
      </c>
      <c r="B900" s="13">
        <v>400962.0</v>
      </c>
      <c r="C900" s="13">
        <v>301524.0</v>
      </c>
      <c r="D900" s="13">
        <v>99438.0</v>
      </c>
      <c r="E900" s="28">
        <v>600.0</v>
      </c>
    </row>
    <row r="901" ht="15.75" customHeight="1">
      <c r="A901" s="3" t="s">
        <v>12</v>
      </c>
      <c r="B901" s="13">
        <v>1113985.5999999999</v>
      </c>
      <c r="C901" s="13">
        <v>670964.84</v>
      </c>
      <c r="D901" s="13">
        <v>443020.7599999999</v>
      </c>
      <c r="E901" s="28">
        <v>2548.0</v>
      </c>
    </row>
    <row r="902" ht="15.75" customHeight="1">
      <c r="A902" s="3" t="s">
        <v>5</v>
      </c>
      <c r="B902" s="13">
        <v>438322.08</v>
      </c>
      <c r="C902" s="13">
        <v>143754.24000000002</v>
      </c>
      <c r="D902" s="13">
        <v>294567.83999999997</v>
      </c>
      <c r="E902" s="28">
        <v>4011.0</v>
      </c>
    </row>
    <row r="903" ht="15.75" customHeight="1">
      <c r="A903" s="3" t="s">
        <v>4</v>
      </c>
      <c r="B903" s="13">
        <v>318764.79</v>
      </c>
      <c r="C903" s="13">
        <v>239711.58000000002</v>
      </c>
      <c r="D903" s="13">
        <v>79053.20999999996</v>
      </c>
      <c r="E903" s="28">
        <v>477.0</v>
      </c>
    </row>
    <row r="904" ht="15.75" customHeight="1">
      <c r="A904" s="3" t="s">
        <v>9</v>
      </c>
      <c r="B904" s="13">
        <v>714376.22</v>
      </c>
      <c r="C904" s="13">
        <v>421642.41000000003</v>
      </c>
      <c r="D904" s="13">
        <v>292733.80999999994</v>
      </c>
      <c r="E904" s="28">
        <v>4637.0</v>
      </c>
    </row>
    <row r="905" ht="15.75" customHeight="1">
      <c r="A905" s="3" t="s">
        <v>5</v>
      </c>
      <c r="B905" s="13">
        <v>684748.48</v>
      </c>
      <c r="C905" s="13">
        <v>224573.44000000003</v>
      </c>
      <c r="D905" s="13">
        <v>460175.0399999999</v>
      </c>
      <c r="E905" s="28">
        <v>6266.0</v>
      </c>
    </row>
    <row r="906" ht="15.75" customHeight="1">
      <c r="A906" s="3" t="s">
        <v>11</v>
      </c>
      <c r="B906" s="13">
        <v>563645.04</v>
      </c>
      <c r="C906" s="13">
        <v>487225.84</v>
      </c>
      <c r="D906" s="13">
        <v>76419.20000000001</v>
      </c>
      <c r="E906" s="28">
        <v>1336.0</v>
      </c>
    </row>
    <row r="907" ht="15.75" customHeight="1">
      <c r="A907" s="3" t="s">
        <v>4</v>
      </c>
      <c r="B907" s="13">
        <v>3780403.3899999997</v>
      </c>
      <c r="C907" s="13">
        <v>2842868.7800000003</v>
      </c>
      <c r="D907" s="13">
        <v>937534.6099999994</v>
      </c>
      <c r="E907" s="28">
        <v>5657.0</v>
      </c>
    </row>
    <row r="908" ht="15.75" customHeight="1">
      <c r="A908" s="3" t="s">
        <v>11</v>
      </c>
      <c r="B908" s="13">
        <v>485595.38999999996</v>
      </c>
      <c r="C908" s="13">
        <v>419758.19</v>
      </c>
      <c r="D908" s="13">
        <v>65837.19999999995</v>
      </c>
      <c r="E908" s="28">
        <v>1151.0</v>
      </c>
    </row>
    <row r="909" ht="15.75" customHeight="1">
      <c r="A909" s="3" t="s">
        <v>12</v>
      </c>
      <c r="B909" s="13">
        <v>3850420.4</v>
      </c>
      <c r="C909" s="13">
        <v>2319147.31</v>
      </c>
      <c r="D909" s="13">
        <v>1531273.0899999999</v>
      </c>
      <c r="E909" s="28">
        <v>8807.0</v>
      </c>
    </row>
    <row r="910" ht="15.75" customHeight="1">
      <c r="A910" s="3" t="s">
        <v>11</v>
      </c>
      <c r="B910" s="13">
        <v>2218719.51</v>
      </c>
      <c r="C910" s="13">
        <v>1917904.71</v>
      </c>
      <c r="D910" s="13">
        <v>300814.7999999998</v>
      </c>
      <c r="E910" s="28">
        <v>5259.0</v>
      </c>
    </row>
    <row r="911" ht="15.75" customHeight="1">
      <c r="A911" s="3" t="s">
        <v>11</v>
      </c>
      <c r="B911" s="13">
        <v>2423758.05</v>
      </c>
      <c r="C911" s="13">
        <v>2095144.05</v>
      </c>
      <c r="D911" s="13">
        <v>328613.99999999977</v>
      </c>
      <c r="E911" s="28">
        <v>5745.0</v>
      </c>
    </row>
    <row r="912" ht="15.75" customHeight="1">
      <c r="A912" s="3" t="s">
        <v>10</v>
      </c>
      <c r="B912" s="13">
        <v>2270715.6</v>
      </c>
      <c r="C912" s="13">
        <v>1418040.9</v>
      </c>
      <c r="D912" s="13">
        <v>852674.7000000002</v>
      </c>
      <c r="E912" s="28">
        <v>8895.0</v>
      </c>
    </row>
    <row r="913" ht="15.75" customHeight="1">
      <c r="A913" s="3" t="s">
        <v>10</v>
      </c>
      <c r="B913" s="13">
        <v>1855885.6</v>
      </c>
      <c r="C913" s="13">
        <v>1158983.4</v>
      </c>
      <c r="D913" s="13">
        <v>696902.2000000002</v>
      </c>
      <c r="E913" s="28">
        <v>7270.0</v>
      </c>
    </row>
    <row r="914" ht="15.75" customHeight="1">
      <c r="A914" s="3" t="s">
        <v>12</v>
      </c>
      <c r="B914" s="13">
        <v>4179632.0</v>
      </c>
      <c r="C914" s="13">
        <v>2517434.8</v>
      </c>
      <c r="D914" s="13">
        <v>1662197.2000000002</v>
      </c>
      <c r="E914" s="28">
        <v>9560.0</v>
      </c>
    </row>
    <row r="915" ht="15.75" customHeight="1">
      <c r="A915" s="3" t="s">
        <v>12</v>
      </c>
      <c r="B915" s="13">
        <v>1086442.0</v>
      </c>
      <c r="C915" s="13">
        <v>654375.0499999999</v>
      </c>
      <c r="D915" s="13">
        <v>432066.95000000007</v>
      </c>
      <c r="E915" s="28">
        <v>2485.0</v>
      </c>
    </row>
    <row r="916" ht="15.75" customHeight="1">
      <c r="A916" s="3" t="s">
        <v>3</v>
      </c>
      <c r="B916" s="13">
        <v>1908484.5999999999</v>
      </c>
      <c r="C916" s="13">
        <v>1086546.58</v>
      </c>
      <c r="D916" s="13">
        <v>821938.0199999998</v>
      </c>
      <c r="E916" s="28">
        <v>9278.0</v>
      </c>
    </row>
    <row r="917" ht="15.75" customHeight="1">
      <c r="A917" s="3" t="s">
        <v>7</v>
      </c>
      <c r="B917" s="13">
        <v>6032809.44</v>
      </c>
      <c r="C917" s="13">
        <v>4863229.44</v>
      </c>
      <c r="D917" s="13">
        <v>1169580.0</v>
      </c>
      <c r="E917" s="28">
        <v>9264.0</v>
      </c>
    </row>
    <row r="918" ht="15.75" customHeight="1">
      <c r="A918" s="3" t="s">
        <v>11</v>
      </c>
      <c r="B918" s="13">
        <v>278869.29</v>
      </c>
      <c r="C918" s="13">
        <v>241060.09</v>
      </c>
      <c r="D918" s="13">
        <v>37809.19999999998</v>
      </c>
      <c r="E918" s="28">
        <v>661.0</v>
      </c>
    </row>
    <row r="919" ht="15.75" customHeight="1">
      <c r="A919" s="3" t="s">
        <v>11</v>
      </c>
      <c r="B919" s="13">
        <v>3957750.09</v>
      </c>
      <c r="C919" s="13">
        <v>3421156.89</v>
      </c>
      <c r="D919" s="13">
        <v>536593.1999999997</v>
      </c>
      <c r="E919" s="28">
        <v>9381.0</v>
      </c>
    </row>
    <row r="920" ht="15.75" customHeight="1">
      <c r="A920" s="3" t="s">
        <v>9</v>
      </c>
      <c r="B920" s="13">
        <v>882917.86</v>
      </c>
      <c r="C920" s="13">
        <v>521119.83</v>
      </c>
      <c r="D920" s="13">
        <v>361798.02999999997</v>
      </c>
      <c r="E920" s="28">
        <v>5731.0</v>
      </c>
    </row>
    <row r="921" ht="15.75" customHeight="1">
      <c r="A921" s="3" t="s">
        <v>9</v>
      </c>
      <c r="B921" s="13">
        <v>776000.22</v>
      </c>
      <c r="C921" s="13">
        <v>458014.41000000003</v>
      </c>
      <c r="D921" s="13">
        <v>317985.80999999994</v>
      </c>
      <c r="E921" s="28">
        <v>5037.0</v>
      </c>
    </row>
    <row r="922" ht="15.75" customHeight="1">
      <c r="A922" s="3" t="s">
        <v>14</v>
      </c>
      <c r="B922" s="13">
        <v>357650.48000000004</v>
      </c>
      <c r="C922" s="13">
        <v>247987.92</v>
      </c>
      <c r="D922" s="13">
        <v>109662.56000000003</v>
      </c>
      <c r="E922" s="28">
        <v>4376.0</v>
      </c>
    </row>
    <row r="923" ht="15.75" customHeight="1">
      <c r="A923" s="3" t="s">
        <v>14</v>
      </c>
      <c r="B923" s="13">
        <v>705002.98</v>
      </c>
      <c r="C923" s="13">
        <v>488835.42000000004</v>
      </c>
      <c r="D923" s="13">
        <v>216167.55999999994</v>
      </c>
      <c r="E923" s="28">
        <v>8626.0</v>
      </c>
    </row>
    <row r="924" ht="15.75" customHeight="1">
      <c r="A924" s="3" t="s">
        <v>14</v>
      </c>
      <c r="B924" s="13">
        <v>178089.67</v>
      </c>
      <c r="C924" s="13">
        <v>123483.93000000001</v>
      </c>
      <c r="D924" s="13">
        <v>54605.740000000005</v>
      </c>
      <c r="E924" s="28">
        <v>2179.0</v>
      </c>
    </row>
    <row r="925" ht="15.75" customHeight="1">
      <c r="A925" s="3" t="s">
        <v>4</v>
      </c>
      <c r="B925" s="13">
        <v>5134986.68</v>
      </c>
      <c r="C925" s="13">
        <v>3861517.3600000003</v>
      </c>
      <c r="D925" s="13">
        <v>1273469.3199999994</v>
      </c>
      <c r="E925" s="28">
        <v>7684.0</v>
      </c>
    </row>
    <row r="926" ht="15.75" customHeight="1">
      <c r="A926" s="3" t="s">
        <v>13</v>
      </c>
      <c r="B926" s="13">
        <v>1264583.04</v>
      </c>
      <c r="C926" s="13">
        <v>807582.72</v>
      </c>
      <c r="D926" s="13">
        <v>457000.32000000007</v>
      </c>
      <c r="E926" s="28">
        <v>8288.0</v>
      </c>
    </row>
    <row r="927" ht="15.75" customHeight="1">
      <c r="A927" s="3" t="s">
        <v>6</v>
      </c>
      <c r="B927" s="13">
        <v>443183.0</v>
      </c>
      <c r="C927" s="13">
        <v>296918.6</v>
      </c>
      <c r="D927" s="13">
        <v>146264.40000000002</v>
      </c>
      <c r="E927" s="28">
        <v>9340.0</v>
      </c>
    </row>
    <row r="928" ht="15.75" customHeight="1">
      <c r="A928" s="3" t="s">
        <v>8</v>
      </c>
      <c r="B928" s="13">
        <v>66728.16</v>
      </c>
      <c r="C928" s="13">
        <v>49491.84</v>
      </c>
      <c r="D928" s="13">
        <v>17236.320000000007</v>
      </c>
      <c r="E928" s="28">
        <v>7152.0</v>
      </c>
    </row>
    <row r="929" ht="15.75" customHeight="1">
      <c r="A929" s="3" t="s">
        <v>4</v>
      </c>
      <c r="B929" s="13">
        <v>3424215.48</v>
      </c>
      <c r="C929" s="13">
        <v>2575014.96</v>
      </c>
      <c r="D929" s="13">
        <v>849200.52</v>
      </c>
      <c r="E929" s="28">
        <v>5124.0</v>
      </c>
    </row>
    <row r="930" ht="15.75" customHeight="1">
      <c r="A930" s="3" t="s">
        <v>9</v>
      </c>
      <c r="B930" s="13">
        <v>337391.4</v>
      </c>
      <c r="C930" s="13">
        <v>199136.7</v>
      </c>
      <c r="D930" s="13">
        <v>138254.7</v>
      </c>
      <c r="E930" s="28">
        <v>2190.0</v>
      </c>
    </row>
    <row r="931" ht="15.75" customHeight="1">
      <c r="A931" s="3" t="s">
        <v>4</v>
      </c>
      <c r="B931" s="13">
        <v>6111997.42</v>
      </c>
      <c r="C931" s="13">
        <v>4596230.84</v>
      </c>
      <c r="D931" s="13">
        <v>1515766.58</v>
      </c>
      <c r="E931" s="28">
        <v>9146.0</v>
      </c>
    </row>
    <row r="932" ht="15.75" customHeight="1">
      <c r="A932" s="3" t="s">
        <v>8</v>
      </c>
      <c r="B932" s="13">
        <v>16075.59</v>
      </c>
      <c r="C932" s="13">
        <v>11923.16</v>
      </c>
      <c r="D932" s="13">
        <v>4152.43</v>
      </c>
      <c r="E932" s="28">
        <v>1723.0</v>
      </c>
    </row>
    <row r="933" ht="15.75" customHeight="1">
      <c r="A933" s="3" t="s">
        <v>8</v>
      </c>
      <c r="B933" s="13">
        <v>80368.62</v>
      </c>
      <c r="C933" s="13">
        <v>59608.88</v>
      </c>
      <c r="D933" s="13">
        <v>20759.739999999998</v>
      </c>
      <c r="E933" s="28">
        <v>8614.0</v>
      </c>
    </row>
    <row r="934" ht="15.75" customHeight="1">
      <c r="A934" s="3" t="s">
        <v>8</v>
      </c>
      <c r="B934" s="13">
        <v>62156.46</v>
      </c>
      <c r="C934" s="13">
        <v>46101.04</v>
      </c>
      <c r="D934" s="13">
        <v>16055.419999999998</v>
      </c>
      <c r="E934" s="28">
        <v>6662.0</v>
      </c>
    </row>
    <row r="935" ht="15.75" customHeight="1">
      <c r="A935" s="3" t="s">
        <v>4</v>
      </c>
      <c r="B935" s="13">
        <v>5866074.06</v>
      </c>
      <c r="C935" s="13">
        <v>4411296.12</v>
      </c>
      <c r="D935" s="13">
        <v>1454777.9399999995</v>
      </c>
      <c r="E935" s="28">
        <v>8778.0</v>
      </c>
    </row>
    <row r="936" ht="15.75" customHeight="1">
      <c r="A936" s="3" t="s">
        <v>5</v>
      </c>
      <c r="B936" s="13">
        <v>976744.64</v>
      </c>
      <c r="C936" s="13">
        <v>320337.92000000004</v>
      </c>
      <c r="D936" s="13">
        <v>656406.72</v>
      </c>
      <c r="E936" s="28">
        <v>8938.0</v>
      </c>
    </row>
    <row r="937" ht="15.75" customHeight="1">
      <c r="A937" s="3" t="s">
        <v>5</v>
      </c>
      <c r="B937" s="13">
        <v>1050180.8</v>
      </c>
      <c r="C937" s="13">
        <v>344422.4</v>
      </c>
      <c r="D937" s="13">
        <v>705758.4</v>
      </c>
      <c r="E937" s="28">
        <v>9610.0</v>
      </c>
    </row>
    <row r="938" ht="15.75" customHeight="1">
      <c r="A938" s="3" t="s">
        <v>6</v>
      </c>
      <c r="B938" s="13">
        <v>85267.65000000001</v>
      </c>
      <c r="C938" s="13">
        <v>57126.63</v>
      </c>
      <c r="D938" s="13">
        <v>28141.02000000001</v>
      </c>
      <c r="E938" s="28">
        <v>1797.0</v>
      </c>
    </row>
    <row r="939" ht="15.75" customHeight="1">
      <c r="A939" s="3" t="s">
        <v>4</v>
      </c>
      <c r="B939" s="13">
        <v>2905637.96</v>
      </c>
      <c r="C939" s="13">
        <v>2185043.92</v>
      </c>
      <c r="D939" s="13">
        <v>720594.04</v>
      </c>
      <c r="E939" s="28">
        <v>4348.0</v>
      </c>
    </row>
    <row r="940" ht="15.75" customHeight="1">
      <c r="A940" s="3" t="s">
        <v>5</v>
      </c>
      <c r="B940" s="13">
        <v>774576.64</v>
      </c>
      <c r="C940" s="13">
        <v>254033.92</v>
      </c>
      <c r="D940" s="13">
        <v>520542.72</v>
      </c>
      <c r="E940" s="28">
        <v>7088.0</v>
      </c>
    </row>
    <row r="941" ht="15.75" customHeight="1">
      <c r="A941" s="3" t="s">
        <v>6</v>
      </c>
      <c r="B941" s="13">
        <v>301212.60000000003</v>
      </c>
      <c r="C941" s="13">
        <v>201802.91999999998</v>
      </c>
      <c r="D941" s="13">
        <v>99409.68000000005</v>
      </c>
      <c r="E941" s="28">
        <v>6348.0</v>
      </c>
    </row>
    <row r="942" ht="15.75" customHeight="1">
      <c r="A942" s="3" t="s">
        <v>3</v>
      </c>
      <c r="B942" s="13">
        <v>1012044.0</v>
      </c>
      <c r="C942" s="13">
        <v>576181.2</v>
      </c>
      <c r="D942" s="13">
        <v>435862.80000000005</v>
      </c>
      <c r="E942" s="28">
        <v>4920.0</v>
      </c>
    </row>
    <row r="943" ht="15.75" customHeight="1">
      <c r="A943" s="3" t="s">
        <v>9</v>
      </c>
      <c r="B943" s="13">
        <v>1366820.32</v>
      </c>
      <c r="C943" s="13">
        <v>806730.9600000001</v>
      </c>
      <c r="D943" s="13">
        <v>560089.36</v>
      </c>
      <c r="E943" s="28">
        <v>8872.0</v>
      </c>
    </row>
    <row r="944" ht="15.75" customHeight="1">
      <c r="A944" s="3" t="s">
        <v>8</v>
      </c>
      <c r="B944" s="13">
        <v>49057.14</v>
      </c>
      <c r="C944" s="13">
        <v>36385.36</v>
      </c>
      <c r="D944" s="13">
        <v>12671.779999999999</v>
      </c>
      <c r="E944" s="28">
        <v>5258.0</v>
      </c>
    </row>
    <row r="945" ht="15.75" customHeight="1">
      <c r="A945" s="3" t="s">
        <v>14</v>
      </c>
      <c r="B945" s="13">
        <v>64730.16</v>
      </c>
      <c r="C945" s="13">
        <v>44882.64</v>
      </c>
      <c r="D945" s="13">
        <v>19847.520000000004</v>
      </c>
      <c r="E945" s="28">
        <v>792.0</v>
      </c>
    </row>
    <row r="946" ht="15.75" customHeight="1">
      <c r="A946" s="3" t="s">
        <v>9</v>
      </c>
      <c r="B946" s="13">
        <v>255277.42</v>
      </c>
      <c r="C946" s="13">
        <v>150671.01</v>
      </c>
      <c r="D946" s="13">
        <v>104606.41</v>
      </c>
      <c r="E946" s="28">
        <v>1657.0</v>
      </c>
    </row>
    <row r="947" ht="15.75" customHeight="1">
      <c r="A947" s="3" t="s">
        <v>7</v>
      </c>
      <c r="B947" s="13">
        <v>2490227.04</v>
      </c>
      <c r="C947" s="13">
        <v>2007447.04</v>
      </c>
      <c r="D947" s="13">
        <v>482780.0</v>
      </c>
      <c r="E947" s="28">
        <v>3824.0</v>
      </c>
    </row>
    <row r="948" ht="15.75" customHeight="1">
      <c r="A948" s="3" t="s">
        <v>7</v>
      </c>
      <c r="B948" s="13">
        <v>4290822.69</v>
      </c>
      <c r="C948" s="13">
        <v>3458961.4400000004</v>
      </c>
      <c r="D948" s="13">
        <v>831861.25</v>
      </c>
      <c r="E948" s="28">
        <v>6589.0</v>
      </c>
    </row>
    <row r="949" ht="15.75" customHeight="1">
      <c r="A949" s="3" t="s">
        <v>5</v>
      </c>
      <c r="B949" s="13">
        <v>325545.12</v>
      </c>
      <c r="C949" s="13">
        <v>106767.36000000002</v>
      </c>
      <c r="D949" s="13">
        <v>218777.75999999998</v>
      </c>
      <c r="E949" s="28">
        <v>2979.0</v>
      </c>
    </row>
    <row r="950" ht="15.75" customHeight="1">
      <c r="A950" s="3" t="s">
        <v>8</v>
      </c>
      <c r="B950" s="13">
        <v>7491.99</v>
      </c>
      <c r="C950" s="13">
        <v>5556.76</v>
      </c>
      <c r="D950" s="13">
        <v>1935.2299999999996</v>
      </c>
      <c r="E950" s="28">
        <v>803.0</v>
      </c>
    </row>
    <row r="951" ht="15.75" customHeight="1">
      <c r="A951" s="3" t="s">
        <v>10</v>
      </c>
      <c r="B951" s="13">
        <v>752565.4400000001</v>
      </c>
      <c r="C951" s="13">
        <v>469970.16</v>
      </c>
      <c r="D951" s="13">
        <v>282595.2800000001</v>
      </c>
      <c r="E951" s="28">
        <v>2948.0</v>
      </c>
    </row>
    <row r="952" ht="15.75" customHeight="1">
      <c r="A952" s="3" t="s">
        <v>13</v>
      </c>
      <c r="B952" s="13">
        <v>1287927.78</v>
      </c>
      <c r="C952" s="13">
        <v>822491.04</v>
      </c>
      <c r="D952" s="13">
        <v>465436.74</v>
      </c>
      <c r="E952" s="28">
        <v>8441.0</v>
      </c>
    </row>
    <row r="953" ht="15.75" customHeight="1">
      <c r="A953" s="3" t="s">
        <v>8</v>
      </c>
      <c r="B953" s="13">
        <v>29090.94</v>
      </c>
      <c r="C953" s="13">
        <v>21576.56</v>
      </c>
      <c r="D953" s="13">
        <v>7514.379999999997</v>
      </c>
      <c r="E953" s="28">
        <v>3118.0</v>
      </c>
    </row>
    <row r="954" ht="15.75" customHeight="1">
      <c r="A954" s="3" t="s">
        <v>9</v>
      </c>
      <c r="B954" s="13">
        <v>577262.8200000001</v>
      </c>
      <c r="C954" s="13">
        <v>340714.71</v>
      </c>
      <c r="D954" s="13">
        <v>236548.11000000004</v>
      </c>
      <c r="E954" s="28">
        <v>3747.0</v>
      </c>
    </row>
    <row r="955" ht="15.75" customHeight="1">
      <c r="A955" s="3" t="s">
        <v>13</v>
      </c>
      <c r="B955" s="13">
        <v>1269313.02</v>
      </c>
      <c r="C955" s="13">
        <v>810603.36</v>
      </c>
      <c r="D955" s="13">
        <v>458709.66000000003</v>
      </c>
      <c r="E955" s="28">
        <v>8319.0</v>
      </c>
    </row>
    <row r="956" ht="15.75" customHeight="1">
      <c r="A956" s="3" t="s">
        <v>4</v>
      </c>
      <c r="B956" s="13">
        <v>3404835.65</v>
      </c>
      <c r="C956" s="13">
        <v>2560441.3000000003</v>
      </c>
      <c r="D956" s="13">
        <v>844394.3499999996</v>
      </c>
      <c r="E956" s="28">
        <v>5095.0</v>
      </c>
    </row>
    <row r="957" ht="15.75" customHeight="1">
      <c r="A957" s="3" t="s">
        <v>8</v>
      </c>
      <c r="B957" s="13">
        <v>16187.55</v>
      </c>
      <c r="C957" s="13">
        <v>12006.2</v>
      </c>
      <c r="D957" s="13">
        <v>4181.3499999999985</v>
      </c>
      <c r="E957" s="28">
        <v>1735.0</v>
      </c>
    </row>
    <row r="958" ht="15.75" customHeight="1">
      <c r="A958" s="3" t="s">
        <v>10</v>
      </c>
      <c r="B958" s="13">
        <v>1130635.12</v>
      </c>
      <c r="C958" s="13">
        <v>706071.1799999999</v>
      </c>
      <c r="D958" s="13">
        <v>424563.9400000002</v>
      </c>
      <c r="E958" s="28">
        <v>4429.0</v>
      </c>
    </row>
    <row r="959" ht="15.75" customHeight="1">
      <c r="A959" s="3" t="s">
        <v>11</v>
      </c>
      <c r="B959" s="13">
        <v>2683220.4</v>
      </c>
      <c r="C959" s="13">
        <v>2319428.4</v>
      </c>
      <c r="D959" s="13">
        <v>363792.0</v>
      </c>
      <c r="E959" s="28">
        <v>6360.0</v>
      </c>
    </row>
    <row r="960" ht="15.75" customHeight="1">
      <c r="A960" s="3" t="s">
        <v>9</v>
      </c>
      <c r="B960" s="13">
        <v>100601.18000000001</v>
      </c>
      <c r="C960" s="13">
        <v>59377.29</v>
      </c>
      <c r="D960" s="13">
        <v>41223.89000000001</v>
      </c>
      <c r="E960" s="28">
        <v>653.0</v>
      </c>
    </row>
    <row r="961" ht="15.75" customHeight="1">
      <c r="A961" s="3" t="s">
        <v>12</v>
      </c>
      <c r="B961" s="13">
        <v>3274190.8</v>
      </c>
      <c r="C961" s="13">
        <v>1972078.3699999999</v>
      </c>
      <c r="D961" s="13">
        <v>1302112.43</v>
      </c>
      <c r="E961" s="28">
        <v>7489.0</v>
      </c>
    </row>
    <row r="962" ht="15.75" customHeight="1">
      <c r="A962" s="3" t="s">
        <v>9</v>
      </c>
      <c r="B962" s="13">
        <v>1472505.48</v>
      </c>
      <c r="C962" s="13">
        <v>869108.9400000001</v>
      </c>
      <c r="D962" s="13">
        <v>603396.5399999999</v>
      </c>
      <c r="E962" s="28">
        <v>9558.0</v>
      </c>
    </row>
    <row r="963" ht="15.75" customHeight="1">
      <c r="A963" s="3" t="s">
        <v>12</v>
      </c>
      <c r="B963" s="13">
        <v>2189934.8</v>
      </c>
      <c r="C963" s="13">
        <v>1319019.97</v>
      </c>
      <c r="D963" s="13">
        <v>870914.8299999998</v>
      </c>
      <c r="E963" s="28">
        <v>5009.0</v>
      </c>
    </row>
    <row r="964" ht="15.75" customHeight="1">
      <c r="A964" s="3" t="s">
        <v>7</v>
      </c>
      <c r="B964" s="13">
        <v>4367665.470000001</v>
      </c>
      <c r="C964" s="13">
        <v>3520906.72</v>
      </c>
      <c r="D964" s="13">
        <v>846758.7500000005</v>
      </c>
      <c r="E964" s="28">
        <v>6707.0</v>
      </c>
    </row>
    <row r="965" ht="15.75" customHeight="1">
      <c r="A965" s="3" t="s">
        <v>11</v>
      </c>
      <c r="B965" s="13">
        <v>3016935.39</v>
      </c>
      <c r="C965" s="13">
        <v>2607898.19</v>
      </c>
      <c r="D965" s="13">
        <v>409037.2000000002</v>
      </c>
      <c r="E965" s="28">
        <v>7151.0</v>
      </c>
    </row>
    <row r="966" ht="15.75" customHeight="1">
      <c r="A966" s="3" t="s">
        <v>6</v>
      </c>
      <c r="B966" s="13">
        <v>98174.05</v>
      </c>
      <c r="C966" s="13">
        <v>65773.51</v>
      </c>
      <c r="D966" s="13">
        <v>32400.540000000008</v>
      </c>
      <c r="E966" s="28">
        <v>2069.0</v>
      </c>
    </row>
    <row r="967" ht="15.75" customHeight="1">
      <c r="A967" s="3" t="s">
        <v>11</v>
      </c>
      <c r="B967" s="13">
        <v>3495780.54</v>
      </c>
      <c r="C967" s="13">
        <v>3021821.34</v>
      </c>
      <c r="D967" s="13">
        <v>473959.2000000002</v>
      </c>
      <c r="E967" s="28">
        <v>8286.0</v>
      </c>
    </row>
    <row r="968" ht="15.75" customHeight="1">
      <c r="A968" s="3" t="s">
        <v>3</v>
      </c>
      <c r="B968" s="13">
        <v>378899.39999999997</v>
      </c>
      <c r="C968" s="13">
        <v>215716.62</v>
      </c>
      <c r="D968" s="13">
        <v>163182.77999999997</v>
      </c>
      <c r="E968" s="28">
        <v>1842.0</v>
      </c>
    </row>
    <row r="969" ht="15.75" customHeight="1">
      <c r="A969" s="3" t="s">
        <v>3</v>
      </c>
      <c r="B969" s="13">
        <v>408108.8</v>
      </c>
      <c r="C969" s="13">
        <v>232346.24</v>
      </c>
      <c r="D969" s="13">
        <v>175762.56</v>
      </c>
      <c r="E969" s="28">
        <v>1984.0</v>
      </c>
    </row>
    <row r="970" ht="15.75" customHeight="1">
      <c r="A970" s="3" t="s">
        <v>7</v>
      </c>
      <c r="B970" s="13">
        <v>6483446.760000001</v>
      </c>
      <c r="C970" s="13">
        <v>5226501.760000001</v>
      </c>
      <c r="D970" s="13">
        <v>1256945.0</v>
      </c>
      <c r="E970" s="28">
        <v>9956.0</v>
      </c>
    </row>
    <row r="971" ht="15.75" customHeight="1">
      <c r="A971" s="3" t="s">
        <v>6</v>
      </c>
      <c r="B971" s="13">
        <v>169586.30000000002</v>
      </c>
      <c r="C971" s="13">
        <v>113617.45999999999</v>
      </c>
      <c r="D971" s="13">
        <v>55968.840000000026</v>
      </c>
      <c r="E971" s="28">
        <v>3574.0</v>
      </c>
    </row>
    <row r="972" ht="15.75" customHeight="1">
      <c r="A972" s="3" t="s">
        <v>4</v>
      </c>
      <c r="B972" s="13">
        <v>5776525.88</v>
      </c>
      <c r="C972" s="13">
        <v>4343955.76</v>
      </c>
      <c r="D972" s="13">
        <v>1432570.12</v>
      </c>
      <c r="E972" s="28">
        <v>8644.0</v>
      </c>
    </row>
    <row r="973" ht="15.75" customHeight="1">
      <c r="A973" s="3" t="s">
        <v>13</v>
      </c>
      <c r="B973" s="13">
        <v>266557.26</v>
      </c>
      <c r="C973" s="13">
        <v>170227.68</v>
      </c>
      <c r="D973" s="13">
        <v>96329.58000000002</v>
      </c>
      <c r="E973" s="28">
        <v>1747.0</v>
      </c>
    </row>
    <row r="974" ht="15.75" customHeight="1">
      <c r="A974" s="3" t="s">
        <v>3</v>
      </c>
      <c r="B974" s="13">
        <v>278106.39999999997</v>
      </c>
      <c r="C974" s="13">
        <v>158332.72</v>
      </c>
      <c r="D974" s="13">
        <v>119773.67999999996</v>
      </c>
      <c r="E974" s="28">
        <v>1352.0</v>
      </c>
    </row>
    <row r="975" ht="15.75" customHeight="1">
      <c r="A975" s="3" t="s">
        <v>10</v>
      </c>
      <c r="B975" s="13">
        <v>39057.840000000004</v>
      </c>
      <c r="C975" s="13">
        <v>24391.26</v>
      </c>
      <c r="D975" s="13">
        <v>14666.580000000005</v>
      </c>
      <c r="E975" s="28">
        <v>153.0</v>
      </c>
    </row>
    <row r="976" ht="15.75" customHeight="1">
      <c r="A976" s="3" t="s">
        <v>11</v>
      </c>
      <c r="B976" s="13">
        <v>630303.66</v>
      </c>
      <c r="C976" s="13">
        <v>544846.86</v>
      </c>
      <c r="D976" s="13">
        <v>85456.80000000005</v>
      </c>
      <c r="E976" s="28">
        <v>1494.0</v>
      </c>
    </row>
    <row r="977" ht="15.75" customHeight="1">
      <c r="A977" s="3" t="s">
        <v>4</v>
      </c>
      <c r="B977" s="13">
        <v>2380377.7399999998</v>
      </c>
      <c r="C977" s="13">
        <v>1790047.48</v>
      </c>
      <c r="D977" s="13">
        <v>590330.2599999998</v>
      </c>
      <c r="E977" s="28">
        <v>3562.0</v>
      </c>
    </row>
    <row r="978" ht="15.75" customHeight="1">
      <c r="A978" s="3" t="s">
        <v>3</v>
      </c>
      <c r="B978" s="13">
        <v>569994.7</v>
      </c>
      <c r="C978" s="13">
        <v>324511.81</v>
      </c>
      <c r="D978" s="13">
        <v>245482.88999999996</v>
      </c>
      <c r="E978" s="28">
        <v>2771.0</v>
      </c>
    </row>
    <row r="979" ht="15.75" customHeight="1">
      <c r="A979" s="3" t="s">
        <v>13</v>
      </c>
      <c r="B979" s="13">
        <v>442787.16000000003</v>
      </c>
      <c r="C979" s="13">
        <v>282770.88</v>
      </c>
      <c r="D979" s="13">
        <v>160016.28000000003</v>
      </c>
      <c r="E979" s="28">
        <v>2902.0</v>
      </c>
    </row>
    <row r="980" ht="15.75" customHeight="1">
      <c r="A980" s="3" t="s">
        <v>9</v>
      </c>
      <c r="B980" s="13">
        <v>243568.86000000002</v>
      </c>
      <c r="C980" s="13">
        <v>143760.33000000002</v>
      </c>
      <c r="D980" s="13">
        <v>99808.53</v>
      </c>
      <c r="E980" s="28">
        <v>1581.0</v>
      </c>
    </row>
    <row r="981" ht="15.75" customHeight="1">
      <c r="A981" s="3" t="s">
        <v>6</v>
      </c>
      <c r="B981" s="13">
        <v>135659.55000000002</v>
      </c>
      <c r="C981" s="13">
        <v>90887.61</v>
      </c>
      <c r="D981" s="13">
        <v>44771.94000000002</v>
      </c>
      <c r="E981" s="28">
        <v>2859.0</v>
      </c>
    </row>
    <row r="982" ht="15.75" customHeight="1">
      <c r="A982" s="3" t="s">
        <v>12</v>
      </c>
      <c r="B982" s="13">
        <v>1023485.2</v>
      </c>
      <c r="C982" s="13">
        <v>616455.5299999999</v>
      </c>
      <c r="D982" s="13">
        <v>407029.67000000004</v>
      </c>
      <c r="E982" s="28">
        <v>2341.0</v>
      </c>
    </row>
    <row r="983" ht="15.75" customHeight="1">
      <c r="A983" s="3" t="s">
        <v>9</v>
      </c>
      <c r="B983" s="13">
        <v>1026347.72</v>
      </c>
      <c r="C983" s="13">
        <v>605775.66</v>
      </c>
      <c r="D983" s="13">
        <v>420572.05999999994</v>
      </c>
      <c r="E983" s="28">
        <v>6662.0</v>
      </c>
    </row>
    <row r="984" ht="15.75" customHeight="1">
      <c r="A984" s="3" t="s">
        <v>5</v>
      </c>
      <c r="B984" s="13">
        <v>841565.28</v>
      </c>
      <c r="C984" s="13">
        <v>276003.84</v>
      </c>
      <c r="D984" s="13">
        <v>565561.44</v>
      </c>
      <c r="E984" s="28">
        <v>7701.0</v>
      </c>
    </row>
    <row r="985" ht="15.75" customHeight="1">
      <c r="A985" s="3" t="s">
        <v>9</v>
      </c>
      <c r="B985" s="13">
        <v>1123251.46</v>
      </c>
      <c r="C985" s="13">
        <v>662970.63</v>
      </c>
      <c r="D985" s="13">
        <v>460280.82999999996</v>
      </c>
      <c r="E985" s="28">
        <v>7291.0</v>
      </c>
    </row>
    <row r="986" ht="15.75" customHeight="1">
      <c r="A986" s="3" t="s">
        <v>5</v>
      </c>
      <c r="B986" s="13">
        <v>1003846.08</v>
      </c>
      <c r="C986" s="13">
        <v>329226.24000000005</v>
      </c>
      <c r="D986" s="13">
        <v>674619.8399999999</v>
      </c>
      <c r="E986" s="28">
        <v>9186.0</v>
      </c>
    </row>
    <row r="987" ht="15.75" customHeight="1">
      <c r="A987" s="3" t="s">
        <v>12</v>
      </c>
      <c r="B987" s="13">
        <v>1600589.2</v>
      </c>
      <c r="C987" s="13">
        <v>964051.1299999999</v>
      </c>
      <c r="D987" s="13">
        <v>636538.0700000001</v>
      </c>
      <c r="E987" s="28">
        <v>3661.0</v>
      </c>
    </row>
    <row r="988" ht="15.75" customHeight="1">
      <c r="A988" s="3" t="s">
        <v>13</v>
      </c>
      <c r="B988" s="13">
        <v>1462784.4600000002</v>
      </c>
      <c r="C988" s="13">
        <v>934157.28</v>
      </c>
      <c r="D988" s="13">
        <v>528627.1800000002</v>
      </c>
      <c r="E988" s="28">
        <v>9587.0</v>
      </c>
    </row>
    <row r="989" ht="15.75" customHeight="1">
      <c r="A989" s="3" t="s">
        <v>11</v>
      </c>
      <c r="B989" s="13">
        <v>808341.24</v>
      </c>
      <c r="C989" s="13">
        <v>698746.04</v>
      </c>
      <c r="D989" s="13">
        <v>109595.19999999995</v>
      </c>
      <c r="E989" s="28">
        <v>1916.0</v>
      </c>
    </row>
    <row r="990" ht="15.75" customHeight="1">
      <c r="A990" s="3" t="s">
        <v>7</v>
      </c>
      <c r="B990" s="13">
        <v>4825466.100000001</v>
      </c>
      <c r="C990" s="13">
        <v>3889953.6</v>
      </c>
      <c r="D990" s="13">
        <v>935512.5000000005</v>
      </c>
      <c r="E990" s="28">
        <v>7410.0</v>
      </c>
    </row>
    <row r="991" ht="15.75" customHeight="1">
      <c r="A991" s="3" t="s">
        <v>5</v>
      </c>
      <c r="B991" s="13">
        <v>588144.96</v>
      </c>
      <c r="C991" s="13">
        <v>192890.88</v>
      </c>
      <c r="D991" s="13">
        <v>395254.07999999996</v>
      </c>
      <c r="E991" s="28">
        <v>5382.0</v>
      </c>
    </row>
    <row r="992" ht="15.75" customHeight="1">
      <c r="A992" s="3" t="s">
        <v>10</v>
      </c>
      <c r="B992" s="13">
        <v>1117360.56</v>
      </c>
      <c r="C992" s="13">
        <v>697781.34</v>
      </c>
      <c r="D992" s="13">
        <v>419579.2200000001</v>
      </c>
      <c r="E992" s="28">
        <v>4377.0</v>
      </c>
    </row>
    <row r="993" ht="15.75" customHeight="1">
      <c r="A993" s="3" t="s">
        <v>8</v>
      </c>
      <c r="B993" s="13">
        <v>41863.71</v>
      </c>
      <c r="C993" s="13">
        <v>31050.04</v>
      </c>
      <c r="D993" s="13">
        <v>10813.669999999998</v>
      </c>
      <c r="E993" s="28">
        <v>4487.0</v>
      </c>
    </row>
    <row r="994" ht="15.75" customHeight="1">
      <c r="A994" s="3" t="s">
        <v>13</v>
      </c>
      <c r="B994" s="13">
        <v>85749.96</v>
      </c>
      <c r="C994" s="13">
        <v>54761.28</v>
      </c>
      <c r="D994" s="13">
        <v>30988.680000000008</v>
      </c>
      <c r="E994" s="28">
        <v>562.0</v>
      </c>
    </row>
    <row r="995" ht="15.75" customHeight="1">
      <c r="A995" s="3" t="s">
        <v>10</v>
      </c>
      <c r="B995" s="13">
        <v>1111489.12</v>
      </c>
      <c r="C995" s="13">
        <v>694114.6799999999</v>
      </c>
      <c r="D995" s="13">
        <v>417374.4400000002</v>
      </c>
      <c r="E995" s="28">
        <v>4354.0</v>
      </c>
    </row>
    <row r="996" ht="15.75" customHeight="1">
      <c r="A996" s="3" t="s">
        <v>8</v>
      </c>
      <c r="B996" s="13">
        <v>65384.64</v>
      </c>
      <c r="C996" s="13">
        <v>48495.36</v>
      </c>
      <c r="D996" s="13">
        <v>16889.28</v>
      </c>
      <c r="E996" s="28">
        <v>7008.0</v>
      </c>
    </row>
    <row r="997" ht="15.75" customHeight="1">
      <c r="A997" s="3" t="s">
        <v>8</v>
      </c>
      <c r="B997" s="13">
        <v>69928.35</v>
      </c>
      <c r="C997" s="13">
        <v>51865.4</v>
      </c>
      <c r="D997" s="13">
        <v>18062.950000000004</v>
      </c>
      <c r="E997" s="28">
        <v>7495.0</v>
      </c>
    </row>
    <row r="998" ht="15.75" customHeight="1">
      <c r="A998" s="3" t="s">
        <v>7</v>
      </c>
      <c r="B998" s="13">
        <v>930579.0900000001</v>
      </c>
      <c r="C998" s="13">
        <v>750167.8400000001</v>
      </c>
      <c r="D998" s="13">
        <v>180411.25</v>
      </c>
      <c r="E998" s="28">
        <v>1429.0</v>
      </c>
    </row>
    <row r="999" ht="15.75" customHeight="1">
      <c r="A999" s="3" t="s">
        <v>14</v>
      </c>
      <c r="B999" s="13">
        <v>358794.7</v>
      </c>
      <c r="C999" s="13">
        <v>248781.30000000002</v>
      </c>
      <c r="D999" s="13">
        <v>110013.4</v>
      </c>
      <c r="E999" s="28">
        <v>4390.0</v>
      </c>
    </row>
    <row r="1000" ht="15.75" customHeight="1">
      <c r="A1000" s="3" t="s">
        <v>5</v>
      </c>
      <c r="B1000" s="13">
        <v>492524.96</v>
      </c>
      <c r="C1000" s="13">
        <v>161530.88</v>
      </c>
      <c r="D1000" s="13">
        <v>330994.08</v>
      </c>
      <c r="E1000" s="28">
        <v>4507.0</v>
      </c>
    </row>
    <row r="1001" ht="15.75" customHeight="1">
      <c r="A1001" s="3" t="s">
        <v>13</v>
      </c>
      <c r="B1001" s="13">
        <v>1425097.2000000002</v>
      </c>
      <c r="C1001" s="13">
        <v>910089.6</v>
      </c>
      <c r="D1001" s="13">
        <v>515007.6000000002</v>
      </c>
      <c r="E1001" s="28">
        <v>9340.0</v>
      </c>
    </row>
    <row r="1002" ht="15.75" customHeight="1">
      <c r="A1002" s="3" t="s">
        <v>8</v>
      </c>
      <c r="B1002" s="13">
        <v>6745.59</v>
      </c>
      <c r="C1002" s="13">
        <v>5003.16</v>
      </c>
      <c r="D1002" s="13">
        <v>1742.4300000000003</v>
      </c>
      <c r="E1002" s="28">
        <v>723.0</v>
      </c>
    </row>
    <row r="1003" ht="15.75" customHeight="1">
      <c r="A1003" s="3" t="s">
        <v>11</v>
      </c>
      <c r="B1003" s="13">
        <v>1271154.57</v>
      </c>
      <c r="C1003" s="13">
        <v>1098810.97</v>
      </c>
      <c r="D1003" s="13">
        <v>172343.6000000001</v>
      </c>
      <c r="E1003" s="28">
        <v>3013.0</v>
      </c>
    </row>
    <row r="1004" ht="15.75" customHeight="1">
      <c r="A1004" s="3" t="s">
        <v>6</v>
      </c>
      <c r="B1004" s="13">
        <v>35919.65</v>
      </c>
      <c r="C1004" s="13">
        <v>24065.03</v>
      </c>
      <c r="D1004" s="13">
        <v>11854.620000000003</v>
      </c>
      <c r="E1004" s="28">
        <v>757.0</v>
      </c>
    </row>
    <row r="1005" ht="15.75" customHeight="1">
      <c r="A1005" s="3" t="s">
        <v>4</v>
      </c>
      <c r="B1005" s="13">
        <v>6285079.35</v>
      </c>
      <c r="C1005" s="13">
        <v>4726388.7</v>
      </c>
      <c r="D1005" s="13">
        <v>1558690.6499999994</v>
      </c>
      <c r="E1005" s="28">
        <v>9405.0</v>
      </c>
    </row>
    <row r="1006" ht="15.75" customHeight="1">
      <c r="A1006" s="3" t="s">
        <v>9</v>
      </c>
      <c r="B1006" s="13">
        <v>1485292.46</v>
      </c>
      <c r="C1006" s="13">
        <v>876656.1300000001</v>
      </c>
      <c r="D1006" s="13">
        <v>608636.3299999998</v>
      </c>
      <c r="E1006" s="28">
        <v>9641.0</v>
      </c>
    </row>
    <row r="1007" ht="15.75" customHeight="1">
      <c r="A1007" s="3" t="s">
        <v>7</v>
      </c>
      <c r="B1007" s="13">
        <v>1763476.6800000002</v>
      </c>
      <c r="C1007" s="13">
        <v>1421591.6800000002</v>
      </c>
      <c r="D1007" s="13">
        <v>341885.0</v>
      </c>
      <c r="E1007" s="28">
        <v>2708.0</v>
      </c>
    </row>
    <row r="1008" ht="15.75" customHeight="1">
      <c r="A1008" s="3" t="s">
        <v>4</v>
      </c>
      <c r="B1008" s="13">
        <v>1598501.8399999999</v>
      </c>
      <c r="C1008" s="13">
        <v>1202075.68</v>
      </c>
      <c r="D1008" s="13">
        <v>396426.1599999999</v>
      </c>
      <c r="E1008" s="28">
        <v>2392.0</v>
      </c>
    </row>
    <row r="1009" ht="15.75" customHeight="1">
      <c r="A1009" s="3" t="s">
        <v>9</v>
      </c>
      <c r="B1009" s="13">
        <v>467572.10000000003</v>
      </c>
      <c r="C1009" s="13">
        <v>275972.55000000005</v>
      </c>
      <c r="D1009" s="13">
        <v>191599.55</v>
      </c>
      <c r="E1009" s="28">
        <v>3035.0</v>
      </c>
    </row>
    <row r="1010" ht="15.75" customHeight="1">
      <c r="A1010" s="3" t="s">
        <v>6</v>
      </c>
      <c r="B1010" s="13">
        <v>470846.35000000003</v>
      </c>
      <c r="C1010" s="13">
        <v>315452.17</v>
      </c>
      <c r="D1010" s="13">
        <v>155394.18000000005</v>
      </c>
      <c r="E1010" s="28">
        <v>9923.0</v>
      </c>
    </row>
    <row r="1011" ht="15.75" customHeight="1">
      <c r="A1011" s="3" t="s">
        <v>5</v>
      </c>
      <c r="B1011" s="13">
        <v>894019.68</v>
      </c>
      <c r="C1011" s="13">
        <v>293207.04000000004</v>
      </c>
      <c r="D1011" s="13">
        <v>600812.64</v>
      </c>
      <c r="E1011" s="28">
        <v>8181.0</v>
      </c>
    </row>
    <row r="1012" ht="15.75" customHeight="1">
      <c r="A1012" s="3" t="s">
        <v>14</v>
      </c>
      <c r="B1012" s="13">
        <v>521273.94</v>
      </c>
      <c r="C1012" s="13">
        <v>361441.26</v>
      </c>
      <c r="D1012" s="13">
        <v>159832.68</v>
      </c>
      <c r="E1012" s="28">
        <v>6378.0</v>
      </c>
    </row>
    <row r="1013" ht="15.75" customHeight="1">
      <c r="A1013" s="3" t="s">
        <v>14</v>
      </c>
      <c r="B1013" s="13">
        <v>449841.92000000004</v>
      </c>
      <c r="C1013" s="13">
        <v>311911.68</v>
      </c>
      <c r="D1013" s="13">
        <v>137930.24000000005</v>
      </c>
      <c r="E1013" s="28">
        <v>5504.0</v>
      </c>
    </row>
    <row r="1014" ht="15.75" customHeight="1">
      <c r="A1014" s="3" t="s">
        <v>11</v>
      </c>
      <c r="B1014" s="13">
        <v>2691658.1999999997</v>
      </c>
      <c r="C1014" s="13">
        <v>2326722.2</v>
      </c>
      <c r="D1014" s="13">
        <v>364935.99999999953</v>
      </c>
      <c r="E1014" s="28">
        <v>6380.0</v>
      </c>
    </row>
    <row r="1015" ht="15.75" customHeight="1">
      <c r="A1015" s="3" t="s">
        <v>7</v>
      </c>
      <c r="B1015" s="13">
        <v>5707204.44</v>
      </c>
      <c r="C1015" s="13">
        <v>4600749.44</v>
      </c>
      <c r="D1015" s="13">
        <v>1106455.0</v>
      </c>
      <c r="E1015" s="28">
        <v>8764.0</v>
      </c>
    </row>
    <row r="1016" ht="15.75" customHeight="1">
      <c r="A1016" s="3" t="s">
        <v>3</v>
      </c>
      <c r="B1016" s="13">
        <v>726532.3999999999</v>
      </c>
      <c r="C1016" s="13">
        <v>413632.52</v>
      </c>
      <c r="D1016" s="13">
        <v>312899.8799999999</v>
      </c>
      <c r="E1016" s="28">
        <v>3532.0</v>
      </c>
    </row>
    <row r="1017" ht="15.75" customHeight="1">
      <c r="A1017" s="3" t="s">
        <v>10</v>
      </c>
      <c r="B1017" s="13">
        <v>326503.12</v>
      </c>
      <c r="C1017" s="13">
        <v>203898.18</v>
      </c>
      <c r="D1017" s="13">
        <v>122604.94</v>
      </c>
      <c r="E1017" s="28">
        <v>1279.0</v>
      </c>
    </row>
    <row r="1018" ht="15.75" customHeight="1">
      <c r="A1018" s="3" t="s">
        <v>12</v>
      </c>
      <c r="B1018" s="13">
        <v>4101810.4</v>
      </c>
      <c r="C1018" s="13">
        <v>2470562.06</v>
      </c>
      <c r="D1018" s="13">
        <v>1631248.3399999999</v>
      </c>
      <c r="E1018" s="28">
        <v>9382.0</v>
      </c>
    </row>
    <row r="1019" ht="15.75" customHeight="1">
      <c r="A1019" s="3" t="s">
        <v>13</v>
      </c>
      <c r="B1019" s="13">
        <v>416085.66000000003</v>
      </c>
      <c r="C1019" s="13">
        <v>265718.88</v>
      </c>
      <c r="D1019" s="13">
        <v>150366.78000000003</v>
      </c>
      <c r="E1019" s="28">
        <v>2727.0</v>
      </c>
    </row>
    <row r="1020" ht="15.75" customHeight="1">
      <c r="A1020" s="3" t="s">
        <v>8</v>
      </c>
      <c r="B1020" s="13">
        <v>61335.42</v>
      </c>
      <c r="C1020" s="13">
        <v>45492.08</v>
      </c>
      <c r="D1020" s="13">
        <v>15843.339999999997</v>
      </c>
      <c r="E1020" s="28">
        <v>6574.0</v>
      </c>
    </row>
    <row r="1021" ht="15.75" customHeight="1">
      <c r="A1021" s="3" t="s">
        <v>4</v>
      </c>
      <c r="B1021" s="13">
        <v>2358993.1</v>
      </c>
      <c r="C1021" s="13">
        <v>1773966.2000000002</v>
      </c>
      <c r="D1021" s="13">
        <v>585026.8999999999</v>
      </c>
      <c r="E1021" s="28">
        <v>3530.0</v>
      </c>
    </row>
    <row r="1022" ht="15.75" customHeight="1">
      <c r="A1022" s="3" t="s">
        <v>4</v>
      </c>
      <c r="B1022" s="13">
        <v>157043.44999999998</v>
      </c>
      <c r="C1022" s="13">
        <v>118096.90000000001</v>
      </c>
      <c r="D1022" s="13">
        <v>38946.549999999974</v>
      </c>
      <c r="E1022" s="28">
        <v>235.0</v>
      </c>
    </row>
    <row r="1023" ht="15.75" customHeight="1">
      <c r="A1023" s="3" t="s">
        <v>5</v>
      </c>
      <c r="B1023" s="13">
        <v>695895.04</v>
      </c>
      <c r="C1023" s="13">
        <v>228229.12000000002</v>
      </c>
      <c r="D1023" s="13">
        <v>467665.92000000004</v>
      </c>
      <c r="E1023" s="28">
        <v>6368.0</v>
      </c>
    </row>
    <row r="1024" ht="15.75" customHeight="1">
      <c r="A1024" s="3" t="s">
        <v>13</v>
      </c>
      <c r="B1024" s="13">
        <v>810199.8</v>
      </c>
      <c r="C1024" s="13">
        <v>517406.39999999997</v>
      </c>
      <c r="D1024" s="13">
        <v>292793.4000000001</v>
      </c>
      <c r="E1024" s="28">
        <v>5310.0</v>
      </c>
    </row>
    <row r="1025" ht="15.75" customHeight="1">
      <c r="A1025" s="3" t="s">
        <v>9</v>
      </c>
      <c r="B1025" s="13">
        <v>1118321.54</v>
      </c>
      <c r="C1025" s="13">
        <v>660060.87</v>
      </c>
      <c r="D1025" s="13">
        <v>458260.67000000004</v>
      </c>
      <c r="E1025" s="28">
        <v>7259.0</v>
      </c>
    </row>
    <row r="1026" ht="15.75" customHeight="1">
      <c r="A1026" s="3" t="s">
        <v>7</v>
      </c>
      <c r="B1026" s="13">
        <v>1375355.52</v>
      </c>
      <c r="C1026" s="13">
        <v>1108715.52</v>
      </c>
      <c r="D1026" s="13">
        <v>266640.0</v>
      </c>
      <c r="E1026" s="28">
        <v>2112.0</v>
      </c>
    </row>
    <row r="1027" ht="15.75" customHeight="1">
      <c r="A1027" s="3" t="s">
        <v>9</v>
      </c>
      <c r="B1027" s="13">
        <v>686029.18</v>
      </c>
      <c r="C1027" s="13">
        <v>404911.29000000004</v>
      </c>
      <c r="D1027" s="13">
        <v>281117.89</v>
      </c>
      <c r="E1027" s="28">
        <v>4453.0</v>
      </c>
    </row>
    <row r="1028" ht="15.75" customHeight="1">
      <c r="A1028" s="3" t="s">
        <v>3</v>
      </c>
      <c r="B1028" s="13">
        <v>248897.0</v>
      </c>
      <c r="C1028" s="13">
        <v>141703.1</v>
      </c>
      <c r="D1028" s="13">
        <v>107193.9</v>
      </c>
      <c r="E1028" s="28">
        <v>1210.0</v>
      </c>
    </row>
    <row r="1029" ht="15.75" customHeight="1">
      <c r="A1029" s="3" t="s">
        <v>6</v>
      </c>
      <c r="B1029" s="13">
        <v>243038.90000000002</v>
      </c>
      <c r="C1029" s="13">
        <v>162828.38</v>
      </c>
      <c r="D1029" s="13">
        <v>80210.52000000002</v>
      </c>
      <c r="E1029" s="28">
        <v>5122.0</v>
      </c>
    </row>
    <row r="1030" ht="15.75" customHeight="1">
      <c r="A1030" s="3" t="s">
        <v>12</v>
      </c>
      <c r="B1030" s="13">
        <v>3442075.6</v>
      </c>
      <c r="C1030" s="13">
        <v>2073197.0899999999</v>
      </c>
      <c r="D1030" s="13">
        <v>1368878.5100000002</v>
      </c>
      <c r="E1030" s="28">
        <v>7873.0</v>
      </c>
    </row>
    <row r="1031" ht="15.75" customHeight="1">
      <c r="A1031" s="3" t="s">
        <v>8</v>
      </c>
      <c r="B1031" s="13">
        <v>87646.02</v>
      </c>
      <c r="C1031" s="13">
        <v>65006.479999999996</v>
      </c>
      <c r="D1031" s="13">
        <v>22639.540000000008</v>
      </c>
      <c r="E1031" s="28">
        <v>9394.0</v>
      </c>
    </row>
    <row r="1032" ht="15.75" customHeight="1">
      <c r="A1032" s="3" t="s">
        <v>8</v>
      </c>
      <c r="B1032" s="13">
        <v>64899.48</v>
      </c>
      <c r="C1032" s="13">
        <v>48135.52</v>
      </c>
      <c r="D1032" s="13">
        <v>16763.960000000006</v>
      </c>
      <c r="E1032" s="28">
        <v>6956.0</v>
      </c>
    </row>
    <row r="1033" ht="15.75" customHeight="1">
      <c r="A1033" s="3" t="s">
        <v>10</v>
      </c>
      <c r="B1033" s="13">
        <v>309399.36</v>
      </c>
      <c r="C1033" s="13">
        <v>193217.03999999998</v>
      </c>
      <c r="D1033" s="13">
        <v>116182.32</v>
      </c>
      <c r="E1033" s="28">
        <v>1212.0</v>
      </c>
    </row>
    <row r="1034" ht="15.75" customHeight="1">
      <c r="A1034" s="3" t="s">
        <v>10</v>
      </c>
      <c r="B1034" s="13">
        <v>392875.92</v>
      </c>
      <c r="C1034" s="13">
        <v>245347.37999999998</v>
      </c>
      <c r="D1034" s="13">
        <v>147528.54</v>
      </c>
      <c r="E1034" s="28">
        <v>1539.0</v>
      </c>
    </row>
    <row r="1035" ht="15.75" customHeight="1">
      <c r="A1035" s="3" t="s">
        <v>7</v>
      </c>
      <c r="B1035" s="13">
        <v>6510146.37</v>
      </c>
      <c r="C1035" s="13">
        <v>5248025.12</v>
      </c>
      <c r="D1035" s="13">
        <v>1262121.25</v>
      </c>
      <c r="E1035" s="28">
        <v>9997.0</v>
      </c>
    </row>
    <row r="1036" ht="15.75" customHeight="1">
      <c r="A1036" s="3" t="s">
        <v>9</v>
      </c>
      <c r="B1036" s="13">
        <v>914346.1</v>
      </c>
      <c r="C1036" s="13">
        <v>539669.55</v>
      </c>
      <c r="D1036" s="13">
        <v>374676.54999999993</v>
      </c>
      <c r="E1036" s="28">
        <v>5935.0</v>
      </c>
    </row>
    <row r="1037" ht="15.75" customHeight="1">
      <c r="A1037" s="3" t="s">
        <v>11</v>
      </c>
      <c r="B1037" s="13">
        <v>1179604.44</v>
      </c>
      <c r="C1037" s="13">
        <v>1019673.24</v>
      </c>
      <c r="D1037" s="13">
        <v>159931.19999999995</v>
      </c>
      <c r="E1037" s="28">
        <v>2796.0</v>
      </c>
    </row>
    <row r="1038" ht="15.75" customHeight="1">
      <c r="A1038" s="3" t="s">
        <v>12</v>
      </c>
      <c r="B1038" s="13">
        <v>1850667.5999999999</v>
      </c>
      <c r="C1038" s="13">
        <v>1114675.89</v>
      </c>
      <c r="D1038" s="13">
        <v>735991.71</v>
      </c>
      <c r="E1038" s="28">
        <v>4233.0</v>
      </c>
    </row>
    <row r="1039" ht="15.75" customHeight="1">
      <c r="A1039" s="3" t="s">
        <v>5</v>
      </c>
      <c r="B1039" s="13">
        <v>966144.48</v>
      </c>
      <c r="C1039" s="13">
        <v>316861.44</v>
      </c>
      <c r="D1039" s="13">
        <v>649283.04</v>
      </c>
      <c r="E1039" s="28">
        <v>8841.0</v>
      </c>
    </row>
    <row r="1040" ht="15.75" customHeight="1">
      <c r="A1040" s="3" t="s">
        <v>11</v>
      </c>
      <c r="B1040" s="13">
        <v>3117767.1</v>
      </c>
      <c r="C1040" s="13">
        <v>2695059.1</v>
      </c>
      <c r="D1040" s="13">
        <v>422708.0</v>
      </c>
      <c r="E1040" s="28">
        <v>7390.0</v>
      </c>
    </row>
    <row r="1041" ht="15.75" customHeight="1">
      <c r="A1041" s="3" t="s">
        <v>5</v>
      </c>
      <c r="B1041" s="13">
        <v>59885.44</v>
      </c>
      <c r="C1041" s="13">
        <v>19640.320000000003</v>
      </c>
      <c r="D1041" s="13">
        <v>40245.119999999995</v>
      </c>
      <c r="E1041" s="28">
        <v>548.0</v>
      </c>
    </row>
    <row r="1042" ht="15.75" customHeight="1">
      <c r="A1042" s="3" t="s">
        <v>11</v>
      </c>
      <c r="B1042" s="13">
        <v>853061.58</v>
      </c>
      <c r="C1042" s="13">
        <v>737403.18</v>
      </c>
      <c r="D1042" s="13">
        <v>115658.3999999999</v>
      </c>
      <c r="E1042" s="28">
        <v>2022.0</v>
      </c>
    </row>
    <row r="1043" ht="15.75" customHeight="1">
      <c r="A1043" s="3" t="s">
        <v>13</v>
      </c>
      <c r="B1043" s="13">
        <v>973460.4</v>
      </c>
      <c r="C1043" s="13">
        <v>621667.2</v>
      </c>
      <c r="D1043" s="13">
        <v>351793.20000000007</v>
      </c>
      <c r="E1043" s="28">
        <v>6380.0</v>
      </c>
    </row>
    <row r="1044" ht="15.75" customHeight="1">
      <c r="A1044" s="3" t="s">
        <v>13</v>
      </c>
      <c r="B1044" s="13">
        <v>1469497.9800000002</v>
      </c>
      <c r="C1044" s="13">
        <v>938444.64</v>
      </c>
      <c r="D1044" s="13">
        <v>531053.3400000002</v>
      </c>
      <c r="E1044" s="28">
        <v>9631.0</v>
      </c>
    </row>
    <row r="1045" ht="15.75" customHeight="1">
      <c r="A1045" s="3" t="s">
        <v>4</v>
      </c>
      <c r="B1045" s="13">
        <v>3845225.58</v>
      </c>
      <c r="C1045" s="13">
        <v>2891615.16</v>
      </c>
      <c r="D1045" s="13">
        <v>953610.4199999999</v>
      </c>
      <c r="E1045" s="28">
        <v>5754.0</v>
      </c>
    </row>
    <row r="1046" ht="15.75" customHeight="1">
      <c r="A1046" s="3" t="s">
        <v>6</v>
      </c>
      <c r="B1046" s="13">
        <v>376705.55000000005</v>
      </c>
      <c r="C1046" s="13">
        <v>252380.81</v>
      </c>
      <c r="D1046" s="13">
        <v>124324.74000000005</v>
      </c>
      <c r="E1046" s="28">
        <v>7939.0</v>
      </c>
    </row>
    <row r="1047" ht="15.75" customHeight="1">
      <c r="A1047" s="3" t="s">
        <v>13</v>
      </c>
      <c r="B1047" s="13">
        <v>730705.6200000001</v>
      </c>
      <c r="C1047" s="13">
        <v>466640.16</v>
      </c>
      <c r="D1047" s="13">
        <v>264065.46000000014</v>
      </c>
      <c r="E1047" s="28">
        <v>4789.0</v>
      </c>
    </row>
    <row r="1048" ht="15.75" customHeight="1">
      <c r="A1048" s="3" t="s">
        <v>14</v>
      </c>
      <c r="B1048" s="13">
        <v>526913.31</v>
      </c>
      <c r="C1048" s="13">
        <v>365351.49</v>
      </c>
      <c r="D1048" s="13">
        <v>161561.82000000007</v>
      </c>
      <c r="E1048" s="28">
        <v>6447.0</v>
      </c>
    </row>
    <row r="1049" ht="15.75" customHeight="1">
      <c r="A1049" s="3" t="s">
        <v>12</v>
      </c>
      <c r="B1049" s="13">
        <v>657986.0</v>
      </c>
      <c r="C1049" s="13">
        <v>396311.64999999997</v>
      </c>
      <c r="D1049" s="13">
        <v>261674.35000000003</v>
      </c>
      <c r="E1049" s="28">
        <v>1505.0</v>
      </c>
    </row>
    <row r="1050" ht="15.75" customHeight="1">
      <c r="A1050" s="3" t="s">
        <v>8</v>
      </c>
      <c r="B1050" s="13">
        <v>77532.3</v>
      </c>
      <c r="C1050" s="13">
        <v>57505.2</v>
      </c>
      <c r="D1050" s="13">
        <v>20027.100000000006</v>
      </c>
      <c r="E1050" s="28">
        <v>8310.0</v>
      </c>
    </row>
    <row r="1051" ht="15.75" customHeight="1">
      <c r="A1051" s="3" t="s">
        <v>3</v>
      </c>
      <c r="B1051" s="13">
        <v>1383949.5999999999</v>
      </c>
      <c r="C1051" s="13">
        <v>787916.08</v>
      </c>
      <c r="D1051" s="13">
        <v>596033.5199999999</v>
      </c>
      <c r="E1051" s="28">
        <v>6728.0</v>
      </c>
    </row>
    <row r="1052" ht="15.75" customHeight="1">
      <c r="A1052" s="3" t="s">
        <v>3</v>
      </c>
      <c r="B1052" s="13">
        <v>451922.89999999997</v>
      </c>
      <c r="C1052" s="13">
        <v>257290.67</v>
      </c>
      <c r="D1052" s="13">
        <v>194632.22999999995</v>
      </c>
      <c r="E1052" s="28">
        <v>2197.0</v>
      </c>
    </row>
    <row r="1053" ht="15.75" customHeight="1">
      <c r="A1053" s="3" t="s">
        <v>4</v>
      </c>
      <c r="B1053" s="13">
        <v>2540094.27</v>
      </c>
      <c r="C1053" s="13">
        <v>1910154.54</v>
      </c>
      <c r="D1053" s="13">
        <v>629939.73</v>
      </c>
      <c r="E1053" s="28">
        <v>3801.0</v>
      </c>
    </row>
    <row r="1054" ht="15.75" customHeight="1">
      <c r="A1054" s="3" t="s">
        <v>6</v>
      </c>
      <c r="B1054" s="13">
        <v>419932.5</v>
      </c>
      <c r="C1054" s="13">
        <v>281341.5</v>
      </c>
      <c r="D1054" s="13">
        <v>138591.0</v>
      </c>
      <c r="E1054" s="28">
        <v>8850.0</v>
      </c>
    </row>
    <row r="1055" ht="15.75" customHeight="1">
      <c r="A1055" s="3" t="s">
        <v>11</v>
      </c>
      <c r="B1055" s="13">
        <v>2865054.9899999998</v>
      </c>
      <c r="C1055" s="13">
        <v>2476609.79</v>
      </c>
      <c r="D1055" s="13">
        <v>388445.1999999997</v>
      </c>
      <c r="E1055" s="28">
        <v>6791.0</v>
      </c>
    </row>
    <row r="1056" ht="15.75" customHeight="1">
      <c r="A1056" s="3" t="s">
        <v>6</v>
      </c>
      <c r="B1056" s="13">
        <v>412103.25</v>
      </c>
      <c r="C1056" s="13">
        <v>276096.14999999997</v>
      </c>
      <c r="D1056" s="13">
        <v>136007.10000000003</v>
      </c>
      <c r="E1056" s="28">
        <v>8685.0</v>
      </c>
    </row>
    <row r="1057" ht="15.75" customHeight="1">
      <c r="A1057" s="3" t="s">
        <v>6</v>
      </c>
      <c r="B1057" s="13">
        <v>117011.70000000001</v>
      </c>
      <c r="C1057" s="13">
        <v>78394.14</v>
      </c>
      <c r="D1057" s="13">
        <v>38617.56000000001</v>
      </c>
      <c r="E1057" s="28">
        <v>2466.0</v>
      </c>
    </row>
    <row r="1058" ht="15.75" customHeight="1">
      <c r="A1058" s="3" t="s">
        <v>6</v>
      </c>
      <c r="B1058" s="13">
        <v>255802.95</v>
      </c>
      <c r="C1058" s="13">
        <v>171379.88999999998</v>
      </c>
      <c r="D1058" s="13">
        <v>84423.06000000003</v>
      </c>
      <c r="E1058" s="28">
        <v>5391.0</v>
      </c>
    </row>
    <row r="1059" ht="15.75" customHeight="1">
      <c r="A1059" s="3" t="s">
        <v>3</v>
      </c>
      <c r="B1059" s="13">
        <v>300733.39999999997</v>
      </c>
      <c r="C1059" s="13">
        <v>171214.82</v>
      </c>
      <c r="D1059" s="13">
        <v>129518.57999999996</v>
      </c>
      <c r="E1059" s="28">
        <v>1462.0</v>
      </c>
    </row>
    <row r="1060" ht="15.75" customHeight="1">
      <c r="A1060" s="3" t="s">
        <v>7</v>
      </c>
      <c r="B1060" s="13">
        <v>1407916.02</v>
      </c>
      <c r="C1060" s="13">
        <v>1134963.52</v>
      </c>
      <c r="D1060" s="13">
        <v>272952.5</v>
      </c>
      <c r="E1060" s="28">
        <v>2162.0</v>
      </c>
    </row>
    <row r="1061" ht="15.75" customHeight="1">
      <c r="A1061" s="3" t="s">
        <v>5</v>
      </c>
      <c r="B1061" s="13">
        <v>347838.24</v>
      </c>
      <c r="C1061" s="13">
        <v>114078.72000000002</v>
      </c>
      <c r="D1061" s="13">
        <v>233759.51999999996</v>
      </c>
      <c r="E1061" s="28">
        <v>3183.0</v>
      </c>
    </row>
    <row r="1062" ht="15.75" customHeight="1">
      <c r="A1062" s="3" t="s">
        <v>4</v>
      </c>
      <c r="B1062" s="13">
        <v>1164794.6099999999</v>
      </c>
      <c r="C1062" s="13">
        <v>875927.2200000001</v>
      </c>
      <c r="D1062" s="13">
        <v>288867.3899999998</v>
      </c>
      <c r="E1062" s="28">
        <v>1743.0</v>
      </c>
    </row>
    <row r="1063" ht="15.75" customHeight="1">
      <c r="A1063" s="3" t="s">
        <v>14</v>
      </c>
      <c r="B1063" s="13">
        <v>13158.53</v>
      </c>
      <c r="C1063" s="13">
        <v>9123.87</v>
      </c>
      <c r="D1063" s="13">
        <v>4034.66</v>
      </c>
      <c r="E1063" s="28">
        <v>161.0</v>
      </c>
    </row>
    <row r="1064" ht="15.75" customHeight="1">
      <c r="A1064" s="3" t="s">
        <v>9</v>
      </c>
      <c r="B1064" s="13">
        <v>148359.78</v>
      </c>
      <c r="C1064" s="13">
        <v>87565.59000000001</v>
      </c>
      <c r="D1064" s="13">
        <v>60794.18999999999</v>
      </c>
      <c r="E1064" s="28">
        <v>963.0</v>
      </c>
    </row>
    <row r="1065" ht="15.75" customHeight="1">
      <c r="A1065" s="3" t="s">
        <v>12</v>
      </c>
      <c r="B1065" s="13">
        <v>3000940.8</v>
      </c>
      <c r="C1065" s="13">
        <v>1807497.1199999999</v>
      </c>
      <c r="D1065" s="13">
        <v>1193443.68</v>
      </c>
      <c r="E1065" s="28">
        <v>6864.0</v>
      </c>
    </row>
    <row r="1066" ht="15.75" customHeight="1">
      <c r="A1066" s="3" t="s">
        <v>9</v>
      </c>
      <c r="B1066" s="13">
        <v>1006165.86</v>
      </c>
      <c r="C1066" s="13">
        <v>593863.8300000001</v>
      </c>
      <c r="D1066" s="13">
        <v>412302.0299999999</v>
      </c>
      <c r="E1066" s="28">
        <v>6531.0</v>
      </c>
    </row>
    <row r="1067" ht="15.75" customHeight="1">
      <c r="A1067" s="3" t="s">
        <v>9</v>
      </c>
      <c r="B1067" s="13">
        <v>677247.76</v>
      </c>
      <c r="C1067" s="13">
        <v>399728.28</v>
      </c>
      <c r="D1067" s="13">
        <v>277519.48</v>
      </c>
      <c r="E1067" s="28">
        <v>4396.0</v>
      </c>
    </row>
    <row r="1068" ht="15.75" customHeight="1">
      <c r="A1068" s="3" t="s">
        <v>12</v>
      </c>
      <c r="B1068" s="13">
        <v>1960404.8</v>
      </c>
      <c r="C1068" s="13">
        <v>1180771.72</v>
      </c>
      <c r="D1068" s="13">
        <v>779633.0800000001</v>
      </c>
      <c r="E1068" s="28">
        <v>4484.0</v>
      </c>
    </row>
    <row r="1069" ht="15.75" customHeight="1">
      <c r="A1069" s="3" t="s">
        <v>10</v>
      </c>
      <c r="B1069" s="13">
        <v>165676.72</v>
      </c>
      <c r="C1069" s="13">
        <v>103463.57999999999</v>
      </c>
      <c r="D1069" s="13">
        <v>62213.140000000014</v>
      </c>
      <c r="E1069" s="28">
        <v>649.0</v>
      </c>
    </row>
    <row r="1070" ht="15.75" customHeight="1">
      <c r="A1070" s="3" t="s">
        <v>3</v>
      </c>
      <c r="B1070" s="13">
        <v>1683860.2</v>
      </c>
      <c r="C1070" s="13">
        <v>958662.46</v>
      </c>
      <c r="D1070" s="13">
        <v>725197.74</v>
      </c>
      <c r="E1070" s="28">
        <v>8186.0</v>
      </c>
    </row>
    <row r="1071" ht="15.75" customHeight="1">
      <c r="A1071" s="3" t="s">
        <v>9</v>
      </c>
      <c r="B1071" s="13">
        <v>1303039.48</v>
      </c>
      <c r="C1071" s="13">
        <v>769085.9400000001</v>
      </c>
      <c r="D1071" s="13">
        <v>533953.5399999999</v>
      </c>
      <c r="E1071" s="28">
        <v>8458.0</v>
      </c>
    </row>
    <row r="1072" ht="15.75" customHeight="1">
      <c r="A1072" s="3" t="s">
        <v>12</v>
      </c>
      <c r="B1072" s="13">
        <v>395666.0</v>
      </c>
      <c r="C1072" s="13">
        <v>238313.65</v>
      </c>
      <c r="D1072" s="13">
        <v>157352.35</v>
      </c>
      <c r="E1072" s="28">
        <v>905.0</v>
      </c>
    </row>
    <row r="1073" ht="15.75" customHeight="1">
      <c r="A1073" s="3" t="s">
        <v>3</v>
      </c>
      <c r="B1073" s="13">
        <v>993119.6</v>
      </c>
      <c r="C1073" s="13">
        <v>565407.08</v>
      </c>
      <c r="D1073" s="13">
        <v>427712.52</v>
      </c>
      <c r="E1073" s="28">
        <v>4828.0</v>
      </c>
    </row>
    <row r="1074" ht="15.75" customHeight="1">
      <c r="A1074" s="3" t="s">
        <v>8</v>
      </c>
      <c r="B1074" s="13">
        <v>58079.25</v>
      </c>
      <c r="C1074" s="13">
        <v>43077.0</v>
      </c>
      <c r="D1074" s="13">
        <v>15002.25</v>
      </c>
      <c r="E1074" s="28">
        <v>6225.0</v>
      </c>
    </row>
    <row r="1075" ht="15.75" customHeight="1">
      <c r="A1075" s="3" t="s">
        <v>12</v>
      </c>
      <c r="B1075" s="13">
        <v>794829.6</v>
      </c>
      <c r="C1075" s="13">
        <v>478733.93999999994</v>
      </c>
      <c r="D1075" s="13">
        <v>316095.66000000003</v>
      </c>
      <c r="E1075" s="28">
        <v>1818.0</v>
      </c>
    </row>
    <row r="1076" ht="15.75" customHeight="1">
      <c r="A1076" s="3" t="s">
        <v>11</v>
      </c>
      <c r="B1076" s="13">
        <v>3787728.42</v>
      </c>
      <c r="C1076" s="13">
        <v>3274186.82</v>
      </c>
      <c r="D1076" s="13">
        <v>513541.6000000001</v>
      </c>
      <c r="E1076" s="28">
        <v>8978.0</v>
      </c>
    </row>
    <row r="1077" ht="15.75" customHeight="1">
      <c r="A1077" s="3" t="s">
        <v>12</v>
      </c>
      <c r="B1077" s="13">
        <v>2997443.1999999997</v>
      </c>
      <c r="C1077" s="13">
        <v>1805390.48</v>
      </c>
      <c r="D1077" s="13">
        <v>1192052.7199999997</v>
      </c>
      <c r="E1077" s="28">
        <v>6856.0</v>
      </c>
    </row>
    <row r="1078" ht="15.75" customHeight="1">
      <c r="A1078" s="3" t="s">
        <v>8</v>
      </c>
      <c r="B1078" s="13">
        <v>85574.76</v>
      </c>
      <c r="C1078" s="13">
        <v>63470.24</v>
      </c>
      <c r="D1078" s="13">
        <v>22104.519999999997</v>
      </c>
      <c r="E1078" s="28">
        <v>9172.0</v>
      </c>
    </row>
    <row r="1079" ht="15.75" customHeight="1">
      <c r="A1079" s="3" t="s">
        <v>9</v>
      </c>
      <c r="B1079" s="13">
        <v>836083.62</v>
      </c>
      <c r="C1079" s="13">
        <v>493477.11000000004</v>
      </c>
      <c r="D1079" s="13">
        <v>342606.50999999995</v>
      </c>
      <c r="E1079" s="28">
        <v>5427.0</v>
      </c>
    </row>
    <row r="1080" ht="15.75" customHeight="1">
      <c r="A1080" s="3" t="s">
        <v>9</v>
      </c>
      <c r="B1080" s="13">
        <v>360038.22000000003</v>
      </c>
      <c r="C1080" s="13">
        <v>212503.41</v>
      </c>
      <c r="D1080" s="13">
        <v>147534.81000000003</v>
      </c>
      <c r="E1080" s="28">
        <v>2337.0</v>
      </c>
    </row>
    <row r="1081" ht="15.75" customHeight="1">
      <c r="A1081" s="3" t="s">
        <v>9</v>
      </c>
      <c r="B1081" s="13">
        <v>37590.64</v>
      </c>
      <c r="C1081" s="13">
        <v>22186.920000000002</v>
      </c>
      <c r="D1081" s="13">
        <v>15403.719999999998</v>
      </c>
      <c r="E1081" s="28">
        <v>244.0</v>
      </c>
    </row>
    <row r="1082" ht="15.75" customHeight="1">
      <c r="A1082" s="3" t="s">
        <v>7</v>
      </c>
      <c r="B1082" s="13">
        <v>2869231.2600000002</v>
      </c>
      <c r="C1082" s="13">
        <v>2312973.7600000002</v>
      </c>
      <c r="D1082" s="13">
        <v>556257.5</v>
      </c>
      <c r="E1082" s="28">
        <v>4406.0</v>
      </c>
    </row>
    <row r="1083" ht="15.75" customHeight="1">
      <c r="A1083" s="3" t="s">
        <v>12</v>
      </c>
      <c r="B1083" s="13">
        <v>917245.6</v>
      </c>
      <c r="C1083" s="13">
        <v>552466.34</v>
      </c>
      <c r="D1083" s="13">
        <v>364779.26</v>
      </c>
      <c r="E1083" s="28">
        <v>2098.0</v>
      </c>
    </row>
    <row r="1084" ht="15.75" customHeight="1">
      <c r="A1084" s="3" t="s">
        <v>13</v>
      </c>
      <c r="B1084" s="13">
        <v>458655.48000000004</v>
      </c>
      <c r="C1084" s="13">
        <v>292904.64</v>
      </c>
      <c r="D1084" s="13">
        <v>165750.84000000003</v>
      </c>
      <c r="E1084" s="28">
        <v>3006.0</v>
      </c>
    </row>
    <row r="1085" ht="15.75" customHeight="1">
      <c r="A1085" s="3" t="s">
        <v>11</v>
      </c>
      <c r="B1085" s="13">
        <v>1900614.45</v>
      </c>
      <c r="C1085" s="13">
        <v>1642928.45</v>
      </c>
      <c r="D1085" s="13">
        <v>257686.0</v>
      </c>
      <c r="E1085" s="28">
        <v>4505.0</v>
      </c>
    </row>
    <row r="1086" ht="15.75" customHeight="1">
      <c r="A1086" s="3" t="s">
        <v>4</v>
      </c>
      <c r="B1086" s="13">
        <v>6672675.95</v>
      </c>
      <c r="C1086" s="13">
        <v>5017861.9</v>
      </c>
      <c r="D1086" s="13">
        <v>1654814.0499999998</v>
      </c>
      <c r="E1086" s="28">
        <v>9985.0</v>
      </c>
    </row>
    <row r="1087" ht="15.75" customHeight="1">
      <c r="A1087" s="3" t="s">
        <v>12</v>
      </c>
      <c r="B1087" s="13">
        <v>988072.0</v>
      </c>
      <c r="C1087" s="13">
        <v>595125.7999999999</v>
      </c>
      <c r="D1087" s="13">
        <v>392946.20000000007</v>
      </c>
      <c r="E1087" s="28">
        <v>2260.0</v>
      </c>
    </row>
    <row r="1088" ht="15.75" customHeight="1">
      <c r="A1088" s="3" t="s">
        <v>7</v>
      </c>
      <c r="B1088" s="13">
        <v>1888509.0</v>
      </c>
      <c r="C1088" s="13">
        <v>1522384.0</v>
      </c>
      <c r="D1088" s="13">
        <v>366125.0</v>
      </c>
      <c r="E1088" s="28">
        <v>2900.0</v>
      </c>
    </row>
    <row r="1089" ht="15.75" customHeight="1">
      <c r="A1089" s="3" t="s">
        <v>5</v>
      </c>
      <c r="B1089" s="13">
        <v>262272.0</v>
      </c>
      <c r="C1089" s="13">
        <v>86016.00000000001</v>
      </c>
      <c r="D1089" s="13">
        <v>176256.0</v>
      </c>
      <c r="E1089" s="28">
        <v>2400.0</v>
      </c>
    </row>
    <row r="1090" ht="15.75" customHeight="1">
      <c r="A1090" s="3" t="s">
        <v>11</v>
      </c>
      <c r="B1090" s="13">
        <v>1753796.73</v>
      </c>
      <c r="C1090" s="13">
        <v>1516016.33</v>
      </c>
      <c r="D1090" s="13">
        <v>237780.3999999999</v>
      </c>
      <c r="E1090" s="28">
        <v>4157.0</v>
      </c>
    </row>
    <row r="1091" ht="15.75" customHeight="1">
      <c r="A1091" s="3" t="s">
        <v>6</v>
      </c>
      <c r="B1091" s="13">
        <v>48731.15</v>
      </c>
      <c r="C1091" s="13">
        <v>32648.329999999998</v>
      </c>
      <c r="D1091" s="13">
        <v>16082.820000000003</v>
      </c>
      <c r="E1091" s="28">
        <v>1027.0</v>
      </c>
    </row>
    <row r="1092" ht="15.75" customHeight="1">
      <c r="A1092" s="3" t="s">
        <v>10</v>
      </c>
      <c r="B1092" s="13">
        <v>1974080.24</v>
      </c>
      <c r="C1092" s="13">
        <v>1232794.8599999999</v>
      </c>
      <c r="D1092" s="13">
        <v>741285.3800000001</v>
      </c>
      <c r="E1092" s="28">
        <v>7733.0</v>
      </c>
    </row>
    <row r="1093" ht="15.75" customHeight="1">
      <c r="A1093" s="3" t="s">
        <v>12</v>
      </c>
      <c r="B1093" s="13">
        <v>3173197.6</v>
      </c>
      <c r="C1093" s="13">
        <v>1911249.14</v>
      </c>
      <c r="D1093" s="13">
        <v>1261948.4600000002</v>
      </c>
      <c r="E1093" s="28">
        <v>7258.0</v>
      </c>
    </row>
    <row r="1094" ht="15.75" customHeight="1">
      <c r="A1094" s="3" t="s">
        <v>10</v>
      </c>
      <c r="B1094" s="13">
        <v>1672594.56</v>
      </c>
      <c r="C1094" s="13">
        <v>1044519.84</v>
      </c>
      <c r="D1094" s="13">
        <v>628074.7200000001</v>
      </c>
      <c r="E1094" s="28">
        <v>6552.0</v>
      </c>
    </row>
    <row r="1095" ht="15.75" customHeight="1">
      <c r="A1095" s="3" t="s">
        <v>4</v>
      </c>
      <c r="B1095" s="13">
        <v>2582195.28</v>
      </c>
      <c r="C1095" s="13">
        <v>1941814.56</v>
      </c>
      <c r="D1095" s="13">
        <v>640380.7199999997</v>
      </c>
      <c r="E1095" s="28">
        <v>3864.0</v>
      </c>
    </row>
    <row r="1096" ht="15.75" customHeight="1">
      <c r="A1096" s="3" t="s">
        <v>12</v>
      </c>
      <c r="B1096" s="13">
        <v>2309727.6</v>
      </c>
      <c r="C1096" s="13">
        <v>1391172.39</v>
      </c>
      <c r="D1096" s="13">
        <v>918555.2100000002</v>
      </c>
      <c r="E1096" s="28">
        <v>5283.0</v>
      </c>
    </row>
    <row r="1097" ht="15.75" customHeight="1">
      <c r="A1097" s="3" t="s">
        <v>8</v>
      </c>
      <c r="B1097" s="13">
        <v>26142.66</v>
      </c>
      <c r="C1097" s="13">
        <v>19389.84</v>
      </c>
      <c r="D1097" s="13">
        <v>6752.82</v>
      </c>
      <c r="E1097" s="28">
        <v>2802.0</v>
      </c>
    </row>
    <row r="1098" ht="15.75" customHeight="1">
      <c r="A1098" s="3" t="s">
        <v>12</v>
      </c>
      <c r="B1098" s="13">
        <v>1333460.0</v>
      </c>
      <c r="C1098" s="13">
        <v>803156.5</v>
      </c>
      <c r="D1098" s="13">
        <v>530303.5</v>
      </c>
      <c r="E1098" s="28">
        <v>3050.0</v>
      </c>
    </row>
    <row r="1099" ht="15.75" customHeight="1">
      <c r="A1099" s="3" t="s">
        <v>6</v>
      </c>
      <c r="B1099" s="13">
        <v>107426.8</v>
      </c>
      <c r="C1099" s="13">
        <v>71972.56</v>
      </c>
      <c r="D1099" s="13">
        <v>35454.240000000005</v>
      </c>
      <c r="E1099" s="28">
        <v>2264.0</v>
      </c>
    </row>
    <row r="1100" ht="15.75" customHeight="1">
      <c r="A1100" s="3" t="s">
        <v>3</v>
      </c>
      <c r="B1100" s="13">
        <v>251571.09999999998</v>
      </c>
      <c r="C1100" s="13">
        <v>143225.53</v>
      </c>
      <c r="D1100" s="13">
        <v>108345.56999999998</v>
      </c>
      <c r="E1100" s="28">
        <v>1223.0</v>
      </c>
    </row>
    <row r="1101" ht="15.75" customHeight="1">
      <c r="A1101" s="3" t="s">
        <v>4</v>
      </c>
      <c r="B1101" s="13">
        <v>5024053.859999999</v>
      </c>
      <c r="C1101" s="13">
        <v>3778095.72</v>
      </c>
      <c r="D1101" s="13">
        <v>1245958.1399999992</v>
      </c>
      <c r="E1101" s="28">
        <v>7518.0</v>
      </c>
    </row>
    <row r="1102" ht="15.75" customHeight="1">
      <c r="A1102" s="3" t="s">
        <v>14</v>
      </c>
      <c r="B1102" s="13">
        <v>126436.31000000001</v>
      </c>
      <c r="C1102" s="13">
        <v>87668.49</v>
      </c>
      <c r="D1102" s="13">
        <v>38767.82000000001</v>
      </c>
      <c r="E1102" s="28">
        <v>1547.0</v>
      </c>
    </row>
    <row r="1103" ht="15.75" customHeight="1">
      <c r="A1103" s="3" t="s">
        <v>4</v>
      </c>
      <c r="B1103" s="13">
        <v>1736833.73</v>
      </c>
      <c r="C1103" s="13">
        <v>1306101.46</v>
      </c>
      <c r="D1103" s="13">
        <v>430732.27</v>
      </c>
      <c r="E1103" s="28">
        <v>2599.0</v>
      </c>
    </row>
    <row r="1104" ht="15.75" customHeight="1">
      <c r="A1104" s="3" t="s">
        <v>12</v>
      </c>
      <c r="B1104" s="13">
        <v>2219664.4</v>
      </c>
      <c r="C1104" s="13">
        <v>1336926.41</v>
      </c>
      <c r="D1104" s="13">
        <v>882737.99</v>
      </c>
      <c r="E1104" s="28">
        <v>5077.0</v>
      </c>
    </row>
    <row r="1105" ht="15.75" customHeight="1">
      <c r="A1105" s="3" t="s">
        <v>4</v>
      </c>
      <c r="B1105" s="13">
        <v>3923413.17</v>
      </c>
      <c r="C1105" s="13">
        <v>2950412.3400000003</v>
      </c>
      <c r="D1105" s="13">
        <v>973000.8299999996</v>
      </c>
      <c r="E1105" s="28">
        <v>5871.0</v>
      </c>
    </row>
    <row r="1106" ht="15.75" customHeight="1">
      <c r="A1106" s="3" t="s">
        <v>6</v>
      </c>
      <c r="B1106" s="13">
        <v>196110.85</v>
      </c>
      <c r="C1106" s="13">
        <v>131388.07</v>
      </c>
      <c r="D1106" s="13">
        <v>64722.78</v>
      </c>
      <c r="E1106" s="28">
        <v>4133.0</v>
      </c>
    </row>
    <row r="1107" ht="15.75" customHeight="1">
      <c r="A1107" s="3" t="s">
        <v>10</v>
      </c>
      <c r="B1107" s="13">
        <v>1272060.24</v>
      </c>
      <c r="C1107" s="13">
        <v>794389.86</v>
      </c>
      <c r="D1107" s="13">
        <v>477670.38</v>
      </c>
      <c r="E1107" s="28">
        <v>4983.0</v>
      </c>
    </row>
    <row r="1108" ht="15.75" customHeight="1">
      <c r="A1108" s="3" t="s">
        <v>14</v>
      </c>
      <c r="B1108" s="13">
        <v>539826.65</v>
      </c>
      <c r="C1108" s="13">
        <v>374305.35000000003</v>
      </c>
      <c r="D1108" s="13">
        <v>165521.3</v>
      </c>
      <c r="E1108" s="28">
        <v>6605.0</v>
      </c>
    </row>
    <row r="1109" ht="15.75" customHeight="1">
      <c r="A1109" s="3" t="s">
        <v>5</v>
      </c>
      <c r="B1109" s="13">
        <v>778947.84</v>
      </c>
      <c r="C1109" s="13">
        <v>255467.52000000002</v>
      </c>
      <c r="D1109" s="13">
        <v>523480.31999999995</v>
      </c>
      <c r="E1109" s="28">
        <v>7128.0</v>
      </c>
    </row>
    <row r="1110" ht="15.75" customHeight="1">
      <c r="A1110" s="3" t="s">
        <v>14</v>
      </c>
      <c r="B1110" s="13">
        <v>375385.89</v>
      </c>
      <c r="C1110" s="13">
        <v>260285.31</v>
      </c>
      <c r="D1110" s="13">
        <v>115100.58000000002</v>
      </c>
      <c r="E1110" s="28">
        <v>4593.0</v>
      </c>
    </row>
    <row r="1111" ht="15.75" customHeight="1">
      <c r="A1111" s="3" t="s">
        <v>4</v>
      </c>
      <c r="B1111" s="13">
        <v>3175619.04</v>
      </c>
      <c r="C1111" s="13">
        <v>2388070.08</v>
      </c>
      <c r="D1111" s="13">
        <v>787548.96</v>
      </c>
      <c r="E1111" s="28">
        <v>4752.0</v>
      </c>
    </row>
    <row r="1112" ht="15.75" customHeight="1">
      <c r="A1112" s="3" t="s">
        <v>9</v>
      </c>
      <c r="B1112" s="13">
        <v>1366358.1400000001</v>
      </c>
      <c r="C1112" s="13">
        <v>806458.17</v>
      </c>
      <c r="D1112" s="13">
        <v>559899.9700000001</v>
      </c>
      <c r="E1112" s="28">
        <v>8869.0</v>
      </c>
    </row>
    <row r="1113" ht="15.75" customHeight="1">
      <c r="A1113" s="3" t="s">
        <v>13</v>
      </c>
      <c r="B1113" s="13">
        <v>26091.180000000004</v>
      </c>
      <c r="C1113" s="13">
        <v>16662.239999999998</v>
      </c>
      <c r="D1113" s="13">
        <v>9428.940000000006</v>
      </c>
      <c r="E1113" s="28">
        <v>171.0</v>
      </c>
    </row>
    <row r="1114" ht="15.75" customHeight="1">
      <c r="A1114" s="3" t="s">
        <v>6</v>
      </c>
      <c r="B1114" s="13">
        <v>395590.65</v>
      </c>
      <c r="C1114" s="13">
        <v>265033.23</v>
      </c>
      <c r="D1114" s="13">
        <v>130557.42000000004</v>
      </c>
      <c r="E1114" s="28">
        <v>8337.0</v>
      </c>
    </row>
    <row r="1115" ht="15.75" customHeight="1">
      <c r="A1115" s="3" t="s">
        <v>10</v>
      </c>
      <c r="B1115" s="13">
        <v>2081042.56</v>
      </c>
      <c r="C1115" s="13">
        <v>1299591.8399999999</v>
      </c>
      <c r="D1115" s="13">
        <v>781450.7200000002</v>
      </c>
      <c r="E1115" s="28">
        <v>8152.0</v>
      </c>
    </row>
    <row r="1116" ht="15.75" customHeight="1">
      <c r="A1116" s="3" t="s">
        <v>11</v>
      </c>
      <c r="B1116" s="13">
        <v>3120720.33</v>
      </c>
      <c r="C1116" s="13">
        <v>2697611.93</v>
      </c>
      <c r="D1116" s="13">
        <v>423108.3999999999</v>
      </c>
      <c r="E1116" s="28">
        <v>7397.0</v>
      </c>
    </row>
    <row r="1117" ht="15.75" customHeight="1">
      <c r="A1117" s="3" t="s">
        <v>4</v>
      </c>
      <c r="B1117" s="13">
        <v>2046242.74</v>
      </c>
      <c r="C1117" s="13">
        <v>1538777.48</v>
      </c>
      <c r="D1117" s="13">
        <v>507465.26</v>
      </c>
      <c r="E1117" s="28">
        <v>3062.0</v>
      </c>
    </row>
    <row r="1118" ht="15.75" customHeight="1">
      <c r="A1118" s="3" t="s">
        <v>12</v>
      </c>
      <c r="B1118" s="13">
        <v>680720.4</v>
      </c>
      <c r="C1118" s="13">
        <v>410004.81</v>
      </c>
      <c r="D1118" s="13">
        <v>270715.59</v>
      </c>
      <c r="E1118" s="28">
        <v>1557.0</v>
      </c>
    </row>
    <row r="1119" ht="15.75" customHeight="1">
      <c r="A1119" s="3" t="s">
        <v>13</v>
      </c>
      <c r="B1119" s="13">
        <v>220935.84000000003</v>
      </c>
      <c r="C1119" s="13">
        <v>141093.12</v>
      </c>
      <c r="D1119" s="13">
        <v>79842.72000000003</v>
      </c>
      <c r="E1119" s="28">
        <v>1448.0</v>
      </c>
    </row>
    <row r="1120" ht="15.75" customHeight="1">
      <c r="A1120" s="3" t="s">
        <v>11</v>
      </c>
      <c r="B1120" s="13">
        <v>3755664.78</v>
      </c>
      <c r="C1120" s="13">
        <v>3246470.38</v>
      </c>
      <c r="D1120" s="13">
        <v>509194.3999999999</v>
      </c>
      <c r="E1120" s="28">
        <v>8902.0</v>
      </c>
    </row>
    <row r="1121" ht="15.75" customHeight="1">
      <c r="A1121" s="3" t="s">
        <v>9</v>
      </c>
      <c r="B1121" s="13">
        <v>1406875.92</v>
      </c>
      <c r="C1121" s="13">
        <v>830372.76</v>
      </c>
      <c r="D1121" s="13">
        <v>576503.1599999999</v>
      </c>
      <c r="E1121" s="28">
        <v>9132.0</v>
      </c>
    </row>
    <row r="1122" ht="15.75" customHeight="1">
      <c r="A1122" s="3" t="s">
        <v>11</v>
      </c>
      <c r="B1122" s="13">
        <v>1945334.79</v>
      </c>
      <c r="C1122" s="13">
        <v>1681585.59</v>
      </c>
      <c r="D1122" s="13">
        <v>263749.19999999995</v>
      </c>
      <c r="E1122" s="28">
        <v>4611.0</v>
      </c>
    </row>
    <row r="1123" ht="15.75" customHeight="1">
      <c r="A1123" s="3" t="s">
        <v>7</v>
      </c>
      <c r="B1123" s="13">
        <v>873923.8200000001</v>
      </c>
      <c r="C1123" s="13">
        <v>704496.3200000001</v>
      </c>
      <c r="D1123" s="13">
        <v>169427.5</v>
      </c>
      <c r="E1123" s="28">
        <v>1342.0</v>
      </c>
    </row>
    <row r="1124" ht="15.75" customHeight="1">
      <c r="A1124" s="3" t="s">
        <v>8</v>
      </c>
      <c r="B1124" s="13">
        <v>51837.48</v>
      </c>
      <c r="C1124" s="13">
        <v>38447.52</v>
      </c>
      <c r="D1124" s="13">
        <v>13389.960000000006</v>
      </c>
      <c r="E1124" s="28">
        <v>5556.0</v>
      </c>
    </row>
    <row r="1125" ht="15.75" customHeight="1">
      <c r="A1125" s="3" t="s">
        <v>10</v>
      </c>
      <c r="B1125" s="13">
        <v>2360318.88</v>
      </c>
      <c r="C1125" s="13">
        <v>1473997.3199999998</v>
      </c>
      <c r="D1125" s="13">
        <v>886321.56</v>
      </c>
      <c r="E1125" s="28">
        <v>9246.0</v>
      </c>
    </row>
    <row r="1126" ht="15.75" customHeight="1">
      <c r="A1126" s="3" t="s">
        <v>10</v>
      </c>
      <c r="B1126" s="13">
        <v>206776.8</v>
      </c>
      <c r="C1126" s="13">
        <v>129130.2</v>
      </c>
      <c r="D1126" s="13">
        <v>77646.59999999999</v>
      </c>
      <c r="E1126" s="28">
        <v>810.0</v>
      </c>
    </row>
    <row r="1127" ht="15.75" customHeight="1">
      <c r="A1127" s="3" t="s">
        <v>12</v>
      </c>
      <c r="B1127" s="13">
        <v>386484.8</v>
      </c>
      <c r="C1127" s="13">
        <v>232783.71999999997</v>
      </c>
      <c r="D1127" s="13">
        <v>153701.08000000002</v>
      </c>
      <c r="E1127" s="28">
        <v>884.0</v>
      </c>
    </row>
    <row r="1128" ht="15.75" customHeight="1">
      <c r="A1128" s="3" t="s">
        <v>14</v>
      </c>
      <c r="B1128" s="13">
        <v>102244.23000000001</v>
      </c>
      <c r="C1128" s="13">
        <v>70894.17</v>
      </c>
      <c r="D1128" s="13">
        <v>31350.060000000012</v>
      </c>
      <c r="E1128" s="28">
        <v>1251.0</v>
      </c>
    </row>
    <row r="1129" ht="15.75" customHeight="1">
      <c r="A1129" s="3" t="s">
        <v>3</v>
      </c>
      <c r="B1129" s="13">
        <v>10285.0</v>
      </c>
      <c r="C1129" s="13">
        <v>5855.5</v>
      </c>
      <c r="D1129" s="13">
        <v>4429.5</v>
      </c>
      <c r="E1129" s="28">
        <v>50.0</v>
      </c>
    </row>
    <row r="1130" ht="15.75" customHeight="1">
      <c r="A1130" s="3" t="s">
        <v>7</v>
      </c>
      <c r="B1130" s="13">
        <v>6310876.11</v>
      </c>
      <c r="C1130" s="13">
        <v>5087387.36</v>
      </c>
      <c r="D1130" s="13">
        <v>1223488.75</v>
      </c>
      <c r="E1130" s="28">
        <v>9691.0</v>
      </c>
    </row>
    <row r="1131" ht="15.75" customHeight="1">
      <c r="A1131" s="3" t="s">
        <v>7</v>
      </c>
      <c r="B1131" s="13">
        <v>4391760.24</v>
      </c>
      <c r="C1131" s="13">
        <v>3540330.24</v>
      </c>
      <c r="D1131" s="13">
        <v>851430.0</v>
      </c>
      <c r="E1131" s="28">
        <v>6744.0</v>
      </c>
    </row>
    <row r="1132" ht="15.75" customHeight="1">
      <c r="A1132" s="3" t="s">
        <v>12</v>
      </c>
      <c r="B1132" s="13">
        <v>1201862.8</v>
      </c>
      <c r="C1132" s="13">
        <v>723894.1699999999</v>
      </c>
      <c r="D1132" s="13">
        <v>477968.6300000001</v>
      </c>
      <c r="E1132" s="28">
        <v>2749.0</v>
      </c>
    </row>
    <row r="1133" ht="15.75" customHeight="1">
      <c r="A1133" s="3" t="s">
        <v>6</v>
      </c>
      <c r="B1133" s="13">
        <v>59549.75</v>
      </c>
      <c r="C1133" s="13">
        <v>39896.45</v>
      </c>
      <c r="D1133" s="13">
        <v>19653.300000000003</v>
      </c>
      <c r="E1133" s="28">
        <v>1255.0</v>
      </c>
    </row>
    <row r="1134" ht="15.75" customHeight="1">
      <c r="A1134" s="3" t="s">
        <v>7</v>
      </c>
      <c r="B1134" s="13">
        <v>1769337.57</v>
      </c>
      <c r="C1134" s="13">
        <v>1426316.32</v>
      </c>
      <c r="D1134" s="13">
        <v>343021.25</v>
      </c>
      <c r="E1134" s="28">
        <v>2717.0</v>
      </c>
    </row>
    <row r="1135" ht="15.75" customHeight="1">
      <c r="A1135" s="3" t="s">
        <v>14</v>
      </c>
      <c r="B1135" s="13">
        <v>568840.8</v>
      </c>
      <c r="C1135" s="13">
        <v>394423.2</v>
      </c>
      <c r="D1135" s="13">
        <v>174417.60000000003</v>
      </c>
      <c r="E1135" s="28">
        <v>6960.0</v>
      </c>
    </row>
    <row r="1136" ht="15.75" customHeight="1">
      <c r="A1136" s="3" t="s">
        <v>13</v>
      </c>
      <c r="B1136" s="13">
        <v>1333244.04</v>
      </c>
      <c r="C1136" s="13">
        <v>851430.72</v>
      </c>
      <c r="D1136" s="13">
        <v>481813.32000000007</v>
      </c>
      <c r="E1136" s="28">
        <v>8738.0</v>
      </c>
    </row>
    <row r="1137" ht="15.75" customHeight="1">
      <c r="A1137" s="3" t="s">
        <v>6</v>
      </c>
      <c r="B1137" s="13">
        <v>21874.45</v>
      </c>
      <c r="C1137" s="13">
        <v>14655.19</v>
      </c>
      <c r="D1137" s="13">
        <v>7219.26</v>
      </c>
      <c r="E1137" s="28">
        <v>461.0</v>
      </c>
    </row>
    <row r="1138" ht="15.75" customHeight="1">
      <c r="A1138" s="3" t="s">
        <v>7</v>
      </c>
      <c r="B1138" s="13">
        <v>4934218.17</v>
      </c>
      <c r="C1138" s="13">
        <v>3977621.9200000004</v>
      </c>
      <c r="D1138" s="13">
        <v>956596.2499999995</v>
      </c>
      <c r="E1138" s="28">
        <v>7577.0</v>
      </c>
    </row>
    <row r="1139" ht="15.75" customHeight="1">
      <c r="A1139" s="3" t="s">
        <v>11</v>
      </c>
      <c r="B1139" s="13">
        <v>364934.85</v>
      </c>
      <c r="C1139" s="13">
        <v>315456.85</v>
      </c>
      <c r="D1139" s="13">
        <v>49478.0</v>
      </c>
      <c r="E1139" s="28">
        <v>865.0</v>
      </c>
    </row>
    <row r="1140" ht="15.75" customHeight="1">
      <c r="A1140" s="3" t="s">
        <v>11</v>
      </c>
      <c r="B1140" s="13">
        <v>4129037.4299999997</v>
      </c>
      <c r="C1140" s="13">
        <v>3569221.03</v>
      </c>
      <c r="D1140" s="13">
        <v>559816.3999999999</v>
      </c>
      <c r="E1140" s="28">
        <v>9787.0</v>
      </c>
    </row>
    <row r="1141" ht="15.75" customHeight="1">
      <c r="A1141" s="3" t="s">
        <v>4</v>
      </c>
      <c r="B1141" s="13">
        <v>2161853.4499999997</v>
      </c>
      <c r="C1141" s="13">
        <v>1625716.9000000001</v>
      </c>
      <c r="D1141" s="13">
        <v>536136.5499999996</v>
      </c>
      <c r="E1141" s="28">
        <v>3235.0</v>
      </c>
    </row>
    <row r="1142" ht="15.75" customHeight="1">
      <c r="A1142" s="3" t="s">
        <v>6</v>
      </c>
      <c r="B1142" s="13">
        <v>317915.0</v>
      </c>
      <c r="C1142" s="13">
        <v>212993.0</v>
      </c>
      <c r="D1142" s="13">
        <v>104922.0</v>
      </c>
      <c r="E1142" s="28">
        <v>6700.0</v>
      </c>
    </row>
    <row r="1143" ht="15.75" customHeight="1">
      <c r="A1143" s="3" t="s">
        <v>7</v>
      </c>
      <c r="B1143" s="13">
        <v>3567979.5900000003</v>
      </c>
      <c r="C1143" s="13">
        <v>2876255.8400000003</v>
      </c>
      <c r="D1143" s="13">
        <v>691723.75</v>
      </c>
      <c r="E1143" s="28">
        <v>5479.0</v>
      </c>
    </row>
    <row r="1144" ht="15.75" customHeight="1">
      <c r="A1144" s="3" t="s">
        <v>11</v>
      </c>
      <c r="B1144" s="13">
        <v>2010305.8499999999</v>
      </c>
      <c r="C1144" s="13">
        <v>1737747.85</v>
      </c>
      <c r="D1144" s="13">
        <v>272557.99999999977</v>
      </c>
      <c r="E1144" s="28">
        <v>4765.0</v>
      </c>
    </row>
    <row r="1145" ht="15.75" customHeight="1">
      <c r="A1145" s="3" t="s">
        <v>7</v>
      </c>
      <c r="B1145" s="13">
        <v>2826902.6100000003</v>
      </c>
      <c r="C1145" s="13">
        <v>2278851.3600000003</v>
      </c>
      <c r="D1145" s="13">
        <v>548051.25</v>
      </c>
      <c r="E1145" s="28">
        <v>4341.0</v>
      </c>
    </row>
    <row r="1146" ht="15.75" customHeight="1">
      <c r="A1146" s="3" t="s">
        <v>4</v>
      </c>
      <c r="B1146" s="13">
        <v>1073909.89</v>
      </c>
      <c r="C1146" s="13">
        <v>807581.78</v>
      </c>
      <c r="D1146" s="13">
        <v>266328.10999999987</v>
      </c>
      <c r="E1146" s="28">
        <v>1607.0</v>
      </c>
    </row>
    <row r="1147" ht="15.75" customHeight="1">
      <c r="A1147" s="3" t="s">
        <v>5</v>
      </c>
      <c r="B1147" s="13">
        <v>268500.96</v>
      </c>
      <c r="C1147" s="13">
        <v>88058.88</v>
      </c>
      <c r="D1147" s="13">
        <v>180442.08000000002</v>
      </c>
      <c r="E1147" s="28">
        <v>2457.0</v>
      </c>
    </row>
    <row r="1148" ht="15.75" customHeight="1">
      <c r="A1148" s="3" t="s">
        <v>8</v>
      </c>
      <c r="B1148" s="13">
        <v>54039.36</v>
      </c>
      <c r="C1148" s="13">
        <v>40080.64</v>
      </c>
      <c r="D1148" s="13">
        <v>13958.720000000001</v>
      </c>
      <c r="E1148" s="28">
        <v>5792.0</v>
      </c>
    </row>
    <row r="1149" ht="15.75" customHeight="1">
      <c r="A1149" s="3" t="s">
        <v>4</v>
      </c>
      <c r="B1149" s="13">
        <v>408312.97</v>
      </c>
      <c r="C1149" s="13">
        <v>307051.94</v>
      </c>
      <c r="D1149" s="13">
        <v>101261.02999999997</v>
      </c>
      <c r="E1149" s="28">
        <v>611.0</v>
      </c>
    </row>
    <row r="1150" ht="15.75" customHeight="1">
      <c r="A1150" s="3" t="s">
        <v>10</v>
      </c>
      <c r="B1150" s="13">
        <v>121002.72</v>
      </c>
      <c r="C1150" s="13">
        <v>75565.07999999999</v>
      </c>
      <c r="D1150" s="13">
        <v>45437.640000000014</v>
      </c>
      <c r="E1150" s="28">
        <v>474.0</v>
      </c>
    </row>
    <row r="1151" ht="15.75" customHeight="1">
      <c r="A1151" s="3" t="s">
        <v>4</v>
      </c>
      <c r="B1151" s="13">
        <v>4672543.84</v>
      </c>
      <c r="C1151" s="13">
        <v>3513759.68</v>
      </c>
      <c r="D1151" s="13">
        <v>1158784.1599999997</v>
      </c>
      <c r="E1151" s="28">
        <v>6992.0</v>
      </c>
    </row>
    <row r="1152" ht="15.75" customHeight="1">
      <c r="A1152" s="3" t="s">
        <v>4</v>
      </c>
      <c r="B1152" s="13">
        <v>3964845.9099999997</v>
      </c>
      <c r="C1152" s="13">
        <v>2981569.8200000003</v>
      </c>
      <c r="D1152" s="13">
        <v>983276.0899999994</v>
      </c>
      <c r="E1152" s="28">
        <v>5933.0</v>
      </c>
    </row>
    <row r="1153" ht="15.75" customHeight="1">
      <c r="A1153" s="3" t="s">
        <v>6</v>
      </c>
      <c r="B1153" s="13">
        <v>397773.35000000003</v>
      </c>
      <c r="C1153" s="13">
        <v>266495.57</v>
      </c>
      <c r="D1153" s="13">
        <v>131277.78000000003</v>
      </c>
      <c r="E1153" s="28">
        <v>8383.0</v>
      </c>
    </row>
    <row r="1154" ht="15.75" customHeight="1">
      <c r="A1154" s="3" t="s">
        <v>8</v>
      </c>
      <c r="B1154" s="13">
        <v>55326.9</v>
      </c>
      <c r="C1154" s="13">
        <v>41035.6</v>
      </c>
      <c r="D1154" s="13">
        <v>14291.300000000003</v>
      </c>
      <c r="E1154" s="28">
        <v>5930.0</v>
      </c>
    </row>
    <row r="1155" ht="15.75" customHeight="1">
      <c r="A1155" s="3" t="s">
        <v>11</v>
      </c>
      <c r="B1155" s="13">
        <v>70033.73999999999</v>
      </c>
      <c r="C1155" s="13">
        <v>60538.54</v>
      </c>
      <c r="D1155" s="13">
        <v>9495.19999999999</v>
      </c>
      <c r="E1155" s="28">
        <v>166.0</v>
      </c>
    </row>
    <row r="1156" ht="15.75" customHeight="1">
      <c r="A1156" s="3" t="s">
        <v>6</v>
      </c>
      <c r="B1156" s="13">
        <v>53333.8</v>
      </c>
      <c r="C1156" s="13">
        <v>35731.96</v>
      </c>
      <c r="D1156" s="13">
        <v>17601.840000000004</v>
      </c>
      <c r="E1156" s="28">
        <v>1124.0</v>
      </c>
    </row>
    <row r="1157" ht="15.75" customHeight="1">
      <c r="A1157" s="3" t="s">
        <v>11</v>
      </c>
      <c r="B1157" s="13">
        <v>3260365.92</v>
      </c>
      <c r="C1157" s="13">
        <v>2818324.32</v>
      </c>
      <c r="D1157" s="13">
        <v>442041.6000000001</v>
      </c>
      <c r="E1157" s="28">
        <v>7728.0</v>
      </c>
    </row>
    <row r="1158" ht="15.75" customHeight="1">
      <c r="A1158" s="3" t="s">
        <v>14</v>
      </c>
      <c r="B1158" s="13">
        <v>503293.34</v>
      </c>
      <c r="C1158" s="13">
        <v>348973.86</v>
      </c>
      <c r="D1158" s="13">
        <v>154319.48000000004</v>
      </c>
      <c r="E1158" s="28">
        <v>6158.0</v>
      </c>
    </row>
    <row r="1159" ht="15.75" customHeight="1">
      <c r="A1159" s="3" t="s">
        <v>12</v>
      </c>
      <c r="B1159" s="13">
        <v>149522.4</v>
      </c>
      <c r="C1159" s="13">
        <v>90058.86</v>
      </c>
      <c r="D1159" s="13">
        <v>59463.53999999999</v>
      </c>
      <c r="E1159" s="28">
        <v>342.0</v>
      </c>
    </row>
    <row r="1160" ht="15.75" customHeight="1">
      <c r="A1160" s="3" t="s">
        <v>6</v>
      </c>
      <c r="B1160" s="13">
        <v>208590.2</v>
      </c>
      <c r="C1160" s="13">
        <v>139748.84</v>
      </c>
      <c r="D1160" s="13">
        <v>68841.36000000002</v>
      </c>
      <c r="E1160" s="28">
        <v>4396.0</v>
      </c>
    </row>
    <row r="1161" ht="15.75" customHeight="1">
      <c r="A1161" s="3" t="s">
        <v>8</v>
      </c>
      <c r="B1161" s="13">
        <v>42610.11</v>
      </c>
      <c r="C1161" s="13">
        <v>31603.64</v>
      </c>
      <c r="D1161" s="13">
        <v>11006.470000000001</v>
      </c>
      <c r="E1161" s="28">
        <v>4567.0</v>
      </c>
    </row>
    <row r="1162" ht="15.75" customHeight="1">
      <c r="A1162" s="3" t="s">
        <v>10</v>
      </c>
      <c r="B1162" s="13">
        <v>1992970.96</v>
      </c>
      <c r="C1162" s="13">
        <v>1244591.94</v>
      </c>
      <c r="D1162" s="13">
        <v>748379.02</v>
      </c>
      <c r="E1162" s="28">
        <v>7807.0</v>
      </c>
    </row>
    <row r="1163" ht="15.75" customHeight="1">
      <c r="A1163" s="3" t="s">
        <v>5</v>
      </c>
      <c r="B1163" s="13">
        <v>298880.8</v>
      </c>
      <c r="C1163" s="13">
        <v>98022.40000000001</v>
      </c>
      <c r="D1163" s="13">
        <v>200858.39999999997</v>
      </c>
      <c r="E1163" s="28">
        <v>2735.0</v>
      </c>
    </row>
    <row r="1164" ht="15.75" customHeight="1">
      <c r="A1164" s="3" t="s">
        <v>7</v>
      </c>
      <c r="B1164" s="13">
        <v>2584652.49</v>
      </c>
      <c r="C1164" s="13">
        <v>2083566.2400000002</v>
      </c>
      <c r="D1164" s="13">
        <v>501086.25</v>
      </c>
      <c r="E1164" s="28">
        <v>3969.0</v>
      </c>
    </row>
    <row r="1165" ht="15.75" customHeight="1">
      <c r="A1165" s="3" t="s">
        <v>13</v>
      </c>
      <c r="B1165" s="13">
        <v>1300591.9200000002</v>
      </c>
      <c r="C1165" s="13">
        <v>830578.5599999999</v>
      </c>
      <c r="D1165" s="13">
        <v>470013.3600000002</v>
      </c>
      <c r="E1165" s="28">
        <v>8524.0</v>
      </c>
    </row>
    <row r="1166" ht="15.75" customHeight="1">
      <c r="A1166" s="3" t="s">
        <v>7</v>
      </c>
      <c r="B1166" s="13">
        <v>4859329.0200000005</v>
      </c>
      <c r="C1166" s="13">
        <v>3917251.5200000005</v>
      </c>
      <c r="D1166" s="13">
        <v>942077.5</v>
      </c>
      <c r="E1166" s="28">
        <v>7462.0</v>
      </c>
    </row>
    <row r="1167" ht="15.75" customHeight="1">
      <c r="A1167" s="3" t="s">
        <v>6</v>
      </c>
      <c r="B1167" s="13">
        <v>371486.05000000005</v>
      </c>
      <c r="C1167" s="13">
        <v>248883.91</v>
      </c>
      <c r="D1167" s="13">
        <v>122602.14000000004</v>
      </c>
      <c r="E1167" s="28">
        <v>7829.0</v>
      </c>
    </row>
    <row r="1168" ht="15.75" customHeight="1">
      <c r="A1168" s="3" t="s">
        <v>7</v>
      </c>
      <c r="B1168" s="13">
        <v>758008.4400000001</v>
      </c>
      <c r="C1168" s="13">
        <v>611053.4400000001</v>
      </c>
      <c r="D1168" s="13">
        <v>146955.0</v>
      </c>
      <c r="E1168" s="28">
        <v>1164.0</v>
      </c>
    </row>
    <row r="1169" ht="15.75" customHeight="1">
      <c r="A1169" s="3" t="s">
        <v>13</v>
      </c>
      <c r="B1169" s="13">
        <v>159293.52000000002</v>
      </c>
      <c r="C1169" s="13">
        <v>101727.36</v>
      </c>
      <c r="D1169" s="13">
        <v>57566.16000000002</v>
      </c>
      <c r="E1169" s="28">
        <v>1044.0</v>
      </c>
    </row>
    <row r="1170" ht="15.75" customHeight="1">
      <c r="A1170" s="3" t="s">
        <v>7</v>
      </c>
      <c r="B1170" s="13">
        <v>2530602.06</v>
      </c>
      <c r="C1170" s="13">
        <v>2039994.56</v>
      </c>
      <c r="D1170" s="13">
        <v>490607.5</v>
      </c>
      <c r="E1170" s="28">
        <v>3886.0</v>
      </c>
    </row>
    <row r="1171" ht="15.75" customHeight="1">
      <c r="A1171" s="3" t="s">
        <v>11</v>
      </c>
      <c r="B1171" s="13">
        <v>3224083.38</v>
      </c>
      <c r="C1171" s="13">
        <v>2786960.98</v>
      </c>
      <c r="D1171" s="13">
        <v>437122.3999999999</v>
      </c>
      <c r="E1171" s="28">
        <v>7642.0</v>
      </c>
    </row>
    <row r="1172" ht="15.75" customHeight="1">
      <c r="A1172" s="3" t="s">
        <v>5</v>
      </c>
      <c r="B1172" s="13">
        <v>594046.08</v>
      </c>
      <c r="C1172" s="13">
        <v>194826.24000000002</v>
      </c>
      <c r="D1172" s="13">
        <v>399219.83999999997</v>
      </c>
      <c r="E1172" s="28">
        <v>5436.0</v>
      </c>
    </row>
    <row r="1173" ht="15.75" customHeight="1">
      <c r="A1173" s="3" t="s">
        <v>7</v>
      </c>
      <c r="B1173" s="13">
        <v>6155888.13</v>
      </c>
      <c r="C1173" s="13">
        <v>4962446.88</v>
      </c>
      <c r="D1173" s="13">
        <v>1193441.25</v>
      </c>
      <c r="E1173" s="28">
        <v>9453.0</v>
      </c>
    </row>
    <row r="1174" ht="15.75" customHeight="1">
      <c r="A1174" s="3" t="s">
        <v>9</v>
      </c>
      <c r="B1174" s="13">
        <v>307657.82</v>
      </c>
      <c r="C1174" s="13">
        <v>181587.21000000002</v>
      </c>
      <c r="D1174" s="13">
        <v>126070.60999999999</v>
      </c>
      <c r="E1174" s="28">
        <v>1997.0</v>
      </c>
    </row>
    <row r="1175" ht="15.75" customHeight="1">
      <c r="A1175" s="3" t="s">
        <v>12</v>
      </c>
      <c r="B1175" s="13">
        <v>76947.2</v>
      </c>
      <c r="C1175" s="13">
        <v>46346.079999999994</v>
      </c>
      <c r="D1175" s="13">
        <v>30601.120000000003</v>
      </c>
      <c r="E1175" s="28">
        <v>176.0</v>
      </c>
    </row>
    <row r="1176" ht="15.75" customHeight="1">
      <c r="A1176" s="3" t="s">
        <v>3</v>
      </c>
      <c r="B1176" s="13">
        <v>299910.6</v>
      </c>
      <c r="C1176" s="13">
        <v>170746.38</v>
      </c>
      <c r="D1176" s="13">
        <v>129164.21999999997</v>
      </c>
      <c r="E1176" s="28">
        <v>1458.0</v>
      </c>
    </row>
    <row r="1177" ht="15.75" customHeight="1">
      <c r="A1177" s="3" t="s">
        <v>8</v>
      </c>
      <c r="B1177" s="13">
        <v>9171.39</v>
      </c>
      <c r="C1177" s="13">
        <v>6802.36</v>
      </c>
      <c r="D1177" s="13">
        <v>2369.0299999999997</v>
      </c>
      <c r="E1177" s="28">
        <v>983.0</v>
      </c>
    </row>
    <row r="1178" ht="15.75" customHeight="1">
      <c r="A1178" s="3" t="s">
        <v>4</v>
      </c>
      <c r="B1178" s="13">
        <v>4841616.149999999</v>
      </c>
      <c r="C1178" s="13">
        <v>3640902.3000000003</v>
      </c>
      <c r="D1178" s="13">
        <v>1200713.8499999992</v>
      </c>
      <c r="E1178" s="28">
        <v>7245.0</v>
      </c>
    </row>
    <row r="1179" ht="15.75" customHeight="1">
      <c r="A1179" s="3" t="s">
        <v>10</v>
      </c>
      <c r="B1179" s="13">
        <v>1234278.8</v>
      </c>
      <c r="C1179" s="13">
        <v>770795.7</v>
      </c>
      <c r="D1179" s="13">
        <v>463483.1000000001</v>
      </c>
      <c r="E1179" s="28">
        <v>4835.0</v>
      </c>
    </row>
    <row r="1180" ht="15.75" customHeight="1">
      <c r="A1180" s="3" t="s">
        <v>12</v>
      </c>
      <c r="B1180" s="13">
        <v>1825310.0</v>
      </c>
      <c r="C1180" s="13">
        <v>1099402.75</v>
      </c>
      <c r="D1180" s="13">
        <v>725907.25</v>
      </c>
      <c r="E1180" s="28">
        <v>4175.0</v>
      </c>
    </row>
    <row r="1181" ht="15.75" customHeight="1">
      <c r="A1181" s="3" t="s">
        <v>9</v>
      </c>
      <c r="B1181" s="13">
        <v>1177480.58</v>
      </c>
      <c r="C1181" s="13">
        <v>694977.9900000001</v>
      </c>
      <c r="D1181" s="13">
        <v>482502.58999999997</v>
      </c>
      <c r="E1181" s="28">
        <v>7643.0</v>
      </c>
    </row>
    <row r="1182" ht="15.75" customHeight="1">
      <c r="A1182" s="3" t="s">
        <v>6</v>
      </c>
      <c r="B1182" s="13">
        <v>235209.65000000002</v>
      </c>
      <c r="C1182" s="13">
        <v>157583.03</v>
      </c>
      <c r="D1182" s="13">
        <v>77626.62000000002</v>
      </c>
      <c r="E1182" s="28">
        <v>4957.0</v>
      </c>
    </row>
    <row r="1183" ht="15.75" customHeight="1">
      <c r="A1183" s="3" t="s">
        <v>3</v>
      </c>
      <c r="B1183" s="13">
        <v>2046715.0</v>
      </c>
      <c r="C1183" s="13">
        <v>1165244.5</v>
      </c>
      <c r="D1183" s="13">
        <v>881470.5</v>
      </c>
      <c r="E1183" s="28">
        <v>9950.0</v>
      </c>
    </row>
    <row r="1184" ht="15.75" customHeight="1">
      <c r="A1184" s="3" t="s">
        <v>7</v>
      </c>
      <c r="B1184" s="13">
        <v>2367799.56</v>
      </c>
      <c r="C1184" s="13">
        <v>1908754.56</v>
      </c>
      <c r="D1184" s="13">
        <v>459045.0</v>
      </c>
      <c r="E1184" s="28">
        <v>3636.0</v>
      </c>
    </row>
    <row r="1185" ht="15.75" customHeight="1">
      <c r="A1185" s="3" t="s">
        <v>8</v>
      </c>
      <c r="B1185" s="13">
        <v>89717.28</v>
      </c>
      <c r="C1185" s="13">
        <v>66542.72</v>
      </c>
      <c r="D1185" s="13">
        <v>23174.559999999998</v>
      </c>
      <c r="E1185" s="28">
        <v>9616.0</v>
      </c>
    </row>
    <row r="1186" ht="15.75" customHeight="1">
      <c r="A1186" s="3" t="s">
        <v>8</v>
      </c>
      <c r="B1186" s="13">
        <v>91629.93000000001</v>
      </c>
      <c r="C1186" s="13">
        <v>67961.31999999999</v>
      </c>
      <c r="D1186" s="13">
        <v>23668.610000000015</v>
      </c>
      <c r="E1186" s="28">
        <v>9821.0</v>
      </c>
    </row>
    <row r="1187" ht="15.75" customHeight="1">
      <c r="A1187" s="3" t="s">
        <v>12</v>
      </c>
      <c r="B1187" s="13">
        <v>3583291.1999999997</v>
      </c>
      <c r="C1187" s="13">
        <v>2158252.6799999997</v>
      </c>
      <c r="D1187" s="13">
        <v>1425038.52</v>
      </c>
      <c r="E1187" s="28">
        <v>8196.0</v>
      </c>
    </row>
    <row r="1188" ht="15.75" customHeight="1">
      <c r="A1188" s="3" t="s">
        <v>9</v>
      </c>
      <c r="B1188" s="13">
        <v>513173.86</v>
      </c>
      <c r="C1188" s="13">
        <v>302887.83</v>
      </c>
      <c r="D1188" s="13">
        <v>210286.02999999997</v>
      </c>
      <c r="E1188" s="28">
        <v>3331.0</v>
      </c>
    </row>
    <row r="1189" ht="15.75" customHeight="1">
      <c r="A1189" s="3" t="s">
        <v>11</v>
      </c>
      <c r="B1189" s="13">
        <v>3589862.01</v>
      </c>
      <c r="C1189" s="13">
        <v>3103147.21</v>
      </c>
      <c r="D1189" s="13">
        <v>486714.7999999998</v>
      </c>
      <c r="E1189" s="28">
        <v>8509.0</v>
      </c>
    </row>
    <row r="1190" ht="15.75" customHeight="1">
      <c r="A1190" s="3" t="s">
        <v>7</v>
      </c>
      <c r="B1190" s="13">
        <v>4496605.05</v>
      </c>
      <c r="C1190" s="13">
        <v>3624848.8000000003</v>
      </c>
      <c r="D1190" s="13">
        <v>871756.2499999995</v>
      </c>
      <c r="E1190" s="28">
        <v>6905.0</v>
      </c>
    </row>
    <row r="1191" ht="15.75" customHeight="1">
      <c r="A1191" s="3" t="s">
        <v>8</v>
      </c>
      <c r="B1191" s="13">
        <v>28633.77</v>
      </c>
      <c r="C1191" s="13">
        <v>21237.48</v>
      </c>
      <c r="D1191" s="13">
        <v>7396.290000000001</v>
      </c>
      <c r="E1191" s="28">
        <v>3069.0</v>
      </c>
    </row>
    <row r="1192" ht="15.75" customHeight="1">
      <c r="A1192" s="3" t="s">
        <v>3</v>
      </c>
      <c r="B1192" s="13">
        <v>1899433.7999999998</v>
      </c>
      <c r="C1192" s="13">
        <v>1081393.74</v>
      </c>
      <c r="D1192" s="13">
        <v>818040.0599999998</v>
      </c>
      <c r="E1192" s="28">
        <v>9234.0</v>
      </c>
    </row>
    <row r="1193" ht="15.75" customHeight="1">
      <c r="A1193" s="3" t="s">
        <v>4</v>
      </c>
      <c r="B1193" s="13">
        <v>6222261.97</v>
      </c>
      <c r="C1193" s="13">
        <v>4679149.94</v>
      </c>
      <c r="D1193" s="13">
        <v>1543112.0299999993</v>
      </c>
      <c r="E1193" s="28">
        <v>9311.0</v>
      </c>
    </row>
    <row r="1194" ht="15.75" customHeight="1">
      <c r="A1194" s="3" t="s">
        <v>3</v>
      </c>
      <c r="B1194" s="13">
        <v>1819827.9</v>
      </c>
      <c r="C1194" s="13">
        <v>1036072.17</v>
      </c>
      <c r="D1194" s="13">
        <v>783755.7299999999</v>
      </c>
      <c r="E1194" s="28">
        <v>8847.0</v>
      </c>
    </row>
    <row r="1195" ht="15.75" customHeight="1">
      <c r="A1195" s="3" t="s">
        <v>6</v>
      </c>
      <c r="B1195" s="13">
        <v>317867.55000000005</v>
      </c>
      <c r="C1195" s="13">
        <v>212961.21</v>
      </c>
      <c r="D1195" s="13">
        <v>104906.34000000005</v>
      </c>
      <c r="E1195" s="28">
        <v>6699.0</v>
      </c>
    </row>
    <row r="1196" ht="15.75" customHeight="1">
      <c r="A1196" s="3" t="s">
        <v>5</v>
      </c>
      <c r="B1196" s="13">
        <v>541810.24</v>
      </c>
      <c r="C1196" s="13">
        <v>177694.72000000003</v>
      </c>
      <c r="D1196" s="13">
        <v>364115.51999999996</v>
      </c>
      <c r="E1196" s="28">
        <v>4958.0</v>
      </c>
    </row>
    <row r="1197" ht="15.75" customHeight="1">
      <c r="A1197" s="3" t="s">
        <v>5</v>
      </c>
      <c r="B1197" s="13">
        <v>1028324.8</v>
      </c>
      <c r="C1197" s="13">
        <v>337254.4</v>
      </c>
      <c r="D1197" s="13">
        <v>691070.4</v>
      </c>
      <c r="E1197" s="28">
        <v>9410.0</v>
      </c>
    </row>
    <row r="1198" ht="15.75" customHeight="1">
      <c r="A1198" s="3" t="s">
        <v>11</v>
      </c>
      <c r="B1198" s="13">
        <v>1830158.8199999998</v>
      </c>
      <c r="C1198" s="13">
        <v>1582025.22</v>
      </c>
      <c r="D1198" s="13">
        <v>248133.59999999986</v>
      </c>
      <c r="E1198" s="28">
        <v>4338.0</v>
      </c>
    </row>
    <row r="1199" ht="15.75" customHeight="1">
      <c r="A1199" s="3" t="s">
        <v>12</v>
      </c>
      <c r="B1199" s="13">
        <v>1636439.5999999999</v>
      </c>
      <c r="C1199" s="13">
        <v>985644.19</v>
      </c>
      <c r="D1199" s="13">
        <v>650795.4099999999</v>
      </c>
      <c r="E1199" s="28">
        <v>3743.0</v>
      </c>
    </row>
    <row r="1200" ht="15.75" customHeight="1">
      <c r="A1200" s="3" t="s">
        <v>3</v>
      </c>
      <c r="B1200" s="13">
        <v>1046190.2</v>
      </c>
      <c r="C1200" s="13">
        <v>595621.46</v>
      </c>
      <c r="D1200" s="13">
        <v>450568.74</v>
      </c>
      <c r="E1200" s="28">
        <v>5086.0</v>
      </c>
    </row>
    <row r="1201" ht="15.75" customHeight="1">
      <c r="A1201" s="3" t="s">
        <v>12</v>
      </c>
      <c r="B1201" s="13">
        <v>3785714.8</v>
      </c>
      <c r="C1201" s="13">
        <v>2280174.4699999997</v>
      </c>
      <c r="D1201" s="13">
        <v>1505540.33</v>
      </c>
      <c r="E1201" s="28">
        <v>8659.0</v>
      </c>
    </row>
    <row r="1202" ht="15.75" customHeight="1">
      <c r="A1202" s="3" t="s">
        <v>6</v>
      </c>
      <c r="B1202" s="13">
        <v>15041.650000000001</v>
      </c>
      <c r="C1202" s="13">
        <v>10077.43</v>
      </c>
      <c r="D1202" s="13">
        <v>4964.220000000001</v>
      </c>
      <c r="E1202" s="28">
        <v>317.0</v>
      </c>
    </row>
    <row r="1203" ht="15.75" customHeight="1">
      <c r="A1203" s="3" t="s">
        <v>8</v>
      </c>
      <c r="B1203" s="13">
        <v>72232.86</v>
      </c>
      <c r="C1203" s="13">
        <v>53574.64</v>
      </c>
      <c r="D1203" s="13">
        <v>18658.22</v>
      </c>
      <c r="E1203" s="28">
        <v>7742.0</v>
      </c>
    </row>
    <row r="1204" ht="15.75" customHeight="1">
      <c r="A1204" s="3" t="s">
        <v>14</v>
      </c>
      <c r="B1204" s="13">
        <v>643215.1</v>
      </c>
      <c r="C1204" s="13">
        <v>445992.9</v>
      </c>
      <c r="D1204" s="13">
        <v>197222.19999999995</v>
      </c>
      <c r="E1204" s="28">
        <v>7870.0</v>
      </c>
    </row>
    <row r="1205" ht="15.75" customHeight="1">
      <c r="A1205" s="3" t="s">
        <v>11</v>
      </c>
      <c r="B1205" s="13">
        <v>756448.77</v>
      </c>
      <c r="C1205" s="13">
        <v>653889.17</v>
      </c>
      <c r="D1205" s="13">
        <v>102559.59999999998</v>
      </c>
      <c r="E1205" s="28">
        <v>1793.0</v>
      </c>
    </row>
    <row r="1206" ht="15.75" customHeight="1">
      <c r="A1206" s="3" t="s">
        <v>12</v>
      </c>
      <c r="B1206" s="13">
        <v>7432.4</v>
      </c>
      <c r="C1206" s="13">
        <v>4476.61</v>
      </c>
      <c r="D1206" s="13">
        <v>2955.79</v>
      </c>
      <c r="E1206" s="28">
        <v>17.0</v>
      </c>
    </row>
    <row r="1207" ht="15.75" customHeight="1">
      <c r="A1207" s="3" t="s">
        <v>10</v>
      </c>
      <c r="B1207" s="13">
        <v>800558.08</v>
      </c>
      <c r="C1207" s="13">
        <v>499941.11999999994</v>
      </c>
      <c r="D1207" s="13">
        <v>300616.96</v>
      </c>
      <c r="E1207" s="28">
        <v>3136.0</v>
      </c>
    </row>
    <row r="1208" ht="15.75" customHeight="1">
      <c r="A1208" s="3" t="s">
        <v>9</v>
      </c>
      <c r="B1208" s="13">
        <v>1364047.24</v>
      </c>
      <c r="C1208" s="13">
        <v>805094.2200000001</v>
      </c>
      <c r="D1208" s="13">
        <v>558953.0199999999</v>
      </c>
      <c r="E1208" s="28">
        <v>8854.0</v>
      </c>
    </row>
    <row r="1209" ht="15.75" customHeight="1">
      <c r="A1209" s="3" t="s">
        <v>5</v>
      </c>
      <c r="B1209" s="13">
        <v>430344.64</v>
      </c>
      <c r="C1209" s="13">
        <v>141137.92</v>
      </c>
      <c r="D1209" s="13">
        <v>289206.72</v>
      </c>
      <c r="E1209" s="28">
        <v>3938.0</v>
      </c>
    </row>
    <row r="1210" ht="15.75" customHeight="1">
      <c r="A1210" s="3" t="s">
        <v>9</v>
      </c>
      <c r="B1210" s="13">
        <v>1022496.22</v>
      </c>
      <c r="C1210" s="13">
        <v>603502.41</v>
      </c>
      <c r="D1210" s="13">
        <v>418993.80999999994</v>
      </c>
      <c r="E1210" s="28">
        <v>6637.0</v>
      </c>
    </row>
    <row r="1211" ht="15.75" customHeight="1">
      <c r="A1211" s="3" t="s">
        <v>11</v>
      </c>
      <c r="B1211" s="13">
        <v>3456966.6599999997</v>
      </c>
      <c r="C1211" s="13">
        <v>2988269.86</v>
      </c>
      <c r="D1211" s="13">
        <v>468696.7999999998</v>
      </c>
      <c r="E1211" s="28">
        <v>8194.0</v>
      </c>
    </row>
    <row r="1212" ht="15.75" customHeight="1">
      <c r="A1212" s="3" t="s">
        <v>14</v>
      </c>
      <c r="B1212" s="13">
        <v>599734.74</v>
      </c>
      <c r="C1212" s="13">
        <v>415844.46</v>
      </c>
      <c r="D1212" s="13">
        <v>183890.27999999997</v>
      </c>
      <c r="E1212" s="28">
        <v>7338.0</v>
      </c>
    </row>
    <row r="1213" ht="15.75" customHeight="1">
      <c r="A1213" s="3" t="s">
        <v>13</v>
      </c>
      <c r="B1213" s="13">
        <v>491765.34</v>
      </c>
      <c r="C1213" s="13">
        <v>314049.12</v>
      </c>
      <c r="D1213" s="13">
        <v>177716.22000000003</v>
      </c>
      <c r="E1213" s="28">
        <v>3223.0</v>
      </c>
    </row>
    <row r="1214" ht="15.75" customHeight="1">
      <c r="A1214" s="3" t="s">
        <v>5</v>
      </c>
      <c r="B1214" s="13">
        <v>101302.56</v>
      </c>
      <c r="C1214" s="13">
        <v>33223.68</v>
      </c>
      <c r="D1214" s="13">
        <v>68078.88</v>
      </c>
      <c r="E1214" s="28">
        <v>927.0</v>
      </c>
    </row>
    <row r="1215" ht="15.75" customHeight="1">
      <c r="A1215" s="3" t="s">
        <v>8</v>
      </c>
      <c r="B1215" s="13">
        <v>39363.27</v>
      </c>
      <c r="C1215" s="13">
        <v>29195.48</v>
      </c>
      <c r="D1215" s="13">
        <v>10167.789999999997</v>
      </c>
      <c r="E1215" s="28">
        <v>4219.0</v>
      </c>
    </row>
    <row r="1216" ht="15.75" customHeight="1">
      <c r="A1216" s="3" t="s">
        <v>11</v>
      </c>
      <c r="B1216" s="13">
        <v>267478.26</v>
      </c>
      <c r="C1216" s="13">
        <v>231213.46</v>
      </c>
      <c r="D1216" s="13">
        <v>36264.80000000002</v>
      </c>
      <c r="E1216" s="28">
        <v>634.0</v>
      </c>
    </row>
    <row r="1217" ht="15.75" customHeight="1">
      <c r="A1217" s="3" t="s">
        <v>10</v>
      </c>
      <c r="B1217" s="13">
        <v>296380.08</v>
      </c>
      <c r="C1217" s="13">
        <v>185086.62</v>
      </c>
      <c r="D1217" s="13">
        <v>111293.46000000002</v>
      </c>
      <c r="E1217" s="28">
        <v>1161.0</v>
      </c>
    </row>
    <row r="1218" ht="15.75" customHeight="1">
      <c r="A1218" s="3" t="s">
        <v>13</v>
      </c>
      <c r="B1218" s="13">
        <v>435768.48000000004</v>
      </c>
      <c r="C1218" s="13">
        <v>278288.64</v>
      </c>
      <c r="D1218" s="13">
        <v>157479.84000000003</v>
      </c>
      <c r="E1218" s="28">
        <v>2856.0</v>
      </c>
    </row>
    <row r="1219" ht="15.75" customHeight="1">
      <c r="A1219" s="3" t="s">
        <v>10</v>
      </c>
      <c r="B1219" s="13">
        <v>332629.84</v>
      </c>
      <c r="C1219" s="13">
        <v>207724.25999999998</v>
      </c>
      <c r="D1219" s="13">
        <v>124905.58000000005</v>
      </c>
      <c r="E1219" s="28">
        <v>1303.0</v>
      </c>
    </row>
    <row r="1220" ht="15.75" customHeight="1">
      <c r="A1220" s="3" t="s">
        <v>9</v>
      </c>
      <c r="B1220" s="13">
        <v>1322759.16</v>
      </c>
      <c r="C1220" s="13">
        <v>780724.9800000001</v>
      </c>
      <c r="D1220" s="13">
        <v>542034.1799999998</v>
      </c>
      <c r="E1220" s="28">
        <v>8586.0</v>
      </c>
    </row>
    <row r="1221" ht="15.75" customHeight="1">
      <c r="A1221" s="3" t="s">
        <v>5</v>
      </c>
      <c r="B1221" s="13">
        <v>732176.0</v>
      </c>
      <c r="C1221" s="13">
        <v>240128.00000000003</v>
      </c>
      <c r="D1221" s="13">
        <v>492048.0</v>
      </c>
      <c r="E1221" s="28">
        <v>6700.0</v>
      </c>
    </row>
    <row r="1222" ht="15.75" customHeight="1">
      <c r="A1222" s="3" t="s">
        <v>4</v>
      </c>
      <c r="B1222" s="13">
        <v>4099168.1799999997</v>
      </c>
      <c r="C1222" s="13">
        <v>3082580.3600000003</v>
      </c>
      <c r="D1222" s="13">
        <v>1016587.8199999994</v>
      </c>
      <c r="E1222" s="28">
        <v>6134.0</v>
      </c>
    </row>
    <row r="1223" ht="15.75" customHeight="1">
      <c r="A1223" s="3" t="s">
        <v>5</v>
      </c>
      <c r="B1223" s="13">
        <v>276587.68</v>
      </c>
      <c r="C1223" s="13">
        <v>90711.04000000001</v>
      </c>
      <c r="D1223" s="13">
        <v>185876.63999999998</v>
      </c>
      <c r="E1223" s="28">
        <v>2531.0</v>
      </c>
    </row>
    <row r="1224" ht="15.75" customHeight="1">
      <c r="A1224" s="3" t="s">
        <v>9</v>
      </c>
      <c r="B1224" s="13">
        <v>1244188.56</v>
      </c>
      <c r="C1224" s="13">
        <v>734350.68</v>
      </c>
      <c r="D1224" s="13">
        <v>509837.88</v>
      </c>
      <c r="E1224" s="28">
        <v>8076.0</v>
      </c>
    </row>
    <row r="1225" ht="15.75" customHeight="1">
      <c r="A1225" s="3" t="s">
        <v>7</v>
      </c>
      <c r="B1225" s="13">
        <v>1245764.73</v>
      </c>
      <c r="C1225" s="13">
        <v>1004248.4800000001</v>
      </c>
      <c r="D1225" s="13">
        <v>241516.24999999988</v>
      </c>
      <c r="E1225" s="28">
        <v>1913.0</v>
      </c>
    </row>
    <row r="1226" ht="15.75" customHeight="1">
      <c r="A1226" s="3" t="s">
        <v>6</v>
      </c>
      <c r="B1226" s="13">
        <v>280856.55</v>
      </c>
      <c r="C1226" s="13">
        <v>188165.01</v>
      </c>
      <c r="D1226" s="13">
        <v>92691.53999999998</v>
      </c>
      <c r="E1226" s="28">
        <v>5919.0</v>
      </c>
    </row>
    <row r="1227" ht="15.75" customHeight="1">
      <c r="A1227" s="3" t="s">
        <v>5</v>
      </c>
      <c r="B1227" s="13">
        <v>960571.2</v>
      </c>
      <c r="C1227" s="13">
        <v>315033.60000000003</v>
      </c>
      <c r="D1227" s="13">
        <v>645537.5999999999</v>
      </c>
      <c r="E1227" s="28">
        <v>8790.0</v>
      </c>
    </row>
    <row r="1228" ht="15.75" customHeight="1">
      <c r="A1228" s="3" t="s">
        <v>10</v>
      </c>
      <c r="B1228" s="13">
        <v>1903878.24</v>
      </c>
      <c r="C1228" s="13">
        <v>1188954.3599999999</v>
      </c>
      <c r="D1228" s="13">
        <v>714923.8800000001</v>
      </c>
      <c r="E1228" s="28">
        <v>7458.0</v>
      </c>
    </row>
    <row r="1229" ht="15.75" customHeight="1">
      <c r="A1229" s="3" t="s">
        <v>9</v>
      </c>
      <c r="B1229" s="13">
        <v>407796.82</v>
      </c>
      <c r="C1229" s="13">
        <v>240691.71000000002</v>
      </c>
      <c r="D1229" s="13">
        <v>167105.11</v>
      </c>
      <c r="E1229" s="28">
        <v>2647.0</v>
      </c>
    </row>
    <row r="1230" ht="15.75" customHeight="1">
      <c r="A1230" s="3" t="s">
        <v>3</v>
      </c>
      <c r="B1230" s="13">
        <v>914953.6</v>
      </c>
      <c r="C1230" s="13">
        <v>520905.27999999997</v>
      </c>
      <c r="D1230" s="13">
        <v>394048.32</v>
      </c>
      <c r="E1230" s="28">
        <v>4448.0</v>
      </c>
    </row>
    <row r="1231" ht="15.75" customHeight="1">
      <c r="A1231" s="3" t="s">
        <v>11</v>
      </c>
      <c r="B1231" s="13">
        <v>462813.32999999996</v>
      </c>
      <c r="C1231" s="13">
        <v>400064.93</v>
      </c>
      <c r="D1231" s="13">
        <v>62748.399999999965</v>
      </c>
      <c r="E1231" s="28">
        <v>1097.0</v>
      </c>
    </row>
    <row r="1232" ht="15.75" customHeight="1">
      <c r="A1232" s="3" t="s">
        <v>6</v>
      </c>
      <c r="B1232" s="13">
        <v>325127.4</v>
      </c>
      <c r="C1232" s="13">
        <v>217825.08</v>
      </c>
      <c r="D1232" s="13">
        <v>107302.32000000004</v>
      </c>
      <c r="E1232" s="28">
        <v>6852.0</v>
      </c>
    </row>
    <row r="1233" ht="15.75" customHeight="1">
      <c r="A1233" s="3" t="s">
        <v>11</v>
      </c>
      <c r="B1233" s="13">
        <v>1834377.72</v>
      </c>
      <c r="C1233" s="13">
        <v>1585672.1199999999</v>
      </c>
      <c r="D1233" s="13">
        <v>248705.6000000001</v>
      </c>
      <c r="E1233" s="28">
        <v>4348.0</v>
      </c>
    </row>
    <row r="1234" ht="15.75" customHeight="1">
      <c r="A1234" s="3" t="s">
        <v>3</v>
      </c>
      <c r="B1234" s="13">
        <v>379516.5</v>
      </c>
      <c r="C1234" s="13">
        <v>216067.95</v>
      </c>
      <c r="D1234" s="13">
        <v>163448.55</v>
      </c>
      <c r="E1234" s="28">
        <v>1845.0</v>
      </c>
    </row>
    <row r="1235" ht="15.75" customHeight="1">
      <c r="A1235" s="3" t="s">
        <v>11</v>
      </c>
      <c r="B1235" s="13">
        <v>2039838.15</v>
      </c>
      <c r="C1235" s="13">
        <v>1763276.15</v>
      </c>
      <c r="D1235" s="13">
        <v>276562.0</v>
      </c>
      <c r="E1235" s="28">
        <v>4835.0</v>
      </c>
    </row>
    <row r="1236" ht="15.75" customHeight="1">
      <c r="A1236" s="3" t="s">
        <v>6</v>
      </c>
      <c r="B1236" s="13">
        <v>182255.45</v>
      </c>
      <c r="C1236" s="13">
        <v>122105.39</v>
      </c>
      <c r="D1236" s="13">
        <v>60150.06000000001</v>
      </c>
      <c r="E1236" s="28">
        <v>3841.0</v>
      </c>
    </row>
    <row r="1237" ht="15.75" customHeight="1">
      <c r="A1237" s="3" t="s">
        <v>5</v>
      </c>
      <c r="B1237" s="13">
        <v>884949.4400000001</v>
      </c>
      <c r="C1237" s="13">
        <v>290232.32</v>
      </c>
      <c r="D1237" s="13">
        <v>594717.1200000001</v>
      </c>
      <c r="E1237" s="28">
        <v>8098.0</v>
      </c>
    </row>
    <row r="1238" ht="15.75" customHeight="1">
      <c r="A1238" s="3" t="s">
        <v>6</v>
      </c>
      <c r="B1238" s="13">
        <v>432127.15</v>
      </c>
      <c r="C1238" s="13">
        <v>289511.52999999997</v>
      </c>
      <c r="D1238" s="13">
        <v>142615.62000000005</v>
      </c>
      <c r="E1238" s="28">
        <v>9107.0</v>
      </c>
    </row>
    <row r="1239" ht="15.75" customHeight="1">
      <c r="A1239" s="3" t="s">
        <v>14</v>
      </c>
      <c r="B1239" s="13">
        <v>349967.86000000004</v>
      </c>
      <c r="C1239" s="13">
        <v>242660.94</v>
      </c>
      <c r="D1239" s="13">
        <v>107306.92000000004</v>
      </c>
      <c r="E1239" s="28">
        <v>4282.0</v>
      </c>
    </row>
    <row r="1240" ht="15.75" customHeight="1">
      <c r="A1240" s="3" t="s">
        <v>14</v>
      </c>
      <c r="B1240" s="13">
        <v>95869.29000000001</v>
      </c>
      <c r="C1240" s="13">
        <v>66473.91</v>
      </c>
      <c r="D1240" s="13">
        <v>29395.380000000005</v>
      </c>
      <c r="E1240" s="28">
        <v>1173.0</v>
      </c>
    </row>
    <row r="1241" ht="15.75" customHeight="1">
      <c r="A1241" s="3" t="s">
        <v>9</v>
      </c>
      <c r="B1241" s="13">
        <v>1158993.3800000001</v>
      </c>
      <c r="C1241" s="13">
        <v>684066.39</v>
      </c>
      <c r="D1241" s="13">
        <v>474926.9900000001</v>
      </c>
      <c r="E1241" s="28">
        <v>7523.0</v>
      </c>
    </row>
    <row r="1242" ht="15.75" customHeight="1">
      <c r="A1242" s="3" t="s">
        <v>5</v>
      </c>
      <c r="B1242" s="13">
        <v>1013572.0</v>
      </c>
      <c r="C1242" s="13">
        <v>332416.00000000006</v>
      </c>
      <c r="D1242" s="13">
        <v>681156.0</v>
      </c>
      <c r="E1242" s="28">
        <v>9275.0</v>
      </c>
    </row>
    <row r="1243" ht="15.75" customHeight="1">
      <c r="A1243" s="3" t="s">
        <v>9</v>
      </c>
      <c r="B1243" s="13">
        <v>429673.34</v>
      </c>
      <c r="C1243" s="13">
        <v>253603.77000000002</v>
      </c>
      <c r="D1243" s="13">
        <v>176069.57</v>
      </c>
      <c r="E1243" s="28">
        <v>2789.0</v>
      </c>
    </row>
    <row r="1244" ht="15.75" customHeight="1">
      <c r="A1244" s="3" t="s">
        <v>6</v>
      </c>
      <c r="B1244" s="13">
        <v>469660.10000000003</v>
      </c>
      <c r="C1244" s="13">
        <v>314657.42</v>
      </c>
      <c r="D1244" s="13">
        <v>155002.68000000005</v>
      </c>
      <c r="E1244" s="28">
        <v>9898.0</v>
      </c>
    </row>
    <row r="1245" ht="15.75" customHeight="1">
      <c r="A1245" s="3" t="s">
        <v>6</v>
      </c>
      <c r="B1245" s="13">
        <v>222777.75</v>
      </c>
      <c r="C1245" s="13">
        <v>149254.05</v>
      </c>
      <c r="D1245" s="13">
        <v>73523.70000000001</v>
      </c>
      <c r="E1245" s="28">
        <v>4695.0</v>
      </c>
    </row>
    <row r="1246" ht="15.75" customHeight="1">
      <c r="A1246" s="3" t="s">
        <v>14</v>
      </c>
      <c r="B1246" s="13">
        <v>319972.95</v>
      </c>
      <c r="C1246" s="13">
        <v>221863.05000000002</v>
      </c>
      <c r="D1246" s="13">
        <v>98109.9</v>
      </c>
      <c r="E1246" s="28">
        <v>3915.0</v>
      </c>
    </row>
    <row r="1247" ht="15.75" customHeight="1">
      <c r="A1247" s="3" t="s">
        <v>9</v>
      </c>
      <c r="B1247" s="13">
        <v>623326.76</v>
      </c>
      <c r="C1247" s="13">
        <v>367902.78</v>
      </c>
      <c r="D1247" s="13">
        <v>255423.97999999998</v>
      </c>
      <c r="E1247" s="28">
        <v>4046.0</v>
      </c>
    </row>
    <row r="1248" ht="15.75" customHeight="1">
      <c r="A1248" s="3" t="s">
        <v>9</v>
      </c>
      <c r="B1248" s="13">
        <v>1362352.58</v>
      </c>
      <c r="C1248" s="13">
        <v>804093.9900000001</v>
      </c>
      <c r="D1248" s="13">
        <v>558258.59</v>
      </c>
      <c r="E1248" s="28">
        <v>8843.0</v>
      </c>
    </row>
    <row r="1249" ht="15.75" customHeight="1">
      <c r="A1249" s="3" t="s">
        <v>5</v>
      </c>
      <c r="B1249" s="13">
        <v>775669.4400000001</v>
      </c>
      <c r="C1249" s="13">
        <v>254392.32000000004</v>
      </c>
      <c r="D1249" s="13">
        <v>521277.12</v>
      </c>
      <c r="E1249" s="28">
        <v>7098.0</v>
      </c>
    </row>
    <row r="1250" ht="15.75" customHeight="1">
      <c r="A1250" s="3" t="s">
        <v>14</v>
      </c>
      <c r="B1250" s="13">
        <v>492668.44</v>
      </c>
      <c r="C1250" s="13">
        <v>341606.76</v>
      </c>
      <c r="D1250" s="13">
        <v>151061.68</v>
      </c>
      <c r="E1250" s="28">
        <v>6028.0</v>
      </c>
    </row>
    <row r="1251" ht="15.75" customHeight="1">
      <c r="A1251" s="3" t="s">
        <v>3</v>
      </c>
      <c r="B1251" s="13">
        <v>1574016.4</v>
      </c>
      <c r="C1251" s="13">
        <v>896125.72</v>
      </c>
      <c r="D1251" s="13">
        <v>677890.6799999999</v>
      </c>
      <c r="E1251" s="28">
        <v>7652.0</v>
      </c>
    </row>
    <row r="1252" ht="15.75" customHeight="1">
      <c r="A1252" s="3" t="s">
        <v>9</v>
      </c>
      <c r="B1252" s="13">
        <v>1527813.02</v>
      </c>
      <c r="C1252" s="13">
        <v>901752.81</v>
      </c>
      <c r="D1252" s="13">
        <v>626060.21</v>
      </c>
      <c r="E1252" s="28">
        <v>9917.0</v>
      </c>
    </row>
    <row r="1253" ht="15.75" customHeight="1">
      <c r="A1253" s="3" t="s">
        <v>14</v>
      </c>
      <c r="B1253" s="13">
        <v>557316.87</v>
      </c>
      <c r="C1253" s="13">
        <v>386432.73000000004</v>
      </c>
      <c r="D1253" s="13">
        <v>170884.13999999996</v>
      </c>
      <c r="E1253" s="28">
        <v>6819.0</v>
      </c>
    </row>
    <row r="1254" ht="15.75" customHeight="1">
      <c r="A1254" s="3" t="s">
        <v>13</v>
      </c>
      <c r="B1254" s="13">
        <v>1197142.6800000002</v>
      </c>
      <c r="C1254" s="13">
        <v>764514.24</v>
      </c>
      <c r="D1254" s="13">
        <v>432628.4400000002</v>
      </c>
      <c r="E1254" s="28">
        <v>7846.0</v>
      </c>
    </row>
    <row r="1255" ht="15.75" customHeight="1">
      <c r="A1255" s="3" t="s">
        <v>9</v>
      </c>
      <c r="B1255" s="13">
        <v>1195967.78</v>
      </c>
      <c r="C1255" s="13">
        <v>705889.5900000001</v>
      </c>
      <c r="D1255" s="13">
        <v>490078.18999999994</v>
      </c>
      <c r="E1255" s="28">
        <v>7763.0</v>
      </c>
    </row>
    <row r="1256" ht="15.75" customHeight="1">
      <c r="A1256" s="3" t="s">
        <v>12</v>
      </c>
      <c r="B1256" s="13">
        <v>882706.7999999999</v>
      </c>
      <c r="C1256" s="13">
        <v>531663.27</v>
      </c>
      <c r="D1256" s="13">
        <v>351043.5299999999</v>
      </c>
      <c r="E1256" s="28">
        <v>2019.0</v>
      </c>
    </row>
    <row r="1257" ht="15.75" customHeight="1">
      <c r="A1257" s="3" t="s">
        <v>13</v>
      </c>
      <c r="B1257" s="13">
        <v>737876.88</v>
      </c>
      <c r="C1257" s="13">
        <v>471219.83999999997</v>
      </c>
      <c r="D1257" s="13">
        <v>266657.04000000004</v>
      </c>
      <c r="E1257" s="28">
        <v>4836.0</v>
      </c>
    </row>
    <row r="1258" ht="15.75" customHeight="1">
      <c r="A1258" s="3" t="s">
        <v>10</v>
      </c>
      <c r="B1258" s="13">
        <v>698446.08</v>
      </c>
      <c r="C1258" s="13">
        <v>436173.11999999994</v>
      </c>
      <c r="D1258" s="13">
        <v>262272.96</v>
      </c>
      <c r="E1258" s="28">
        <v>2736.0</v>
      </c>
    </row>
    <row r="1259" ht="15.75" customHeight="1">
      <c r="A1259" s="3" t="s">
        <v>11</v>
      </c>
      <c r="B1259" s="13">
        <v>4077988.7399999998</v>
      </c>
      <c r="C1259" s="13">
        <v>3525093.54</v>
      </c>
      <c r="D1259" s="13">
        <v>552895.1999999997</v>
      </c>
      <c r="E1259" s="28">
        <v>9666.0</v>
      </c>
    </row>
    <row r="1260" ht="15.75" customHeight="1">
      <c r="A1260" s="3" t="s">
        <v>6</v>
      </c>
      <c r="B1260" s="13">
        <v>283323.95</v>
      </c>
      <c r="C1260" s="13">
        <v>189818.09</v>
      </c>
      <c r="D1260" s="13">
        <v>93505.86000000002</v>
      </c>
      <c r="E1260" s="28">
        <v>5971.0</v>
      </c>
    </row>
    <row r="1261" ht="15.75" customHeight="1">
      <c r="A1261" s="3" t="s">
        <v>3</v>
      </c>
      <c r="B1261" s="13">
        <v>1021506.2</v>
      </c>
      <c r="C1261" s="13">
        <v>581568.26</v>
      </c>
      <c r="D1261" s="13">
        <v>439937.93999999994</v>
      </c>
      <c r="E1261" s="28">
        <v>4966.0</v>
      </c>
    </row>
    <row r="1262" ht="15.75" customHeight="1">
      <c r="A1262" s="3" t="s">
        <v>13</v>
      </c>
      <c r="B1262" s="13">
        <v>1354605.2400000002</v>
      </c>
      <c r="C1262" s="13">
        <v>865072.32</v>
      </c>
      <c r="D1262" s="13">
        <v>489532.9200000003</v>
      </c>
      <c r="E1262" s="28">
        <v>8878.0</v>
      </c>
    </row>
    <row r="1263" ht="15.75" customHeight="1">
      <c r="A1263" s="3" t="s">
        <v>6</v>
      </c>
      <c r="B1263" s="13">
        <v>345008.95</v>
      </c>
      <c r="C1263" s="13">
        <v>231145.09</v>
      </c>
      <c r="D1263" s="13">
        <v>113863.86000000002</v>
      </c>
      <c r="E1263" s="28">
        <v>7271.0</v>
      </c>
    </row>
    <row r="1264" ht="15.75" customHeight="1">
      <c r="A1264" s="3" t="s">
        <v>6</v>
      </c>
      <c r="B1264" s="13">
        <v>262873.0</v>
      </c>
      <c r="C1264" s="13">
        <v>176116.6</v>
      </c>
      <c r="D1264" s="13">
        <v>86756.4</v>
      </c>
      <c r="E1264" s="28">
        <v>5540.0</v>
      </c>
    </row>
    <row r="1265" ht="15.75" customHeight="1">
      <c r="A1265" s="3" t="s">
        <v>11</v>
      </c>
      <c r="B1265" s="13">
        <v>2730893.9699999997</v>
      </c>
      <c r="C1265" s="13">
        <v>2360638.37</v>
      </c>
      <c r="D1265" s="13">
        <v>370255.5999999996</v>
      </c>
      <c r="E1265" s="28">
        <v>6473.0</v>
      </c>
    </row>
    <row r="1266" ht="15.75" customHeight="1">
      <c r="A1266" s="3" t="s">
        <v>13</v>
      </c>
      <c r="B1266" s="13">
        <v>613524.18</v>
      </c>
      <c r="C1266" s="13">
        <v>391806.24</v>
      </c>
      <c r="D1266" s="13">
        <v>221717.94000000006</v>
      </c>
      <c r="E1266" s="28">
        <v>4021.0</v>
      </c>
    </row>
    <row r="1267" ht="15.75" customHeight="1">
      <c r="A1267" s="3" t="s">
        <v>6</v>
      </c>
      <c r="B1267" s="13">
        <v>272600.25</v>
      </c>
      <c r="C1267" s="13">
        <v>182633.55</v>
      </c>
      <c r="D1267" s="13">
        <v>89966.70000000001</v>
      </c>
      <c r="E1267" s="28">
        <v>5745.0</v>
      </c>
    </row>
    <row r="1268" ht="15.75" customHeight="1">
      <c r="A1268" s="3" t="s">
        <v>12</v>
      </c>
      <c r="B1268" s="13">
        <v>4026612.0</v>
      </c>
      <c r="C1268" s="13">
        <v>2425269.3</v>
      </c>
      <c r="D1268" s="13">
        <v>1601342.7000000002</v>
      </c>
      <c r="E1268" s="28">
        <v>9210.0</v>
      </c>
    </row>
    <row r="1269" ht="15.75" customHeight="1">
      <c r="A1269" s="3" t="s">
        <v>13</v>
      </c>
      <c r="B1269" s="13">
        <v>1146486.12</v>
      </c>
      <c r="C1269" s="13">
        <v>732164.16</v>
      </c>
      <c r="D1269" s="13">
        <v>414321.9600000001</v>
      </c>
      <c r="E1269" s="28">
        <v>7514.0</v>
      </c>
    </row>
    <row r="1270" ht="15.75" customHeight="1">
      <c r="A1270" s="3" t="s">
        <v>13</v>
      </c>
      <c r="B1270" s="13">
        <v>119775.3</v>
      </c>
      <c r="C1270" s="13">
        <v>76490.4</v>
      </c>
      <c r="D1270" s="13">
        <v>43284.90000000001</v>
      </c>
      <c r="E1270" s="28">
        <v>785.0</v>
      </c>
    </row>
    <row r="1271" ht="15.75" customHeight="1">
      <c r="A1271" s="3" t="s">
        <v>4</v>
      </c>
      <c r="B1271" s="13">
        <v>5447068.77</v>
      </c>
      <c r="C1271" s="13">
        <v>4096203.54</v>
      </c>
      <c r="D1271" s="13">
        <v>1350865.2299999995</v>
      </c>
      <c r="E1271" s="28">
        <v>8151.0</v>
      </c>
    </row>
    <row r="1272" ht="15.75" customHeight="1">
      <c r="A1272" s="3" t="s">
        <v>9</v>
      </c>
      <c r="B1272" s="13">
        <v>1511174.54</v>
      </c>
      <c r="C1272" s="13">
        <v>891932.3700000001</v>
      </c>
      <c r="D1272" s="13">
        <v>619242.1699999999</v>
      </c>
      <c r="E1272" s="28">
        <v>9809.0</v>
      </c>
    </row>
    <row r="1273" ht="15.75" customHeight="1">
      <c r="A1273" s="3" t="s">
        <v>14</v>
      </c>
      <c r="B1273" s="13">
        <v>217892.18000000002</v>
      </c>
      <c r="C1273" s="13">
        <v>151082.22</v>
      </c>
      <c r="D1273" s="13">
        <v>66809.96000000002</v>
      </c>
      <c r="E1273" s="28">
        <v>2666.0</v>
      </c>
    </row>
    <row r="1274" ht="15.75" customHeight="1">
      <c r="A1274" s="3" t="s">
        <v>10</v>
      </c>
      <c r="B1274" s="13">
        <v>1604434.8</v>
      </c>
      <c r="C1274" s="13">
        <v>1001954.7</v>
      </c>
      <c r="D1274" s="13">
        <v>602480.1000000001</v>
      </c>
      <c r="E1274" s="28">
        <v>6285.0</v>
      </c>
    </row>
    <row r="1275" ht="15.75" customHeight="1">
      <c r="A1275" s="3" t="s">
        <v>9</v>
      </c>
      <c r="B1275" s="13">
        <v>1160533.98</v>
      </c>
      <c r="C1275" s="13">
        <v>684975.6900000001</v>
      </c>
      <c r="D1275" s="13">
        <v>475558.2899999999</v>
      </c>
      <c r="E1275" s="28">
        <v>7533.0</v>
      </c>
    </row>
    <row r="1276" ht="15.75" customHeight="1">
      <c r="A1276" s="3" t="s">
        <v>13</v>
      </c>
      <c r="B1276" s="13">
        <v>73238.40000000001</v>
      </c>
      <c r="C1276" s="13">
        <v>46771.2</v>
      </c>
      <c r="D1276" s="13">
        <v>26467.20000000001</v>
      </c>
      <c r="E1276" s="28">
        <v>480.0</v>
      </c>
    </row>
    <row r="1277" ht="15.75" customHeight="1">
      <c r="A1277" s="3" t="s">
        <v>3</v>
      </c>
      <c r="B1277" s="13">
        <v>133910.69999999998</v>
      </c>
      <c r="C1277" s="13">
        <v>76238.61</v>
      </c>
      <c r="D1277" s="13">
        <v>57672.08999999998</v>
      </c>
      <c r="E1277" s="28">
        <v>651.0</v>
      </c>
    </row>
    <row r="1278" ht="15.75" customHeight="1">
      <c r="A1278" s="3" t="s">
        <v>6</v>
      </c>
      <c r="B1278" s="13">
        <v>343632.9</v>
      </c>
      <c r="C1278" s="13">
        <v>230223.18</v>
      </c>
      <c r="D1278" s="13">
        <v>113409.72000000003</v>
      </c>
      <c r="E1278" s="28">
        <v>7242.0</v>
      </c>
    </row>
    <row r="1279" ht="15.75" customHeight="1">
      <c r="A1279" s="3" t="s">
        <v>3</v>
      </c>
      <c r="B1279" s="13">
        <v>393092.69999999995</v>
      </c>
      <c r="C1279" s="13">
        <v>223797.21</v>
      </c>
      <c r="D1279" s="13">
        <v>169295.48999999996</v>
      </c>
      <c r="E1279" s="28">
        <v>1911.0</v>
      </c>
    </row>
    <row r="1280" ht="15.75" customHeight="1">
      <c r="A1280" s="3" t="s">
        <v>3</v>
      </c>
      <c r="B1280" s="13">
        <v>1409045.0</v>
      </c>
      <c r="C1280" s="13">
        <v>802203.5</v>
      </c>
      <c r="D1280" s="13">
        <v>606841.5</v>
      </c>
      <c r="E1280" s="28">
        <v>6850.0</v>
      </c>
    </row>
    <row r="1281" ht="15.75" customHeight="1">
      <c r="A1281" s="3" t="s">
        <v>8</v>
      </c>
      <c r="B1281" s="13">
        <v>88271.13</v>
      </c>
      <c r="C1281" s="13">
        <v>65470.12</v>
      </c>
      <c r="D1281" s="13">
        <v>22801.010000000002</v>
      </c>
      <c r="E1281" s="28">
        <v>9461.0</v>
      </c>
    </row>
    <row r="1282" ht="15.75" customHeight="1">
      <c r="A1282" s="3" t="s">
        <v>11</v>
      </c>
      <c r="B1282" s="13">
        <v>2744394.4499999997</v>
      </c>
      <c r="C1282" s="13">
        <v>2372308.45</v>
      </c>
      <c r="D1282" s="13">
        <v>372085.99999999953</v>
      </c>
      <c r="E1282" s="28">
        <v>6505.0</v>
      </c>
    </row>
    <row r="1283" ht="15.75" customHeight="1">
      <c r="A1283" s="3" t="s">
        <v>14</v>
      </c>
      <c r="B1283" s="13">
        <v>164195.57</v>
      </c>
      <c r="C1283" s="13">
        <v>113850.03</v>
      </c>
      <c r="D1283" s="13">
        <v>50345.54000000001</v>
      </c>
      <c r="E1283" s="28">
        <v>2009.0</v>
      </c>
    </row>
    <row r="1284" ht="15.75" customHeight="1">
      <c r="A1284" s="3" t="s">
        <v>9</v>
      </c>
      <c r="B1284" s="13">
        <v>1015563.52</v>
      </c>
      <c r="C1284" s="13">
        <v>599410.56</v>
      </c>
      <c r="D1284" s="13">
        <v>416152.95999999996</v>
      </c>
      <c r="E1284" s="28">
        <v>6592.0</v>
      </c>
    </row>
    <row r="1285" ht="15.75" customHeight="1">
      <c r="A1285" s="3" t="s">
        <v>13</v>
      </c>
      <c r="B1285" s="13">
        <v>983835.8400000001</v>
      </c>
      <c r="C1285" s="13">
        <v>628293.12</v>
      </c>
      <c r="D1285" s="13">
        <v>355542.7200000001</v>
      </c>
      <c r="E1285" s="28">
        <v>6448.0</v>
      </c>
    </row>
    <row r="1286" ht="15.75" customHeight="1">
      <c r="A1286" s="3" t="s">
        <v>9</v>
      </c>
      <c r="B1286" s="13">
        <v>811742.14</v>
      </c>
      <c r="C1286" s="13">
        <v>479110.17000000004</v>
      </c>
      <c r="D1286" s="13">
        <v>332631.97</v>
      </c>
      <c r="E1286" s="28">
        <v>5269.0</v>
      </c>
    </row>
    <row r="1287" ht="15.75" customHeight="1">
      <c r="A1287" s="3" t="s">
        <v>11</v>
      </c>
      <c r="B1287" s="13">
        <v>2812318.7399999998</v>
      </c>
      <c r="C1287" s="13">
        <v>2431023.54</v>
      </c>
      <c r="D1287" s="13">
        <v>381295.1999999997</v>
      </c>
      <c r="E1287" s="28">
        <v>6666.0</v>
      </c>
    </row>
    <row r="1288" ht="15.75" customHeight="1">
      <c r="A1288" s="3" t="s">
        <v>4</v>
      </c>
      <c r="B1288" s="13">
        <v>2059608.14</v>
      </c>
      <c r="C1288" s="13">
        <v>1548828.28</v>
      </c>
      <c r="D1288" s="13">
        <v>510779.85999999987</v>
      </c>
      <c r="E1288" s="28">
        <v>3082.0</v>
      </c>
    </row>
    <row r="1289" ht="15.75" customHeight="1">
      <c r="A1289" s="3" t="s">
        <v>11</v>
      </c>
      <c r="B1289" s="13">
        <v>4166163.75</v>
      </c>
      <c r="C1289" s="13">
        <v>3601313.75</v>
      </c>
      <c r="D1289" s="13">
        <v>564850.0</v>
      </c>
      <c r="E1289" s="28">
        <v>9875.0</v>
      </c>
    </row>
    <row r="1290" ht="15.75" customHeight="1">
      <c r="A1290" s="3" t="s">
        <v>4</v>
      </c>
      <c r="B1290" s="13">
        <v>319433.06</v>
      </c>
      <c r="C1290" s="13">
        <v>240214.12</v>
      </c>
      <c r="D1290" s="13">
        <v>79218.94</v>
      </c>
      <c r="E1290" s="28">
        <v>478.0</v>
      </c>
    </row>
    <row r="1291" ht="15.75" customHeight="1">
      <c r="A1291" s="3" t="s">
        <v>13</v>
      </c>
      <c r="B1291" s="13">
        <v>834765.18</v>
      </c>
      <c r="C1291" s="13">
        <v>533094.24</v>
      </c>
      <c r="D1291" s="13">
        <v>301670.94000000006</v>
      </c>
      <c r="E1291" s="28">
        <v>5471.0</v>
      </c>
    </row>
    <row r="1292" ht="15.75" customHeight="1">
      <c r="A1292" s="3" t="s">
        <v>3</v>
      </c>
      <c r="B1292" s="13">
        <v>1905604.7999999998</v>
      </c>
      <c r="C1292" s="13">
        <v>1084907.04</v>
      </c>
      <c r="D1292" s="13">
        <v>820697.7599999998</v>
      </c>
      <c r="E1292" s="28">
        <v>9264.0</v>
      </c>
    </row>
    <row r="1293" ht="15.75" customHeight="1">
      <c r="A1293" s="3" t="s">
        <v>9</v>
      </c>
      <c r="B1293" s="13">
        <v>1412576.1400000001</v>
      </c>
      <c r="C1293" s="13">
        <v>833737.17</v>
      </c>
      <c r="D1293" s="13">
        <v>578838.9700000001</v>
      </c>
      <c r="E1293" s="28">
        <v>9169.0</v>
      </c>
    </row>
    <row r="1294" ht="15.75" customHeight="1">
      <c r="A1294" s="3" t="s">
        <v>13</v>
      </c>
      <c r="B1294" s="13">
        <v>878097.9</v>
      </c>
      <c r="C1294" s="13">
        <v>560767.2</v>
      </c>
      <c r="D1294" s="13">
        <v>317330.70000000007</v>
      </c>
      <c r="E1294" s="28">
        <v>5755.0</v>
      </c>
    </row>
    <row r="1295" ht="15.75" customHeight="1">
      <c r="A1295" s="3" t="s">
        <v>6</v>
      </c>
      <c r="B1295" s="13">
        <v>27948.050000000003</v>
      </c>
      <c r="C1295" s="13">
        <v>18724.31</v>
      </c>
      <c r="D1295" s="13">
        <v>9223.740000000002</v>
      </c>
      <c r="E1295" s="28">
        <v>589.0</v>
      </c>
    </row>
    <row r="1296" ht="15.75" customHeight="1">
      <c r="A1296" s="3" t="s">
        <v>5</v>
      </c>
      <c r="B1296" s="13">
        <v>73982.56</v>
      </c>
      <c r="C1296" s="13">
        <v>24263.680000000004</v>
      </c>
      <c r="D1296" s="13">
        <v>49718.87999999999</v>
      </c>
      <c r="E1296" s="28">
        <v>677.0</v>
      </c>
    </row>
    <row r="1297" ht="15.75" customHeight="1">
      <c r="A1297" s="3" t="s">
        <v>8</v>
      </c>
      <c r="B1297" s="13">
        <v>14676.09</v>
      </c>
      <c r="C1297" s="13">
        <v>10885.16</v>
      </c>
      <c r="D1297" s="13">
        <v>3790.9300000000003</v>
      </c>
      <c r="E1297" s="28">
        <v>1573.0</v>
      </c>
    </row>
    <row r="1298" ht="15.75" customHeight="1">
      <c r="A1298" s="3" t="s">
        <v>9</v>
      </c>
      <c r="B1298" s="13">
        <v>1061935.58</v>
      </c>
      <c r="C1298" s="13">
        <v>626780.49</v>
      </c>
      <c r="D1298" s="13">
        <v>435155.0900000001</v>
      </c>
      <c r="E1298" s="28">
        <v>6893.0</v>
      </c>
    </row>
    <row r="1299" ht="15.75" customHeight="1">
      <c r="A1299" s="3" t="s">
        <v>7</v>
      </c>
      <c r="B1299" s="13">
        <v>4460788.5</v>
      </c>
      <c r="C1299" s="13">
        <v>3595976.0000000005</v>
      </c>
      <c r="D1299" s="13">
        <v>864812.4999999995</v>
      </c>
      <c r="E1299" s="28">
        <v>6850.0</v>
      </c>
    </row>
    <row r="1300" ht="15.75" customHeight="1">
      <c r="A1300" s="3" t="s">
        <v>6</v>
      </c>
      <c r="B1300" s="13">
        <v>221781.30000000002</v>
      </c>
      <c r="C1300" s="13">
        <v>148586.46</v>
      </c>
      <c r="D1300" s="13">
        <v>73194.84000000003</v>
      </c>
      <c r="E1300" s="28">
        <v>4674.0</v>
      </c>
    </row>
    <row r="1301" ht="15.75" customHeight="1">
      <c r="A1301" s="3" t="s">
        <v>13</v>
      </c>
      <c r="B1301" s="13">
        <v>145713.90000000002</v>
      </c>
      <c r="C1301" s="13">
        <v>93055.2</v>
      </c>
      <c r="D1301" s="13">
        <v>52658.700000000026</v>
      </c>
      <c r="E1301" s="28">
        <v>955.0</v>
      </c>
    </row>
    <row r="1302" ht="15.75" customHeight="1">
      <c r="A1302" s="3" t="s">
        <v>10</v>
      </c>
      <c r="B1302" s="13">
        <v>2193110.48</v>
      </c>
      <c r="C1302" s="13">
        <v>1369577.22</v>
      </c>
      <c r="D1302" s="13">
        <v>823533.26</v>
      </c>
      <c r="E1302" s="28">
        <v>8591.0</v>
      </c>
    </row>
    <row r="1303" ht="15.75" customHeight="1">
      <c r="A1303" s="3" t="s">
        <v>11</v>
      </c>
      <c r="B1303" s="13">
        <v>2500963.92</v>
      </c>
      <c r="C1303" s="13">
        <v>2161882.32</v>
      </c>
      <c r="D1303" s="13">
        <v>339081.6000000001</v>
      </c>
      <c r="E1303" s="28">
        <v>5928.0</v>
      </c>
    </row>
    <row r="1304" ht="15.75" customHeight="1">
      <c r="A1304" s="3" t="s">
        <v>10</v>
      </c>
      <c r="B1304" s="13">
        <v>1383872.8800000001</v>
      </c>
      <c r="C1304" s="13">
        <v>864215.82</v>
      </c>
      <c r="D1304" s="13">
        <v>519657.0600000002</v>
      </c>
      <c r="E1304" s="28">
        <v>5421.0</v>
      </c>
    </row>
    <row r="1305" ht="15.75" customHeight="1">
      <c r="A1305" s="3" t="s">
        <v>14</v>
      </c>
      <c r="B1305" s="13">
        <v>801607.8400000001</v>
      </c>
      <c r="C1305" s="13">
        <v>555819.36</v>
      </c>
      <c r="D1305" s="13">
        <v>245788.4800000001</v>
      </c>
      <c r="E1305" s="28">
        <v>9808.0</v>
      </c>
    </row>
    <row r="1306" ht="15.75" customHeight="1">
      <c r="A1306" s="3" t="s">
        <v>12</v>
      </c>
      <c r="B1306" s="13">
        <v>3112864.0</v>
      </c>
      <c r="C1306" s="13">
        <v>1874909.5999999999</v>
      </c>
      <c r="D1306" s="13">
        <v>1237954.4000000001</v>
      </c>
      <c r="E1306" s="28">
        <v>7120.0</v>
      </c>
    </row>
    <row r="1307" ht="15.75" customHeight="1">
      <c r="A1307" s="3" t="s">
        <v>6</v>
      </c>
      <c r="B1307" s="13">
        <v>196490.45</v>
      </c>
      <c r="C1307" s="13">
        <v>131642.38999999998</v>
      </c>
      <c r="D1307" s="13">
        <v>64848.06000000003</v>
      </c>
      <c r="E1307" s="28">
        <v>4141.0</v>
      </c>
    </row>
    <row r="1308" ht="15.75" customHeight="1">
      <c r="A1308" s="3" t="s">
        <v>13</v>
      </c>
      <c r="B1308" s="13">
        <v>1172272.1400000001</v>
      </c>
      <c r="C1308" s="13">
        <v>748631.52</v>
      </c>
      <c r="D1308" s="13">
        <v>423640.6200000001</v>
      </c>
      <c r="E1308" s="28">
        <v>7683.0</v>
      </c>
    </row>
    <row r="1309" ht="15.75" customHeight="1">
      <c r="A1309" s="3" t="s">
        <v>7</v>
      </c>
      <c r="B1309" s="13">
        <v>1440476.52</v>
      </c>
      <c r="C1309" s="13">
        <v>1161211.52</v>
      </c>
      <c r="D1309" s="13">
        <v>279265.0</v>
      </c>
      <c r="E1309" s="28">
        <v>2212.0</v>
      </c>
    </row>
    <row r="1310" ht="15.75" customHeight="1">
      <c r="A1310" s="3" t="s">
        <v>6</v>
      </c>
      <c r="B1310" s="13">
        <v>182018.2</v>
      </c>
      <c r="C1310" s="13">
        <v>121946.44</v>
      </c>
      <c r="D1310" s="13">
        <v>60071.76000000001</v>
      </c>
      <c r="E1310" s="28">
        <v>3836.0</v>
      </c>
    </row>
    <row r="1311" ht="15.75" customHeight="1">
      <c r="A1311" s="3" t="s">
        <v>3</v>
      </c>
      <c r="B1311" s="13">
        <v>1176604.0</v>
      </c>
      <c r="C1311" s="13">
        <v>669869.2</v>
      </c>
      <c r="D1311" s="13">
        <v>506734.80000000005</v>
      </c>
      <c r="E1311" s="28">
        <v>5720.0</v>
      </c>
    </row>
    <row r="1312" ht="15.75" customHeight="1">
      <c r="A1312" s="3" t="s">
        <v>11</v>
      </c>
      <c r="B1312" s="13">
        <v>536644.08</v>
      </c>
      <c r="C1312" s="13">
        <v>463885.68</v>
      </c>
      <c r="D1312" s="13">
        <v>72758.39999999997</v>
      </c>
      <c r="E1312" s="28">
        <v>1272.0</v>
      </c>
    </row>
    <row r="1313" ht="15.75" customHeight="1">
      <c r="A1313" s="3" t="s">
        <v>9</v>
      </c>
      <c r="B1313" s="13">
        <v>1377296.4</v>
      </c>
      <c r="C1313" s="13">
        <v>812914.2000000001</v>
      </c>
      <c r="D1313" s="13">
        <v>564382.1999999998</v>
      </c>
      <c r="E1313" s="28">
        <v>8940.0</v>
      </c>
    </row>
    <row r="1314" ht="15.75" customHeight="1">
      <c r="A1314" s="3" t="s">
        <v>3</v>
      </c>
      <c r="B1314" s="13">
        <v>1155211.2</v>
      </c>
      <c r="C1314" s="13">
        <v>657689.76</v>
      </c>
      <c r="D1314" s="13">
        <v>497521.43999999994</v>
      </c>
      <c r="E1314" s="28">
        <v>5616.0</v>
      </c>
    </row>
    <row r="1315" ht="15.75" customHeight="1">
      <c r="A1315" s="3" t="s">
        <v>14</v>
      </c>
      <c r="B1315" s="13">
        <v>814602.91</v>
      </c>
      <c r="C1315" s="13">
        <v>564829.89</v>
      </c>
      <c r="D1315" s="13">
        <v>249773.02000000002</v>
      </c>
      <c r="E1315" s="28">
        <v>9967.0</v>
      </c>
    </row>
    <row r="1316" ht="15.75" customHeight="1">
      <c r="A1316" s="3" t="s">
        <v>7</v>
      </c>
      <c r="B1316" s="13">
        <v>748891.5</v>
      </c>
      <c r="C1316" s="13">
        <v>603704.0</v>
      </c>
      <c r="D1316" s="13">
        <v>145187.5</v>
      </c>
      <c r="E1316" s="28">
        <v>1150.0</v>
      </c>
    </row>
    <row r="1317" ht="15.75" customHeight="1">
      <c r="A1317" s="3" t="s">
        <v>4</v>
      </c>
      <c r="B1317" s="13">
        <v>5026726.9399999995</v>
      </c>
      <c r="C1317" s="13">
        <v>3780105.8800000004</v>
      </c>
      <c r="D1317" s="13">
        <v>1246621.0599999991</v>
      </c>
      <c r="E1317" s="28">
        <v>7522.0</v>
      </c>
    </row>
    <row r="1318" ht="15.75" customHeight="1">
      <c r="A1318" s="3" t="s">
        <v>3</v>
      </c>
      <c r="B1318" s="13">
        <v>352364.1</v>
      </c>
      <c r="C1318" s="13">
        <v>200609.43</v>
      </c>
      <c r="D1318" s="13">
        <v>151754.66999999998</v>
      </c>
      <c r="E1318" s="28">
        <v>1713.0</v>
      </c>
    </row>
    <row r="1319" ht="15.75" customHeight="1">
      <c r="A1319" s="3" t="s">
        <v>8</v>
      </c>
      <c r="B1319" s="13">
        <v>59357.46</v>
      </c>
      <c r="C1319" s="13">
        <v>44025.04</v>
      </c>
      <c r="D1319" s="13">
        <v>15332.419999999998</v>
      </c>
      <c r="E1319" s="28">
        <v>6362.0</v>
      </c>
    </row>
    <row r="1320" ht="15.75" customHeight="1">
      <c r="A1320" s="3" t="s">
        <v>5</v>
      </c>
      <c r="B1320" s="13">
        <v>588582.08</v>
      </c>
      <c r="C1320" s="13">
        <v>193034.24000000002</v>
      </c>
      <c r="D1320" s="13">
        <v>395547.83999999997</v>
      </c>
      <c r="E1320" s="28">
        <v>5386.0</v>
      </c>
    </row>
    <row r="1321" ht="15.75" customHeight="1">
      <c r="A1321" s="3" t="s">
        <v>4</v>
      </c>
      <c r="B1321" s="13">
        <v>4361130.02</v>
      </c>
      <c r="C1321" s="13">
        <v>3279576.04</v>
      </c>
      <c r="D1321" s="13">
        <v>1081553.9799999995</v>
      </c>
      <c r="E1321" s="28">
        <v>6526.0</v>
      </c>
    </row>
    <row r="1322" ht="15.75" customHeight="1">
      <c r="A1322" s="3" t="s">
        <v>4</v>
      </c>
      <c r="B1322" s="13">
        <v>760491.26</v>
      </c>
      <c r="C1322" s="13">
        <v>571890.52</v>
      </c>
      <c r="D1322" s="13">
        <v>188600.74</v>
      </c>
      <c r="E1322" s="28">
        <v>1138.0</v>
      </c>
    </row>
    <row r="1323" ht="15.75" customHeight="1">
      <c r="A1323" s="3" t="s">
        <v>8</v>
      </c>
      <c r="B1323" s="13">
        <v>30126.57</v>
      </c>
      <c r="C1323" s="13">
        <v>22344.68</v>
      </c>
      <c r="D1323" s="13">
        <v>7781.889999999999</v>
      </c>
      <c r="E1323" s="28">
        <v>3229.0</v>
      </c>
    </row>
    <row r="1324" ht="15.75" customHeight="1">
      <c r="A1324" s="3" t="s">
        <v>9</v>
      </c>
      <c r="B1324" s="13">
        <v>1148363.24</v>
      </c>
      <c r="C1324" s="13">
        <v>677792.2200000001</v>
      </c>
      <c r="D1324" s="13">
        <v>470571.0199999999</v>
      </c>
      <c r="E1324" s="28">
        <v>7454.0</v>
      </c>
    </row>
    <row r="1325" ht="15.75" customHeight="1">
      <c r="A1325" s="3" t="s">
        <v>14</v>
      </c>
      <c r="B1325" s="13">
        <v>711214.4600000001</v>
      </c>
      <c r="C1325" s="13">
        <v>493142.34</v>
      </c>
      <c r="D1325" s="13">
        <v>218072.12000000005</v>
      </c>
      <c r="E1325" s="28">
        <v>8702.0</v>
      </c>
    </row>
    <row r="1326" ht="15.75" customHeight="1">
      <c r="A1326" s="3" t="s">
        <v>6</v>
      </c>
      <c r="B1326" s="13">
        <v>280239.7</v>
      </c>
      <c r="C1326" s="13">
        <v>187751.74</v>
      </c>
      <c r="D1326" s="13">
        <v>92487.96000000002</v>
      </c>
      <c r="E1326" s="28">
        <v>5906.0</v>
      </c>
    </row>
    <row r="1327" ht="15.75" customHeight="1">
      <c r="A1327" s="3" t="s">
        <v>8</v>
      </c>
      <c r="B1327" s="13">
        <v>44168.22</v>
      </c>
      <c r="C1327" s="13">
        <v>32759.28</v>
      </c>
      <c r="D1327" s="13">
        <v>11408.940000000002</v>
      </c>
      <c r="E1327" s="28">
        <v>4734.0</v>
      </c>
    </row>
    <row r="1328" ht="15.75" customHeight="1">
      <c r="A1328" s="3" t="s">
        <v>6</v>
      </c>
      <c r="B1328" s="13">
        <v>246360.40000000002</v>
      </c>
      <c r="C1328" s="13">
        <v>165053.68</v>
      </c>
      <c r="D1328" s="13">
        <v>81306.72000000003</v>
      </c>
      <c r="E1328" s="28">
        <v>5192.0</v>
      </c>
    </row>
    <row r="1329" ht="15.75" customHeight="1">
      <c r="A1329" s="3" t="s">
        <v>10</v>
      </c>
      <c r="B1329" s="13">
        <v>146530.72</v>
      </c>
      <c r="C1329" s="13">
        <v>91507.07999999999</v>
      </c>
      <c r="D1329" s="13">
        <v>55023.640000000014</v>
      </c>
      <c r="E1329" s="28">
        <v>574.0</v>
      </c>
    </row>
    <row r="1330" ht="15.75" customHeight="1">
      <c r="A1330" s="3" t="s">
        <v>12</v>
      </c>
      <c r="B1330" s="13">
        <v>905004.0</v>
      </c>
      <c r="C1330" s="13">
        <v>545093.1</v>
      </c>
      <c r="D1330" s="13">
        <v>359910.9</v>
      </c>
      <c r="E1330" s="28">
        <v>2070.0</v>
      </c>
    </row>
    <row r="1331" ht="15.75" customHeight="1">
      <c r="A1331" s="3" t="s">
        <v>4</v>
      </c>
      <c r="B1331" s="13">
        <v>3666129.2199999997</v>
      </c>
      <c r="C1331" s="13">
        <v>2756934.44</v>
      </c>
      <c r="D1331" s="13">
        <v>909194.7799999998</v>
      </c>
      <c r="E1331" s="28">
        <v>5486.0</v>
      </c>
    </row>
    <row r="1332" ht="15.75" customHeight="1">
      <c r="A1332" s="3"/>
      <c r="B1332" s="13"/>
      <c r="C1332" s="13"/>
      <c r="D1332" s="13"/>
      <c r="E1332" s="28"/>
    </row>
    <row r="1333" ht="15.75" customHeight="1">
      <c r="A1333" s="3"/>
      <c r="B1333" s="13"/>
      <c r="C1333" s="13"/>
      <c r="D1333" s="13"/>
      <c r="E1333" s="28"/>
    </row>
    <row r="1334" ht="15.75" customHeight="1">
      <c r="A1334" s="3"/>
      <c r="B1334" s="13"/>
      <c r="C1334" s="13"/>
      <c r="D1334" s="13"/>
      <c r="E1334" s="28"/>
    </row>
    <row r="1335" ht="15.75" customHeight="1">
      <c r="A1335" s="3"/>
      <c r="B1335" s="13"/>
      <c r="C1335" s="13"/>
      <c r="D1335" s="13"/>
      <c r="E1335" s="28"/>
    </row>
    <row r="1336" ht="15.75" customHeight="1">
      <c r="A1336" s="3"/>
      <c r="B1336" s="13"/>
      <c r="C1336" s="13"/>
      <c r="D1336" s="13"/>
      <c r="E1336" s="28"/>
    </row>
    <row r="1337" ht="15.75" customHeight="1">
      <c r="A1337" s="3"/>
      <c r="B1337" s="13"/>
      <c r="C1337" s="13"/>
      <c r="D1337" s="13"/>
      <c r="E1337" s="28"/>
    </row>
    <row r="1338" ht="15.75" customHeight="1">
      <c r="A1338" s="3"/>
      <c r="B1338" s="13"/>
      <c r="C1338" s="13"/>
      <c r="D1338" s="13"/>
      <c r="E1338" s="28"/>
    </row>
    <row r="1339" ht="15.75" customHeight="1">
      <c r="A1339" s="3"/>
      <c r="B1339" s="13"/>
      <c r="C1339" s="13"/>
      <c r="D1339" s="13"/>
      <c r="E1339" s="28"/>
    </row>
    <row r="1340" ht="15.75" customHeight="1">
      <c r="A1340" s="3"/>
      <c r="B1340" s="13"/>
      <c r="C1340" s="13"/>
      <c r="D1340" s="13"/>
      <c r="E1340" s="28"/>
    </row>
    <row r="1341" ht="15.75" customHeight="1">
      <c r="A1341" s="3"/>
      <c r="B1341" s="13"/>
      <c r="C1341" s="13"/>
      <c r="D1341" s="13"/>
      <c r="E1341" s="28"/>
    </row>
    <row r="1342" ht="15.75" customHeight="1">
      <c r="A1342" s="3"/>
      <c r="B1342" s="13"/>
      <c r="C1342" s="13"/>
      <c r="D1342" s="13"/>
      <c r="E1342" s="28"/>
    </row>
    <row r="1343" ht="15.75" customHeight="1">
      <c r="A1343" s="3"/>
      <c r="B1343" s="13"/>
      <c r="C1343" s="13"/>
      <c r="D1343" s="13"/>
      <c r="E1343" s="28"/>
    </row>
    <row r="1344" ht="15.75" customHeight="1">
      <c r="A1344" s="3"/>
      <c r="B1344" s="13"/>
      <c r="C1344" s="13"/>
      <c r="D1344" s="13"/>
      <c r="E1344" s="28"/>
    </row>
    <row r="1345" ht="15.75" customHeight="1">
      <c r="A1345" s="3"/>
      <c r="B1345" s="13"/>
      <c r="C1345" s="13"/>
      <c r="D1345" s="13"/>
      <c r="E1345" s="28"/>
    </row>
    <row r="1346" ht="15.75" customHeight="1">
      <c r="A1346" s="3"/>
      <c r="B1346" s="13"/>
      <c r="C1346" s="13"/>
      <c r="D1346" s="13"/>
      <c r="E1346" s="28"/>
    </row>
    <row r="1347" ht="15.75" customHeight="1">
      <c r="A1347" s="3"/>
      <c r="B1347" s="13"/>
      <c r="C1347" s="13"/>
      <c r="D1347" s="13"/>
      <c r="E1347" s="28"/>
    </row>
    <row r="1348" ht="15.75" customHeight="1">
      <c r="A1348" s="3"/>
      <c r="B1348" s="13"/>
      <c r="C1348" s="13"/>
      <c r="D1348" s="13"/>
      <c r="E1348" s="28"/>
    </row>
    <row r="1349" ht="15.75" customHeight="1">
      <c r="A1349" s="3"/>
      <c r="B1349" s="13"/>
      <c r="C1349" s="13"/>
      <c r="D1349" s="13"/>
      <c r="E1349" s="28"/>
    </row>
    <row r="1350" ht="15.75" customHeight="1">
      <c r="A1350" s="3"/>
      <c r="B1350" s="13"/>
      <c r="C1350" s="13"/>
      <c r="D1350" s="13"/>
      <c r="E1350" s="28"/>
    </row>
    <row r="1351" ht="15.75" customHeight="1">
      <c r="A1351" s="3"/>
      <c r="B1351" s="13"/>
      <c r="C1351" s="13"/>
      <c r="D1351" s="13"/>
      <c r="E1351" s="28"/>
    </row>
    <row r="1352" ht="15.75" customHeight="1">
      <c r="A1352" s="3"/>
      <c r="B1352" s="13"/>
      <c r="C1352" s="13"/>
      <c r="D1352" s="13"/>
      <c r="E1352" s="28"/>
    </row>
    <row r="1353" ht="15.75" customHeight="1">
      <c r="A1353" s="3"/>
      <c r="B1353" s="13"/>
      <c r="C1353" s="13"/>
      <c r="D1353" s="13"/>
      <c r="E1353" s="28"/>
    </row>
    <row r="1354" ht="15.75" customHeight="1">
      <c r="A1354" s="3"/>
      <c r="B1354" s="13"/>
      <c r="C1354" s="13"/>
      <c r="D1354" s="13"/>
      <c r="E1354" s="28"/>
    </row>
    <row r="1355" ht="15.75" customHeight="1">
      <c r="A1355" s="3"/>
      <c r="B1355" s="13"/>
      <c r="C1355" s="13"/>
      <c r="D1355" s="13"/>
      <c r="E1355" s="28"/>
    </row>
    <row r="1356" ht="15.75" customHeight="1">
      <c r="A1356" s="3"/>
      <c r="B1356" s="13"/>
      <c r="C1356" s="13"/>
      <c r="D1356" s="13"/>
      <c r="E1356" s="28"/>
    </row>
    <row r="1357" ht="15.75" customHeight="1">
      <c r="A1357" s="3"/>
      <c r="B1357" s="13"/>
      <c r="C1357" s="13"/>
      <c r="D1357" s="13"/>
      <c r="E1357" s="28"/>
    </row>
    <row r="1358" ht="15.75" customHeight="1">
      <c r="A1358" s="3"/>
      <c r="B1358" s="13"/>
      <c r="C1358" s="13"/>
      <c r="D1358" s="13"/>
      <c r="E1358" s="28"/>
    </row>
    <row r="1359" ht="15.75" customHeight="1">
      <c r="A1359" s="3"/>
      <c r="B1359" s="13"/>
      <c r="C1359" s="13"/>
      <c r="D1359" s="13"/>
      <c r="E1359" s="28"/>
    </row>
    <row r="1360" ht="15.75" customHeight="1">
      <c r="A1360" s="3"/>
      <c r="B1360" s="13"/>
      <c r="C1360" s="13"/>
      <c r="D1360" s="13"/>
      <c r="E1360" s="28"/>
    </row>
    <row r="1361" ht="15.75" customHeight="1">
      <c r="A1361" s="3"/>
      <c r="B1361" s="13"/>
      <c r="C1361" s="13"/>
      <c r="D1361" s="13"/>
      <c r="E1361" s="28"/>
    </row>
    <row r="1362" ht="15.75" customHeight="1">
      <c r="A1362" s="3"/>
      <c r="B1362" s="13"/>
      <c r="C1362" s="13"/>
      <c r="D1362" s="13"/>
      <c r="E1362" s="28"/>
    </row>
    <row r="1363" ht="15.75" customHeight="1">
      <c r="A1363" s="3"/>
      <c r="B1363" s="13"/>
      <c r="C1363" s="13"/>
      <c r="D1363" s="13"/>
      <c r="E1363" s="28"/>
    </row>
    <row r="1364" ht="15.75" customHeight="1">
      <c r="A1364" s="3"/>
      <c r="B1364" s="13"/>
      <c r="C1364" s="13"/>
      <c r="D1364" s="13"/>
      <c r="E1364" s="28"/>
    </row>
    <row r="1365" ht="15.75" customHeight="1">
      <c r="A1365" s="3"/>
      <c r="B1365" s="13"/>
      <c r="C1365" s="13"/>
      <c r="D1365" s="13"/>
      <c r="E1365" s="28"/>
    </row>
    <row r="1366" ht="15.75" customHeight="1">
      <c r="A1366" s="3"/>
      <c r="B1366" s="13"/>
      <c r="C1366" s="13"/>
      <c r="D1366" s="13"/>
      <c r="E1366" s="28"/>
    </row>
    <row r="1367" ht="15.75" customHeight="1">
      <c r="A1367" s="3"/>
      <c r="B1367" s="13"/>
      <c r="C1367" s="13"/>
      <c r="D1367" s="13"/>
      <c r="E1367" s="28"/>
    </row>
    <row r="1368" ht="15.75" customHeight="1">
      <c r="A1368" s="3"/>
      <c r="B1368" s="13"/>
      <c r="C1368" s="13"/>
      <c r="D1368" s="13"/>
      <c r="E1368" s="28"/>
    </row>
    <row r="1369" ht="15.75" customHeight="1">
      <c r="A1369" s="3"/>
      <c r="B1369" s="13"/>
      <c r="C1369" s="13"/>
      <c r="D1369" s="13"/>
      <c r="E1369" s="28"/>
    </row>
    <row r="1370" ht="15.75" customHeight="1">
      <c r="A1370" s="3"/>
      <c r="B1370" s="13"/>
      <c r="C1370" s="13"/>
      <c r="D1370" s="13"/>
      <c r="E1370" s="28"/>
    </row>
    <row r="1371" ht="15.75" customHeight="1">
      <c r="A1371" s="3"/>
      <c r="B1371" s="13"/>
      <c r="C1371" s="13"/>
      <c r="D1371" s="13"/>
      <c r="E1371" s="28"/>
    </row>
    <row r="1372" ht="15.75" customHeight="1">
      <c r="A1372" s="3"/>
      <c r="B1372" s="13"/>
      <c r="C1372" s="13"/>
      <c r="D1372" s="13"/>
      <c r="E1372" s="28"/>
    </row>
    <row r="1373" ht="15.75" customHeight="1">
      <c r="A1373" s="3"/>
      <c r="B1373" s="13"/>
      <c r="C1373" s="13"/>
      <c r="D1373" s="13"/>
      <c r="E1373" s="28"/>
    </row>
    <row r="1374" ht="15.75" customHeight="1">
      <c r="A1374" s="3"/>
      <c r="B1374" s="13"/>
      <c r="C1374" s="13"/>
      <c r="D1374" s="13"/>
      <c r="E1374" s="28"/>
    </row>
    <row r="1375" ht="15.75" customHeight="1">
      <c r="A1375" s="3"/>
      <c r="B1375" s="13"/>
      <c r="C1375" s="13"/>
      <c r="D1375" s="13"/>
      <c r="E1375" s="28"/>
    </row>
    <row r="1376" ht="15.75" customHeight="1">
      <c r="A1376" s="3"/>
      <c r="B1376" s="13"/>
      <c r="C1376" s="13"/>
      <c r="D1376" s="13"/>
      <c r="E1376" s="28"/>
    </row>
    <row r="1377" ht="15.75" customHeight="1">
      <c r="A1377" s="3"/>
      <c r="B1377" s="13"/>
      <c r="C1377" s="13"/>
      <c r="D1377" s="13"/>
      <c r="E1377" s="28"/>
    </row>
    <row r="1378" ht="15.75" customHeight="1">
      <c r="A1378" s="3"/>
      <c r="B1378" s="13"/>
      <c r="C1378" s="13"/>
      <c r="D1378" s="13"/>
      <c r="E1378" s="28"/>
    </row>
    <row r="1379" ht="15.75" customHeight="1">
      <c r="A1379" s="3"/>
      <c r="B1379" s="13"/>
      <c r="C1379" s="13"/>
      <c r="D1379" s="13"/>
      <c r="E1379" s="28"/>
    </row>
    <row r="1380" ht="15.75" customHeight="1">
      <c r="A1380" s="3"/>
      <c r="B1380" s="13"/>
      <c r="C1380" s="13"/>
      <c r="D1380" s="13"/>
      <c r="E1380" s="28"/>
    </row>
    <row r="1381" ht="15.75" customHeight="1">
      <c r="A1381" s="3"/>
      <c r="B1381" s="13"/>
      <c r="C1381" s="13"/>
      <c r="D1381" s="13"/>
      <c r="E1381" s="28"/>
    </row>
    <row r="1382" ht="15.75" customHeight="1">
      <c r="A1382" s="3"/>
      <c r="B1382" s="13"/>
      <c r="C1382" s="13"/>
      <c r="D1382" s="13"/>
      <c r="E1382" s="28"/>
    </row>
    <row r="1383" ht="15.75" customHeight="1">
      <c r="A1383" s="3"/>
      <c r="B1383" s="13"/>
      <c r="C1383" s="13"/>
      <c r="D1383" s="13"/>
      <c r="E1383" s="28"/>
    </row>
    <row r="1384" ht="15.75" customHeight="1">
      <c r="A1384" s="3"/>
      <c r="B1384" s="13"/>
      <c r="C1384" s="13"/>
      <c r="D1384" s="13"/>
      <c r="E1384" s="28"/>
    </row>
    <row r="1385" ht="15.75" customHeight="1">
      <c r="A1385" s="3"/>
      <c r="B1385" s="13"/>
      <c r="C1385" s="13"/>
      <c r="D1385" s="13"/>
      <c r="E1385" s="28"/>
    </row>
    <row r="1386" ht="15.75" customHeight="1">
      <c r="A1386" s="3"/>
      <c r="B1386" s="13"/>
      <c r="C1386" s="13"/>
      <c r="D1386" s="13"/>
      <c r="E1386" s="28"/>
    </row>
    <row r="1387" ht="15.75" customHeight="1">
      <c r="A1387" s="3"/>
      <c r="B1387" s="13"/>
      <c r="C1387" s="13"/>
      <c r="D1387" s="13"/>
      <c r="E1387" s="28"/>
    </row>
    <row r="1388" ht="15.75" customHeight="1">
      <c r="A1388" s="3"/>
      <c r="B1388" s="13"/>
      <c r="C1388" s="13"/>
      <c r="D1388" s="13"/>
      <c r="E1388" s="28"/>
    </row>
    <row r="1389" ht="15.75" customHeight="1">
      <c r="A1389" s="3"/>
      <c r="B1389" s="13"/>
      <c r="C1389" s="13"/>
      <c r="D1389" s="13"/>
      <c r="E1389" s="28"/>
    </row>
    <row r="1390" ht="15.75" customHeight="1">
      <c r="A1390" s="3"/>
      <c r="B1390" s="13"/>
      <c r="C1390" s="13"/>
      <c r="D1390" s="13"/>
      <c r="E1390" s="28"/>
    </row>
    <row r="1391" ht="15.75" customHeight="1">
      <c r="A1391" s="3"/>
      <c r="B1391" s="13"/>
      <c r="C1391" s="13"/>
      <c r="D1391" s="13"/>
      <c r="E1391" s="28"/>
    </row>
    <row r="1392" ht="15.75" customHeight="1">
      <c r="A1392" s="3"/>
      <c r="B1392" s="13"/>
      <c r="C1392" s="13"/>
      <c r="D1392" s="13"/>
      <c r="E1392" s="28"/>
    </row>
    <row r="1393" ht="15.75" customHeight="1">
      <c r="A1393" s="3"/>
      <c r="B1393" s="13"/>
      <c r="C1393" s="13"/>
      <c r="D1393" s="13"/>
      <c r="E1393" s="28"/>
    </row>
    <row r="1394" ht="15.75" customHeight="1">
      <c r="A1394" s="3"/>
      <c r="B1394" s="13"/>
      <c r="C1394" s="13"/>
      <c r="D1394" s="13"/>
      <c r="E1394" s="28"/>
    </row>
    <row r="1395" ht="15.75" customHeight="1">
      <c r="A1395" s="3"/>
      <c r="B1395" s="13"/>
      <c r="C1395" s="13"/>
      <c r="D1395" s="13"/>
      <c r="E1395" s="28"/>
    </row>
    <row r="1396" ht="15.75" customHeight="1">
      <c r="A1396" s="3"/>
      <c r="B1396" s="13"/>
      <c r="C1396" s="13"/>
      <c r="D1396" s="13"/>
      <c r="E1396" s="28"/>
    </row>
    <row r="1397" ht="15.75" customHeight="1">
      <c r="A1397" s="3"/>
      <c r="B1397" s="13"/>
      <c r="C1397" s="13"/>
      <c r="D1397" s="13"/>
      <c r="E1397" s="28"/>
    </row>
    <row r="1398" ht="15.75" customHeight="1">
      <c r="A1398" s="3"/>
      <c r="B1398" s="13"/>
      <c r="C1398" s="13"/>
      <c r="D1398" s="13"/>
      <c r="E1398" s="28"/>
    </row>
    <row r="1399" ht="15.75" customHeight="1">
      <c r="A1399" s="3"/>
      <c r="B1399" s="13"/>
      <c r="C1399" s="13"/>
      <c r="D1399" s="13"/>
      <c r="E1399" s="28"/>
    </row>
    <row r="1400" ht="15.75" customHeight="1">
      <c r="A1400" s="3"/>
      <c r="B1400" s="13"/>
      <c r="C1400" s="13"/>
      <c r="D1400" s="13"/>
      <c r="E1400" s="28"/>
    </row>
    <row r="1401" ht="15.75" customHeight="1">
      <c r="A1401" s="3"/>
      <c r="B1401" s="13"/>
      <c r="C1401" s="13"/>
      <c r="D1401" s="13"/>
      <c r="E1401" s="28"/>
    </row>
    <row r="1402" ht="15.75" customHeight="1">
      <c r="A1402" s="3"/>
      <c r="B1402" s="13"/>
      <c r="C1402" s="13"/>
      <c r="D1402" s="13"/>
      <c r="E1402" s="28"/>
    </row>
    <row r="1403" ht="15.75" customHeight="1">
      <c r="A1403" s="3"/>
      <c r="B1403" s="13"/>
      <c r="C1403" s="13"/>
      <c r="D1403" s="13"/>
      <c r="E1403" s="28"/>
    </row>
    <row r="1404" ht="15.75" customHeight="1">
      <c r="A1404" s="3"/>
      <c r="B1404" s="13"/>
      <c r="C1404" s="13"/>
      <c r="D1404" s="13"/>
      <c r="E1404" s="28"/>
    </row>
    <row r="1405" ht="15.75" customHeight="1">
      <c r="A1405" s="3"/>
      <c r="B1405" s="13"/>
      <c r="C1405" s="13"/>
      <c r="D1405" s="13"/>
      <c r="E1405" s="28"/>
    </row>
    <row r="1406" ht="15.75" customHeight="1">
      <c r="A1406" s="3"/>
      <c r="B1406" s="13"/>
      <c r="C1406" s="13"/>
      <c r="D1406" s="13"/>
      <c r="E1406" s="28"/>
    </row>
    <row r="1407" ht="15.75" customHeight="1">
      <c r="A1407" s="3"/>
      <c r="B1407" s="13"/>
      <c r="C1407" s="13"/>
      <c r="D1407" s="13"/>
      <c r="E1407" s="28"/>
    </row>
    <row r="1408" ht="15.75" customHeight="1">
      <c r="A1408" s="3"/>
      <c r="B1408" s="13"/>
      <c r="C1408" s="13"/>
      <c r="D1408" s="13"/>
      <c r="E1408" s="28"/>
    </row>
    <row r="1409" ht="15.75" customHeight="1">
      <c r="A1409" s="3"/>
      <c r="B1409" s="13"/>
      <c r="C1409" s="13"/>
      <c r="D1409" s="13"/>
      <c r="E1409" s="28"/>
    </row>
    <row r="1410" ht="15.75" customHeight="1">
      <c r="A1410" s="3"/>
      <c r="B1410" s="13"/>
      <c r="C1410" s="13"/>
      <c r="D1410" s="13"/>
      <c r="E1410" s="28"/>
    </row>
    <row r="1411" ht="15.75" customHeight="1">
      <c r="A1411" s="3"/>
      <c r="B1411" s="13"/>
      <c r="C1411" s="13"/>
      <c r="D1411" s="13"/>
      <c r="E1411" s="28"/>
    </row>
    <row r="1412" ht="15.75" customHeight="1">
      <c r="A1412" s="3"/>
      <c r="B1412" s="13"/>
      <c r="C1412" s="13"/>
      <c r="D1412" s="13"/>
      <c r="E1412" s="28"/>
    </row>
    <row r="1413" ht="15.75" customHeight="1">
      <c r="A1413" s="3"/>
      <c r="B1413" s="13"/>
      <c r="C1413" s="13"/>
      <c r="D1413" s="13"/>
      <c r="E1413" s="28"/>
    </row>
    <row r="1414" ht="15.75" customHeight="1">
      <c r="A1414" s="3"/>
      <c r="B1414" s="13"/>
      <c r="C1414" s="13"/>
      <c r="D1414" s="13"/>
      <c r="E1414" s="28"/>
    </row>
    <row r="1415" ht="15.75" customHeight="1">
      <c r="A1415" s="3"/>
      <c r="B1415" s="13"/>
      <c r="C1415" s="13"/>
      <c r="D1415" s="13"/>
      <c r="E1415" s="28"/>
    </row>
    <row r="1416" ht="15.75" customHeight="1">
      <c r="A1416" s="3"/>
      <c r="B1416" s="13"/>
      <c r="C1416" s="13"/>
      <c r="D1416" s="13"/>
      <c r="E1416" s="28"/>
    </row>
    <row r="1417" ht="15.75" customHeight="1">
      <c r="A1417" s="3"/>
      <c r="B1417" s="13"/>
      <c r="C1417" s="13"/>
      <c r="D1417" s="13"/>
      <c r="E1417" s="28"/>
    </row>
    <row r="1418" ht="15.75" customHeight="1">
      <c r="A1418" s="3"/>
      <c r="B1418" s="13"/>
      <c r="C1418" s="13"/>
      <c r="D1418" s="13"/>
      <c r="E1418" s="28"/>
    </row>
    <row r="1419" ht="15.75" customHeight="1">
      <c r="A1419" s="3"/>
      <c r="B1419" s="13"/>
      <c r="C1419" s="13"/>
      <c r="D1419" s="13"/>
      <c r="E1419" s="28"/>
    </row>
    <row r="1420" ht="15.75" customHeight="1">
      <c r="A1420" s="3"/>
      <c r="B1420" s="13"/>
      <c r="C1420" s="13"/>
      <c r="D1420" s="13"/>
      <c r="E1420" s="28"/>
    </row>
    <row r="1421" ht="15.75" customHeight="1">
      <c r="A1421" s="3"/>
      <c r="B1421" s="13"/>
      <c r="C1421" s="13"/>
      <c r="D1421" s="13"/>
      <c r="E1421" s="28"/>
    </row>
    <row r="1422" ht="15.75" customHeight="1">
      <c r="A1422" s="3"/>
      <c r="B1422" s="13"/>
      <c r="C1422" s="13"/>
      <c r="D1422" s="13"/>
      <c r="E1422" s="28"/>
    </row>
    <row r="1423" ht="15.75" customHeight="1">
      <c r="A1423" s="3"/>
      <c r="B1423" s="13"/>
      <c r="C1423" s="13"/>
      <c r="D1423" s="13"/>
      <c r="E1423" s="28"/>
    </row>
    <row r="1424" ht="15.75" customHeight="1">
      <c r="A1424" s="3"/>
      <c r="B1424" s="13"/>
      <c r="C1424" s="13"/>
      <c r="D1424" s="13"/>
      <c r="E1424" s="28"/>
    </row>
    <row r="1425" ht="15.75" customHeight="1">
      <c r="A1425" s="3"/>
      <c r="B1425" s="13"/>
      <c r="C1425" s="13"/>
      <c r="D1425" s="13"/>
      <c r="E1425" s="28"/>
    </row>
    <row r="1426" ht="15.75" customHeight="1">
      <c r="A1426" s="3"/>
      <c r="B1426" s="13"/>
      <c r="C1426" s="13"/>
      <c r="D1426" s="13"/>
      <c r="E1426" s="28"/>
    </row>
    <row r="1427" ht="15.75" customHeight="1">
      <c r="A1427" s="3"/>
      <c r="B1427" s="13"/>
      <c r="C1427" s="13"/>
      <c r="D1427" s="13"/>
      <c r="E1427" s="28"/>
    </row>
    <row r="1428" ht="15.75" customHeight="1">
      <c r="A1428" s="3"/>
      <c r="B1428" s="13"/>
      <c r="C1428" s="13"/>
      <c r="D1428" s="13"/>
      <c r="E1428" s="28"/>
    </row>
    <row r="1429" ht="15.75" customHeight="1">
      <c r="A1429" s="3"/>
      <c r="B1429" s="13"/>
      <c r="C1429" s="13"/>
      <c r="D1429" s="13"/>
      <c r="E1429" s="28"/>
    </row>
    <row r="1430" ht="15.75" customHeight="1">
      <c r="A1430" s="3"/>
      <c r="B1430" s="13"/>
      <c r="C1430" s="13"/>
      <c r="D1430" s="13"/>
      <c r="E1430" s="28"/>
    </row>
    <row r="1431" ht="15.75" customHeight="1">
      <c r="A1431" s="3"/>
      <c r="B1431" s="13"/>
      <c r="C1431" s="13"/>
      <c r="D1431" s="13"/>
      <c r="E1431" s="28"/>
    </row>
    <row r="1432" ht="15.75" customHeight="1">
      <c r="A1432" s="3"/>
      <c r="B1432" s="13"/>
      <c r="C1432" s="13"/>
      <c r="D1432" s="13"/>
      <c r="E1432" s="28"/>
    </row>
    <row r="1433" ht="15.75" customHeight="1">
      <c r="A1433" s="3"/>
      <c r="B1433" s="13"/>
      <c r="C1433" s="13"/>
      <c r="D1433" s="13"/>
      <c r="E1433" s="28"/>
    </row>
    <row r="1434" ht="15.75" customHeight="1">
      <c r="A1434" s="3"/>
      <c r="B1434" s="13"/>
      <c r="C1434" s="13"/>
      <c r="D1434" s="13"/>
      <c r="E1434" s="28"/>
    </row>
    <row r="1435" ht="15.75" customHeight="1">
      <c r="A1435" s="3"/>
      <c r="B1435" s="13"/>
      <c r="C1435" s="13"/>
      <c r="D1435" s="13"/>
      <c r="E1435" s="28"/>
    </row>
    <row r="1436" ht="15.75" customHeight="1">
      <c r="A1436" s="3"/>
      <c r="B1436" s="13"/>
      <c r="C1436" s="13"/>
      <c r="D1436" s="13"/>
      <c r="E1436" s="28"/>
    </row>
    <row r="1437" ht="15.75" customHeight="1">
      <c r="A1437" s="3"/>
      <c r="B1437" s="13"/>
      <c r="C1437" s="13"/>
      <c r="D1437" s="13"/>
      <c r="E1437" s="28"/>
    </row>
    <row r="1438" ht="15.75" customHeight="1">
      <c r="A1438" s="3"/>
      <c r="B1438" s="13"/>
      <c r="C1438" s="13"/>
      <c r="D1438" s="13"/>
      <c r="E1438" s="28"/>
    </row>
    <row r="1439" ht="15.75" customHeight="1">
      <c r="A1439" s="3"/>
      <c r="B1439" s="13"/>
      <c r="C1439" s="13"/>
      <c r="D1439" s="13"/>
      <c r="E1439" s="28"/>
    </row>
    <row r="1440" ht="15.75" customHeight="1">
      <c r="A1440" s="3"/>
      <c r="B1440" s="13"/>
      <c r="C1440" s="13"/>
      <c r="D1440" s="13"/>
      <c r="E1440" s="28"/>
    </row>
    <row r="1441" ht="15.75" customHeight="1">
      <c r="A1441" s="3"/>
      <c r="B1441" s="13"/>
      <c r="C1441" s="13"/>
      <c r="D1441" s="13"/>
      <c r="E1441" s="28"/>
    </row>
    <row r="1442" ht="15.75" customHeight="1">
      <c r="A1442" s="3"/>
      <c r="B1442" s="13"/>
      <c r="C1442" s="13"/>
      <c r="D1442" s="13"/>
      <c r="E1442" s="28"/>
    </row>
    <row r="1443" ht="15.75" customHeight="1">
      <c r="A1443" s="3"/>
      <c r="B1443" s="13"/>
      <c r="C1443" s="13"/>
      <c r="D1443" s="13"/>
      <c r="E1443" s="28"/>
    </row>
    <row r="1444" ht="15.75" customHeight="1">
      <c r="A1444" s="3"/>
      <c r="B1444" s="13"/>
      <c r="C1444" s="13"/>
      <c r="D1444" s="13"/>
      <c r="E1444" s="28"/>
    </row>
    <row r="1445" ht="15.75" customHeight="1">
      <c r="A1445" s="3"/>
      <c r="B1445" s="13"/>
      <c r="C1445" s="13"/>
      <c r="D1445" s="13"/>
      <c r="E1445" s="28"/>
    </row>
    <row r="1446" ht="15.75" customHeight="1">
      <c r="A1446" s="3"/>
      <c r="B1446" s="13"/>
      <c r="C1446" s="13"/>
      <c r="D1446" s="13"/>
      <c r="E1446" s="28"/>
    </row>
    <row r="1447" ht="15.75" customHeight="1">
      <c r="A1447" s="3"/>
      <c r="B1447" s="13"/>
      <c r="C1447" s="13"/>
      <c r="D1447" s="13"/>
      <c r="E1447" s="28"/>
    </row>
    <row r="1448" ht="15.75" customHeight="1">
      <c r="A1448" s="3"/>
      <c r="B1448" s="13"/>
      <c r="C1448" s="13"/>
      <c r="D1448" s="13"/>
      <c r="E1448" s="28"/>
    </row>
    <row r="1449" ht="15.75" customHeight="1">
      <c r="A1449" s="3"/>
      <c r="B1449" s="13"/>
      <c r="C1449" s="13"/>
      <c r="D1449" s="13"/>
      <c r="E1449" s="28"/>
    </row>
    <row r="1450" ht="15.75" customHeight="1">
      <c r="A1450" s="3"/>
      <c r="B1450" s="13"/>
      <c r="C1450" s="13"/>
      <c r="D1450" s="13"/>
      <c r="E1450" s="28"/>
    </row>
    <row r="1451" ht="15.75" customHeight="1">
      <c r="A1451" s="3"/>
      <c r="B1451" s="13"/>
      <c r="C1451" s="13"/>
      <c r="D1451" s="13"/>
      <c r="E1451" s="28"/>
    </row>
    <row r="1452" ht="15.75" customHeight="1">
      <c r="A1452" s="3"/>
      <c r="B1452" s="13"/>
      <c r="C1452" s="13"/>
      <c r="D1452" s="13"/>
      <c r="E1452" s="28"/>
    </row>
    <row r="1453" ht="15.75" customHeight="1">
      <c r="A1453" s="3"/>
      <c r="B1453" s="13"/>
      <c r="C1453" s="13"/>
      <c r="D1453" s="13"/>
      <c r="E1453" s="28"/>
    </row>
    <row r="1454" ht="15.75" customHeight="1">
      <c r="A1454" s="3"/>
      <c r="B1454" s="13"/>
      <c r="C1454" s="13"/>
      <c r="D1454" s="13"/>
      <c r="E1454" s="28"/>
    </row>
    <row r="1455" ht="15.75" customHeight="1">
      <c r="A1455" s="3"/>
      <c r="B1455" s="13"/>
      <c r="C1455" s="13"/>
      <c r="D1455" s="13"/>
      <c r="E1455" s="28"/>
    </row>
    <row r="1456" ht="15.75" customHeight="1">
      <c r="A1456" s="3"/>
      <c r="B1456" s="13"/>
      <c r="C1456" s="13"/>
      <c r="D1456" s="13"/>
      <c r="E1456" s="28"/>
    </row>
    <row r="1457" ht="15.75" customHeight="1">
      <c r="A1457" s="3"/>
      <c r="B1457" s="13"/>
      <c r="C1457" s="13"/>
      <c r="D1457" s="13"/>
      <c r="E1457" s="28"/>
    </row>
    <row r="1458" ht="15.75" customHeight="1">
      <c r="A1458" s="3"/>
      <c r="B1458" s="13"/>
      <c r="C1458" s="13"/>
      <c r="D1458" s="13"/>
      <c r="E1458" s="28"/>
    </row>
    <row r="1459" ht="15.75" customHeight="1">
      <c r="A1459" s="3"/>
      <c r="B1459" s="13"/>
      <c r="C1459" s="13"/>
      <c r="D1459" s="13"/>
      <c r="E1459" s="28"/>
    </row>
    <row r="1460" ht="15.75" customHeight="1">
      <c r="A1460" s="3"/>
      <c r="B1460" s="13"/>
      <c r="C1460" s="13"/>
      <c r="D1460" s="13"/>
      <c r="E1460" s="28"/>
    </row>
    <row r="1461" ht="15.75" customHeight="1">
      <c r="A1461" s="3"/>
      <c r="B1461" s="13"/>
      <c r="C1461" s="13"/>
      <c r="D1461" s="13"/>
      <c r="E1461" s="28"/>
    </row>
    <row r="1462" ht="15.75" customHeight="1">
      <c r="A1462" s="3"/>
      <c r="B1462" s="13"/>
      <c r="C1462" s="13"/>
      <c r="D1462" s="13"/>
      <c r="E1462" s="28"/>
    </row>
    <row r="1463" ht="15.75" customHeight="1">
      <c r="A1463" s="3"/>
      <c r="B1463" s="13"/>
      <c r="C1463" s="13"/>
      <c r="D1463" s="13"/>
      <c r="E1463" s="28"/>
    </row>
    <row r="1464" ht="15.75" customHeight="1">
      <c r="A1464" s="3"/>
      <c r="B1464" s="13"/>
      <c r="C1464" s="13"/>
      <c r="D1464" s="13"/>
      <c r="E1464" s="28"/>
    </row>
    <row r="1465" ht="15.75" customHeight="1">
      <c r="A1465" s="3"/>
      <c r="B1465" s="13"/>
      <c r="C1465" s="13"/>
      <c r="D1465" s="13"/>
      <c r="E1465" s="28"/>
    </row>
    <row r="1466" ht="15.75" customHeight="1">
      <c r="A1466" s="3"/>
      <c r="B1466" s="13"/>
      <c r="C1466" s="13"/>
      <c r="D1466" s="13"/>
      <c r="E1466" s="28"/>
    </row>
    <row r="1467" ht="15.75" customHeight="1">
      <c r="A1467" s="3"/>
      <c r="B1467" s="13"/>
      <c r="C1467" s="13"/>
      <c r="D1467" s="13"/>
      <c r="E1467" s="28"/>
    </row>
    <row r="1468" ht="15.75" customHeight="1">
      <c r="A1468" s="3"/>
      <c r="B1468" s="13"/>
      <c r="C1468" s="13"/>
      <c r="D1468" s="13"/>
      <c r="E1468" s="28"/>
    </row>
    <row r="1469" ht="15.75" customHeight="1">
      <c r="A1469" s="3"/>
      <c r="B1469" s="13"/>
      <c r="C1469" s="13"/>
      <c r="D1469" s="13"/>
      <c r="E1469" s="28"/>
    </row>
    <row r="1470" ht="15.75" customHeight="1">
      <c r="A1470" s="3"/>
      <c r="B1470" s="13"/>
      <c r="C1470" s="13"/>
      <c r="D1470" s="13"/>
      <c r="E1470" s="28"/>
    </row>
    <row r="1471" ht="15.75" customHeight="1">
      <c r="A1471" s="3"/>
      <c r="B1471" s="13"/>
      <c r="C1471" s="13"/>
      <c r="D1471" s="13"/>
      <c r="E1471" s="28"/>
    </row>
    <row r="1472" ht="15.75" customHeight="1">
      <c r="A1472" s="3"/>
      <c r="B1472" s="13"/>
      <c r="C1472" s="13"/>
      <c r="D1472" s="13"/>
      <c r="E1472" s="28"/>
    </row>
    <row r="1473" ht="15.75" customHeight="1">
      <c r="A1473" s="3"/>
      <c r="B1473" s="13"/>
      <c r="C1473" s="13"/>
      <c r="D1473" s="13"/>
      <c r="E1473" s="28"/>
    </row>
    <row r="1474" ht="15.75" customHeight="1">
      <c r="A1474" s="3"/>
      <c r="B1474" s="13"/>
      <c r="C1474" s="13"/>
      <c r="D1474" s="13"/>
      <c r="E1474" s="28"/>
    </row>
    <row r="1475" ht="15.75" customHeight="1">
      <c r="A1475" s="3"/>
      <c r="B1475" s="13"/>
      <c r="C1475" s="13"/>
      <c r="D1475" s="13"/>
      <c r="E1475" s="28"/>
    </row>
    <row r="1476" ht="15.75" customHeight="1">
      <c r="A1476" s="3"/>
      <c r="B1476" s="13"/>
      <c r="C1476" s="13"/>
      <c r="D1476" s="13"/>
      <c r="E1476" s="28"/>
    </row>
    <row r="1477" ht="15.75" customHeight="1">
      <c r="A1477" s="3"/>
      <c r="B1477" s="13"/>
      <c r="C1477" s="13"/>
      <c r="D1477" s="13"/>
      <c r="E1477" s="28"/>
    </row>
    <row r="1478" ht="15.75" customHeight="1">
      <c r="A1478" s="3"/>
      <c r="B1478" s="13"/>
      <c r="C1478" s="13"/>
      <c r="D1478" s="13"/>
      <c r="E1478" s="28"/>
    </row>
    <row r="1479" ht="15.75" customHeight="1">
      <c r="A1479" s="3"/>
      <c r="B1479" s="13"/>
      <c r="C1479" s="13"/>
      <c r="D1479" s="13"/>
      <c r="E1479" s="28"/>
    </row>
    <row r="1480" ht="15.75" customHeight="1">
      <c r="A1480" s="3"/>
      <c r="B1480" s="13"/>
      <c r="C1480" s="13"/>
      <c r="D1480" s="13"/>
      <c r="E1480" s="28"/>
    </row>
    <row r="1481" ht="15.75" customHeight="1">
      <c r="A1481" s="3"/>
      <c r="B1481" s="13"/>
      <c r="C1481" s="13"/>
      <c r="D1481" s="13"/>
      <c r="E1481" s="28"/>
    </row>
    <row r="1482" ht="15.75" customHeight="1">
      <c r="A1482" s="3"/>
      <c r="B1482" s="13"/>
      <c r="C1482" s="13"/>
      <c r="D1482" s="13"/>
      <c r="E1482" s="28"/>
    </row>
    <row r="1483" ht="15.75" customHeight="1">
      <c r="A1483" s="3"/>
      <c r="B1483" s="13"/>
      <c r="C1483" s="13"/>
      <c r="D1483" s="13"/>
      <c r="E1483" s="28"/>
    </row>
    <row r="1484" ht="15.75" customHeight="1">
      <c r="A1484" s="3"/>
      <c r="B1484" s="13"/>
      <c r="C1484" s="13"/>
      <c r="D1484" s="13"/>
      <c r="E1484" s="28"/>
    </row>
    <row r="1485" ht="15.75" customHeight="1">
      <c r="A1485" s="3"/>
      <c r="B1485" s="13"/>
      <c r="C1485" s="13"/>
      <c r="D1485" s="13"/>
      <c r="E1485" s="28"/>
    </row>
    <row r="1486" ht="15.75" customHeight="1">
      <c r="A1486" s="3"/>
      <c r="B1486" s="13"/>
      <c r="C1486" s="13"/>
      <c r="D1486" s="13"/>
      <c r="E1486" s="28"/>
    </row>
    <row r="1487" ht="15.75" customHeight="1">
      <c r="A1487" s="3"/>
      <c r="B1487" s="13"/>
      <c r="C1487" s="13"/>
      <c r="D1487" s="13"/>
      <c r="E1487" s="28"/>
    </row>
    <row r="1488" ht="15.75" customHeight="1">
      <c r="A1488" s="3"/>
      <c r="B1488" s="13"/>
      <c r="C1488" s="13"/>
      <c r="D1488" s="13"/>
      <c r="E1488" s="28"/>
    </row>
    <row r="1489" ht="15.75" customHeight="1">
      <c r="A1489" s="3"/>
      <c r="B1489" s="13"/>
      <c r="C1489" s="13"/>
      <c r="D1489" s="13"/>
      <c r="E1489" s="28"/>
    </row>
    <row r="1490" ht="15.75" customHeight="1">
      <c r="A1490" s="3"/>
      <c r="B1490" s="13"/>
      <c r="C1490" s="13"/>
      <c r="D1490" s="13"/>
      <c r="E1490" s="28"/>
    </row>
    <row r="1491" ht="15.75" customHeight="1">
      <c r="A1491" s="3"/>
      <c r="B1491" s="13"/>
      <c r="C1491" s="13"/>
      <c r="D1491" s="13"/>
      <c r="E1491" s="28"/>
    </row>
    <row r="1492" ht="15.75" customHeight="1">
      <c r="A1492" s="3"/>
      <c r="B1492" s="13"/>
      <c r="C1492" s="13"/>
      <c r="D1492" s="13"/>
      <c r="E1492" s="28"/>
    </row>
    <row r="1493" ht="15.75" customHeight="1">
      <c r="A1493" s="3"/>
      <c r="B1493" s="13"/>
      <c r="C1493" s="13"/>
      <c r="D1493" s="13"/>
      <c r="E1493" s="28"/>
    </row>
    <row r="1494" ht="15.75" customHeight="1">
      <c r="A1494" s="3"/>
      <c r="B1494" s="13"/>
      <c r="C1494" s="13"/>
      <c r="D1494" s="13"/>
      <c r="E1494" s="28"/>
    </row>
    <row r="1495" ht="15.75" customHeight="1">
      <c r="A1495" s="3"/>
      <c r="B1495" s="13"/>
      <c r="C1495" s="13"/>
      <c r="D1495" s="13"/>
      <c r="E1495" s="28"/>
    </row>
    <row r="1496" ht="15.75" customHeight="1">
      <c r="A1496" s="3"/>
      <c r="B1496" s="13"/>
      <c r="C1496" s="13"/>
      <c r="D1496" s="13"/>
      <c r="E1496" s="28"/>
    </row>
    <row r="1497" ht="15.75" customHeight="1">
      <c r="A1497" s="3"/>
      <c r="B1497" s="13"/>
      <c r="C1497" s="13"/>
      <c r="D1497" s="13"/>
      <c r="E1497" s="28"/>
    </row>
    <row r="1498" ht="15.75" customHeight="1">
      <c r="A1498" s="3"/>
      <c r="B1498" s="13"/>
      <c r="C1498" s="13"/>
      <c r="D1498" s="13"/>
      <c r="E1498" s="28"/>
    </row>
    <row r="1499" ht="15.75" customHeight="1">
      <c r="A1499" s="3"/>
      <c r="B1499" s="13"/>
      <c r="C1499" s="13"/>
      <c r="D1499" s="13"/>
      <c r="E1499" s="28"/>
    </row>
    <row r="1500" ht="15.75" customHeight="1">
      <c r="A1500" s="3"/>
      <c r="B1500" s="13"/>
      <c r="C1500" s="13"/>
      <c r="D1500" s="13"/>
      <c r="E1500" s="28"/>
    </row>
    <row r="1501" ht="15.75" customHeight="1">
      <c r="A1501" s="3"/>
      <c r="B1501" s="13"/>
      <c r="C1501" s="13"/>
      <c r="D1501" s="13"/>
      <c r="E1501" s="28"/>
    </row>
    <row r="1502" ht="15.75" customHeight="1">
      <c r="A1502" s="3"/>
      <c r="B1502" s="13"/>
      <c r="C1502" s="13"/>
      <c r="D1502" s="13"/>
      <c r="E1502" s="28"/>
    </row>
    <row r="1503" ht="15.75" customHeight="1">
      <c r="A1503" s="3"/>
      <c r="B1503" s="13"/>
      <c r="C1503" s="13"/>
      <c r="D1503" s="13"/>
      <c r="E1503" s="28"/>
    </row>
    <row r="1504" ht="15.75" customHeight="1">
      <c r="A1504" s="3"/>
      <c r="B1504" s="13"/>
      <c r="C1504" s="13"/>
      <c r="D1504" s="13"/>
      <c r="E1504" s="28"/>
    </row>
    <row r="1505" ht="15.75" customHeight="1">
      <c r="A1505" s="3"/>
      <c r="B1505" s="13"/>
      <c r="C1505" s="13"/>
      <c r="D1505" s="13"/>
      <c r="E1505" s="28"/>
    </row>
    <row r="1506" ht="15.75" customHeight="1">
      <c r="A1506" s="3"/>
      <c r="B1506" s="13"/>
      <c r="C1506" s="13"/>
      <c r="D1506" s="13"/>
      <c r="E1506" s="28"/>
    </row>
    <row r="1507" ht="15.75" customHeight="1">
      <c r="A1507" s="3"/>
      <c r="B1507" s="13"/>
      <c r="C1507" s="13"/>
      <c r="D1507" s="13"/>
      <c r="E1507" s="28"/>
    </row>
    <row r="1508" ht="15.75" customHeight="1">
      <c r="A1508" s="3"/>
      <c r="B1508" s="13"/>
      <c r="C1508" s="13"/>
      <c r="D1508" s="13"/>
      <c r="E1508" s="28"/>
    </row>
    <row r="1509" ht="15.75" customHeight="1">
      <c r="A1509" s="3"/>
      <c r="B1509" s="13"/>
      <c r="C1509" s="13"/>
      <c r="D1509" s="13"/>
      <c r="E1509" s="28"/>
    </row>
    <row r="1510" ht="15.75" customHeight="1">
      <c r="A1510" s="3"/>
      <c r="B1510" s="13"/>
      <c r="C1510" s="13"/>
      <c r="D1510" s="13"/>
      <c r="E1510" s="28"/>
    </row>
    <row r="1511" ht="15.75" customHeight="1">
      <c r="A1511" s="3"/>
      <c r="B1511" s="13"/>
      <c r="C1511" s="13"/>
      <c r="D1511" s="13"/>
      <c r="E1511" s="28"/>
    </row>
    <row r="1512" ht="15.75" customHeight="1">
      <c r="A1512" s="3"/>
      <c r="B1512" s="13"/>
      <c r="C1512" s="13"/>
      <c r="D1512" s="13"/>
      <c r="E1512" s="28"/>
    </row>
    <row r="1513" ht="15.75" customHeight="1">
      <c r="A1513" s="3"/>
      <c r="B1513" s="13"/>
      <c r="C1513" s="13"/>
      <c r="D1513" s="13"/>
      <c r="E1513" s="28"/>
    </row>
    <row r="1514" ht="15.75" customHeight="1">
      <c r="A1514" s="3"/>
      <c r="B1514" s="13"/>
      <c r="C1514" s="13"/>
      <c r="D1514" s="13"/>
      <c r="E1514" s="28"/>
    </row>
    <row r="1515" ht="15.75" customHeight="1">
      <c r="A1515" s="3"/>
      <c r="B1515" s="13"/>
      <c r="C1515" s="13"/>
      <c r="D1515" s="13"/>
      <c r="E1515" s="28"/>
    </row>
    <row r="1516" ht="15.75" customHeight="1">
      <c r="A1516" s="3"/>
      <c r="B1516" s="13"/>
      <c r="C1516" s="13"/>
      <c r="D1516" s="13"/>
      <c r="E1516" s="28"/>
    </row>
    <row r="1517" ht="15.75" customHeight="1">
      <c r="A1517" s="3"/>
      <c r="B1517" s="13"/>
      <c r="C1517" s="13"/>
      <c r="D1517" s="13"/>
      <c r="E1517" s="28"/>
    </row>
    <row r="1518" ht="15.75" customHeight="1">
      <c r="A1518" s="3"/>
      <c r="B1518" s="13"/>
      <c r="C1518" s="13"/>
      <c r="D1518" s="13"/>
      <c r="E1518" s="28"/>
    </row>
    <row r="1519" ht="15.75" customHeight="1">
      <c r="A1519" s="3"/>
      <c r="B1519" s="13"/>
      <c r="C1519" s="13"/>
      <c r="D1519" s="13"/>
      <c r="E1519" s="28"/>
    </row>
    <row r="1520" ht="15.75" customHeight="1">
      <c r="A1520" s="3"/>
      <c r="B1520" s="13"/>
      <c r="C1520" s="13"/>
      <c r="D1520" s="13"/>
      <c r="E1520" s="28"/>
    </row>
    <row r="1521" ht="15.75" customHeight="1">
      <c r="A1521" s="3"/>
      <c r="B1521" s="13"/>
      <c r="C1521" s="13"/>
      <c r="D1521" s="13"/>
      <c r="E1521" s="28"/>
    </row>
    <row r="1522" ht="15.75" customHeight="1">
      <c r="A1522" s="3"/>
      <c r="B1522" s="13"/>
      <c r="C1522" s="13"/>
      <c r="D1522" s="13"/>
      <c r="E1522" s="28"/>
    </row>
    <row r="1523" ht="15.75" customHeight="1">
      <c r="A1523" s="3"/>
      <c r="B1523" s="13"/>
      <c r="C1523" s="13"/>
      <c r="D1523" s="13"/>
      <c r="E1523" s="28"/>
    </row>
    <row r="1524" ht="15.75" customHeight="1">
      <c r="A1524" s="3"/>
      <c r="B1524" s="13"/>
      <c r="C1524" s="13"/>
      <c r="D1524" s="13"/>
      <c r="E1524" s="28"/>
    </row>
    <row r="1525" ht="15.75" customHeight="1">
      <c r="A1525" s="3"/>
      <c r="B1525" s="13"/>
      <c r="C1525" s="13"/>
      <c r="D1525" s="13"/>
      <c r="E1525" s="28"/>
    </row>
    <row r="1526" ht="15.75" customHeight="1">
      <c r="A1526" s="3"/>
      <c r="B1526" s="13"/>
      <c r="C1526" s="13"/>
      <c r="D1526" s="13"/>
      <c r="E1526" s="28"/>
    </row>
    <row r="1527" ht="15.75" customHeight="1">
      <c r="A1527" s="3"/>
      <c r="B1527" s="13"/>
      <c r="C1527" s="13"/>
      <c r="D1527" s="13"/>
      <c r="E1527" s="28"/>
    </row>
    <row r="1528" ht="15.75" customHeight="1">
      <c r="A1528" s="3"/>
      <c r="B1528" s="13"/>
      <c r="C1528" s="13"/>
      <c r="D1528" s="13"/>
      <c r="E1528" s="28"/>
    </row>
    <row r="1529" ht="15.75" customHeight="1">
      <c r="A1529" s="3"/>
      <c r="B1529" s="13"/>
      <c r="C1529" s="13"/>
      <c r="D1529" s="13"/>
      <c r="E1529" s="28"/>
    </row>
    <row r="1530" ht="15.75" customHeight="1">
      <c r="A1530" s="3"/>
      <c r="B1530" s="13"/>
      <c r="C1530" s="13"/>
      <c r="D1530" s="13"/>
      <c r="E1530" s="28"/>
    </row>
    <row r="1531" ht="15.75" customHeight="1">
      <c r="A1531" s="3"/>
      <c r="B1531" s="13"/>
      <c r="C1531" s="13"/>
      <c r="D1531" s="13"/>
      <c r="E1531" s="28"/>
    </row>
    <row r="1532" ht="15.75" customHeight="1">
      <c r="A1532" s="3"/>
      <c r="B1532" s="13"/>
      <c r="C1532" s="13"/>
      <c r="D1532" s="13"/>
      <c r="E1532" s="2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13"/>
    <col customWidth="1" min="2" max="2" width="16.5"/>
    <col customWidth="1" min="3" max="3" width="15.5"/>
    <col customWidth="1" min="4" max="4" width="15.13"/>
    <col customWidth="1" min="5" max="6" width="12.63"/>
  </cols>
  <sheetData>
    <row r="1"/>
    <row r="2"/>
    <row r="3"/>
    <row r="4"/>
    <row r="5"/>
    <row r="6"/>
    <row r="7"/>
    <row r="8"/>
    <row r="9"/>
    <row r="10"/>
    <row r="11"/>
    <row r="12"/>
    <row r="13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7" width="12.63"/>
  </cols>
  <sheetData>
    <row r="1">
      <c r="A1" s="4" t="s">
        <v>801</v>
      </c>
      <c r="B1" s="7" t="s">
        <v>807</v>
      </c>
      <c r="C1" s="4" t="s">
        <v>809</v>
      </c>
      <c r="D1" s="4" t="s">
        <v>791</v>
      </c>
      <c r="E1" s="6" t="s">
        <v>793</v>
      </c>
      <c r="F1" s="4" t="s">
        <v>803</v>
      </c>
      <c r="G1" s="36" t="s">
        <v>18</v>
      </c>
      <c r="H1" s="36" t="s">
        <v>2</v>
      </c>
    </row>
    <row r="2">
      <c r="A2" s="3" t="s">
        <v>542</v>
      </c>
      <c r="B2" s="13">
        <v>133705.0</v>
      </c>
      <c r="C2" s="13">
        <v>57583.5</v>
      </c>
      <c r="D2" s="3">
        <v>10.0</v>
      </c>
      <c r="E2" s="11">
        <v>2014.0</v>
      </c>
      <c r="F2" s="3" t="s">
        <v>815</v>
      </c>
      <c r="G2" s="37" t="s">
        <v>28</v>
      </c>
      <c r="H2" s="37" t="s">
        <v>3</v>
      </c>
    </row>
    <row r="3">
      <c r="A3" s="3" t="s">
        <v>635</v>
      </c>
      <c r="B3" s="13">
        <v>409960.1</v>
      </c>
      <c r="C3" s="13">
        <v>176559.86999999997</v>
      </c>
      <c r="D3" s="3">
        <v>8.0</v>
      </c>
      <c r="E3" s="11">
        <v>2016.0</v>
      </c>
      <c r="F3" s="3" t="s">
        <v>818</v>
      </c>
      <c r="G3" s="37" t="s">
        <v>28</v>
      </c>
      <c r="H3" s="37" t="s">
        <v>3</v>
      </c>
    </row>
    <row r="4">
      <c r="A4" s="3" t="s">
        <v>821</v>
      </c>
      <c r="B4" s="13">
        <v>3136191.11</v>
      </c>
      <c r="C4" s="13">
        <v>777770.8899999997</v>
      </c>
      <c r="D4" s="3">
        <v>7.0</v>
      </c>
      <c r="E4" s="11">
        <v>2014.0</v>
      </c>
      <c r="F4" s="3" t="s">
        <v>815</v>
      </c>
      <c r="G4" s="37" t="s">
        <v>821</v>
      </c>
      <c r="H4" s="37" t="s">
        <v>4</v>
      </c>
    </row>
    <row r="5">
      <c r="A5" s="3" t="s">
        <v>488</v>
      </c>
      <c r="B5" s="13">
        <v>127966.88</v>
      </c>
      <c r="C5" s="13">
        <v>85998.23999999999</v>
      </c>
      <c r="D5" s="3">
        <v>5.0</v>
      </c>
      <c r="E5" s="11">
        <v>2017.0</v>
      </c>
      <c r="F5" s="3" t="s">
        <v>815</v>
      </c>
      <c r="G5" s="37" t="s">
        <v>28</v>
      </c>
      <c r="H5" s="37" t="s">
        <v>5</v>
      </c>
    </row>
    <row r="6">
      <c r="A6" s="3" t="s">
        <v>635</v>
      </c>
      <c r="B6" s="13">
        <v>362897.60000000003</v>
      </c>
      <c r="C6" s="13">
        <v>119767.68000000005</v>
      </c>
      <c r="D6" s="3">
        <v>8.0</v>
      </c>
      <c r="E6" s="11">
        <v>2012.0</v>
      </c>
      <c r="F6" s="3" t="s">
        <v>818</v>
      </c>
      <c r="G6" s="37" t="s">
        <v>28</v>
      </c>
      <c r="H6" s="37" t="s">
        <v>6</v>
      </c>
    </row>
    <row r="7">
      <c r="A7" s="3" t="s">
        <v>650</v>
      </c>
      <c r="B7" s="13">
        <v>1445686.2000000002</v>
      </c>
      <c r="C7" s="13">
        <v>280275.0</v>
      </c>
      <c r="D7" s="3">
        <v>3.0</v>
      </c>
      <c r="E7" s="11">
        <v>2015.0</v>
      </c>
      <c r="F7" s="3" t="s">
        <v>815</v>
      </c>
      <c r="G7" s="37" t="s">
        <v>28</v>
      </c>
      <c r="H7" s="37" t="s">
        <v>7</v>
      </c>
    </row>
    <row r="8">
      <c r="A8" s="3" t="s">
        <v>270</v>
      </c>
      <c r="B8" s="13">
        <v>62492.340000000004</v>
      </c>
      <c r="C8" s="13">
        <v>16142.180000000008</v>
      </c>
      <c r="D8" s="3">
        <v>4.0</v>
      </c>
      <c r="E8" s="11">
        <v>2013.0</v>
      </c>
      <c r="F8" s="3" t="s">
        <v>815</v>
      </c>
      <c r="G8" s="37" t="s">
        <v>28</v>
      </c>
      <c r="H8" s="37" t="s">
        <v>8</v>
      </c>
    </row>
    <row r="9">
      <c r="A9" s="3" t="s">
        <v>671</v>
      </c>
      <c r="B9" s="13">
        <v>680791.14</v>
      </c>
      <c r="C9" s="13">
        <v>278971.47</v>
      </c>
      <c r="D9" s="3">
        <v>11.0</v>
      </c>
      <c r="E9" s="11">
        <v>2011.0</v>
      </c>
      <c r="F9" s="3" t="s">
        <v>815</v>
      </c>
      <c r="G9" s="37" t="s">
        <v>28</v>
      </c>
      <c r="H9" s="37" t="s">
        <v>9</v>
      </c>
    </row>
    <row r="10">
      <c r="A10" s="3" t="s">
        <v>206</v>
      </c>
      <c r="B10" s="13">
        <v>1339454.16</v>
      </c>
      <c r="C10" s="13">
        <v>502977.4199999999</v>
      </c>
      <c r="D10" s="3">
        <v>9.0</v>
      </c>
      <c r="E10" s="11">
        <v>2012.0</v>
      </c>
      <c r="F10" s="3" t="s">
        <v>818</v>
      </c>
      <c r="G10" s="37" t="s">
        <v>28</v>
      </c>
      <c r="H10" s="37" t="s">
        <v>10</v>
      </c>
    </row>
    <row r="11">
      <c r="A11" s="3" t="s">
        <v>291</v>
      </c>
      <c r="B11" s="13">
        <v>1504695.5</v>
      </c>
      <c r="C11" s="13">
        <v>648035.85</v>
      </c>
      <c r="D11" s="3">
        <v>1.0</v>
      </c>
      <c r="E11" s="11">
        <v>2011.0</v>
      </c>
      <c r="F11" s="3" t="s">
        <v>815</v>
      </c>
      <c r="G11" s="37" t="s">
        <v>28</v>
      </c>
      <c r="H11" s="37" t="s">
        <v>3</v>
      </c>
    </row>
    <row r="12">
      <c r="A12" s="3" t="s">
        <v>67</v>
      </c>
      <c r="B12" s="13">
        <v>2536752.92</v>
      </c>
      <c r="C12" s="13">
        <v>629111.0799999998</v>
      </c>
      <c r="D12" s="3">
        <v>2.0</v>
      </c>
      <c r="E12" s="11">
        <v>2012.0</v>
      </c>
      <c r="F12" s="3" t="s">
        <v>815</v>
      </c>
      <c r="G12" s="37" t="s">
        <v>23</v>
      </c>
      <c r="H12" s="37" t="s">
        <v>4</v>
      </c>
    </row>
    <row r="13">
      <c r="A13" s="3" t="s">
        <v>288</v>
      </c>
      <c r="B13" s="13">
        <v>490236.18</v>
      </c>
      <c r="C13" s="13">
        <v>66466.40000000002</v>
      </c>
      <c r="D13" s="3">
        <v>2.0</v>
      </c>
      <c r="E13" s="11">
        <v>2017.0</v>
      </c>
      <c r="F13" s="3" t="s">
        <v>818</v>
      </c>
      <c r="G13" s="37" t="s">
        <v>23</v>
      </c>
      <c r="H13" s="37" t="s">
        <v>11</v>
      </c>
    </row>
    <row r="14">
      <c r="A14" s="3" t="s">
        <v>746</v>
      </c>
      <c r="B14" s="13">
        <v>68015.7</v>
      </c>
      <c r="C14" s="13">
        <v>17568.899999999994</v>
      </c>
      <c r="D14" s="3">
        <v>3.0</v>
      </c>
      <c r="E14" s="11">
        <v>2013.0</v>
      </c>
      <c r="F14" s="3" t="s">
        <v>818</v>
      </c>
      <c r="G14" s="37" t="s">
        <v>28</v>
      </c>
      <c r="H14" s="37" t="s">
        <v>8</v>
      </c>
    </row>
    <row r="15">
      <c r="A15" s="3" t="s">
        <v>821</v>
      </c>
      <c r="B15" s="13">
        <v>1806361.28</v>
      </c>
      <c r="C15" s="13">
        <v>678305.3600000001</v>
      </c>
      <c r="D15" s="3">
        <v>1.0</v>
      </c>
      <c r="E15" s="11">
        <v>2014.0</v>
      </c>
      <c r="F15" s="3" t="s">
        <v>815</v>
      </c>
      <c r="G15" s="37" t="s">
        <v>821</v>
      </c>
      <c r="H15" s="37" t="s">
        <v>10</v>
      </c>
    </row>
    <row r="16">
      <c r="A16" s="3" t="s">
        <v>653</v>
      </c>
      <c r="B16" s="13">
        <v>1045372.48</v>
      </c>
      <c r="C16" s="13">
        <v>702527.0399999999</v>
      </c>
      <c r="D16" s="3">
        <v>6.0</v>
      </c>
      <c r="E16" s="11">
        <v>2016.0</v>
      </c>
      <c r="F16" s="3" t="s">
        <v>818</v>
      </c>
      <c r="G16" s="37" t="s">
        <v>28</v>
      </c>
      <c r="H16" s="37" t="s">
        <v>5</v>
      </c>
    </row>
    <row r="17">
      <c r="A17" s="3" t="s">
        <v>206</v>
      </c>
      <c r="B17" s="13">
        <v>3513763.6599999997</v>
      </c>
      <c r="C17" s="13">
        <v>871408.3399999994</v>
      </c>
      <c r="D17" s="3">
        <v>10.0</v>
      </c>
      <c r="E17" s="11">
        <v>2013.0</v>
      </c>
      <c r="F17" s="3" t="s">
        <v>815</v>
      </c>
      <c r="G17" s="37" t="s">
        <v>28</v>
      </c>
      <c r="H17" s="37" t="s">
        <v>4</v>
      </c>
    </row>
    <row r="18">
      <c r="A18" s="3" t="s">
        <v>590</v>
      </c>
      <c r="B18" s="13">
        <v>2303902.0</v>
      </c>
      <c r="C18" s="13">
        <v>865136.5</v>
      </c>
      <c r="D18" s="3">
        <v>2.0</v>
      </c>
      <c r="E18" s="11">
        <v>2015.0</v>
      </c>
      <c r="F18" s="3" t="s">
        <v>818</v>
      </c>
      <c r="G18" s="37" t="s">
        <v>28</v>
      </c>
      <c r="H18" s="37" t="s">
        <v>10</v>
      </c>
    </row>
    <row r="19">
      <c r="A19" s="3" t="s">
        <v>575</v>
      </c>
      <c r="B19" s="13">
        <v>536346.24</v>
      </c>
      <c r="C19" s="13">
        <v>360443.51999999996</v>
      </c>
      <c r="D19" s="3">
        <v>3.0</v>
      </c>
      <c r="E19" s="11">
        <v>2012.0</v>
      </c>
      <c r="F19" s="3" t="s">
        <v>818</v>
      </c>
      <c r="G19" s="37" t="s">
        <v>28</v>
      </c>
      <c r="H19" s="37" t="s">
        <v>5</v>
      </c>
    </row>
    <row r="20">
      <c r="A20" s="3" t="s">
        <v>434</v>
      </c>
      <c r="B20" s="13">
        <v>1244745.28</v>
      </c>
      <c r="C20" s="13">
        <v>467413.3600000001</v>
      </c>
      <c r="D20" s="3">
        <v>5.0</v>
      </c>
      <c r="E20" s="11">
        <v>2012.0</v>
      </c>
      <c r="F20" s="3" t="s">
        <v>815</v>
      </c>
      <c r="G20" s="37" t="s">
        <v>28</v>
      </c>
      <c r="H20" s="37" t="s">
        <v>10</v>
      </c>
    </row>
    <row r="21" ht="15.75" customHeight="1">
      <c r="A21" s="3" t="s">
        <v>215</v>
      </c>
      <c r="B21" s="13">
        <v>3840464.67</v>
      </c>
      <c r="C21" s="13">
        <v>520691.6000000001</v>
      </c>
      <c r="D21" s="3">
        <v>6.0</v>
      </c>
      <c r="E21" s="11">
        <v>2017.0</v>
      </c>
      <c r="F21" s="3" t="s">
        <v>818</v>
      </c>
      <c r="G21" s="37" t="s">
        <v>23</v>
      </c>
      <c r="H21" s="37" t="s">
        <v>11</v>
      </c>
    </row>
    <row r="22" ht="15.75" customHeight="1">
      <c r="A22" s="3" t="s">
        <v>101</v>
      </c>
      <c r="B22" s="13">
        <v>28129.95</v>
      </c>
      <c r="C22" s="13">
        <v>7266.1500000000015</v>
      </c>
      <c r="D22" s="3">
        <v>4.0</v>
      </c>
      <c r="E22" s="11">
        <v>2011.0</v>
      </c>
      <c r="F22" s="3" t="s">
        <v>815</v>
      </c>
      <c r="G22" s="37" t="s">
        <v>28</v>
      </c>
      <c r="H22" s="37" t="s">
        <v>8</v>
      </c>
    </row>
    <row r="23" ht="15.75" customHeight="1">
      <c r="A23" s="3" t="s">
        <v>653</v>
      </c>
      <c r="B23" s="13">
        <v>124066.08</v>
      </c>
      <c r="C23" s="13">
        <v>46587.96000000001</v>
      </c>
      <c r="D23" s="3">
        <v>10.0</v>
      </c>
      <c r="E23" s="11">
        <v>2016.0</v>
      </c>
      <c r="F23" s="3" t="s">
        <v>815</v>
      </c>
      <c r="G23" s="37" t="s">
        <v>28</v>
      </c>
      <c r="H23" s="37" t="s">
        <v>10</v>
      </c>
    </row>
    <row r="24" ht="15.75" customHeight="1">
      <c r="A24" s="3" t="s">
        <v>431</v>
      </c>
      <c r="B24" s="13">
        <v>14326.62</v>
      </c>
      <c r="C24" s="13">
        <v>2777.5</v>
      </c>
      <c r="D24" s="3">
        <v>12.0</v>
      </c>
      <c r="E24" s="11">
        <v>2016.0</v>
      </c>
      <c r="F24" s="3" t="s">
        <v>818</v>
      </c>
      <c r="G24" s="37" t="s">
        <v>28</v>
      </c>
      <c r="H24" s="37" t="s">
        <v>7</v>
      </c>
    </row>
    <row r="25" ht="15.75" customHeight="1">
      <c r="A25" s="3" t="s">
        <v>593</v>
      </c>
      <c r="B25" s="13">
        <v>1453690.0</v>
      </c>
      <c r="C25" s="13">
        <v>578117.75</v>
      </c>
      <c r="D25" s="3">
        <v>10.0</v>
      </c>
      <c r="E25" s="11">
        <v>2010.0</v>
      </c>
      <c r="F25" s="3" t="s">
        <v>815</v>
      </c>
      <c r="G25" s="37" t="s">
        <v>28</v>
      </c>
      <c r="H25" s="37" t="s">
        <v>12</v>
      </c>
    </row>
    <row r="26" ht="15.75" customHeight="1">
      <c r="A26" s="3" t="s">
        <v>455</v>
      </c>
      <c r="B26" s="13">
        <v>59236.17</v>
      </c>
      <c r="C26" s="13">
        <v>15301.089999999997</v>
      </c>
      <c r="D26" s="3">
        <v>2.0</v>
      </c>
      <c r="E26" s="11">
        <v>2010.0</v>
      </c>
      <c r="F26" s="3" t="s">
        <v>818</v>
      </c>
      <c r="G26" s="37" t="s">
        <v>28</v>
      </c>
      <c r="H26" s="37" t="s">
        <v>8</v>
      </c>
    </row>
    <row r="27" ht="15.75" customHeight="1">
      <c r="A27" s="3" t="s">
        <v>740</v>
      </c>
      <c r="B27" s="13">
        <v>4803324.96</v>
      </c>
      <c r="C27" s="13">
        <v>931219.9999999995</v>
      </c>
      <c r="D27" s="3">
        <v>12.0</v>
      </c>
      <c r="E27" s="11">
        <v>2015.0</v>
      </c>
      <c r="F27" s="3" t="s">
        <v>818</v>
      </c>
      <c r="G27" s="37" t="s">
        <v>28</v>
      </c>
      <c r="H27" s="37" t="s">
        <v>7</v>
      </c>
    </row>
    <row r="28" ht="15.75" customHeight="1">
      <c r="A28" s="3" t="s">
        <v>821</v>
      </c>
      <c r="B28" s="13">
        <v>63565.29</v>
      </c>
      <c r="C28" s="13">
        <v>16419.33</v>
      </c>
      <c r="D28" s="3">
        <v>1.0</v>
      </c>
      <c r="E28" s="11">
        <v>2015.0</v>
      </c>
      <c r="F28" s="3" t="s">
        <v>818</v>
      </c>
      <c r="G28" s="37" t="s">
        <v>821</v>
      </c>
      <c r="H28" s="37" t="s">
        <v>8</v>
      </c>
    </row>
    <row r="29" ht="15.75" customHeight="1">
      <c r="A29" s="3" t="s">
        <v>542</v>
      </c>
      <c r="B29" s="13">
        <v>502445.94000000006</v>
      </c>
      <c r="C29" s="13">
        <v>181576.02000000008</v>
      </c>
      <c r="D29" s="3">
        <v>2.0</v>
      </c>
      <c r="E29" s="11">
        <v>2016.0</v>
      </c>
      <c r="F29" s="3" t="s">
        <v>815</v>
      </c>
      <c r="G29" s="37" t="s">
        <v>28</v>
      </c>
      <c r="H29" s="37" t="s">
        <v>13</v>
      </c>
    </row>
    <row r="30" ht="15.75" customHeight="1">
      <c r="A30" s="3" t="s">
        <v>218</v>
      </c>
      <c r="B30" s="13">
        <v>608872.0</v>
      </c>
      <c r="C30" s="13">
        <v>262226.4</v>
      </c>
      <c r="D30" s="3">
        <v>8.0</v>
      </c>
      <c r="E30" s="11">
        <v>2014.0</v>
      </c>
      <c r="F30" s="3" t="s">
        <v>815</v>
      </c>
      <c r="G30" s="37" t="s">
        <v>28</v>
      </c>
      <c r="H30" s="37" t="s">
        <v>3</v>
      </c>
    </row>
    <row r="31" ht="15.75" customHeight="1">
      <c r="A31" s="3" t="s">
        <v>821</v>
      </c>
      <c r="B31" s="13">
        <v>307143.54000000004</v>
      </c>
      <c r="C31" s="13">
        <v>110996.82000000004</v>
      </c>
      <c r="D31" s="3">
        <v>6.0</v>
      </c>
      <c r="E31" s="11">
        <v>2011.0</v>
      </c>
      <c r="F31" s="3" t="s">
        <v>818</v>
      </c>
      <c r="G31" s="37" t="s">
        <v>821</v>
      </c>
      <c r="H31" s="37" t="s">
        <v>13</v>
      </c>
    </row>
    <row r="32" ht="15.75" customHeight="1">
      <c r="A32" s="3" t="s">
        <v>590</v>
      </c>
      <c r="B32" s="13">
        <v>42417.87</v>
      </c>
      <c r="C32" s="13">
        <v>13006.140000000003</v>
      </c>
      <c r="D32" s="3">
        <v>1.0</v>
      </c>
      <c r="E32" s="11">
        <v>2015.0</v>
      </c>
      <c r="F32" s="3" t="s">
        <v>818</v>
      </c>
      <c r="G32" s="37" t="s">
        <v>28</v>
      </c>
      <c r="H32" s="37" t="s">
        <v>14</v>
      </c>
    </row>
    <row r="33" ht="15.75" customHeight="1">
      <c r="A33" s="3" t="s">
        <v>431</v>
      </c>
      <c r="B33" s="13">
        <v>308203.83</v>
      </c>
      <c r="C33" s="13">
        <v>94501.26000000001</v>
      </c>
      <c r="D33" s="3">
        <v>5.0</v>
      </c>
      <c r="E33" s="11">
        <v>2015.0</v>
      </c>
      <c r="F33" s="3" t="s">
        <v>815</v>
      </c>
      <c r="G33" s="37" t="s">
        <v>28</v>
      </c>
      <c r="H33" s="37" t="s">
        <v>14</v>
      </c>
    </row>
    <row r="34" ht="15.75" customHeight="1">
      <c r="A34" s="3" t="s">
        <v>67</v>
      </c>
      <c r="B34" s="13">
        <v>82719.78</v>
      </c>
      <c r="C34" s="13">
        <v>21367.059999999998</v>
      </c>
      <c r="D34" s="3">
        <v>3.0</v>
      </c>
      <c r="E34" s="11">
        <v>2011.0</v>
      </c>
      <c r="F34" s="3" t="s">
        <v>815</v>
      </c>
      <c r="G34" s="37" t="s">
        <v>23</v>
      </c>
      <c r="H34" s="37" t="s">
        <v>8</v>
      </c>
    </row>
    <row r="35" ht="15.75" customHeight="1">
      <c r="A35" s="3" t="s">
        <v>455</v>
      </c>
      <c r="B35" s="13">
        <v>75712.95</v>
      </c>
      <c r="C35" s="13">
        <v>19557.149999999994</v>
      </c>
      <c r="D35" s="3">
        <v>11.0</v>
      </c>
      <c r="E35" s="11">
        <v>2016.0</v>
      </c>
      <c r="F35" s="3" t="s">
        <v>815</v>
      </c>
      <c r="G35" s="37" t="s">
        <v>28</v>
      </c>
      <c r="H35" s="37" t="s">
        <v>8</v>
      </c>
    </row>
    <row r="36" ht="15.75" customHeight="1">
      <c r="A36" s="3" t="s">
        <v>746</v>
      </c>
      <c r="B36" s="13">
        <v>248732.90000000002</v>
      </c>
      <c r="C36" s="13">
        <v>82089.72000000003</v>
      </c>
      <c r="D36" s="3">
        <v>4.0</v>
      </c>
      <c r="E36" s="11">
        <v>2017.0</v>
      </c>
      <c r="F36" s="3" t="s">
        <v>815</v>
      </c>
      <c r="G36" s="37" t="s">
        <v>28</v>
      </c>
      <c r="H36" s="37" t="s">
        <v>6</v>
      </c>
    </row>
    <row r="37" ht="15.75" customHeight="1">
      <c r="A37" s="3" t="s">
        <v>488</v>
      </c>
      <c r="B37" s="13">
        <v>191745.45</v>
      </c>
      <c r="C37" s="13">
        <v>63282.06000000001</v>
      </c>
      <c r="D37" s="3">
        <v>4.0</v>
      </c>
      <c r="E37" s="11">
        <v>2017.0</v>
      </c>
      <c r="F37" s="3" t="s">
        <v>818</v>
      </c>
      <c r="G37" s="37" t="s">
        <v>28</v>
      </c>
      <c r="H37" s="37" t="s">
        <v>6</v>
      </c>
    </row>
    <row r="38" ht="15.75" customHeight="1">
      <c r="A38" s="3" t="s">
        <v>578</v>
      </c>
      <c r="B38" s="13">
        <v>76062.35</v>
      </c>
      <c r="C38" s="13">
        <v>25102.98000000001</v>
      </c>
      <c r="D38" s="3">
        <v>1.0</v>
      </c>
      <c r="E38" s="11">
        <v>2016.0</v>
      </c>
      <c r="F38" s="3" t="s">
        <v>818</v>
      </c>
      <c r="G38" s="37" t="s">
        <v>28</v>
      </c>
      <c r="H38" s="37" t="s">
        <v>6</v>
      </c>
    </row>
    <row r="39" ht="15.75" customHeight="1">
      <c r="A39" s="3" t="s">
        <v>97</v>
      </c>
      <c r="B39" s="13">
        <v>361521.55000000005</v>
      </c>
      <c r="C39" s="13">
        <v>119313.54000000007</v>
      </c>
      <c r="D39" s="3">
        <v>3.0</v>
      </c>
      <c r="E39" s="11">
        <v>2017.0</v>
      </c>
      <c r="F39" s="3" t="s">
        <v>815</v>
      </c>
      <c r="G39" s="37" t="s">
        <v>28</v>
      </c>
      <c r="H39" s="37" t="s">
        <v>6</v>
      </c>
    </row>
    <row r="40" ht="15.75" customHeight="1">
      <c r="A40" s="3" t="s">
        <v>248</v>
      </c>
      <c r="B40" s="13">
        <v>714018.16</v>
      </c>
      <c r="C40" s="13">
        <v>268120.42000000004</v>
      </c>
      <c r="D40" s="3">
        <v>1.0</v>
      </c>
      <c r="E40" s="11">
        <v>2014.0</v>
      </c>
      <c r="F40" s="3" t="s">
        <v>818</v>
      </c>
      <c r="G40" s="37" t="s">
        <v>28</v>
      </c>
      <c r="H40" s="37" t="s">
        <v>10</v>
      </c>
    </row>
    <row r="41" ht="15.75" customHeight="1">
      <c r="A41" s="3" t="s">
        <v>78</v>
      </c>
      <c r="B41" s="13">
        <v>1707721.4</v>
      </c>
      <c r="C41" s="13">
        <v>735474.1799999999</v>
      </c>
      <c r="D41" s="3">
        <v>5.0</v>
      </c>
      <c r="E41" s="11">
        <v>2010.0</v>
      </c>
      <c r="F41" s="3" t="s">
        <v>815</v>
      </c>
      <c r="G41" s="37" t="s">
        <v>28</v>
      </c>
      <c r="H41" s="37" t="s">
        <v>3</v>
      </c>
    </row>
    <row r="42" ht="15.75" customHeight="1">
      <c r="A42" s="3" t="s">
        <v>97</v>
      </c>
      <c r="B42" s="13">
        <v>243798.1</v>
      </c>
      <c r="C42" s="13">
        <v>80461.08000000002</v>
      </c>
      <c r="D42" s="3">
        <v>7.0</v>
      </c>
      <c r="E42" s="11">
        <v>2012.0</v>
      </c>
      <c r="F42" s="3" t="s">
        <v>815</v>
      </c>
      <c r="G42" s="37" t="s">
        <v>28</v>
      </c>
      <c r="H42" s="37" t="s">
        <v>6</v>
      </c>
    </row>
    <row r="43" ht="15.75" customHeight="1">
      <c r="A43" s="3" t="s">
        <v>536</v>
      </c>
      <c r="B43" s="13">
        <v>1472854.7400000002</v>
      </c>
      <c r="C43" s="13">
        <v>532266.4200000003</v>
      </c>
      <c r="D43" s="3">
        <v>7.0</v>
      </c>
      <c r="E43" s="11">
        <v>2017.0</v>
      </c>
      <c r="F43" s="3" t="s">
        <v>815</v>
      </c>
      <c r="G43" s="37" t="s">
        <v>28</v>
      </c>
      <c r="H43" s="37" t="s">
        <v>13</v>
      </c>
    </row>
    <row r="44" ht="15.75" customHeight="1">
      <c r="A44" s="3" t="s">
        <v>623</v>
      </c>
      <c r="B44" s="13">
        <v>503347.89999999997</v>
      </c>
      <c r="C44" s="13">
        <v>216779.72999999998</v>
      </c>
      <c r="D44" s="3">
        <v>5.0</v>
      </c>
      <c r="E44" s="11">
        <v>2012.0</v>
      </c>
      <c r="F44" s="3" t="s">
        <v>818</v>
      </c>
      <c r="G44" s="37" t="s">
        <v>28</v>
      </c>
      <c r="H44" s="37" t="s">
        <v>3</v>
      </c>
    </row>
    <row r="45" ht="15.75" customHeight="1">
      <c r="A45" s="3" t="s">
        <v>821</v>
      </c>
      <c r="B45" s="13">
        <v>1470923.36</v>
      </c>
      <c r="C45" s="13">
        <v>552345.3200000002</v>
      </c>
      <c r="D45" s="3">
        <v>5.0</v>
      </c>
      <c r="E45" s="11">
        <v>2017.0</v>
      </c>
      <c r="F45" s="3" t="s">
        <v>815</v>
      </c>
      <c r="G45" s="37" t="s">
        <v>821</v>
      </c>
      <c r="H45" s="37" t="s">
        <v>10</v>
      </c>
    </row>
    <row r="46" ht="15.75" customHeight="1">
      <c r="A46" s="3" t="s">
        <v>248</v>
      </c>
      <c r="B46" s="13">
        <v>998462.86</v>
      </c>
      <c r="C46" s="13">
        <v>409145.5299999999</v>
      </c>
      <c r="D46" s="3">
        <v>12.0</v>
      </c>
      <c r="E46" s="11">
        <v>2011.0</v>
      </c>
      <c r="F46" s="3" t="s">
        <v>818</v>
      </c>
      <c r="G46" s="37" t="s">
        <v>28</v>
      </c>
      <c r="H46" s="37" t="s">
        <v>9</v>
      </c>
    </row>
    <row r="47" ht="15.75" customHeight="1">
      <c r="A47" s="3" t="s">
        <v>512</v>
      </c>
      <c r="B47" s="13">
        <v>84193.92</v>
      </c>
      <c r="C47" s="13">
        <v>21747.839999999997</v>
      </c>
      <c r="D47" s="3">
        <v>9.0</v>
      </c>
      <c r="E47" s="11">
        <v>2013.0</v>
      </c>
      <c r="F47" s="3" t="s">
        <v>818</v>
      </c>
      <c r="G47" s="37" t="s">
        <v>28</v>
      </c>
      <c r="H47" s="37" t="s">
        <v>8</v>
      </c>
    </row>
    <row r="48" ht="15.75" customHeight="1">
      <c r="A48" s="3" t="s">
        <v>689</v>
      </c>
      <c r="B48" s="13">
        <v>2021307.04</v>
      </c>
      <c r="C48" s="13">
        <v>759019.4800000002</v>
      </c>
      <c r="D48" s="3">
        <v>9.0</v>
      </c>
      <c r="E48" s="11">
        <v>2010.0</v>
      </c>
      <c r="F48" s="3" t="s">
        <v>815</v>
      </c>
      <c r="G48" s="37" t="s">
        <v>28</v>
      </c>
      <c r="H48" s="37" t="s">
        <v>10</v>
      </c>
    </row>
    <row r="49" ht="15.75" customHeight="1">
      <c r="A49" s="3" t="s">
        <v>346</v>
      </c>
      <c r="B49" s="13">
        <v>2544631.04</v>
      </c>
      <c r="C49" s="13">
        <v>955532.4800000002</v>
      </c>
      <c r="D49" s="3">
        <v>1.0</v>
      </c>
      <c r="E49" s="11">
        <v>2011.0</v>
      </c>
      <c r="F49" s="3" t="s">
        <v>815</v>
      </c>
      <c r="G49" s="37" t="s">
        <v>28</v>
      </c>
      <c r="H49" s="37" t="s">
        <v>10</v>
      </c>
    </row>
    <row r="50" ht="15.75" customHeight="1">
      <c r="A50" s="3" t="s">
        <v>821</v>
      </c>
      <c r="B50" s="13">
        <v>2568829.88</v>
      </c>
      <c r="C50" s="13">
        <v>637066.1199999999</v>
      </c>
      <c r="D50" s="3">
        <v>2.0</v>
      </c>
      <c r="E50" s="11">
        <v>2011.0</v>
      </c>
      <c r="F50" s="3" t="s">
        <v>818</v>
      </c>
      <c r="G50" s="37" t="s">
        <v>821</v>
      </c>
      <c r="H50" s="37" t="s">
        <v>4</v>
      </c>
    </row>
    <row r="51" ht="15.75" customHeight="1">
      <c r="A51" s="3" t="s">
        <v>413</v>
      </c>
      <c r="B51" s="13">
        <v>338629.2</v>
      </c>
      <c r="C51" s="13">
        <v>65650.0</v>
      </c>
      <c r="D51" s="3">
        <v>6.0</v>
      </c>
      <c r="E51" s="11">
        <v>2013.0</v>
      </c>
      <c r="F51" s="3" t="s">
        <v>815</v>
      </c>
      <c r="G51" s="37" t="s">
        <v>28</v>
      </c>
      <c r="H51" s="37" t="s">
        <v>7</v>
      </c>
    </row>
    <row r="52" ht="15.75" customHeight="1">
      <c r="A52" s="3" t="s">
        <v>821</v>
      </c>
      <c r="B52" s="13">
        <v>134710.55000000002</v>
      </c>
      <c r="C52" s="13">
        <v>44458.74000000002</v>
      </c>
      <c r="D52" s="3">
        <v>6.0</v>
      </c>
      <c r="E52" s="11">
        <v>2012.0</v>
      </c>
      <c r="F52" s="3" t="s">
        <v>818</v>
      </c>
      <c r="G52" s="37" t="s">
        <v>821</v>
      </c>
      <c r="H52" s="37" t="s">
        <v>6</v>
      </c>
    </row>
    <row r="53" ht="15.75" customHeight="1">
      <c r="A53" s="3" t="s">
        <v>431</v>
      </c>
      <c r="B53" s="13">
        <v>153243.75</v>
      </c>
      <c r="C53" s="13">
        <v>46987.5</v>
      </c>
      <c r="D53" s="3">
        <v>4.0</v>
      </c>
      <c r="E53" s="11">
        <v>2011.0</v>
      </c>
      <c r="F53" s="3" t="s">
        <v>818</v>
      </c>
      <c r="G53" s="37" t="s">
        <v>28</v>
      </c>
      <c r="H53" s="37" t="s">
        <v>14</v>
      </c>
    </row>
    <row r="54" ht="15.75" customHeight="1">
      <c r="A54" s="3" t="s">
        <v>142</v>
      </c>
      <c r="B54" s="13">
        <v>1336.54</v>
      </c>
      <c r="C54" s="13">
        <v>331.4599999999999</v>
      </c>
      <c r="D54" s="3">
        <v>3.0</v>
      </c>
      <c r="E54" s="11">
        <v>2014.0</v>
      </c>
      <c r="F54" s="3" t="s">
        <v>815</v>
      </c>
      <c r="G54" s="37" t="s">
        <v>28</v>
      </c>
      <c r="H54" s="37" t="s">
        <v>4</v>
      </c>
    </row>
    <row r="55" ht="15.75" customHeight="1">
      <c r="A55" s="3" t="s">
        <v>689</v>
      </c>
      <c r="B55" s="13">
        <v>672317.84</v>
      </c>
      <c r="C55" s="13">
        <v>275499.31999999995</v>
      </c>
      <c r="D55" s="3">
        <v>9.0</v>
      </c>
      <c r="E55" s="11">
        <v>2013.0</v>
      </c>
      <c r="F55" s="3" t="s">
        <v>815</v>
      </c>
      <c r="G55" s="37" t="s">
        <v>28</v>
      </c>
      <c r="H55" s="37" t="s">
        <v>9</v>
      </c>
    </row>
    <row r="56" ht="15.75" customHeight="1">
      <c r="A56" s="3" t="s">
        <v>270</v>
      </c>
      <c r="B56" s="13">
        <v>1277674.02</v>
      </c>
      <c r="C56" s="13">
        <v>247702.5</v>
      </c>
      <c r="D56" s="3">
        <v>10.0</v>
      </c>
      <c r="E56" s="11">
        <v>2013.0</v>
      </c>
      <c r="F56" s="3" t="s">
        <v>815</v>
      </c>
      <c r="G56" s="37" t="s">
        <v>28</v>
      </c>
      <c r="H56" s="37" t="s">
        <v>7</v>
      </c>
    </row>
    <row r="57" ht="15.75" customHeight="1">
      <c r="A57" s="3" t="s">
        <v>270</v>
      </c>
      <c r="B57" s="13">
        <v>650080.42</v>
      </c>
      <c r="C57" s="13">
        <v>199327.24000000005</v>
      </c>
      <c r="D57" s="3">
        <v>3.0</v>
      </c>
      <c r="E57" s="11">
        <v>2017.0</v>
      </c>
      <c r="F57" s="3" t="s">
        <v>818</v>
      </c>
      <c r="G57" s="37" t="s">
        <v>28</v>
      </c>
      <c r="H57" s="37" t="s">
        <v>14</v>
      </c>
    </row>
    <row r="58" ht="15.75" customHeight="1">
      <c r="A58" s="3" t="s">
        <v>78</v>
      </c>
      <c r="B58" s="13">
        <v>98484.65000000001</v>
      </c>
      <c r="C58" s="13">
        <v>30197.300000000003</v>
      </c>
      <c r="D58" s="3">
        <v>7.0</v>
      </c>
      <c r="E58" s="11">
        <v>2017.0</v>
      </c>
      <c r="F58" s="3" t="s">
        <v>815</v>
      </c>
      <c r="G58" s="37" t="s">
        <v>28</v>
      </c>
      <c r="H58" s="37" t="s">
        <v>14</v>
      </c>
    </row>
    <row r="59" ht="15.75" customHeight="1">
      <c r="A59" s="3" t="s">
        <v>346</v>
      </c>
      <c r="B59" s="13">
        <v>4016993.6</v>
      </c>
      <c r="C59" s="13">
        <v>1597517.56</v>
      </c>
      <c r="D59" s="3">
        <v>9.0</v>
      </c>
      <c r="E59" s="11">
        <v>2012.0</v>
      </c>
      <c r="F59" s="3" t="s">
        <v>815</v>
      </c>
      <c r="G59" s="37" t="s">
        <v>28</v>
      </c>
      <c r="H59" s="37" t="s">
        <v>12</v>
      </c>
    </row>
    <row r="60" ht="15.75" customHeight="1">
      <c r="A60" s="3" t="s">
        <v>821</v>
      </c>
      <c r="B60" s="13">
        <v>679830.14</v>
      </c>
      <c r="C60" s="13">
        <v>208449.08000000002</v>
      </c>
      <c r="D60" s="3">
        <v>1.0</v>
      </c>
      <c r="E60" s="11">
        <v>2016.0</v>
      </c>
      <c r="F60" s="3" t="s">
        <v>815</v>
      </c>
      <c r="G60" s="37" t="s">
        <v>821</v>
      </c>
      <c r="H60" s="37" t="s">
        <v>14</v>
      </c>
    </row>
    <row r="61" ht="15.75" customHeight="1">
      <c r="A61" s="3" t="s">
        <v>248</v>
      </c>
      <c r="B61" s="13">
        <v>1270378.76</v>
      </c>
      <c r="C61" s="13">
        <v>520569.98</v>
      </c>
      <c r="D61" s="3">
        <v>2.0</v>
      </c>
      <c r="E61" s="11">
        <v>2011.0</v>
      </c>
      <c r="F61" s="3" t="s">
        <v>815</v>
      </c>
      <c r="G61" s="37" t="s">
        <v>28</v>
      </c>
      <c r="H61" s="37" t="s">
        <v>9</v>
      </c>
    </row>
    <row r="62" ht="15.75" customHeight="1">
      <c r="A62" s="3" t="s">
        <v>373</v>
      </c>
      <c r="B62" s="13">
        <v>695020.8</v>
      </c>
      <c r="C62" s="13">
        <v>467078.4</v>
      </c>
      <c r="D62" s="3">
        <v>4.0</v>
      </c>
      <c r="E62" s="11">
        <v>2012.0</v>
      </c>
      <c r="F62" s="3" t="s">
        <v>815</v>
      </c>
      <c r="G62" s="37" t="s">
        <v>28</v>
      </c>
      <c r="H62" s="37" t="s">
        <v>5</v>
      </c>
    </row>
    <row r="63" ht="15.75" customHeight="1">
      <c r="A63" s="3" t="s">
        <v>413</v>
      </c>
      <c r="B63" s="13">
        <v>427714.30000000005</v>
      </c>
      <c r="C63" s="13">
        <v>141159.24000000005</v>
      </c>
      <c r="D63" s="3">
        <v>2.0</v>
      </c>
      <c r="E63" s="11">
        <v>2016.0</v>
      </c>
      <c r="F63" s="3" t="s">
        <v>818</v>
      </c>
      <c r="G63" s="37" t="s">
        <v>28</v>
      </c>
      <c r="H63" s="37" t="s">
        <v>6</v>
      </c>
    </row>
    <row r="64" ht="15.75" customHeight="1">
      <c r="A64" s="3" t="s">
        <v>746</v>
      </c>
      <c r="B64" s="13">
        <v>538454.8200000001</v>
      </c>
      <c r="C64" s="13">
        <v>194589.06000000006</v>
      </c>
      <c r="D64" s="3">
        <v>7.0</v>
      </c>
      <c r="E64" s="11">
        <v>2013.0</v>
      </c>
      <c r="F64" s="3" t="s">
        <v>815</v>
      </c>
      <c r="G64" s="37" t="s">
        <v>28</v>
      </c>
      <c r="H64" s="37" t="s">
        <v>13</v>
      </c>
    </row>
    <row r="65" ht="15.75" customHeight="1">
      <c r="A65" s="3" t="s">
        <v>512</v>
      </c>
      <c r="B65" s="13">
        <v>6512.1</v>
      </c>
      <c r="C65" s="13">
        <v>1262.5</v>
      </c>
      <c r="D65" s="3">
        <v>8.0</v>
      </c>
      <c r="E65" s="11">
        <v>2014.0</v>
      </c>
      <c r="F65" s="3" t="s">
        <v>815</v>
      </c>
      <c r="G65" s="37" t="s">
        <v>28</v>
      </c>
      <c r="H65" s="37" t="s">
        <v>7</v>
      </c>
    </row>
    <row r="66" ht="15.75" customHeight="1">
      <c r="A66" s="3" t="s">
        <v>593</v>
      </c>
      <c r="B66" s="13">
        <v>981334.4</v>
      </c>
      <c r="C66" s="13">
        <v>659491.2</v>
      </c>
      <c r="D66" s="3">
        <v>7.0</v>
      </c>
      <c r="E66" s="11">
        <v>2010.0</v>
      </c>
      <c r="F66" s="3" t="s">
        <v>818</v>
      </c>
      <c r="G66" s="37" t="s">
        <v>28</v>
      </c>
      <c r="H66" s="37" t="s">
        <v>5</v>
      </c>
    </row>
    <row r="67" ht="15.75" customHeight="1">
      <c r="A67" s="3" t="s">
        <v>364</v>
      </c>
      <c r="B67" s="13">
        <v>710450.0</v>
      </c>
      <c r="C67" s="13">
        <v>282538.75</v>
      </c>
      <c r="D67" s="3">
        <v>8.0</v>
      </c>
      <c r="E67" s="11">
        <v>2016.0</v>
      </c>
      <c r="F67" s="3" t="s">
        <v>818</v>
      </c>
      <c r="G67" s="37" t="s">
        <v>28</v>
      </c>
      <c r="H67" s="37" t="s">
        <v>12</v>
      </c>
    </row>
    <row r="68" ht="15.75" customHeight="1">
      <c r="A68" s="3" t="s">
        <v>821</v>
      </c>
      <c r="B68" s="13">
        <v>459098.8</v>
      </c>
      <c r="C68" s="13">
        <v>188127.39999999997</v>
      </c>
      <c r="D68" s="3">
        <v>7.0</v>
      </c>
      <c r="E68" s="11">
        <v>2014.0</v>
      </c>
      <c r="F68" s="3" t="s">
        <v>815</v>
      </c>
      <c r="G68" s="37" t="s">
        <v>821</v>
      </c>
      <c r="H68" s="37" t="s">
        <v>9</v>
      </c>
    </row>
    <row r="69" ht="15.75" customHeight="1">
      <c r="A69" s="3" t="s">
        <v>740</v>
      </c>
      <c r="B69" s="13">
        <v>2016803.5999999999</v>
      </c>
      <c r="C69" s="13">
        <v>802062.3099999998</v>
      </c>
      <c r="D69" s="3">
        <v>7.0</v>
      </c>
      <c r="E69" s="11">
        <v>2014.0</v>
      </c>
      <c r="F69" s="3" t="s">
        <v>815</v>
      </c>
      <c r="G69" s="37" t="s">
        <v>28</v>
      </c>
      <c r="H69" s="37" t="s">
        <v>12</v>
      </c>
    </row>
    <row r="70" ht="15.75" customHeight="1">
      <c r="A70" s="3" t="s">
        <v>413</v>
      </c>
      <c r="B70" s="13">
        <v>483432.95</v>
      </c>
      <c r="C70" s="13">
        <v>148229.90000000002</v>
      </c>
      <c r="D70" s="3">
        <v>3.0</v>
      </c>
      <c r="E70" s="11">
        <v>2011.0</v>
      </c>
      <c r="F70" s="3" t="s">
        <v>815</v>
      </c>
      <c r="G70" s="37" t="s">
        <v>28</v>
      </c>
      <c r="H70" s="37" t="s">
        <v>14</v>
      </c>
    </row>
    <row r="71" ht="15.75" customHeight="1">
      <c r="A71" s="3" t="s">
        <v>46</v>
      </c>
      <c r="B71" s="13">
        <v>11742.88</v>
      </c>
      <c r="C71" s="13">
        <v>4409.5599999999995</v>
      </c>
      <c r="D71" s="3">
        <v>7.0</v>
      </c>
      <c r="E71" s="11">
        <v>2013.0</v>
      </c>
      <c r="F71" s="3" t="s">
        <v>818</v>
      </c>
      <c r="G71" s="37" t="s">
        <v>28</v>
      </c>
      <c r="H71" s="37" t="s">
        <v>10</v>
      </c>
    </row>
    <row r="72" ht="15.75" customHeight="1">
      <c r="A72" s="3" t="s">
        <v>288</v>
      </c>
      <c r="B72" s="13">
        <v>470122.56</v>
      </c>
      <c r="C72" s="13">
        <v>315938.88</v>
      </c>
      <c r="D72" s="3">
        <v>7.0</v>
      </c>
      <c r="E72" s="11">
        <v>2012.0</v>
      </c>
      <c r="F72" s="3" t="s">
        <v>815</v>
      </c>
      <c r="G72" s="37" t="s">
        <v>23</v>
      </c>
      <c r="H72" s="37" t="s">
        <v>5</v>
      </c>
    </row>
    <row r="73" ht="15.75" customHeight="1">
      <c r="A73" s="3" t="s">
        <v>575</v>
      </c>
      <c r="B73" s="13">
        <v>2048247.55</v>
      </c>
      <c r="C73" s="13">
        <v>507962.44999999995</v>
      </c>
      <c r="D73" s="3">
        <v>3.0</v>
      </c>
      <c r="E73" s="11">
        <v>2011.0</v>
      </c>
      <c r="F73" s="3" t="s">
        <v>815</v>
      </c>
      <c r="G73" s="37" t="s">
        <v>28</v>
      </c>
      <c r="H73" s="37" t="s">
        <v>4</v>
      </c>
    </row>
    <row r="74" ht="15.75" customHeight="1">
      <c r="A74" s="3" t="s">
        <v>428</v>
      </c>
      <c r="B74" s="13">
        <v>8285.04</v>
      </c>
      <c r="C74" s="13">
        <v>2140.080000000001</v>
      </c>
      <c r="D74" s="3">
        <v>2.0</v>
      </c>
      <c r="E74" s="11">
        <v>2014.0</v>
      </c>
      <c r="F74" s="3" t="s">
        <v>815</v>
      </c>
      <c r="G74" s="37" t="s">
        <v>28</v>
      </c>
      <c r="H74" s="37" t="s">
        <v>8</v>
      </c>
    </row>
    <row r="75" ht="15.75" customHeight="1">
      <c r="A75" s="3" t="s">
        <v>512</v>
      </c>
      <c r="B75" s="13">
        <v>1411386.24</v>
      </c>
      <c r="C75" s="13">
        <v>350021.76</v>
      </c>
      <c r="D75" s="3">
        <v>8.0</v>
      </c>
      <c r="E75" s="11">
        <v>2013.0</v>
      </c>
      <c r="F75" s="3" t="s">
        <v>818</v>
      </c>
      <c r="G75" s="37" t="s">
        <v>28</v>
      </c>
      <c r="H75" s="37" t="s">
        <v>4</v>
      </c>
    </row>
    <row r="76" ht="15.75" customHeight="1">
      <c r="A76" s="3" t="s">
        <v>364</v>
      </c>
      <c r="B76" s="13">
        <v>5662251.71</v>
      </c>
      <c r="C76" s="13">
        <v>1404230.29</v>
      </c>
      <c r="D76" s="3">
        <v>5.0</v>
      </c>
      <c r="E76" s="11">
        <v>2012.0</v>
      </c>
      <c r="F76" s="3" t="s">
        <v>818</v>
      </c>
      <c r="G76" s="37" t="s">
        <v>28</v>
      </c>
      <c r="H76" s="37" t="s">
        <v>4</v>
      </c>
    </row>
    <row r="77" ht="15.75" customHeight="1">
      <c r="A77" s="3" t="s">
        <v>267</v>
      </c>
      <c r="B77" s="13">
        <v>1107900.2</v>
      </c>
      <c r="C77" s="13">
        <v>477145.74</v>
      </c>
      <c r="D77" s="3">
        <v>7.0</v>
      </c>
      <c r="E77" s="11">
        <v>2013.0</v>
      </c>
      <c r="F77" s="3" t="s">
        <v>815</v>
      </c>
      <c r="G77" s="37" t="s">
        <v>28</v>
      </c>
      <c r="H77" s="37" t="s">
        <v>3</v>
      </c>
    </row>
    <row r="78" ht="15.75" customHeight="1">
      <c r="A78" s="3" t="s">
        <v>653</v>
      </c>
      <c r="B78" s="13">
        <v>389302.0</v>
      </c>
      <c r="C78" s="13">
        <v>146186.50000000003</v>
      </c>
      <c r="D78" s="3">
        <v>3.0</v>
      </c>
      <c r="E78" s="11">
        <v>2013.0</v>
      </c>
      <c r="F78" s="3" t="s">
        <v>818</v>
      </c>
      <c r="G78" s="37" t="s">
        <v>28</v>
      </c>
      <c r="H78" s="37" t="s">
        <v>10</v>
      </c>
    </row>
    <row r="79" ht="15.75" customHeight="1">
      <c r="A79" s="3" t="s">
        <v>364</v>
      </c>
      <c r="B79" s="13">
        <v>811407.66</v>
      </c>
      <c r="C79" s="13">
        <v>157307.5</v>
      </c>
      <c r="D79" s="3">
        <v>1.0</v>
      </c>
      <c r="E79" s="11">
        <v>2011.0</v>
      </c>
      <c r="F79" s="3" t="s">
        <v>815</v>
      </c>
      <c r="G79" s="37" t="s">
        <v>28</v>
      </c>
      <c r="H79" s="37" t="s">
        <v>7</v>
      </c>
    </row>
    <row r="80" ht="15.75" customHeight="1">
      <c r="A80" s="3" t="s">
        <v>431</v>
      </c>
      <c r="B80" s="13">
        <v>1078265.94</v>
      </c>
      <c r="C80" s="13">
        <v>441846.8699999999</v>
      </c>
      <c r="D80" s="3">
        <v>5.0</v>
      </c>
      <c r="E80" s="11">
        <v>2017.0</v>
      </c>
      <c r="F80" s="3" t="s">
        <v>815</v>
      </c>
      <c r="G80" s="37" t="s">
        <v>28</v>
      </c>
      <c r="H80" s="37" t="s">
        <v>9</v>
      </c>
    </row>
    <row r="81" ht="15.75" customHeight="1">
      <c r="A81" s="3" t="s">
        <v>650</v>
      </c>
      <c r="B81" s="13">
        <v>2201739.1999999997</v>
      </c>
      <c r="C81" s="13">
        <v>875609.3199999998</v>
      </c>
      <c r="D81" s="3">
        <v>11.0</v>
      </c>
      <c r="E81" s="11">
        <v>2011.0</v>
      </c>
      <c r="F81" s="3" t="s">
        <v>818</v>
      </c>
      <c r="G81" s="37" t="s">
        <v>28</v>
      </c>
      <c r="H81" s="37" t="s">
        <v>12</v>
      </c>
    </row>
    <row r="82" ht="15.75" customHeight="1">
      <c r="A82" s="3" t="s">
        <v>101</v>
      </c>
      <c r="B82" s="13">
        <v>1800826.8</v>
      </c>
      <c r="C82" s="13">
        <v>716170.53</v>
      </c>
      <c r="D82" s="3">
        <v>9.0</v>
      </c>
      <c r="E82" s="11">
        <v>2015.0</v>
      </c>
      <c r="F82" s="3" t="s">
        <v>815</v>
      </c>
      <c r="G82" s="37" t="s">
        <v>28</v>
      </c>
      <c r="H82" s="37" t="s">
        <v>12</v>
      </c>
    </row>
    <row r="83" ht="15.75" customHeight="1">
      <c r="A83" s="3" t="s">
        <v>575</v>
      </c>
      <c r="B83" s="13">
        <v>55352.850000000006</v>
      </c>
      <c r="C83" s="13">
        <v>10731.25</v>
      </c>
      <c r="D83" s="3">
        <v>9.0</v>
      </c>
      <c r="E83" s="11">
        <v>2013.0</v>
      </c>
      <c r="F83" s="3" t="s">
        <v>815</v>
      </c>
      <c r="G83" s="37" t="s">
        <v>28</v>
      </c>
      <c r="H83" s="37" t="s">
        <v>7</v>
      </c>
    </row>
    <row r="84" ht="15.75" customHeight="1">
      <c r="A84" s="3" t="s">
        <v>542</v>
      </c>
      <c r="B84" s="13">
        <v>1570434.5</v>
      </c>
      <c r="C84" s="13">
        <v>389465.5</v>
      </c>
      <c r="D84" s="3">
        <v>4.0</v>
      </c>
      <c r="E84" s="11">
        <v>2013.0</v>
      </c>
      <c r="F84" s="3" t="s">
        <v>818</v>
      </c>
      <c r="G84" s="37" t="s">
        <v>28</v>
      </c>
      <c r="H84" s="37" t="s">
        <v>4</v>
      </c>
    </row>
    <row r="85" ht="15.75" customHeight="1">
      <c r="A85" s="3" t="s">
        <v>821</v>
      </c>
      <c r="B85" s="13">
        <v>2582047.6500000004</v>
      </c>
      <c r="C85" s="13">
        <v>500581.25000000023</v>
      </c>
      <c r="D85" s="3">
        <v>5.0</v>
      </c>
      <c r="E85" s="11">
        <v>2015.0</v>
      </c>
      <c r="F85" s="3" t="s">
        <v>818</v>
      </c>
      <c r="G85" s="37" t="s">
        <v>821</v>
      </c>
      <c r="H85" s="37" t="s">
        <v>7</v>
      </c>
    </row>
    <row r="86" ht="15.75" customHeight="1">
      <c r="A86" s="3" t="s">
        <v>218</v>
      </c>
      <c r="B86" s="13">
        <v>2440013.1999999997</v>
      </c>
      <c r="C86" s="13">
        <v>970368.4699999997</v>
      </c>
      <c r="D86" s="3">
        <v>6.0</v>
      </c>
      <c r="E86" s="11">
        <v>2017.0</v>
      </c>
      <c r="F86" s="3" t="s">
        <v>815</v>
      </c>
      <c r="G86" s="37" t="s">
        <v>28</v>
      </c>
      <c r="H86" s="37" t="s">
        <v>12</v>
      </c>
    </row>
    <row r="87" ht="15.75" customHeight="1">
      <c r="A87" s="3" t="s">
        <v>32</v>
      </c>
      <c r="B87" s="13">
        <v>1447182.32</v>
      </c>
      <c r="C87" s="13">
        <v>543430.3400000001</v>
      </c>
      <c r="D87" s="3">
        <v>5.0</v>
      </c>
      <c r="E87" s="11">
        <v>2012.0</v>
      </c>
      <c r="F87" s="3" t="s">
        <v>818</v>
      </c>
      <c r="G87" s="37" t="s">
        <v>28</v>
      </c>
      <c r="H87" s="37" t="s">
        <v>10</v>
      </c>
    </row>
    <row r="88" ht="15.75" customHeight="1">
      <c r="A88" s="3" t="s">
        <v>686</v>
      </c>
      <c r="B88" s="13">
        <v>291525.99</v>
      </c>
      <c r="C88" s="13">
        <v>39525.19999999998</v>
      </c>
      <c r="D88" s="3">
        <v>1.0</v>
      </c>
      <c r="E88" s="11">
        <v>2013.0</v>
      </c>
      <c r="F88" s="3" t="s">
        <v>815</v>
      </c>
      <c r="G88" s="37" t="s">
        <v>28</v>
      </c>
      <c r="H88" s="37" t="s">
        <v>11</v>
      </c>
    </row>
    <row r="89" ht="15.75" customHeight="1">
      <c r="A89" s="3" t="s">
        <v>623</v>
      </c>
      <c r="B89" s="13">
        <v>929207.84</v>
      </c>
      <c r="C89" s="13">
        <v>624460.32</v>
      </c>
      <c r="D89" s="3">
        <v>5.0</v>
      </c>
      <c r="E89" s="11">
        <v>2012.0</v>
      </c>
      <c r="F89" s="3" t="s">
        <v>818</v>
      </c>
      <c r="G89" s="37" t="s">
        <v>28</v>
      </c>
      <c r="H89" s="37" t="s">
        <v>5</v>
      </c>
    </row>
    <row r="90" ht="15.75" customHeight="1">
      <c r="A90" s="3" t="s">
        <v>123</v>
      </c>
      <c r="B90" s="13">
        <v>1302.42</v>
      </c>
      <c r="C90" s="13">
        <v>252.5</v>
      </c>
      <c r="D90" s="3">
        <v>5.0</v>
      </c>
      <c r="E90" s="11">
        <v>2010.0</v>
      </c>
      <c r="F90" s="3" t="s">
        <v>818</v>
      </c>
      <c r="G90" s="37" t="s">
        <v>28</v>
      </c>
      <c r="H90" s="37" t="s">
        <v>7</v>
      </c>
    </row>
    <row r="91" ht="15.75" customHeight="1">
      <c r="A91" s="3" t="s">
        <v>686</v>
      </c>
      <c r="B91" s="13">
        <v>32319.12</v>
      </c>
      <c r="C91" s="13">
        <v>8348.239999999998</v>
      </c>
      <c r="D91" s="3">
        <v>8.0</v>
      </c>
      <c r="E91" s="11">
        <v>2011.0</v>
      </c>
      <c r="F91" s="3" t="s">
        <v>818</v>
      </c>
      <c r="G91" s="37" t="s">
        <v>28</v>
      </c>
      <c r="H91" s="37" t="s">
        <v>8</v>
      </c>
    </row>
    <row r="92" ht="15.75" customHeight="1">
      <c r="A92" s="3" t="s">
        <v>653</v>
      </c>
      <c r="B92" s="13">
        <v>1097809.2</v>
      </c>
      <c r="C92" s="13">
        <v>436587.56999999995</v>
      </c>
      <c r="D92" s="3">
        <v>1.0</v>
      </c>
      <c r="E92" s="11">
        <v>2014.0</v>
      </c>
      <c r="F92" s="3" t="s">
        <v>818</v>
      </c>
      <c r="G92" s="37" t="s">
        <v>28</v>
      </c>
      <c r="H92" s="37" t="s">
        <v>12</v>
      </c>
    </row>
    <row r="93" ht="15.75" customHeight="1">
      <c r="A93" s="3" t="s">
        <v>364</v>
      </c>
      <c r="B93" s="13">
        <v>69844.38</v>
      </c>
      <c r="C93" s="13">
        <v>18041.260000000002</v>
      </c>
      <c r="D93" s="3">
        <v>3.0</v>
      </c>
      <c r="E93" s="11">
        <v>2015.0</v>
      </c>
      <c r="F93" s="3" t="s">
        <v>818</v>
      </c>
      <c r="G93" s="37" t="s">
        <v>28</v>
      </c>
      <c r="H93" s="37" t="s">
        <v>8</v>
      </c>
    </row>
    <row r="94" ht="15.75" customHeight="1">
      <c r="A94" s="3" t="s">
        <v>431</v>
      </c>
      <c r="B94" s="13">
        <v>1051273.6</v>
      </c>
      <c r="C94" s="13">
        <v>706492.8</v>
      </c>
      <c r="D94" s="3">
        <v>6.0</v>
      </c>
      <c r="E94" s="11">
        <v>2016.0</v>
      </c>
      <c r="F94" s="3" t="s">
        <v>818</v>
      </c>
      <c r="G94" s="37" t="s">
        <v>28</v>
      </c>
      <c r="H94" s="37" t="s">
        <v>5</v>
      </c>
    </row>
    <row r="95" ht="15.75" customHeight="1">
      <c r="A95" s="3" t="s">
        <v>593</v>
      </c>
      <c r="B95" s="13">
        <v>1670041.76</v>
      </c>
      <c r="C95" s="13">
        <v>627116.1200000001</v>
      </c>
      <c r="D95" s="3">
        <v>5.0</v>
      </c>
      <c r="E95" s="11">
        <v>2015.0</v>
      </c>
      <c r="F95" s="3" t="s">
        <v>818</v>
      </c>
      <c r="G95" s="37" t="s">
        <v>28</v>
      </c>
      <c r="H95" s="37" t="s">
        <v>10</v>
      </c>
    </row>
    <row r="96" ht="15.75" customHeight="1">
      <c r="A96" s="3" t="s">
        <v>291</v>
      </c>
      <c r="B96" s="13">
        <v>601775.52</v>
      </c>
      <c r="C96" s="13">
        <v>217472.16000000003</v>
      </c>
      <c r="D96" s="3">
        <v>3.0</v>
      </c>
      <c r="E96" s="11">
        <v>2014.0</v>
      </c>
      <c r="F96" s="3" t="s">
        <v>815</v>
      </c>
      <c r="G96" s="37" t="s">
        <v>28</v>
      </c>
      <c r="H96" s="37" t="s">
        <v>13</v>
      </c>
    </row>
    <row r="97" ht="15.75" customHeight="1">
      <c r="A97" s="3" t="s">
        <v>689</v>
      </c>
      <c r="B97" s="13">
        <v>86703.69</v>
      </c>
      <c r="C97" s="13">
        <v>22396.130000000005</v>
      </c>
      <c r="D97" s="3">
        <v>6.0</v>
      </c>
      <c r="E97" s="11">
        <v>2014.0</v>
      </c>
      <c r="F97" s="3" t="s">
        <v>815</v>
      </c>
      <c r="G97" s="37" t="s">
        <v>28</v>
      </c>
      <c r="H97" s="37" t="s">
        <v>8</v>
      </c>
    </row>
    <row r="98" ht="15.75" customHeight="1">
      <c r="A98" s="3" t="s">
        <v>821</v>
      </c>
      <c r="B98" s="13">
        <v>3779712.51</v>
      </c>
      <c r="C98" s="13">
        <v>512454.7999999998</v>
      </c>
      <c r="D98" s="3">
        <v>11.0</v>
      </c>
      <c r="E98" s="11">
        <v>2012.0</v>
      </c>
      <c r="F98" s="3" t="s">
        <v>818</v>
      </c>
      <c r="G98" s="37" t="s">
        <v>821</v>
      </c>
      <c r="H98" s="37" t="s">
        <v>11</v>
      </c>
    </row>
    <row r="99" ht="15.75" customHeight="1">
      <c r="A99" s="3" t="s">
        <v>590</v>
      </c>
      <c r="B99" s="13">
        <v>5000641.59</v>
      </c>
      <c r="C99" s="13">
        <v>969473.7499999995</v>
      </c>
      <c r="D99" s="3">
        <v>9.0</v>
      </c>
      <c r="E99" s="11">
        <v>2015.0</v>
      </c>
      <c r="F99" s="3" t="s">
        <v>815</v>
      </c>
      <c r="G99" s="37" t="s">
        <v>28</v>
      </c>
      <c r="H99" s="37" t="s">
        <v>7</v>
      </c>
    </row>
    <row r="100" ht="15.75" customHeight="1">
      <c r="A100" s="3" t="s">
        <v>413</v>
      </c>
      <c r="B100" s="13">
        <v>713666.36</v>
      </c>
      <c r="C100" s="13">
        <v>218823.91999999998</v>
      </c>
      <c r="D100" s="3">
        <v>10.0</v>
      </c>
      <c r="E100" s="11">
        <v>2011.0</v>
      </c>
      <c r="F100" s="3" t="s">
        <v>818</v>
      </c>
      <c r="G100" s="37" t="s">
        <v>28</v>
      </c>
      <c r="H100" s="37" t="s">
        <v>14</v>
      </c>
    </row>
    <row r="101" ht="15.75" customHeight="1">
      <c r="A101" s="3" t="s">
        <v>650</v>
      </c>
      <c r="B101" s="13">
        <v>216851.19999999998</v>
      </c>
      <c r="C101" s="13">
        <v>86239.51999999999</v>
      </c>
      <c r="D101" s="3">
        <v>3.0</v>
      </c>
      <c r="E101" s="11">
        <v>2010.0</v>
      </c>
      <c r="F101" s="3" t="s">
        <v>939</v>
      </c>
      <c r="G101" s="37" t="s">
        <v>28</v>
      </c>
      <c r="H101" s="37" t="s">
        <v>12</v>
      </c>
    </row>
    <row r="102" ht="15.75" customHeight="1">
      <c r="A102" s="3" t="s">
        <v>590</v>
      </c>
      <c r="B102" s="13">
        <v>881328.21</v>
      </c>
      <c r="C102" s="13">
        <v>119490.79999999993</v>
      </c>
      <c r="D102" s="3">
        <v>8.0</v>
      </c>
      <c r="E102" s="11">
        <v>2012.0</v>
      </c>
      <c r="F102" s="3" t="s">
        <v>818</v>
      </c>
      <c r="G102" s="37" t="s">
        <v>28</v>
      </c>
      <c r="H102" s="37" t="s">
        <v>11</v>
      </c>
    </row>
    <row r="103" ht="15.75" customHeight="1">
      <c r="A103" s="3" t="s">
        <v>221</v>
      </c>
      <c r="B103" s="13">
        <v>291340.48</v>
      </c>
      <c r="C103" s="13">
        <v>195791.03999999998</v>
      </c>
      <c r="D103" s="3">
        <v>11.0</v>
      </c>
      <c r="E103" s="11">
        <v>2012.0</v>
      </c>
      <c r="F103" s="3" t="s">
        <v>815</v>
      </c>
      <c r="G103" s="37" t="s">
        <v>28</v>
      </c>
      <c r="H103" s="37" t="s">
        <v>5</v>
      </c>
    </row>
    <row r="104" ht="15.75" customHeight="1">
      <c r="A104" s="3" t="s">
        <v>593</v>
      </c>
      <c r="B104" s="13">
        <v>123275.1</v>
      </c>
      <c r="C104" s="13">
        <v>40684.68000000001</v>
      </c>
      <c r="D104" s="3">
        <v>8.0</v>
      </c>
      <c r="E104" s="11">
        <v>2011.0</v>
      </c>
      <c r="F104" s="3" t="s">
        <v>818</v>
      </c>
      <c r="G104" s="37" t="s">
        <v>28</v>
      </c>
      <c r="H104" s="37" t="s">
        <v>6</v>
      </c>
    </row>
    <row r="105" ht="15.75" customHeight="1">
      <c r="A105" s="3" t="s">
        <v>536</v>
      </c>
      <c r="B105" s="13">
        <v>1227963.84</v>
      </c>
      <c r="C105" s="13">
        <v>443766.7200000001</v>
      </c>
      <c r="D105" s="3">
        <v>3.0</v>
      </c>
      <c r="E105" s="11">
        <v>2016.0</v>
      </c>
      <c r="F105" s="3" t="s">
        <v>818</v>
      </c>
      <c r="G105" s="37" t="s">
        <v>28</v>
      </c>
      <c r="H105" s="37" t="s">
        <v>13</v>
      </c>
    </row>
    <row r="106" ht="15.75" customHeight="1">
      <c r="A106" s="3" t="s">
        <v>267</v>
      </c>
      <c r="B106" s="13">
        <v>2949330.0900000003</v>
      </c>
      <c r="C106" s="13">
        <v>571786.25</v>
      </c>
      <c r="D106" s="3">
        <v>4.0</v>
      </c>
      <c r="E106" s="11">
        <v>2017.0</v>
      </c>
      <c r="F106" s="3" t="s">
        <v>818</v>
      </c>
      <c r="G106" s="37" t="s">
        <v>28</v>
      </c>
      <c r="H106" s="37" t="s">
        <v>7</v>
      </c>
    </row>
    <row r="107" ht="15.75" customHeight="1">
      <c r="A107" s="3" t="s">
        <v>101</v>
      </c>
      <c r="B107" s="13">
        <v>2921166.36</v>
      </c>
      <c r="C107" s="13">
        <v>396052.7999999998</v>
      </c>
      <c r="D107" s="3">
        <v>3.0</v>
      </c>
      <c r="E107" s="11">
        <v>2015.0</v>
      </c>
      <c r="F107" s="3" t="s">
        <v>818</v>
      </c>
      <c r="G107" s="37" t="s">
        <v>28</v>
      </c>
      <c r="H107" s="37" t="s">
        <v>11</v>
      </c>
    </row>
    <row r="108" ht="15.75" customHeight="1">
      <c r="A108" s="3" t="s">
        <v>123</v>
      </c>
      <c r="B108" s="13">
        <v>195501.92</v>
      </c>
      <c r="C108" s="13">
        <v>131384.16</v>
      </c>
      <c r="D108" s="3">
        <v>10.0</v>
      </c>
      <c r="E108" s="11">
        <v>2011.0</v>
      </c>
      <c r="F108" s="3" t="s">
        <v>815</v>
      </c>
      <c r="G108" s="37" t="s">
        <v>28</v>
      </c>
      <c r="H108" s="37" t="s">
        <v>5</v>
      </c>
    </row>
    <row r="109" ht="15.75" customHeight="1">
      <c r="A109" s="3" t="s">
        <v>650</v>
      </c>
      <c r="B109" s="13">
        <v>5409601.470000001</v>
      </c>
      <c r="C109" s="13">
        <v>1048758.75</v>
      </c>
      <c r="D109" s="3">
        <v>2.0</v>
      </c>
      <c r="E109" s="11">
        <v>2012.0</v>
      </c>
      <c r="F109" s="3" t="s">
        <v>815</v>
      </c>
      <c r="G109" s="37" t="s">
        <v>28</v>
      </c>
      <c r="H109" s="37" t="s">
        <v>7</v>
      </c>
    </row>
    <row r="110" ht="15.75" customHeight="1">
      <c r="A110" s="3" t="s">
        <v>821</v>
      </c>
      <c r="B110" s="13">
        <v>5184934.0200000005</v>
      </c>
      <c r="C110" s="13">
        <v>1005202.5</v>
      </c>
      <c r="D110" s="3">
        <v>8.0</v>
      </c>
      <c r="E110" s="11">
        <v>2014.0</v>
      </c>
      <c r="F110" s="3" t="s">
        <v>818</v>
      </c>
      <c r="G110" s="37" t="s">
        <v>821</v>
      </c>
      <c r="H110" s="37" t="s">
        <v>7</v>
      </c>
    </row>
    <row r="111" ht="15.75" customHeight="1">
      <c r="A111" s="3" t="s">
        <v>288</v>
      </c>
      <c r="B111" s="13">
        <v>2052195.92</v>
      </c>
      <c r="C111" s="13">
        <v>770618.54</v>
      </c>
      <c r="D111" s="3">
        <v>7.0</v>
      </c>
      <c r="E111" s="11">
        <v>2013.0</v>
      </c>
      <c r="F111" s="3" t="s">
        <v>815</v>
      </c>
      <c r="G111" s="37" t="s">
        <v>23</v>
      </c>
      <c r="H111" s="37" t="s">
        <v>10</v>
      </c>
    </row>
    <row r="112" ht="15.75" customHeight="1">
      <c r="A112" s="3" t="s">
        <v>623</v>
      </c>
      <c r="B112" s="13">
        <v>1530195.03</v>
      </c>
      <c r="C112" s="13">
        <v>207464.40000000014</v>
      </c>
      <c r="D112" s="3">
        <v>10.0</v>
      </c>
      <c r="E112" s="11">
        <v>2010.0</v>
      </c>
      <c r="F112" s="3" t="s">
        <v>815</v>
      </c>
      <c r="G112" s="37" t="s">
        <v>28</v>
      </c>
      <c r="H112" s="37" t="s">
        <v>11</v>
      </c>
    </row>
    <row r="113" ht="15.75" customHeight="1">
      <c r="A113" s="3" t="s">
        <v>689</v>
      </c>
      <c r="B113" s="13">
        <v>784715.4</v>
      </c>
      <c r="C113" s="13">
        <v>106392.0</v>
      </c>
      <c r="D113" s="3">
        <v>3.0</v>
      </c>
      <c r="E113" s="11">
        <v>2014.0</v>
      </c>
      <c r="F113" s="3" t="s">
        <v>815</v>
      </c>
      <c r="G113" s="37" t="s">
        <v>28</v>
      </c>
      <c r="H113" s="37" t="s">
        <v>11</v>
      </c>
    </row>
    <row r="114" ht="15.75" customHeight="1">
      <c r="A114" s="3" t="s">
        <v>653</v>
      </c>
      <c r="B114" s="13">
        <v>60113.19</v>
      </c>
      <c r="C114" s="13">
        <v>15527.630000000005</v>
      </c>
      <c r="D114" s="3">
        <v>10.0</v>
      </c>
      <c r="E114" s="11">
        <v>2012.0</v>
      </c>
      <c r="F114" s="3" t="s">
        <v>815</v>
      </c>
      <c r="G114" s="37" t="s">
        <v>28</v>
      </c>
      <c r="H114" s="37" t="s">
        <v>8</v>
      </c>
    </row>
    <row r="115" ht="15.75" customHeight="1">
      <c r="A115" s="3" t="s">
        <v>97</v>
      </c>
      <c r="B115" s="13">
        <v>1067993.44</v>
      </c>
      <c r="C115" s="13">
        <v>717729.1199999999</v>
      </c>
      <c r="D115" s="3">
        <v>6.0</v>
      </c>
      <c r="E115" s="11">
        <v>2015.0</v>
      </c>
      <c r="F115" s="3" t="s">
        <v>818</v>
      </c>
      <c r="G115" s="37" t="s">
        <v>28</v>
      </c>
      <c r="H115" s="37" t="s">
        <v>5</v>
      </c>
    </row>
    <row r="116" ht="15.75" customHeight="1">
      <c r="A116" s="3" t="s">
        <v>291</v>
      </c>
      <c r="B116" s="13">
        <v>795441.8999999999</v>
      </c>
      <c r="C116" s="13">
        <v>342577.5299999999</v>
      </c>
      <c r="D116" s="3">
        <v>4.0</v>
      </c>
      <c r="E116" s="11">
        <v>2016.0</v>
      </c>
      <c r="F116" s="3" t="s">
        <v>818</v>
      </c>
      <c r="G116" s="37" t="s">
        <v>28</v>
      </c>
      <c r="H116" s="37" t="s">
        <v>3</v>
      </c>
    </row>
    <row r="117" ht="15.75" customHeight="1">
      <c r="A117" s="3" t="s">
        <v>46</v>
      </c>
      <c r="B117" s="13">
        <v>276978.8</v>
      </c>
      <c r="C117" s="13">
        <v>104008.1</v>
      </c>
      <c r="D117" s="3">
        <v>6.0</v>
      </c>
      <c r="E117" s="11">
        <v>2017.0</v>
      </c>
      <c r="F117" s="3" t="s">
        <v>818</v>
      </c>
      <c r="G117" s="37" t="s">
        <v>28</v>
      </c>
      <c r="H117" s="37" t="s">
        <v>10</v>
      </c>
    </row>
    <row r="118" ht="15.75" customHeight="1">
      <c r="A118" s="3" t="s">
        <v>270</v>
      </c>
      <c r="B118" s="13">
        <v>2657301.6</v>
      </c>
      <c r="C118" s="13">
        <v>1056781.86</v>
      </c>
      <c r="D118" s="3">
        <v>7.0</v>
      </c>
      <c r="E118" s="11">
        <v>2016.0</v>
      </c>
      <c r="F118" s="3" t="s">
        <v>815</v>
      </c>
      <c r="G118" s="37" t="s">
        <v>28</v>
      </c>
      <c r="H118" s="37" t="s">
        <v>12</v>
      </c>
    </row>
    <row r="119" ht="15.75" customHeight="1">
      <c r="A119" s="3" t="s">
        <v>482</v>
      </c>
      <c r="B119" s="13">
        <v>6261689.899999999</v>
      </c>
      <c r="C119" s="13">
        <v>1552890.0999999996</v>
      </c>
      <c r="D119" s="3">
        <v>6.0</v>
      </c>
      <c r="E119" s="11">
        <v>2014.0</v>
      </c>
      <c r="F119" s="3" t="s">
        <v>815</v>
      </c>
      <c r="G119" s="37" t="s">
        <v>28</v>
      </c>
      <c r="H119" s="37" t="s">
        <v>4</v>
      </c>
    </row>
    <row r="120" ht="15.75" customHeight="1">
      <c r="A120" s="3" t="s">
        <v>575</v>
      </c>
      <c r="B120" s="13">
        <v>1262998.0</v>
      </c>
      <c r="C120" s="13">
        <v>543942.6</v>
      </c>
      <c r="D120" s="3">
        <v>9.0</v>
      </c>
      <c r="E120" s="11">
        <v>2013.0</v>
      </c>
      <c r="F120" s="3" t="s">
        <v>815</v>
      </c>
      <c r="G120" s="37" t="s">
        <v>28</v>
      </c>
      <c r="H120" s="37" t="s">
        <v>3</v>
      </c>
    </row>
    <row r="121" ht="15.75" customHeight="1">
      <c r="A121" s="3" t="s">
        <v>248</v>
      </c>
      <c r="B121" s="13">
        <v>548148.48</v>
      </c>
      <c r="C121" s="13">
        <v>368375.0399999999</v>
      </c>
      <c r="D121" s="3">
        <v>9.0</v>
      </c>
      <c r="E121" s="11">
        <v>2012.0</v>
      </c>
      <c r="F121" s="3" t="s">
        <v>815</v>
      </c>
      <c r="G121" s="37" t="s">
        <v>28</v>
      </c>
      <c r="H121" s="37" t="s">
        <v>5</v>
      </c>
    </row>
    <row r="122" ht="15.75" customHeight="1">
      <c r="A122" s="3" t="s">
        <v>482</v>
      </c>
      <c r="B122" s="13">
        <v>259462.35</v>
      </c>
      <c r="C122" s="13">
        <v>35178.0</v>
      </c>
      <c r="D122" s="3">
        <v>7.0</v>
      </c>
      <c r="E122" s="11">
        <v>2013.0</v>
      </c>
      <c r="F122" s="3" t="s">
        <v>818</v>
      </c>
      <c r="G122" s="37" t="s">
        <v>28</v>
      </c>
      <c r="H122" s="37" t="s">
        <v>11</v>
      </c>
    </row>
    <row r="123" ht="15.75" customHeight="1">
      <c r="A123" s="3" t="s">
        <v>78</v>
      </c>
      <c r="B123" s="13">
        <v>1180833.09</v>
      </c>
      <c r="C123" s="13">
        <v>292844.91000000003</v>
      </c>
      <c r="D123" s="3">
        <v>9.0</v>
      </c>
      <c r="E123" s="11">
        <v>2015.0</v>
      </c>
      <c r="F123" s="3" t="s">
        <v>815</v>
      </c>
      <c r="G123" s="37" t="s">
        <v>28</v>
      </c>
      <c r="H123" s="37" t="s">
        <v>4</v>
      </c>
    </row>
    <row r="124" ht="15.75" customHeight="1">
      <c r="A124" s="3" t="s">
        <v>142</v>
      </c>
      <c r="B124" s="13">
        <v>620824.0</v>
      </c>
      <c r="C124" s="13">
        <v>246895.40000000002</v>
      </c>
      <c r="D124" s="3">
        <v>5.0</v>
      </c>
      <c r="E124" s="11">
        <v>2012.0</v>
      </c>
      <c r="F124" s="3" t="s">
        <v>815</v>
      </c>
      <c r="G124" s="37" t="s">
        <v>28</v>
      </c>
      <c r="H124" s="37" t="s">
        <v>12</v>
      </c>
    </row>
    <row r="125" ht="15.75" customHeight="1">
      <c r="A125" s="3" t="s">
        <v>455</v>
      </c>
      <c r="B125" s="13">
        <v>37960.0</v>
      </c>
      <c r="C125" s="13">
        <v>12528.0</v>
      </c>
      <c r="D125" s="3">
        <v>4.0</v>
      </c>
      <c r="E125" s="11">
        <v>2016.0</v>
      </c>
      <c r="F125" s="3" t="s">
        <v>815</v>
      </c>
      <c r="G125" s="37" t="s">
        <v>28</v>
      </c>
      <c r="H125" s="37" t="s">
        <v>6</v>
      </c>
    </row>
    <row r="126" ht="15.75" customHeight="1">
      <c r="A126" s="3" t="s">
        <v>97</v>
      </c>
      <c r="B126" s="13">
        <v>1038364.4</v>
      </c>
      <c r="C126" s="13">
        <v>425496.19999999995</v>
      </c>
      <c r="D126" s="3">
        <v>1.0</v>
      </c>
      <c r="E126" s="11">
        <v>2011.0</v>
      </c>
      <c r="F126" s="3" t="s">
        <v>815</v>
      </c>
      <c r="G126" s="37" t="s">
        <v>28</v>
      </c>
      <c r="H126" s="37" t="s">
        <v>9</v>
      </c>
    </row>
    <row r="127" ht="15.75" customHeight="1">
      <c r="A127" s="3" t="s">
        <v>740</v>
      </c>
      <c r="B127" s="13">
        <v>5126325.12</v>
      </c>
      <c r="C127" s="13">
        <v>993840.0</v>
      </c>
      <c r="D127" s="3">
        <v>5.0</v>
      </c>
      <c r="E127" s="11">
        <v>2017.0</v>
      </c>
      <c r="F127" s="3" t="s">
        <v>818</v>
      </c>
      <c r="G127" s="37" t="s">
        <v>28</v>
      </c>
      <c r="H127" s="37" t="s">
        <v>7</v>
      </c>
    </row>
    <row r="128" ht="15.75" customHeight="1">
      <c r="A128" s="3" t="s">
        <v>267</v>
      </c>
      <c r="B128" s="13">
        <v>503.82</v>
      </c>
      <c r="C128" s="13">
        <v>130.14</v>
      </c>
      <c r="D128" s="3">
        <v>1.0</v>
      </c>
      <c r="E128" s="11">
        <v>2016.0</v>
      </c>
      <c r="F128" s="3" t="s">
        <v>818</v>
      </c>
      <c r="G128" s="37" t="s">
        <v>28</v>
      </c>
      <c r="H128" s="37" t="s">
        <v>8</v>
      </c>
    </row>
    <row r="129" ht="15.75" customHeight="1">
      <c r="A129" s="3" t="s">
        <v>413</v>
      </c>
      <c r="B129" s="13">
        <v>2849043.75</v>
      </c>
      <c r="C129" s="13">
        <v>552343.75</v>
      </c>
      <c r="D129" s="3">
        <v>5.0</v>
      </c>
      <c r="E129" s="11">
        <v>2010.0</v>
      </c>
      <c r="F129" s="3" t="s">
        <v>815</v>
      </c>
      <c r="G129" s="37" t="s">
        <v>28</v>
      </c>
      <c r="H129" s="37" t="s">
        <v>7</v>
      </c>
    </row>
    <row r="130" ht="15.75" customHeight="1">
      <c r="A130" s="3" t="s">
        <v>123</v>
      </c>
      <c r="B130" s="13">
        <v>451331.64</v>
      </c>
      <c r="C130" s="13">
        <v>163104.12</v>
      </c>
      <c r="D130" s="3">
        <v>12.0</v>
      </c>
      <c r="E130" s="11">
        <v>2012.0</v>
      </c>
      <c r="F130" s="3" t="s">
        <v>815</v>
      </c>
      <c r="G130" s="37" t="s">
        <v>28</v>
      </c>
      <c r="H130" s="37" t="s">
        <v>13</v>
      </c>
    </row>
    <row r="131" ht="15.75" customHeight="1">
      <c r="A131" s="3" t="s">
        <v>740</v>
      </c>
      <c r="B131" s="13">
        <v>850791.2</v>
      </c>
      <c r="C131" s="13">
        <v>338351.01999999996</v>
      </c>
      <c r="D131" s="3">
        <v>6.0</v>
      </c>
      <c r="E131" s="11">
        <v>2014.0</v>
      </c>
      <c r="F131" s="3" t="s">
        <v>815</v>
      </c>
      <c r="G131" s="37" t="s">
        <v>28</v>
      </c>
      <c r="H131" s="37" t="s">
        <v>12</v>
      </c>
    </row>
    <row r="132" ht="15.75" customHeight="1">
      <c r="A132" s="3" t="s">
        <v>221</v>
      </c>
      <c r="B132" s="13">
        <v>470013.28</v>
      </c>
      <c r="C132" s="13">
        <v>315865.44</v>
      </c>
      <c r="D132" s="3">
        <v>10.0</v>
      </c>
      <c r="E132" s="11">
        <v>2014.0</v>
      </c>
      <c r="F132" s="3" t="s">
        <v>818</v>
      </c>
      <c r="G132" s="37" t="s">
        <v>28</v>
      </c>
      <c r="H132" s="37" t="s">
        <v>5</v>
      </c>
    </row>
    <row r="133" ht="15.75" customHeight="1">
      <c r="A133" s="3" t="s">
        <v>123</v>
      </c>
      <c r="B133" s="13">
        <v>135553.68</v>
      </c>
      <c r="C133" s="13">
        <v>50901.66</v>
      </c>
      <c r="D133" s="3">
        <v>4.0</v>
      </c>
      <c r="E133" s="11">
        <v>2015.0</v>
      </c>
      <c r="F133" s="3" t="s">
        <v>815</v>
      </c>
      <c r="G133" s="37" t="s">
        <v>28</v>
      </c>
      <c r="H133" s="37" t="s">
        <v>10</v>
      </c>
    </row>
    <row r="134" ht="15.75" customHeight="1">
      <c r="A134" s="3" t="s">
        <v>123</v>
      </c>
      <c r="B134" s="13">
        <v>1256975.54</v>
      </c>
      <c r="C134" s="13">
        <v>515077.6699999999</v>
      </c>
      <c r="D134" s="3">
        <v>11.0</v>
      </c>
      <c r="E134" s="11">
        <v>2016.0</v>
      </c>
      <c r="F134" s="3" t="s">
        <v>815</v>
      </c>
      <c r="G134" s="37" t="s">
        <v>28</v>
      </c>
      <c r="H134" s="37" t="s">
        <v>9</v>
      </c>
    </row>
    <row r="135" ht="15.75" customHeight="1">
      <c r="A135" s="3" t="s">
        <v>428</v>
      </c>
      <c r="B135" s="13">
        <v>5117611.66</v>
      </c>
      <c r="C135" s="13">
        <v>1269160.3399999999</v>
      </c>
      <c r="D135" s="3">
        <v>8.0</v>
      </c>
      <c r="E135" s="11">
        <v>2015.0</v>
      </c>
      <c r="F135" s="3" t="s">
        <v>815</v>
      </c>
      <c r="G135" s="37" t="s">
        <v>28</v>
      </c>
      <c r="H135" s="37" t="s">
        <v>4</v>
      </c>
    </row>
    <row r="136" ht="15.75" customHeight="1">
      <c r="A136" s="3" t="s">
        <v>623</v>
      </c>
      <c r="B136" s="13">
        <v>391977.08</v>
      </c>
      <c r="C136" s="13">
        <v>120187.76000000001</v>
      </c>
      <c r="D136" s="3">
        <v>1.0</v>
      </c>
      <c r="E136" s="11">
        <v>2012.0</v>
      </c>
      <c r="F136" s="3" t="s">
        <v>939</v>
      </c>
      <c r="G136" s="37" t="s">
        <v>28</v>
      </c>
      <c r="H136" s="37" t="s">
        <v>14</v>
      </c>
    </row>
    <row r="137" ht="15.75" customHeight="1">
      <c r="A137" s="3" t="s">
        <v>78</v>
      </c>
      <c r="B137" s="13">
        <v>81478.89</v>
      </c>
      <c r="C137" s="13">
        <v>21046.53</v>
      </c>
      <c r="D137" s="3">
        <v>4.0</v>
      </c>
      <c r="E137" s="11">
        <v>2011.0</v>
      </c>
      <c r="F137" s="3" t="s">
        <v>818</v>
      </c>
      <c r="G137" s="37" t="s">
        <v>28</v>
      </c>
      <c r="H137" s="37" t="s">
        <v>8</v>
      </c>
    </row>
    <row r="138" ht="15.75" customHeight="1">
      <c r="A138" s="3" t="s">
        <v>221</v>
      </c>
      <c r="B138" s="13">
        <v>602528.66</v>
      </c>
      <c r="C138" s="13">
        <v>246901.43</v>
      </c>
      <c r="D138" s="3">
        <v>8.0</v>
      </c>
      <c r="E138" s="11">
        <v>2015.0</v>
      </c>
      <c r="F138" s="3" t="s">
        <v>815</v>
      </c>
      <c r="G138" s="37" t="s">
        <v>28</v>
      </c>
      <c r="H138" s="37" t="s">
        <v>9</v>
      </c>
    </row>
    <row r="139" ht="15.75" customHeight="1">
      <c r="A139" s="3" t="s">
        <v>428</v>
      </c>
      <c r="B139" s="13">
        <v>4768159.62</v>
      </c>
      <c r="C139" s="13">
        <v>924402.5</v>
      </c>
      <c r="D139" s="3">
        <v>11.0</v>
      </c>
      <c r="E139" s="11">
        <v>2015.0</v>
      </c>
      <c r="F139" s="3" t="s">
        <v>815</v>
      </c>
      <c r="G139" s="37" t="s">
        <v>28</v>
      </c>
      <c r="H139" s="37" t="s">
        <v>7</v>
      </c>
    </row>
    <row r="140" ht="15.75" customHeight="1">
      <c r="A140" s="3" t="s">
        <v>349</v>
      </c>
      <c r="B140" s="13">
        <v>539504.7999999999</v>
      </c>
      <c r="C140" s="13">
        <v>214555.57999999996</v>
      </c>
      <c r="D140" s="3">
        <v>4.0</v>
      </c>
      <c r="E140" s="11">
        <v>2017.0</v>
      </c>
      <c r="F140" s="3" t="s">
        <v>815</v>
      </c>
      <c r="G140" s="37" t="s">
        <v>28</v>
      </c>
      <c r="H140" s="37" t="s">
        <v>12</v>
      </c>
    </row>
    <row r="141" ht="15.75" customHeight="1">
      <c r="A141" s="3" t="s">
        <v>101</v>
      </c>
      <c r="B141" s="13">
        <v>64600.92</v>
      </c>
      <c r="C141" s="13">
        <v>16686.839999999997</v>
      </c>
      <c r="D141" s="3">
        <v>5.0</v>
      </c>
      <c r="E141" s="11">
        <v>2011.0</v>
      </c>
      <c r="F141" s="3" t="s">
        <v>818</v>
      </c>
      <c r="G141" s="37" t="s">
        <v>28</v>
      </c>
      <c r="H141" s="37" t="s">
        <v>8</v>
      </c>
    </row>
    <row r="142" ht="15.75" customHeight="1">
      <c r="A142" s="3" t="s">
        <v>653</v>
      </c>
      <c r="B142" s="13">
        <v>956200.0</v>
      </c>
      <c r="C142" s="13">
        <v>642600.0</v>
      </c>
      <c r="D142" s="3">
        <v>5.0</v>
      </c>
      <c r="E142" s="11">
        <v>2014.0</v>
      </c>
      <c r="F142" s="3" t="s">
        <v>818</v>
      </c>
      <c r="G142" s="37" t="s">
        <v>28</v>
      </c>
      <c r="H142" s="37" t="s">
        <v>5</v>
      </c>
    </row>
    <row r="143" ht="15.75" customHeight="1">
      <c r="A143" s="3" t="s">
        <v>218</v>
      </c>
      <c r="B143" s="13">
        <v>162151.29</v>
      </c>
      <c r="C143" s="13">
        <v>31436.25</v>
      </c>
      <c r="D143" s="3">
        <v>5.0</v>
      </c>
      <c r="E143" s="11">
        <v>2012.0</v>
      </c>
      <c r="F143" s="3" t="s">
        <v>818</v>
      </c>
      <c r="G143" s="37" t="s">
        <v>28</v>
      </c>
      <c r="H143" s="37" t="s">
        <v>7</v>
      </c>
    </row>
    <row r="144" ht="15.75" customHeight="1">
      <c r="A144" s="3" t="s">
        <v>593</v>
      </c>
      <c r="B144" s="13">
        <v>854142.8400000001</v>
      </c>
      <c r="C144" s="13">
        <v>308673.7200000001</v>
      </c>
      <c r="D144" s="3">
        <v>7.0</v>
      </c>
      <c r="E144" s="11">
        <v>2012.0</v>
      </c>
      <c r="F144" s="3" t="s">
        <v>818</v>
      </c>
      <c r="G144" s="37" t="s">
        <v>28</v>
      </c>
      <c r="H144" s="37" t="s">
        <v>13</v>
      </c>
    </row>
    <row r="145" ht="15.75" customHeight="1">
      <c r="A145" s="3" t="s">
        <v>206</v>
      </c>
      <c r="B145" s="13">
        <v>79146.6</v>
      </c>
      <c r="C145" s="13">
        <v>26120.880000000005</v>
      </c>
      <c r="D145" s="3">
        <v>2.0</v>
      </c>
      <c r="E145" s="11">
        <v>2013.0</v>
      </c>
      <c r="F145" s="3" t="s">
        <v>818</v>
      </c>
      <c r="G145" s="37" t="s">
        <v>28</v>
      </c>
      <c r="H145" s="37" t="s">
        <v>6</v>
      </c>
    </row>
    <row r="146" ht="15.75" customHeight="1">
      <c r="A146" s="3" t="s">
        <v>46</v>
      </c>
      <c r="B146" s="13">
        <v>536455.52</v>
      </c>
      <c r="C146" s="13">
        <v>360516.95999999996</v>
      </c>
      <c r="D146" s="3">
        <v>6.0</v>
      </c>
      <c r="E146" s="11">
        <v>2017.0</v>
      </c>
      <c r="F146" s="3" t="s">
        <v>815</v>
      </c>
      <c r="G146" s="37" t="s">
        <v>28</v>
      </c>
      <c r="H146" s="37" t="s">
        <v>5</v>
      </c>
    </row>
    <row r="147" ht="15.75" customHeight="1">
      <c r="A147" s="3" t="s">
        <v>206</v>
      </c>
      <c r="B147" s="13">
        <v>275020.2</v>
      </c>
      <c r="C147" s="13">
        <v>90765.36000000002</v>
      </c>
      <c r="D147" s="3">
        <v>3.0</v>
      </c>
      <c r="E147" s="11">
        <v>2017.0</v>
      </c>
      <c r="F147" s="3" t="s">
        <v>818</v>
      </c>
      <c r="G147" s="37" t="s">
        <v>28</v>
      </c>
      <c r="H147" s="37" t="s">
        <v>6</v>
      </c>
    </row>
    <row r="148" ht="15.75" customHeight="1">
      <c r="A148" s="3" t="s">
        <v>218</v>
      </c>
      <c r="B148" s="13">
        <v>2929.62</v>
      </c>
      <c r="C148" s="13">
        <v>756.7399999999998</v>
      </c>
      <c r="D148" s="3">
        <v>11.0</v>
      </c>
      <c r="E148" s="11">
        <v>2012.0</v>
      </c>
      <c r="F148" s="3" t="s">
        <v>815</v>
      </c>
      <c r="G148" s="37" t="s">
        <v>28</v>
      </c>
      <c r="H148" s="37" t="s">
        <v>8</v>
      </c>
    </row>
    <row r="149" ht="15.75" customHeight="1">
      <c r="A149" s="3" t="s">
        <v>78</v>
      </c>
      <c r="B149" s="13">
        <v>420549.35000000003</v>
      </c>
      <c r="C149" s="13">
        <v>138794.58000000002</v>
      </c>
      <c r="D149" s="3">
        <v>4.0</v>
      </c>
      <c r="E149" s="11">
        <v>2012.0</v>
      </c>
      <c r="F149" s="3" t="s">
        <v>818</v>
      </c>
      <c r="G149" s="37" t="s">
        <v>28</v>
      </c>
      <c r="H149" s="37" t="s">
        <v>6</v>
      </c>
    </row>
    <row r="150" ht="15.75" customHeight="1">
      <c r="A150" s="3" t="s">
        <v>101</v>
      </c>
      <c r="B150" s="13">
        <v>786522.7999999999</v>
      </c>
      <c r="C150" s="13">
        <v>312792.12999999995</v>
      </c>
      <c r="D150" s="3">
        <v>7.0</v>
      </c>
      <c r="E150" s="11">
        <v>2016.0</v>
      </c>
      <c r="F150" s="3" t="s">
        <v>818</v>
      </c>
      <c r="G150" s="37" t="s">
        <v>28</v>
      </c>
      <c r="H150" s="37" t="s">
        <v>12</v>
      </c>
    </row>
    <row r="151" ht="15.75" customHeight="1">
      <c r="A151" s="3" t="s">
        <v>593</v>
      </c>
      <c r="B151" s="13">
        <v>48115.44</v>
      </c>
      <c r="C151" s="13">
        <v>11932.559999999998</v>
      </c>
      <c r="D151" s="3">
        <v>7.0</v>
      </c>
      <c r="E151" s="11">
        <v>2017.0</v>
      </c>
      <c r="F151" s="3" t="s">
        <v>815</v>
      </c>
      <c r="G151" s="37" t="s">
        <v>28</v>
      </c>
      <c r="H151" s="37" t="s">
        <v>4</v>
      </c>
    </row>
    <row r="152" ht="15.75" customHeight="1">
      <c r="A152" s="3" t="s">
        <v>428</v>
      </c>
      <c r="B152" s="13">
        <v>57596.0</v>
      </c>
      <c r="C152" s="13">
        <v>24805.199999999997</v>
      </c>
      <c r="D152" s="3">
        <v>10.0</v>
      </c>
      <c r="E152" s="11">
        <v>2014.0</v>
      </c>
      <c r="F152" s="3" t="s">
        <v>818</v>
      </c>
      <c r="G152" s="37" t="s">
        <v>28</v>
      </c>
      <c r="H152" s="37" t="s">
        <v>3</v>
      </c>
    </row>
    <row r="153" ht="15.75" customHeight="1">
      <c r="A153" s="3" t="s">
        <v>434</v>
      </c>
      <c r="B153" s="13">
        <v>142373.66</v>
      </c>
      <c r="C153" s="13">
        <v>43654.520000000004</v>
      </c>
      <c r="D153" s="3">
        <v>5.0</v>
      </c>
      <c r="E153" s="11">
        <v>2011.0</v>
      </c>
      <c r="F153" s="3" t="s">
        <v>815</v>
      </c>
      <c r="G153" s="37" t="s">
        <v>28</v>
      </c>
      <c r="H153" s="37" t="s">
        <v>14</v>
      </c>
    </row>
    <row r="154" ht="15.75" customHeight="1">
      <c r="A154" s="3" t="s">
        <v>67</v>
      </c>
      <c r="B154" s="13">
        <v>201926.48</v>
      </c>
      <c r="C154" s="13">
        <v>75825.26000000002</v>
      </c>
      <c r="D154" s="3">
        <v>1.0</v>
      </c>
      <c r="E154" s="11">
        <v>2012.0</v>
      </c>
      <c r="F154" s="3" t="s">
        <v>818</v>
      </c>
      <c r="G154" s="37" t="s">
        <v>23</v>
      </c>
      <c r="H154" s="37" t="s">
        <v>10</v>
      </c>
    </row>
    <row r="155" ht="15.75" customHeight="1">
      <c r="A155" s="3" t="s">
        <v>267</v>
      </c>
      <c r="B155" s="13">
        <v>353237.06</v>
      </c>
      <c r="C155" s="13">
        <v>108309.31999999998</v>
      </c>
      <c r="D155" s="3">
        <v>7.0</v>
      </c>
      <c r="E155" s="11">
        <v>2014.0</v>
      </c>
      <c r="F155" s="3" t="s">
        <v>815</v>
      </c>
      <c r="G155" s="37" t="s">
        <v>28</v>
      </c>
      <c r="H155" s="37" t="s">
        <v>14</v>
      </c>
    </row>
    <row r="156" ht="15.75" customHeight="1">
      <c r="A156" s="3" t="s">
        <v>248</v>
      </c>
      <c r="B156" s="13">
        <v>1366053.7</v>
      </c>
      <c r="C156" s="13">
        <v>588326.19</v>
      </c>
      <c r="D156" s="3">
        <v>7.0</v>
      </c>
      <c r="E156" s="11">
        <v>2013.0</v>
      </c>
      <c r="F156" s="3" t="s">
        <v>818</v>
      </c>
      <c r="G156" s="37" t="s">
        <v>28</v>
      </c>
      <c r="H156" s="37" t="s">
        <v>3</v>
      </c>
    </row>
    <row r="157" ht="15.75" customHeight="1">
      <c r="A157" s="3" t="s">
        <v>300</v>
      </c>
      <c r="B157" s="13">
        <v>237904.12</v>
      </c>
      <c r="C157" s="13">
        <v>58999.879999999976</v>
      </c>
      <c r="D157" s="3">
        <v>9.0</v>
      </c>
      <c r="E157" s="11">
        <v>2013.0</v>
      </c>
      <c r="F157" s="3" t="s">
        <v>815</v>
      </c>
      <c r="G157" s="37" t="s">
        <v>28</v>
      </c>
      <c r="H157" s="37" t="s">
        <v>4</v>
      </c>
    </row>
    <row r="158" ht="15.75" customHeight="1">
      <c r="A158" s="3" t="s">
        <v>67</v>
      </c>
      <c r="B158" s="13">
        <v>310805.46</v>
      </c>
      <c r="C158" s="13">
        <v>112320.18000000002</v>
      </c>
      <c r="D158" s="3">
        <v>2.0</v>
      </c>
      <c r="E158" s="11">
        <v>2011.0</v>
      </c>
      <c r="F158" s="3" t="s">
        <v>815</v>
      </c>
      <c r="G158" s="37" t="s">
        <v>23</v>
      </c>
      <c r="H158" s="37" t="s">
        <v>13</v>
      </c>
    </row>
    <row r="159" ht="15.75" customHeight="1">
      <c r="A159" s="3" t="s">
        <v>221</v>
      </c>
      <c r="B159" s="13">
        <v>255665.34</v>
      </c>
      <c r="C159" s="13">
        <v>34663.20000000001</v>
      </c>
      <c r="D159" s="3">
        <v>11.0</v>
      </c>
      <c r="E159" s="11">
        <v>2011.0</v>
      </c>
      <c r="F159" s="3" t="s">
        <v>815</v>
      </c>
      <c r="G159" s="37" t="s">
        <v>28</v>
      </c>
      <c r="H159" s="37" t="s">
        <v>11</v>
      </c>
    </row>
    <row r="160" ht="15.75" customHeight="1">
      <c r="A160" s="3" t="s">
        <v>536</v>
      </c>
      <c r="B160" s="13">
        <v>2120610.96</v>
      </c>
      <c r="C160" s="13">
        <v>796309.02</v>
      </c>
      <c r="D160" s="3">
        <v>4.0</v>
      </c>
      <c r="E160" s="11">
        <v>2014.0</v>
      </c>
      <c r="F160" s="3" t="s">
        <v>818</v>
      </c>
      <c r="G160" s="37" t="s">
        <v>28</v>
      </c>
      <c r="H160" s="37" t="s">
        <v>10</v>
      </c>
    </row>
    <row r="161" ht="15.75" customHeight="1">
      <c r="A161" s="3" t="s">
        <v>578</v>
      </c>
      <c r="B161" s="13">
        <v>779871.09</v>
      </c>
      <c r="C161" s="13">
        <v>193406.90999999992</v>
      </c>
      <c r="D161" s="3">
        <v>1.0</v>
      </c>
      <c r="E161" s="11">
        <v>2012.0</v>
      </c>
      <c r="F161" s="3" t="s">
        <v>815</v>
      </c>
      <c r="G161" s="37" t="s">
        <v>28</v>
      </c>
      <c r="H161" s="37" t="s">
        <v>4</v>
      </c>
    </row>
    <row r="162" ht="15.75" customHeight="1">
      <c r="A162" s="3" t="s">
        <v>142</v>
      </c>
      <c r="B162" s="13">
        <v>2208253.1100000003</v>
      </c>
      <c r="C162" s="13">
        <v>428113.75000000023</v>
      </c>
      <c r="D162" s="3">
        <v>2.0</v>
      </c>
      <c r="E162" s="11">
        <v>2014.0</v>
      </c>
      <c r="F162" s="3" t="s">
        <v>818</v>
      </c>
      <c r="G162" s="37" t="s">
        <v>28</v>
      </c>
      <c r="H162" s="37" t="s">
        <v>7</v>
      </c>
    </row>
    <row r="163" ht="15.75" customHeight="1">
      <c r="A163" s="3" t="s">
        <v>623</v>
      </c>
      <c r="B163" s="13">
        <v>961559.16</v>
      </c>
      <c r="C163" s="13">
        <v>347492.28</v>
      </c>
      <c r="D163" s="3">
        <v>1.0</v>
      </c>
      <c r="E163" s="11">
        <v>2013.0</v>
      </c>
      <c r="F163" s="3" t="s">
        <v>818</v>
      </c>
      <c r="G163" s="37" t="s">
        <v>28</v>
      </c>
      <c r="H163" s="37" t="s">
        <v>13</v>
      </c>
    </row>
    <row r="164" ht="15.75" customHeight="1">
      <c r="A164" s="3" t="s">
        <v>740</v>
      </c>
      <c r="B164" s="13">
        <v>3957971.6</v>
      </c>
      <c r="C164" s="13">
        <v>1574045.1100000003</v>
      </c>
      <c r="D164" s="3">
        <v>1.0</v>
      </c>
      <c r="E164" s="11">
        <v>2012.0</v>
      </c>
      <c r="F164" s="3" t="s">
        <v>815</v>
      </c>
      <c r="G164" s="37" t="s">
        <v>28</v>
      </c>
      <c r="H164" s="37" t="s">
        <v>12</v>
      </c>
    </row>
    <row r="165" ht="15.75" customHeight="1">
      <c r="A165" s="3" t="s">
        <v>288</v>
      </c>
      <c r="B165" s="13">
        <v>486308.4</v>
      </c>
      <c r="C165" s="13">
        <v>182613.30000000005</v>
      </c>
      <c r="D165" s="3">
        <v>6.0</v>
      </c>
      <c r="E165" s="11">
        <v>2015.0</v>
      </c>
      <c r="F165" s="3" t="s">
        <v>815</v>
      </c>
      <c r="G165" s="37" t="s">
        <v>23</v>
      </c>
      <c r="H165" s="37" t="s">
        <v>10</v>
      </c>
    </row>
    <row r="166" ht="15.75" customHeight="1">
      <c r="A166" s="3" t="s">
        <v>349</v>
      </c>
      <c r="B166" s="13">
        <v>808606.7</v>
      </c>
      <c r="C166" s="13">
        <v>348247.29</v>
      </c>
      <c r="D166" s="3">
        <v>6.0</v>
      </c>
      <c r="E166" s="11">
        <v>2010.0</v>
      </c>
      <c r="F166" s="3" t="s">
        <v>815</v>
      </c>
      <c r="G166" s="37" t="s">
        <v>28</v>
      </c>
      <c r="H166" s="37" t="s">
        <v>3</v>
      </c>
    </row>
    <row r="167" ht="15.75" customHeight="1">
      <c r="A167" s="3" t="s">
        <v>346</v>
      </c>
      <c r="B167" s="13">
        <v>2009634.06</v>
      </c>
      <c r="C167" s="13">
        <v>389607.5</v>
      </c>
      <c r="D167" s="3">
        <v>8.0</v>
      </c>
      <c r="E167" s="11">
        <v>2011.0</v>
      </c>
      <c r="F167" s="3" t="s">
        <v>815</v>
      </c>
      <c r="G167" s="37" t="s">
        <v>28</v>
      </c>
      <c r="H167" s="37" t="s">
        <v>7</v>
      </c>
    </row>
    <row r="168" ht="15.75" customHeight="1">
      <c r="A168" s="3" t="s">
        <v>291</v>
      </c>
      <c r="B168" s="13">
        <v>128331.98</v>
      </c>
      <c r="C168" s="13">
        <v>52587.28999999999</v>
      </c>
      <c r="D168" s="3">
        <v>8.0</v>
      </c>
      <c r="E168" s="11">
        <v>2015.0</v>
      </c>
      <c r="F168" s="3" t="s">
        <v>818</v>
      </c>
      <c r="G168" s="37" t="s">
        <v>28</v>
      </c>
      <c r="H168" s="37" t="s">
        <v>9</v>
      </c>
    </row>
    <row r="169" ht="15.75" customHeight="1">
      <c r="A169" s="3" t="s">
        <v>123</v>
      </c>
      <c r="B169" s="13">
        <v>3414969.1999999997</v>
      </c>
      <c r="C169" s="13">
        <v>1358098.5699999998</v>
      </c>
      <c r="D169" s="3">
        <v>2.0</v>
      </c>
      <c r="E169" s="11">
        <v>2012.0</v>
      </c>
      <c r="F169" s="3" t="s">
        <v>818</v>
      </c>
      <c r="G169" s="37" t="s">
        <v>28</v>
      </c>
      <c r="H169" s="37" t="s">
        <v>12</v>
      </c>
    </row>
    <row r="170" ht="15.75" customHeight="1">
      <c r="A170" s="3" t="s">
        <v>32</v>
      </c>
      <c r="B170" s="13">
        <v>535132.7999999999</v>
      </c>
      <c r="C170" s="13">
        <v>212816.87999999995</v>
      </c>
      <c r="D170" s="3">
        <v>8.0</v>
      </c>
      <c r="E170" s="11">
        <v>2015.0</v>
      </c>
      <c r="F170" s="3" t="s">
        <v>818</v>
      </c>
      <c r="G170" s="37" t="s">
        <v>28</v>
      </c>
      <c r="H170" s="37" t="s">
        <v>12</v>
      </c>
    </row>
    <row r="171" ht="15.75" customHeight="1">
      <c r="A171" s="3" t="s">
        <v>575</v>
      </c>
      <c r="B171" s="13">
        <v>5740416.15</v>
      </c>
      <c r="C171" s="13">
        <v>1112893.75</v>
      </c>
      <c r="D171" s="3">
        <v>11.0</v>
      </c>
      <c r="E171" s="11">
        <v>2015.0</v>
      </c>
      <c r="F171" s="3" t="s">
        <v>818</v>
      </c>
      <c r="G171" s="37" t="s">
        <v>28</v>
      </c>
      <c r="H171" s="37" t="s">
        <v>7</v>
      </c>
    </row>
    <row r="172" ht="15.75" customHeight="1">
      <c r="A172" s="3" t="s">
        <v>650</v>
      </c>
      <c r="B172" s="13">
        <v>473727.1</v>
      </c>
      <c r="C172" s="13">
        <v>204022.76999999996</v>
      </c>
      <c r="D172" s="3">
        <v>1.0</v>
      </c>
      <c r="E172" s="11">
        <v>2015.0</v>
      </c>
      <c r="F172" s="3" t="s">
        <v>815</v>
      </c>
      <c r="G172" s="37" t="s">
        <v>28</v>
      </c>
      <c r="H172" s="37" t="s">
        <v>3</v>
      </c>
    </row>
    <row r="173" ht="15.75" customHeight="1">
      <c r="A173" s="3" t="s">
        <v>689</v>
      </c>
      <c r="B173" s="13">
        <v>3644936.4</v>
      </c>
      <c r="C173" s="13">
        <v>1449554.19</v>
      </c>
      <c r="D173" s="3">
        <v>3.0</v>
      </c>
      <c r="E173" s="11">
        <v>2014.0</v>
      </c>
      <c r="F173" s="3" t="s">
        <v>818</v>
      </c>
      <c r="G173" s="37" t="s">
        <v>28</v>
      </c>
      <c r="H173" s="37" t="s">
        <v>12</v>
      </c>
    </row>
    <row r="174" ht="15.75" customHeight="1">
      <c r="A174" s="3" t="s">
        <v>215</v>
      </c>
      <c r="B174" s="13">
        <v>415482.56</v>
      </c>
      <c r="C174" s="13">
        <v>279218.88</v>
      </c>
      <c r="D174" s="3">
        <v>1.0</v>
      </c>
      <c r="E174" s="11">
        <v>2013.0</v>
      </c>
      <c r="F174" s="3" t="s">
        <v>818</v>
      </c>
      <c r="G174" s="37" t="s">
        <v>23</v>
      </c>
      <c r="H174" s="37" t="s">
        <v>5</v>
      </c>
    </row>
    <row r="175" ht="15.75" customHeight="1">
      <c r="A175" s="3" t="s">
        <v>635</v>
      </c>
      <c r="B175" s="13">
        <v>2974727.2800000003</v>
      </c>
      <c r="C175" s="13">
        <v>576710.0</v>
      </c>
      <c r="D175" s="3">
        <v>8.0</v>
      </c>
      <c r="E175" s="11">
        <v>2014.0</v>
      </c>
      <c r="F175" s="3" t="s">
        <v>818</v>
      </c>
      <c r="G175" s="37" t="s">
        <v>28</v>
      </c>
      <c r="H175" s="37" t="s">
        <v>7</v>
      </c>
    </row>
    <row r="176" ht="15.75" customHeight="1">
      <c r="A176" s="3" t="s">
        <v>142</v>
      </c>
      <c r="B176" s="13">
        <v>64388.76</v>
      </c>
      <c r="C176" s="13">
        <v>23269.08</v>
      </c>
      <c r="D176" s="3">
        <v>3.0</v>
      </c>
      <c r="E176" s="11">
        <v>2010.0</v>
      </c>
      <c r="F176" s="3" t="s">
        <v>818</v>
      </c>
      <c r="G176" s="37" t="s">
        <v>28</v>
      </c>
      <c r="H176" s="37" t="s">
        <v>13</v>
      </c>
    </row>
    <row r="177" ht="15.75" customHeight="1">
      <c r="A177" s="3" t="s">
        <v>431</v>
      </c>
      <c r="B177" s="13">
        <v>3885770.0700000003</v>
      </c>
      <c r="C177" s="13">
        <v>753333.75</v>
      </c>
      <c r="D177" s="3">
        <v>8.0</v>
      </c>
      <c r="E177" s="11">
        <v>2011.0</v>
      </c>
      <c r="F177" s="3" t="s">
        <v>815</v>
      </c>
      <c r="G177" s="37" t="s">
        <v>28</v>
      </c>
      <c r="H177" s="37" t="s">
        <v>7</v>
      </c>
    </row>
    <row r="178" ht="15.75" customHeight="1">
      <c r="A178" s="3" t="s">
        <v>536</v>
      </c>
      <c r="B178" s="13">
        <v>425009.65</v>
      </c>
      <c r="C178" s="13">
        <v>140266.62000000005</v>
      </c>
      <c r="D178" s="3">
        <v>4.0</v>
      </c>
      <c r="E178" s="11">
        <v>2015.0</v>
      </c>
      <c r="F178" s="3" t="s">
        <v>818</v>
      </c>
      <c r="G178" s="37" t="s">
        <v>28</v>
      </c>
      <c r="H178" s="37" t="s">
        <v>6</v>
      </c>
    </row>
    <row r="179" ht="15.75" customHeight="1">
      <c r="A179" s="3" t="s">
        <v>46</v>
      </c>
      <c r="B179" s="13">
        <v>758558.22</v>
      </c>
      <c r="C179" s="13">
        <v>102845.59999999998</v>
      </c>
      <c r="D179" s="3">
        <v>2.0</v>
      </c>
      <c r="E179" s="11">
        <v>2015.0</v>
      </c>
      <c r="F179" s="3" t="s">
        <v>815</v>
      </c>
      <c r="G179" s="37" t="s">
        <v>28</v>
      </c>
      <c r="H179" s="37" t="s">
        <v>11</v>
      </c>
    </row>
    <row r="180" ht="15.75" customHeight="1">
      <c r="A180" s="3" t="s">
        <v>593</v>
      </c>
      <c r="B180" s="13">
        <v>923414.16</v>
      </c>
      <c r="C180" s="13">
        <v>333707.28</v>
      </c>
      <c r="D180" s="3">
        <v>11.0</v>
      </c>
      <c r="E180" s="11">
        <v>2015.0</v>
      </c>
      <c r="F180" s="3" t="s">
        <v>818</v>
      </c>
      <c r="G180" s="37" t="s">
        <v>28</v>
      </c>
      <c r="H180" s="37" t="s">
        <v>13</v>
      </c>
    </row>
    <row r="181" ht="15.75" customHeight="1">
      <c r="A181" s="3" t="s">
        <v>689</v>
      </c>
      <c r="B181" s="13">
        <v>420815.64</v>
      </c>
      <c r="C181" s="13">
        <v>152076.12</v>
      </c>
      <c r="D181" s="3">
        <v>3.0</v>
      </c>
      <c r="E181" s="11">
        <v>2012.0</v>
      </c>
      <c r="F181" s="3" t="s">
        <v>815</v>
      </c>
      <c r="G181" s="37" t="s">
        <v>28</v>
      </c>
      <c r="H181" s="37" t="s">
        <v>13</v>
      </c>
    </row>
    <row r="182" ht="15.75" customHeight="1">
      <c r="A182" s="3" t="s">
        <v>590</v>
      </c>
      <c r="B182" s="13">
        <v>158147.55000000002</v>
      </c>
      <c r="C182" s="13">
        <v>48491.10000000002</v>
      </c>
      <c r="D182" s="3">
        <v>12.0</v>
      </c>
      <c r="E182" s="11">
        <v>2012.0</v>
      </c>
      <c r="F182" s="3" t="s">
        <v>818</v>
      </c>
      <c r="G182" s="37" t="s">
        <v>28</v>
      </c>
      <c r="H182" s="37" t="s">
        <v>14</v>
      </c>
    </row>
    <row r="183" ht="15.75" customHeight="1">
      <c r="A183" s="3" t="s">
        <v>97</v>
      </c>
      <c r="B183" s="13">
        <v>772764.96</v>
      </c>
      <c r="C183" s="13">
        <v>316660.0799999999</v>
      </c>
      <c r="D183" s="3">
        <v>6.0</v>
      </c>
      <c r="E183" s="11">
        <v>2017.0</v>
      </c>
      <c r="F183" s="3" t="s">
        <v>818</v>
      </c>
      <c r="G183" s="37" t="s">
        <v>28</v>
      </c>
      <c r="H183" s="37" t="s">
        <v>9</v>
      </c>
    </row>
    <row r="184" ht="15.75" customHeight="1">
      <c r="A184" s="3" t="s">
        <v>434</v>
      </c>
      <c r="B184" s="13">
        <v>208835.55</v>
      </c>
      <c r="C184" s="13">
        <v>28314.0</v>
      </c>
      <c r="D184" s="3">
        <v>12.0</v>
      </c>
      <c r="E184" s="11">
        <v>2015.0</v>
      </c>
      <c r="F184" s="3" t="s">
        <v>815</v>
      </c>
      <c r="G184" s="37" t="s">
        <v>28</v>
      </c>
      <c r="H184" s="37" t="s">
        <v>11</v>
      </c>
    </row>
    <row r="185" ht="15.75" customHeight="1">
      <c r="A185" s="3" t="s">
        <v>671</v>
      </c>
      <c r="B185" s="13">
        <v>0.0</v>
      </c>
      <c r="C185" s="13">
        <v>0.0</v>
      </c>
      <c r="D185" s="3">
        <v>5.0</v>
      </c>
      <c r="E185" s="11">
        <v>2014.0</v>
      </c>
      <c r="F185" s="3" t="s">
        <v>818</v>
      </c>
      <c r="G185" s="37" t="s">
        <v>28</v>
      </c>
      <c r="H185" s="37" t="s">
        <v>11</v>
      </c>
    </row>
    <row r="186" ht="15.75" customHeight="1">
      <c r="A186" s="3" t="s">
        <v>650</v>
      </c>
      <c r="B186" s="13">
        <v>4970685.930000001</v>
      </c>
      <c r="C186" s="13">
        <v>963666.2500000005</v>
      </c>
      <c r="D186" s="3">
        <v>5.0</v>
      </c>
      <c r="E186" s="11">
        <v>2012.0</v>
      </c>
      <c r="F186" s="3" t="s">
        <v>939</v>
      </c>
      <c r="G186" s="37" t="s">
        <v>28</v>
      </c>
      <c r="H186" s="37" t="s">
        <v>7</v>
      </c>
    </row>
    <row r="187" ht="15.75" customHeight="1">
      <c r="A187" s="3" t="s">
        <v>248</v>
      </c>
      <c r="B187" s="13">
        <v>390133.9</v>
      </c>
      <c r="C187" s="13">
        <v>128756.52000000002</v>
      </c>
      <c r="D187" s="3">
        <v>2.0</v>
      </c>
      <c r="E187" s="11">
        <v>2016.0</v>
      </c>
      <c r="F187" s="3" t="s">
        <v>818</v>
      </c>
      <c r="G187" s="37" t="s">
        <v>28</v>
      </c>
      <c r="H187" s="37" t="s">
        <v>6</v>
      </c>
    </row>
    <row r="188" ht="15.75" customHeight="1">
      <c r="A188" s="3" t="s">
        <v>346</v>
      </c>
      <c r="B188" s="13">
        <v>1661617.52</v>
      </c>
      <c r="C188" s="13">
        <v>623952.7400000001</v>
      </c>
      <c r="D188" s="3">
        <v>5.0</v>
      </c>
      <c r="E188" s="11">
        <v>2011.0</v>
      </c>
      <c r="F188" s="3" t="s">
        <v>815</v>
      </c>
      <c r="G188" s="37" t="s">
        <v>28</v>
      </c>
      <c r="H188" s="37" t="s">
        <v>10</v>
      </c>
    </row>
    <row r="189" ht="15.75" customHeight="1">
      <c r="A189" s="3" t="s">
        <v>740</v>
      </c>
      <c r="B189" s="13">
        <v>3956062.53</v>
      </c>
      <c r="C189" s="13">
        <v>536364.3999999999</v>
      </c>
      <c r="D189" s="3">
        <v>6.0</v>
      </c>
      <c r="E189" s="11">
        <v>2014.0</v>
      </c>
      <c r="F189" s="3" t="s">
        <v>818</v>
      </c>
      <c r="G189" s="37" t="s">
        <v>28</v>
      </c>
      <c r="H189" s="37" t="s">
        <v>11</v>
      </c>
    </row>
    <row r="190" ht="15.75" customHeight="1">
      <c r="A190" s="3" t="s">
        <v>248</v>
      </c>
      <c r="B190" s="13">
        <v>309372.8</v>
      </c>
      <c r="C190" s="13">
        <v>133239.36</v>
      </c>
      <c r="D190" s="3">
        <v>10.0</v>
      </c>
      <c r="E190" s="11">
        <v>2013.0</v>
      </c>
      <c r="F190" s="3" t="s">
        <v>815</v>
      </c>
      <c r="G190" s="37" t="s">
        <v>28</v>
      </c>
      <c r="H190" s="37" t="s">
        <v>3</v>
      </c>
    </row>
    <row r="191" ht="15.75" customHeight="1">
      <c r="A191" s="3" t="s">
        <v>593</v>
      </c>
      <c r="B191" s="13">
        <v>410346.4</v>
      </c>
      <c r="C191" s="13">
        <v>275767.2</v>
      </c>
      <c r="D191" s="3">
        <v>7.0</v>
      </c>
      <c r="E191" s="11">
        <v>2011.0</v>
      </c>
      <c r="F191" s="3" t="s">
        <v>818</v>
      </c>
      <c r="G191" s="37" t="s">
        <v>28</v>
      </c>
      <c r="H191" s="37" t="s">
        <v>5</v>
      </c>
    </row>
    <row r="192" ht="15.75" customHeight="1">
      <c r="A192" s="3" t="s">
        <v>455</v>
      </c>
      <c r="B192" s="13">
        <v>1744328.24</v>
      </c>
      <c r="C192" s="13">
        <v>655011.3800000001</v>
      </c>
      <c r="D192" s="3">
        <v>3.0</v>
      </c>
      <c r="E192" s="11">
        <v>2010.0</v>
      </c>
      <c r="F192" s="3" t="s">
        <v>818</v>
      </c>
      <c r="G192" s="37" t="s">
        <v>28</v>
      </c>
      <c r="H192" s="37" t="s">
        <v>10</v>
      </c>
    </row>
    <row r="193" ht="15.75" customHeight="1">
      <c r="A193" s="3" t="s">
        <v>221</v>
      </c>
      <c r="B193" s="13">
        <v>412198.15</v>
      </c>
      <c r="C193" s="13">
        <v>136038.42000000004</v>
      </c>
      <c r="D193" s="3">
        <v>11.0</v>
      </c>
      <c r="E193" s="11">
        <v>2016.0</v>
      </c>
      <c r="F193" s="3" t="s">
        <v>815</v>
      </c>
      <c r="G193" s="37" t="s">
        <v>28</v>
      </c>
      <c r="H193" s="37" t="s">
        <v>6</v>
      </c>
    </row>
    <row r="194" ht="15.75" customHeight="1">
      <c r="A194" s="3" t="s">
        <v>364</v>
      </c>
      <c r="B194" s="13">
        <v>63453.33</v>
      </c>
      <c r="C194" s="13">
        <v>16390.410000000003</v>
      </c>
      <c r="D194" s="3">
        <v>5.0</v>
      </c>
      <c r="E194" s="11">
        <v>2010.0</v>
      </c>
      <c r="F194" s="3" t="s">
        <v>815</v>
      </c>
      <c r="G194" s="37" t="s">
        <v>28</v>
      </c>
      <c r="H194" s="37" t="s">
        <v>8</v>
      </c>
    </row>
    <row r="195" ht="15.75" customHeight="1">
      <c r="A195" s="3" t="s">
        <v>650</v>
      </c>
      <c r="B195" s="13">
        <v>4505070.78</v>
      </c>
      <c r="C195" s="13">
        <v>873397.5</v>
      </c>
      <c r="D195" s="3">
        <v>6.0</v>
      </c>
      <c r="E195" s="11">
        <v>2014.0</v>
      </c>
      <c r="F195" s="3" t="s">
        <v>818</v>
      </c>
      <c r="G195" s="37" t="s">
        <v>28</v>
      </c>
      <c r="H195" s="37" t="s">
        <v>7</v>
      </c>
    </row>
    <row r="196" ht="15.75" customHeight="1">
      <c r="A196" s="3" t="s">
        <v>623</v>
      </c>
      <c r="B196" s="13">
        <v>708264.0</v>
      </c>
      <c r="C196" s="13">
        <v>281669.4</v>
      </c>
      <c r="D196" s="3">
        <v>11.0</v>
      </c>
      <c r="E196" s="11">
        <v>2012.0</v>
      </c>
      <c r="F196" s="3" t="s">
        <v>815</v>
      </c>
      <c r="G196" s="37" t="s">
        <v>28</v>
      </c>
      <c r="H196" s="37" t="s">
        <v>12</v>
      </c>
    </row>
    <row r="197" ht="15.75" customHeight="1">
      <c r="A197" s="3" t="s">
        <v>821</v>
      </c>
      <c r="B197" s="13">
        <v>2649469.1999999997</v>
      </c>
      <c r="C197" s="13">
        <v>359215.99999999953</v>
      </c>
      <c r="D197" s="3">
        <v>6.0</v>
      </c>
      <c r="E197" s="11">
        <v>2010.0</v>
      </c>
      <c r="F197" s="3" t="s">
        <v>818</v>
      </c>
      <c r="G197" s="37" t="s">
        <v>821</v>
      </c>
      <c r="H197" s="37" t="s">
        <v>11</v>
      </c>
    </row>
    <row r="198" ht="15.75" customHeight="1">
      <c r="A198" s="3" t="s">
        <v>428</v>
      </c>
      <c r="B198" s="13">
        <v>29579.52</v>
      </c>
      <c r="C198" s="13">
        <v>12120.96</v>
      </c>
      <c r="D198" s="3">
        <v>11.0</v>
      </c>
      <c r="E198" s="11">
        <v>2011.0</v>
      </c>
      <c r="F198" s="3" t="s">
        <v>818</v>
      </c>
      <c r="G198" s="37" t="s">
        <v>28</v>
      </c>
      <c r="H198" s="37" t="s">
        <v>9</v>
      </c>
    </row>
    <row r="199" ht="15.75" customHeight="1">
      <c r="A199" s="3" t="s">
        <v>428</v>
      </c>
      <c r="B199" s="13">
        <v>60333.6</v>
      </c>
      <c r="C199" s="13">
        <v>23994.059999999998</v>
      </c>
      <c r="D199" s="3">
        <v>7.0</v>
      </c>
      <c r="E199" s="11">
        <v>2012.0</v>
      </c>
      <c r="F199" s="3" t="s">
        <v>815</v>
      </c>
      <c r="G199" s="37" t="s">
        <v>28</v>
      </c>
      <c r="H199" s="37" t="s">
        <v>12</v>
      </c>
    </row>
    <row r="200" ht="15.75" customHeight="1">
      <c r="A200" s="3" t="s">
        <v>123</v>
      </c>
      <c r="B200" s="13">
        <v>376231.05000000005</v>
      </c>
      <c r="C200" s="13">
        <v>124168.14000000004</v>
      </c>
      <c r="D200" s="3">
        <v>8.0</v>
      </c>
      <c r="E200" s="11">
        <v>2015.0</v>
      </c>
      <c r="F200" s="3" t="s">
        <v>815</v>
      </c>
      <c r="G200" s="37" t="s">
        <v>28</v>
      </c>
      <c r="H200" s="37" t="s">
        <v>6</v>
      </c>
    </row>
    <row r="201" ht="15.75" customHeight="1">
      <c r="A201" s="3" t="s">
        <v>650</v>
      </c>
      <c r="B201" s="13">
        <v>689666.08</v>
      </c>
      <c r="C201" s="13">
        <v>463479.83999999997</v>
      </c>
      <c r="D201" s="3">
        <v>5.0</v>
      </c>
      <c r="E201" s="11">
        <v>2015.0</v>
      </c>
      <c r="F201" s="3" t="s">
        <v>815</v>
      </c>
      <c r="G201" s="37" t="s">
        <v>28</v>
      </c>
      <c r="H201" s="37" t="s">
        <v>5</v>
      </c>
    </row>
    <row r="202" ht="15.75" customHeight="1">
      <c r="A202" s="3" t="s">
        <v>67</v>
      </c>
      <c r="B202" s="13">
        <v>34204.64</v>
      </c>
      <c r="C202" s="13">
        <v>22986.719999999998</v>
      </c>
      <c r="D202" s="3">
        <v>1.0</v>
      </c>
      <c r="E202" s="11">
        <v>2010.0</v>
      </c>
      <c r="F202" s="3" t="s">
        <v>815</v>
      </c>
      <c r="G202" s="37" t="s">
        <v>23</v>
      </c>
      <c r="H202" s="37" t="s">
        <v>5</v>
      </c>
    </row>
    <row r="203" ht="15.75" customHeight="1">
      <c r="A203" s="3" t="s">
        <v>97</v>
      </c>
      <c r="B203" s="13">
        <v>752858.4</v>
      </c>
      <c r="C203" s="13">
        <v>299404.1400000001</v>
      </c>
      <c r="D203" s="3">
        <v>10.0</v>
      </c>
      <c r="E203" s="11">
        <v>2014.0</v>
      </c>
      <c r="F203" s="3" t="s">
        <v>815</v>
      </c>
      <c r="G203" s="37" t="s">
        <v>28</v>
      </c>
      <c r="H203" s="37" t="s">
        <v>12</v>
      </c>
    </row>
    <row r="204" ht="15.75" customHeight="1">
      <c r="A204" s="3" t="s">
        <v>575</v>
      </c>
      <c r="B204" s="13">
        <v>604784.35</v>
      </c>
      <c r="C204" s="13">
        <v>149985.64999999997</v>
      </c>
      <c r="D204" s="3">
        <v>7.0</v>
      </c>
      <c r="E204" s="11">
        <v>2017.0</v>
      </c>
      <c r="F204" s="3" t="s">
        <v>818</v>
      </c>
      <c r="G204" s="37" t="s">
        <v>28</v>
      </c>
      <c r="H204" s="37" t="s">
        <v>4</v>
      </c>
    </row>
    <row r="205" ht="15.75" customHeight="1">
      <c r="A205" s="3" t="s">
        <v>101</v>
      </c>
      <c r="B205" s="13">
        <v>5904521.07</v>
      </c>
      <c r="C205" s="13">
        <v>1144708.75</v>
      </c>
      <c r="D205" s="3">
        <v>1.0</v>
      </c>
      <c r="E205" s="11">
        <v>2016.0</v>
      </c>
      <c r="F205" s="3" t="s">
        <v>818</v>
      </c>
      <c r="G205" s="37" t="s">
        <v>28</v>
      </c>
      <c r="H205" s="37" t="s">
        <v>7</v>
      </c>
    </row>
    <row r="206" ht="15.75" customHeight="1">
      <c r="A206" s="3" t="s">
        <v>413</v>
      </c>
      <c r="B206" s="13">
        <v>936092.48</v>
      </c>
      <c r="C206" s="13">
        <v>629087.04</v>
      </c>
      <c r="D206" s="3">
        <v>9.0</v>
      </c>
      <c r="E206" s="11">
        <v>2014.0</v>
      </c>
      <c r="F206" s="3" t="s">
        <v>818</v>
      </c>
      <c r="G206" s="37" t="s">
        <v>28</v>
      </c>
      <c r="H206" s="37" t="s">
        <v>5</v>
      </c>
    </row>
    <row r="207" ht="15.75" customHeight="1">
      <c r="A207" s="3" t="s">
        <v>689</v>
      </c>
      <c r="B207" s="13">
        <v>3843862.4</v>
      </c>
      <c r="C207" s="13">
        <v>1528665.04</v>
      </c>
      <c r="D207" s="3">
        <v>7.0</v>
      </c>
      <c r="E207" s="11">
        <v>2017.0</v>
      </c>
      <c r="F207" s="3" t="s">
        <v>815</v>
      </c>
      <c r="G207" s="37" t="s">
        <v>28</v>
      </c>
      <c r="H207" s="37" t="s">
        <v>12</v>
      </c>
    </row>
    <row r="208" ht="15.75" customHeight="1">
      <c r="A208" s="3" t="s">
        <v>488</v>
      </c>
      <c r="B208" s="13">
        <v>989311.84</v>
      </c>
      <c r="C208" s="13">
        <v>664852.32</v>
      </c>
      <c r="D208" s="3">
        <v>3.0</v>
      </c>
      <c r="E208" s="11">
        <v>2014.0</v>
      </c>
      <c r="F208" s="3" t="s">
        <v>815</v>
      </c>
      <c r="G208" s="37" t="s">
        <v>28</v>
      </c>
      <c r="H208" s="37" t="s">
        <v>5</v>
      </c>
    </row>
    <row r="209" ht="15.75" customHeight="1">
      <c r="A209" s="3" t="s">
        <v>291</v>
      </c>
      <c r="B209" s="13">
        <v>5889543.24</v>
      </c>
      <c r="C209" s="13">
        <v>1141805.0</v>
      </c>
      <c r="D209" s="3">
        <v>12.0</v>
      </c>
      <c r="E209" s="11">
        <v>2013.0</v>
      </c>
      <c r="F209" s="3" t="s">
        <v>818</v>
      </c>
      <c r="G209" s="37" t="s">
        <v>28</v>
      </c>
      <c r="H209" s="37" t="s">
        <v>7</v>
      </c>
    </row>
    <row r="210" ht="15.75" customHeight="1">
      <c r="A210" s="3" t="s">
        <v>542</v>
      </c>
      <c r="B210" s="13">
        <v>424392.80000000005</v>
      </c>
      <c r="C210" s="13">
        <v>140063.04000000004</v>
      </c>
      <c r="D210" s="3">
        <v>12.0</v>
      </c>
      <c r="E210" s="11">
        <v>2012.0</v>
      </c>
      <c r="F210" s="3" t="s">
        <v>818</v>
      </c>
      <c r="G210" s="37" t="s">
        <v>28</v>
      </c>
      <c r="H210" s="37" t="s">
        <v>6</v>
      </c>
    </row>
    <row r="211" ht="15.75" customHeight="1">
      <c r="A211" s="3" t="s">
        <v>623</v>
      </c>
      <c r="B211" s="13">
        <v>707046.23</v>
      </c>
      <c r="C211" s="13">
        <v>216794.05999999994</v>
      </c>
      <c r="D211" s="3">
        <v>7.0</v>
      </c>
      <c r="E211" s="11">
        <v>2016.0</v>
      </c>
      <c r="F211" s="3" t="s">
        <v>815</v>
      </c>
      <c r="G211" s="37" t="s">
        <v>28</v>
      </c>
      <c r="H211" s="37" t="s">
        <v>14</v>
      </c>
    </row>
    <row r="212" ht="15.75" customHeight="1">
      <c r="A212" s="3" t="s">
        <v>623</v>
      </c>
      <c r="B212" s="13">
        <v>5598452.37</v>
      </c>
      <c r="C212" s="13">
        <v>1085371.25</v>
      </c>
      <c r="D212" s="3">
        <v>3.0</v>
      </c>
      <c r="E212" s="11">
        <v>2017.0</v>
      </c>
      <c r="F212" s="3" t="s">
        <v>818</v>
      </c>
      <c r="G212" s="37" t="s">
        <v>28</v>
      </c>
      <c r="H212" s="37" t="s">
        <v>7</v>
      </c>
    </row>
    <row r="213" ht="15.75" customHeight="1">
      <c r="A213" s="3" t="s">
        <v>349</v>
      </c>
      <c r="B213" s="13">
        <v>5374436.13</v>
      </c>
      <c r="C213" s="13">
        <v>1041941.25</v>
      </c>
      <c r="D213" s="3">
        <v>1.0</v>
      </c>
      <c r="E213" s="11">
        <v>2012.0</v>
      </c>
      <c r="F213" s="3" t="s">
        <v>818</v>
      </c>
      <c r="G213" s="37" t="s">
        <v>28</v>
      </c>
      <c r="H213" s="37" t="s">
        <v>7</v>
      </c>
    </row>
    <row r="214" ht="15.75" customHeight="1">
      <c r="A214" s="3" t="s">
        <v>536</v>
      </c>
      <c r="B214" s="13">
        <v>1539694.08</v>
      </c>
      <c r="C214" s="13">
        <v>381841.9199999999</v>
      </c>
      <c r="D214" s="3">
        <v>2.0</v>
      </c>
      <c r="E214" s="11">
        <v>2017.0</v>
      </c>
      <c r="F214" s="3" t="s">
        <v>815</v>
      </c>
      <c r="G214" s="37" t="s">
        <v>28</v>
      </c>
      <c r="H214" s="37" t="s">
        <v>4</v>
      </c>
    </row>
    <row r="215" ht="15.75" customHeight="1">
      <c r="A215" s="3" t="s">
        <v>218</v>
      </c>
      <c r="B215" s="13">
        <v>84698.25</v>
      </c>
      <c r="C215" s="13">
        <v>27953.1</v>
      </c>
      <c r="D215" s="3">
        <v>5.0</v>
      </c>
      <c r="E215" s="11">
        <v>2010.0</v>
      </c>
      <c r="F215" s="3" t="s">
        <v>815</v>
      </c>
      <c r="G215" s="37" t="s">
        <v>28</v>
      </c>
      <c r="H215" s="37" t="s">
        <v>6</v>
      </c>
    </row>
    <row r="216" ht="15.75" customHeight="1">
      <c r="A216" s="3" t="s">
        <v>434</v>
      </c>
      <c r="B216" s="13">
        <v>5728.62</v>
      </c>
      <c r="C216" s="13">
        <v>1479.7399999999998</v>
      </c>
      <c r="D216" s="3">
        <v>12.0</v>
      </c>
      <c r="E216" s="11">
        <v>2011.0</v>
      </c>
      <c r="F216" s="3" t="s">
        <v>818</v>
      </c>
      <c r="G216" s="37" t="s">
        <v>28</v>
      </c>
      <c r="H216" s="37" t="s">
        <v>8</v>
      </c>
    </row>
    <row r="217" ht="15.75" customHeight="1">
      <c r="A217" s="3" t="s">
        <v>455</v>
      </c>
      <c r="B217" s="13">
        <v>5768418.180000001</v>
      </c>
      <c r="C217" s="13">
        <v>1118322.5</v>
      </c>
      <c r="D217" s="3">
        <v>5.0</v>
      </c>
      <c r="E217" s="11">
        <v>2011.0</v>
      </c>
      <c r="F217" s="3" t="s">
        <v>818</v>
      </c>
      <c r="G217" s="37" t="s">
        <v>28</v>
      </c>
      <c r="H217" s="37" t="s">
        <v>7</v>
      </c>
    </row>
    <row r="218" ht="15.75" customHeight="1">
      <c r="A218" s="3" t="s">
        <v>288</v>
      </c>
      <c r="B218" s="13">
        <v>144195.69999999998</v>
      </c>
      <c r="C218" s="13">
        <v>62101.58999999998</v>
      </c>
      <c r="D218" s="3">
        <v>6.0</v>
      </c>
      <c r="E218" s="11">
        <v>2014.0</v>
      </c>
      <c r="F218" s="3" t="s">
        <v>815</v>
      </c>
      <c r="G218" s="37" t="s">
        <v>23</v>
      </c>
      <c r="H218" s="37" t="s">
        <v>3</v>
      </c>
    </row>
    <row r="219" ht="15.75" customHeight="1">
      <c r="A219" s="3" t="s">
        <v>821</v>
      </c>
      <c r="B219" s="13">
        <v>235257.1</v>
      </c>
      <c r="C219" s="13">
        <v>77642.28</v>
      </c>
      <c r="D219" s="3">
        <v>6.0</v>
      </c>
      <c r="E219" s="11">
        <v>2013.0</v>
      </c>
      <c r="F219" s="3" t="s">
        <v>818</v>
      </c>
      <c r="G219" s="37" t="s">
        <v>821</v>
      </c>
      <c r="H219" s="37" t="s">
        <v>6</v>
      </c>
    </row>
    <row r="220" ht="15.75" customHeight="1">
      <c r="A220" s="3" t="s">
        <v>488</v>
      </c>
      <c r="B220" s="13">
        <v>414665.55000000005</v>
      </c>
      <c r="C220" s="13">
        <v>136852.74000000005</v>
      </c>
      <c r="D220" s="3">
        <v>8.0</v>
      </c>
      <c r="E220" s="11">
        <v>2016.0</v>
      </c>
      <c r="F220" s="3" t="s">
        <v>818</v>
      </c>
      <c r="G220" s="37" t="s">
        <v>28</v>
      </c>
      <c r="H220" s="37" t="s">
        <v>6</v>
      </c>
    </row>
    <row r="221" ht="15.75" customHeight="1">
      <c r="A221" s="3" t="s">
        <v>653</v>
      </c>
      <c r="B221" s="13">
        <v>314742.23000000004</v>
      </c>
      <c r="C221" s="13">
        <v>96506.06000000003</v>
      </c>
      <c r="D221" s="3">
        <v>6.0</v>
      </c>
      <c r="E221" s="11">
        <v>2010.0</v>
      </c>
      <c r="F221" s="3" t="s">
        <v>815</v>
      </c>
      <c r="G221" s="37" t="s">
        <v>28</v>
      </c>
      <c r="H221" s="37" t="s">
        <v>14</v>
      </c>
    </row>
    <row r="222" ht="15.75" customHeight="1">
      <c r="A222" s="3" t="s">
        <v>689</v>
      </c>
      <c r="B222" s="13">
        <v>963588.7999999999</v>
      </c>
      <c r="C222" s="13">
        <v>383209.48</v>
      </c>
      <c r="D222" s="3">
        <v>2.0</v>
      </c>
      <c r="E222" s="11">
        <v>2016.0</v>
      </c>
      <c r="F222" s="3" t="s">
        <v>815</v>
      </c>
      <c r="G222" s="37" t="s">
        <v>28</v>
      </c>
      <c r="H222" s="37" t="s">
        <v>12</v>
      </c>
    </row>
    <row r="223" ht="15.75" customHeight="1">
      <c r="A223" s="3" t="s">
        <v>364</v>
      </c>
      <c r="B223" s="13">
        <v>117939.36</v>
      </c>
      <c r="C223" s="13">
        <v>44287.32000000001</v>
      </c>
      <c r="D223" s="3">
        <v>5.0</v>
      </c>
      <c r="E223" s="11">
        <v>2017.0</v>
      </c>
      <c r="F223" s="3" t="s">
        <v>815</v>
      </c>
      <c r="G223" s="37" t="s">
        <v>28</v>
      </c>
      <c r="H223" s="37" t="s">
        <v>10</v>
      </c>
    </row>
    <row r="224" ht="15.75" customHeight="1">
      <c r="A224" s="3" t="s">
        <v>101</v>
      </c>
      <c r="B224" s="13">
        <v>37438.05</v>
      </c>
      <c r="C224" s="13">
        <v>12355.740000000005</v>
      </c>
      <c r="D224" s="3">
        <v>12.0</v>
      </c>
      <c r="E224" s="11">
        <v>2016.0</v>
      </c>
      <c r="F224" s="3" t="s">
        <v>818</v>
      </c>
      <c r="G224" s="37" t="s">
        <v>28</v>
      </c>
      <c r="H224" s="37" t="s">
        <v>6</v>
      </c>
    </row>
    <row r="225" ht="15.75" customHeight="1">
      <c r="A225" s="3" t="s">
        <v>270</v>
      </c>
      <c r="B225" s="13">
        <v>108425.73</v>
      </c>
      <c r="C225" s="13">
        <v>14700.399999999994</v>
      </c>
      <c r="D225" s="3">
        <v>11.0</v>
      </c>
      <c r="E225" s="11">
        <v>2015.0</v>
      </c>
      <c r="F225" s="3" t="s">
        <v>815</v>
      </c>
      <c r="G225" s="37" t="s">
        <v>28</v>
      </c>
      <c r="H225" s="37" t="s">
        <v>11</v>
      </c>
    </row>
    <row r="226" ht="15.75" customHeight="1">
      <c r="A226" s="3" t="s">
        <v>46</v>
      </c>
      <c r="B226" s="13">
        <v>361164.87</v>
      </c>
      <c r="C226" s="13">
        <v>110740.13999999998</v>
      </c>
      <c r="D226" s="3">
        <v>6.0</v>
      </c>
      <c r="E226" s="11">
        <v>2010.0</v>
      </c>
      <c r="F226" s="3" t="s">
        <v>815</v>
      </c>
      <c r="G226" s="37" t="s">
        <v>28</v>
      </c>
      <c r="H226" s="37" t="s">
        <v>14</v>
      </c>
    </row>
    <row r="227" ht="15.75" customHeight="1">
      <c r="A227" s="3" t="s">
        <v>413</v>
      </c>
      <c r="B227" s="13">
        <v>1931112.4</v>
      </c>
      <c r="C227" s="13">
        <v>767983.79</v>
      </c>
      <c r="D227" s="3">
        <v>3.0</v>
      </c>
      <c r="E227" s="11">
        <v>2012.0</v>
      </c>
      <c r="F227" s="3" t="s">
        <v>818</v>
      </c>
      <c r="G227" s="37" t="s">
        <v>28</v>
      </c>
      <c r="H227" s="37" t="s">
        <v>12</v>
      </c>
    </row>
    <row r="228" ht="15.75" customHeight="1">
      <c r="A228" s="3" t="s">
        <v>32</v>
      </c>
      <c r="B228" s="13">
        <v>5714367.75</v>
      </c>
      <c r="C228" s="13">
        <v>1107843.75</v>
      </c>
      <c r="D228" s="3">
        <v>7.0</v>
      </c>
      <c r="E228" s="11">
        <v>2015.0</v>
      </c>
      <c r="F228" s="3" t="s">
        <v>815</v>
      </c>
      <c r="G228" s="37" t="s">
        <v>28</v>
      </c>
      <c r="H228" s="37" t="s">
        <v>7</v>
      </c>
    </row>
    <row r="229" ht="15.75" customHeight="1">
      <c r="A229" s="3" t="s">
        <v>593</v>
      </c>
      <c r="B229" s="13">
        <v>788633.14</v>
      </c>
      <c r="C229" s="13">
        <v>323162.47</v>
      </c>
      <c r="D229" s="3">
        <v>3.0</v>
      </c>
      <c r="E229" s="11">
        <v>2014.0</v>
      </c>
      <c r="F229" s="3" t="s">
        <v>818</v>
      </c>
      <c r="G229" s="37" t="s">
        <v>28</v>
      </c>
      <c r="H229" s="37" t="s">
        <v>9</v>
      </c>
    </row>
    <row r="230" ht="15.75" customHeight="1">
      <c r="A230" s="3" t="s">
        <v>428</v>
      </c>
      <c r="B230" s="13">
        <v>28064.64</v>
      </c>
      <c r="C230" s="13">
        <v>7249.279999999999</v>
      </c>
      <c r="D230" s="3">
        <v>6.0</v>
      </c>
      <c r="E230" s="11">
        <v>2012.0</v>
      </c>
      <c r="F230" s="3" t="s">
        <v>818</v>
      </c>
      <c r="G230" s="37" t="s">
        <v>28</v>
      </c>
      <c r="H230" s="37" t="s">
        <v>8</v>
      </c>
    </row>
    <row r="231" ht="15.75" customHeight="1">
      <c r="A231" s="3" t="s">
        <v>746</v>
      </c>
      <c r="B231" s="13">
        <v>13441.44</v>
      </c>
      <c r="C231" s="13">
        <v>9033.119999999999</v>
      </c>
      <c r="D231" s="3">
        <v>11.0</v>
      </c>
      <c r="E231" s="11">
        <v>2016.0</v>
      </c>
      <c r="F231" s="3" t="s">
        <v>815</v>
      </c>
      <c r="G231" s="37" t="s">
        <v>28</v>
      </c>
      <c r="H231" s="37" t="s">
        <v>5</v>
      </c>
    </row>
    <row r="232" ht="15.75" customHeight="1">
      <c r="A232" s="3" t="s">
        <v>434</v>
      </c>
      <c r="B232" s="13">
        <v>44476.96</v>
      </c>
      <c r="C232" s="13">
        <v>29890.079999999998</v>
      </c>
      <c r="D232" s="3">
        <v>1.0</v>
      </c>
      <c r="E232" s="11">
        <v>2013.0</v>
      </c>
      <c r="F232" s="3" t="s">
        <v>815</v>
      </c>
      <c r="G232" s="37" t="s">
        <v>28</v>
      </c>
      <c r="H232" s="37" t="s">
        <v>5</v>
      </c>
    </row>
    <row r="233" ht="15.75" customHeight="1">
      <c r="A233" s="3" t="s">
        <v>67</v>
      </c>
      <c r="B233" s="13">
        <v>2988668.76</v>
      </c>
      <c r="C233" s="13">
        <v>405204.7999999998</v>
      </c>
      <c r="D233" s="3">
        <v>6.0</v>
      </c>
      <c r="E233" s="11">
        <v>2015.0</v>
      </c>
      <c r="F233" s="3" t="s">
        <v>818</v>
      </c>
      <c r="G233" s="37" t="s">
        <v>23</v>
      </c>
      <c r="H233" s="37" t="s">
        <v>11</v>
      </c>
    </row>
    <row r="234" ht="15.75" customHeight="1">
      <c r="A234" s="3" t="s">
        <v>746</v>
      </c>
      <c r="B234" s="13">
        <v>977181.76</v>
      </c>
      <c r="C234" s="13">
        <v>656700.48</v>
      </c>
      <c r="D234" s="3">
        <v>9.0</v>
      </c>
      <c r="E234" s="11">
        <v>2010.0</v>
      </c>
      <c r="F234" s="3" t="s">
        <v>815</v>
      </c>
      <c r="G234" s="37" t="s">
        <v>28</v>
      </c>
      <c r="H234" s="37" t="s">
        <v>5</v>
      </c>
    </row>
    <row r="235" ht="15.75" customHeight="1">
      <c r="A235" s="3" t="s">
        <v>821</v>
      </c>
      <c r="B235" s="13">
        <v>604369.38</v>
      </c>
      <c r="C235" s="13">
        <v>218409.54000000004</v>
      </c>
      <c r="D235" s="3">
        <v>3.0</v>
      </c>
      <c r="E235" s="11">
        <v>2015.0</v>
      </c>
      <c r="F235" s="3" t="s">
        <v>818</v>
      </c>
      <c r="G235" s="37" t="s">
        <v>821</v>
      </c>
      <c r="H235" s="37" t="s">
        <v>13</v>
      </c>
    </row>
    <row r="236" ht="15.75" customHeight="1">
      <c r="A236" s="3" t="s">
        <v>821</v>
      </c>
      <c r="B236" s="13">
        <v>391599.52</v>
      </c>
      <c r="C236" s="13">
        <v>147049.24000000005</v>
      </c>
      <c r="D236" s="3">
        <v>6.0</v>
      </c>
      <c r="E236" s="11">
        <v>2017.0</v>
      </c>
      <c r="F236" s="3" t="s">
        <v>818</v>
      </c>
      <c r="G236" s="37" t="s">
        <v>821</v>
      </c>
      <c r="H236" s="37" t="s">
        <v>10</v>
      </c>
    </row>
    <row r="237" ht="15.75" customHeight="1">
      <c r="A237" s="3" t="s">
        <v>590</v>
      </c>
      <c r="B237" s="13">
        <v>168352.6</v>
      </c>
      <c r="C237" s="13">
        <v>55561.68000000001</v>
      </c>
      <c r="D237" s="3">
        <v>5.0</v>
      </c>
      <c r="E237" s="11">
        <v>2016.0</v>
      </c>
      <c r="F237" s="3" t="s">
        <v>815</v>
      </c>
      <c r="G237" s="37" t="s">
        <v>28</v>
      </c>
      <c r="H237" s="37" t="s">
        <v>6</v>
      </c>
    </row>
    <row r="238" ht="15.75" customHeight="1">
      <c r="A238" s="3" t="s">
        <v>593</v>
      </c>
      <c r="B238" s="13">
        <v>6282874.08</v>
      </c>
      <c r="C238" s="13">
        <v>1218060.0</v>
      </c>
      <c r="D238" s="3">
        <v>12.0</v>
      </c>
      <c r="E238" s="11">
        <v>2010.0</v>
      </c>
      <c r="F238" s="3" t="s">
        <v>815</v>
      </c>
      <c r="G238" s="37" t="s">
        <v>28</v>
      </c>
      <c r="H238" s="37" t="s">
        <v>7</v>
      </c>
    </row>
    <row r="239" ht="15.75" customHeight="1">
      <c r="A239" s="3" t="s">
        <v>215</v>
      </c>
      <c r="B239" s="13">
        <v>467505.12000000005</v>
      </c>
      <c r="C239" s="13">
        <v>168948.96000000008</v>
      </c>
      <c r="D239" s="3">
        <v>10.0</v>
      </c>
      <c r="E239" s="11">
        <v>2012.0</v>
      </c>
      <c r="F239" s="3" t="s">
        <v>815</v>
      </c>
      <c r="G239" s="37" t="s">
        <v>23</v>
      </c>
      <c r="H239" s="37" t="s">
        <v>13</v>
      </c>
    </row>
    <row r="240" ht="15.75" customHeight="1">
      <c r="A240" s="3" t="s">
        <v>488</v>
      </c>
      <c r="B240" s="13">
        <v>1993353.81</v>
      </c>
      <c r="C240" s="13">
        <v>386451.25</v>
      </c>
      <c r="D240" s="3">
        <v>7.0</v>
      </c>
      <c r="E240" s="11">
        <v>2014.0</v>
      </c>
      <c r="F240" s="3" t="s">
        <v>818</v>
      </c>
      <c r="G240" s="37" t="s">
        <v>28</v>
      </c>
      <c r="H240" s="37" t="s">
        <v>7</v>
      </c>
    </row>
    <row r="241" ht="15.75" customHeight="1">
      <c r="A241" s="3" t="s">
        <v>206</v>
      </c>
      <c r="B241" s="13">
        <v>2996868.4200000004</v>
      </c>
      <c r="C241" s="13">
        <v>581002.5</v>
      </c>
      <c r="D241" s="3">
        <v>5.0</v>
      </c>
      <c r="E241" s="11">
        <v>2013.0</v>
      </c>
      <c r="F241" s="3" t="s">
        <v>815</v>
      </c>
      <c r="G241" s="37" t="s">
        <v>28</v>
      </c>
      <c r="H241" s="37" t="s">
        <v>7</v>
      </c>
    </row>
    <row r="242" ht="15.75" customHeight="1">
      <c r="A242" s="3" t="s">
        <v>101</v>
      </c>
      <c r="B242" s="13">
        <v>361886.94</v>
      </c>
      <c r="C242" s="13">
        <v>148292.37</v>
      </c>
      <c r="D242" s="3">
        <v>5.0</v>
      </c>
      <c r="E242" s="11">
        <v>2017.0</v>
      </c>
      <c r="F242" s="3" t="s">
        <v>815</v>
      </c>
      <c r="G242" s="37" t="s">
        <v>28</v>
      </c>
      <c r="H242" s="37" t="s">
        <v>9</v>
      </c>
    </row>
    <row r="243" ht="15.75" customHeight="1">
      <c r="A243" s="3" t="s">
        <v>821</v>
      </c>
      <c r="B243" s="13">
        <v>2309290.4</v>
      </c>
      <c r="C243" s="13">
        <v>918381.3400000001</v>
      </c>
      <c r="D243" s="3">
        <v>11.0</v>
      </c>
      <c r="E243" s="11">
        <v>2015.0</v>
      </c>
      <c r="F243" s="3" t="s">
        <v>815</v>
      </c>
      <c r="G243" s="37" t="s">
        <v>821</v>
      </c>
      <c r="H243" s="37" t="s">
        <v>12</v>
      </c>
    </row>
    <row r="244" ht="15.75" customHeight="1">
      <c r="A244" s="3" t="s">
        <v>364</v>
      </c>
      <c r="B244" s="13">
        <v>1092362.8800000001</v>
      </c>
      <c r="C244" s="13">
        <v>734106.2400000001</v>
      </c>
      <c r="D244" s="3">
        <v>10.0</v>
      </c>
      <c r="E244" s="11">
        <v>2012.0</v>
      </c>
      <c r="F244" s="3" t="s">
        <v>815</v>
      </c>
      <c r="G244" s="37" t="s">
        <v>28</v>
      </c>
      <c r="H244" s="37" t="s">
        <v>5</v>
      </c>
    </row>
    <row r="245" ht="15.75" customHeight="1">
      <c r="A245" s="3" t="s">
        <v>123</v>
      </c>
      <c r="B245" s="13">
        <v>2742580.08</v>
      </c>
      <c r="C245" s="13">
        <v>680155.9199999999</v>
      </c>
      <c r="D245" s="3">
        <v>6.0</v>
      </c>
      <c r="E245" s="11">
        <v>2015.0</v>
      </c>
      <c r="F245" s="3" t="s">
        <v>818</v>
      </c>
      <c r="G245" s="37" t="s">
        <v>28</v>
      </c>
      <c r="H245" s="37" t="s">
        <v>4</v>
      </c>
    </row>
    <row r="246" ht="15.75" customHeight="1">
      <c r="A246" s="3" t="s">
        <v>671</v>
      </c>
      <c r="B246" s="13">
        <v>28950.99</v>
      </c>
      <c r="C246" s="13">
        <v>7478.230000000003</v>
      </c>
      <c r="D246" s="3">
        <v>12.0</v>
      </c>
      <c r="E246" s="11">
        <v>2012.0</v>
      </c>
      <c r="F246" s="3" t="s">
        <v>818</v>
      </c>
      <c r="G246" s="37" t="s">
        <v>28</v>
      </c>
      <c r="H246" s="37" t="s">
        <v>8</v>
      </c>
    </row>
    <row r="247" ht="15.75" customHeight="1">
      <c r="A247" s="3" t="s">
        <v>482</v>
      </c>
      <c r="B247" s="13">
        <v>450250.57</v>
      </c>
      <c r="C247" s="13">
        <v>138055.53999999998</v>
      </c>
      <c r="D247" s="3">
        <v>6.0</v>
      </c>
      <c r="E247" s="11">
        <v>2014.0</v>
      </c>
      <c r="F247" s="3" t="s">
        <v>815</v>
      </c>
      <c r="G247" s="37" t="s">
        <v>28</v>
      </c>
      <c r="H247" s="37" t="s">
        <v>14</v>
      </c>
    </row>
    <row r="248" ht="15.75" customHeight="1">
      <c r="A248" s="3" t="s">
        <v>78</v>
      </c>
      <c r="B248" s="13">
        <v>28381.86</v>
      </c>
      <c r="C248" s="13">
        <v>7331.220000000001</v>
      </c>
      <c r="D248" s="3">
        <v>8.0</v>
      </c>
      <c r="E248" s="11">
        <v>2011.0</v>
      </c>
      <c r="F248" s="3" t="s">
        <v>818</v>
      </c>
      <c r="G248" s="37" t="s">
        <v>28</v>
      </c>
      <c r="H248" s="37" t="s">
        <v>8</v>
      </c>
    </row>
    <row r="249" ht="15.75" customHeight="1">
      <c r="A249" s="3" t="s">
        <v>821</v>
      </c>
      <c r="B249" s="13">
        <v>881233.92</v>
      </c>
      <c r="C249" s="13">
        <v>592220.16</v>
      </c>
      <c r="D249" s="3">
        <v>3.0</v>
      </c>
      <c r="E249" s="11">
        <v>2012.0</v>
      </c>
      <c r="F249" s="3" t="s">
        <v>815</v>
      </c>
      <c r="G249" s="37" t="s">
        <v>821</v>
      </c>
      <c r="H249" s="37" t="s">
        <v>5</v>
      </c>
    </row>
    <row r="250" ht="15.75" customHeight="1">
      <c r="A250" s="3" t="s">
        <v>821</v>
      </c>
      <c r="B250" s="13">
        <v>2205874.48</v>
      </c>
      <c r="C250" s="13">
        <v>828326.26</v>
      </c>
      <c r="D250" s="3">
        <v>6.0</v>
      </c>
      <c r="E250" s="11">
        <v>2012.0</v>
      </c>
      <c r="F250" s="3" t="s">
        <v>818</v>
      </c>
      <c r="G250" s="37" t="s">
        <v>821</v>
      </c>
      <c r="H250" s="37" t="s">
        <v>10</v>
      </c>
    </row>
    <row r="251" ht="15.75" customHeight="1">
      <c r="A251" s="3" t="s">
        <v>653</v>
      </c>
      <c r="B251" s="13">
        <v>351319.80000000005</v>
      </c>
      <c r="C251" s="13">
        <v>115946.64000000004</v>
      </c>
      <c r="D251" s="3">
        <v>2.0</v>
      </c>
      <c r="E251" s="11">
        <v>2011.0</v>
      </c>
      <c r="F251" s="3" t="s">
        <v>815</v>
      </c>
      <c r="G251" s="37" t="s">
        <v>28</v>
      </c>
      <c r="H251" s="37" t="s">
        <v>6</v>
      </c>
    </row>
    <row r="252" ht="15.75" customHeight="1">
      <c r="A252" s="3" t="s">
        <v>364</v>
      </c>
      <c r="B252" s="13">
        <v>3644822.37</v>
      </c>
      <c r="C252" s="13">
        <v>706621.25</v>
      </c>
      <c r="D252" s="3">
        <v>12.0</v>
      </c>
      <c r="E252" s="11">
        <v>2016.0</v>
      </c>
      <c r="F252" s="3" t="s">
        <v>818</v>
      </c>
      <c r="G252" s="37" t="s">
        <v>28</v>
      </c>
      <c r="H252" s="37" t="s">
        <v>7</v>
      </c>
    </row>
    <row r="253" ht="15.75" customHeight="1">
      <c r="A253" s="3" t="s">
        <v>428</v>
      </c>
      <c r="B253" s="13">
        <v>39858.0</v>
      </c>
      <c r="C253" s="13">
        <v>13154.400000000001</v>
      </c>
      <c r="D253" s="3">
        <v>9.0</v>
      </c>
      <c r="E253" s="11">
        <v>2016.0</v>
      </c>
      <c r="F253" s="3" t="s">
        <v>815</v>
      </c>
      <c r="G253" s="37" t="s">
        <v>28</v>
      </c>
      <c r="H253" s="37" t="s">
        <v>6</v>
      </c>
    </row>
    <row r="254" ht="15.75" customHeight="1">
      <c r="A254" s="3" t="s">
        <v>590</v>
      </c>
      <c r="B254" s="13">
        <v>666262.9600000001</v>
      </c>
      <c r="C254" s="13">
        <v>204289.12000000005</v>
      </c>
      <c r="D254" s="3">
        <v>9.0</v>
      </c>
      <c r="E254" s="11">
        <v>2014.0</v>
      </c>
      <c r="F254" s="3" t="s">
        <v>818</v>
      </c>
      <c r="G254" s="37" t="s">
        <v>28</v>
      </c>
      <c r="H254" s="37" t="s">
        <v>14</v>
      </c>
    </row>
    <row r="255" ht="15.75" customHeight="1">
      <c r="A255" s="3" t="s">
        <v>215</v>
      </c>
      <c r="B255" s="13">
        <v>53041.05</v>
      </c>
      <c r="C255" s="13">
        <v>13700.850000000006</v>
      </c>
      <c r="D255" s="3">
        <v>11.0</v>
      </c>
      <c r="E255" s="11">
        <v>2011.0</v>
      </c>
      <c r="F255" s="3" t="s">
        <v>815</v>
      </c>
      <c r="G255" s="37" t="s">
        <v>23</v>
      </c>
      <c r="H255" s="37" t="s">
        <v>8</v>
      </c>
    </row>
    <row r="256" ht="15.75" customHeight="1">
      <c r="A256" s="3" t="s">
        <v>248</v>
      </c>
      <c r="B256" s="13">
        <v>781024.16</v>
      </c>
      <c r="C256" s="13">
        <v>524875.68</v>
      </c>
      <c r="D256" s="3">
        <v>1.0</v>
      </c>
      <c r="E256" s="11">
        <v>2016.0</v>
      </c>
      <c r="F256" s="3" t="s">
        <v>818</v>
      </c>
      <c r="G256" s="37" t="s">
        <v>28</v>
      </c>
      <c r="H256" s="37" t="s">
        <v>5</v>
      </c>
    </row>
    <row r="257" ht="15.75" customHeight="1">
      <c r="A257" s="3" t="s">
        <v>288</v>
      </c>
      <c r="B257" s="13">
        <v>959880.78</v>
      </c>
      <c r="C257" s="13">
        <v>346885.74</v>
      </c>
      <c r="D257" s="3">
        <v>9.0</v>
      </c>
      <c r="E257" s="11">
        <v>2013.0</v>
      </c>
      <c r="F257" s="3" t="s">
        <v>815</v>
      </c>
      <c r="G257" s="37" t="s">
        <v>23</v>
      </c>
      <c r="H257" s="37" t="s">
        <v>13</v>
      </c>
    </row>
    <row r="258" ht="15.75" customHeight="1">
      <c r="A258" s="3" t="s">
        <v>635</v>
      </c>
      <c r="B258" s="13">
        <v>742912.02</v>
      </c>
      <c r="C258" s="13">
        <v>268476.66000000003</v>
      </c>
      <c r="D258" s="3">
        <v>8.0</v>
      </c>
      <c r="E258" s="11">
        <v>2014.0</v>
      </c>
      <c r="F258" s="3" t="s">
        <v>818</v>
      </c>
      <c r="G258" s="37" t="s">
        <v>28</v>
      </c>
      <c r="H258" s="37" t="s">
        <v>13</v>
      </c>
    </row>
    <row r="259" ht="15.75" customHeight="1">
      <c r="A259" s="3" t="s">
        <v>455</v>
      </c>
      <c r="B259" s="13">
        <v>3872280.4</v>
      </c>
      <c r="C259" s="13">
        <v>1539966.5899999999</v>
      </c>
      <c r="D259" s="3">
        <v>1.0</v>
      </c>
      <c r="E259" s="11">
        <v>2015.0</v>
      </c>
      <c r="F259" s="3" t="s">
        <v>815</v>
      </c>
      <c r="G259" s="37" t="s">
        <v>28</v>
      </c>
      <c r="H259" s="37" t="s">
        <v>12</v>
      </c>
    </row>
    <row r="260" ht="15.75" customHeight="1">
      <c r="A260" s="3" t="s">
        <v>635</v>
      </c>
      <c r="B260" s="13">
        <v>4086471.05</v>
      </c>
      <c r="C260" s="13">
        <v>1013438.9499999997</v>
      </c>
      <c r="D260" s="3">
        <v>9.0</v>
      </c>
      <c r="E260" s="11">
        <v>2013.0</v>
      </c>
      <c r="F260" s="3" t="s">
        <v>815</v>
      </c>
      <c r="G260" s="37" t="s">
        <v>28</v>
      </c>
      <c r="H260" s="37" t="s">
        <v>4</v>
      </c>
    </row>
    <row r="261" ht="15.75" customHeight="1">
      <c r="A261" s="3" t="s">
        <v>46</v>
      </c>
      <c r="B261" s="13">
        <v>2156507.29</v>
      </c>
      <c r="C261" s="13">
        <v>534810.71</v>
      </c>
      <c r="D261" s="3">
        <v>5.0</v>
      </c>
      <c r="E261" s="11">
        <v>2014.0</v>
      </c>
      <c r="F261" s="3" t="s">
        <v>815</v>
      </c>
      <c r="G261" s="37" t="s">
        <v>28</v>
      </c>
      <c r="H261" s="37" t="s">
        <v>4</v>
      </c>
    </row>
    <row r="262" ht="15.75" customHeight="1">
      <c r="A262" s="3" t="s">
        <v>78</v>
      </c>
      <c r="B262" s="13">
        <v>4344873.12</v>
      </c>
      <c r="C262" s="13">
        <v>842340.0</v>
      </c>
      <c r="D262" s="3">
        <v>2.0</v>
      </c>
      <c r="E262" s="11">
        <v>2010.0</v>
      </c>
      <c r="F262" s="3" t="s">
        <v>815</v>
      </c>
      <c r="G262" s="37" t="s">
        <v>28</v>
      </c>
      <c r="H262" s="37" t="s">
        <v>7</v>
      </c>
    </row>
    <row r="263" ht="15.75" customHeight="1">
      <c r="A263" s="3" t="s">
        <v>32</v>
      </c>
      <c r="B263" s="13">
        <v>191128.6</v>
      </c>
      <c r="C263" s="13">
        <v>63078.48000000001</v>
      </c>
      <c r="D263" s="3">
        <v>12.0</v>
      </c>
      <c r="E263" s="11">
        <v>2014.0</v>
      </c>
      <c r="F263" s="3" t="s">
        <v>818</v>
      </c>
      <c r="G263" s="37" t="s">
        <v>28</v>
      </c>
      <c r="H263" s="37" t="s">
        <v>6</v>
      </c>
    </row>
    <row r="264" ht="15.75" customHeight="1">
      <c r="A264" s="3" t="s">
        <v>578</v>
      </c>
      <c r="B264" s="13">
        <v>1005807.3600000001</v>
      </c>
      <c r="C264" s="13">
        <v>363482.8800000001</v>
      </c>
      <c r="D264" s="3">
        <v>6.0</v>
      </c>
      <c r="E264" s="11">
        <v>2010.0</v>
      </c>
      <c r="F264" s="3" t="s">
        <v>818</v>
      </c>
      <c r="G264" s="37" t="s">
        <v>28</v>
      </c>
      <c r="H264" s="37" t="s">
        <v>13</v>
      </c>
    </row>
    <row r="265" ht="15.75" customHeight="1">
      <c r="A265" s="3" t="s">
        <v>221</v>
      </c>
      <c r="B265" s="13">
        <v>52630.53</v>
      </c>
      <c r="C265" s="13">
        <v>13594.809999999998</v>
      </c>
      <c r="D265" s="3">
        <v>3.0</v>
      </c>
      <c r="E265" s="11">
        <v>2011.0</v>
      </c>
      <c r="F265" s="3" t="s">
        <v>815</v>
      </c>
      <c r="G265" s="37" t="s">
        <v>28</v>
      </c>
      <c r="H265" s="37" t="s">
        <v>8</v>
      </c>
    </row>
    <row r="266" ht="15.75" customHeight="1">
      <c r="A266" s="3" t="s">
        <v>142</v>
      </c>
      <c r="B266" s="13">
        <v>693587.16</v>
      </c>
      <c r="C266" s="13">
        <v>94036.80000000005</v>
      </c>
      <c r="D266" s="3">
        <v>7.0</v>
      </c>
      <c r="E266" s="11">
        <v>2010.0</v>
      </c>
      <c r="F266" s="3" t="s">
        <v>815</v>
      </c>
      <c r="G266" s="37" t="s">
        <v>28</v>
      </c>
      <c r="H266" s="37" t="s">
        <v>11</v>
      </c>
    </row>
    <row r="267" ht="15.75" customHeight="1">
      <c r="A267" s="3" t="s">
        <v>590</v>
      </c>
      <c r="B267" s="13">
        <v>809840.8999999999</v>
      </c>
      <c r="C267" s="13">
        <v>348778.8299999999</v>
      </c>
      <c r="D267" s="3">
        <v>9.0</v>
      </c>
      <c r="E267" s="11">
        <v>2011.0</v>
      </c>
      <c r="F267" s="3" t="s">
        <v>815</v>
      </c>
      <c r="G267" s="37" t="s">
        <v>28</v>
      </c>
      <c r="H267" s="37" t="s">
        <v>3</v>
      </c>
    </row>
    <row r="268" ht="15.75" customHeight="1">
      <c r="A268" s="3" t="s">
        <v>455</v>
      </c>
      <c r="B268" s="13">
        <v>577749.37</v>
      </c>
      <c r="C268" s="13">
        <v>177149.13999999996</v>
      </c>
      <c r="D268" s="3">
        <v>4.0</v>
      </c>
      <c r="E268" s="11">
        <v>2017.0</v>
      </c>
      <c r="F268" s="3" t="s">
        <v>818</v>
      </c>
      <c r="G268" s="37" t="s">
        <v>28</v>
      </c>
      <c r="H268" s="37" t="s">
        <v>14</v>
      </c>
    </row>
    <row r="269" ht="15.75" customHeight="1">
      <c r="A269" s="3" t="s">
        <v>686</v>
      </c>
      <c r="B269" s="13">
        <v>658535.28</v>
      </c>
      <c r="C269" s="13">
        <v>237984.24000000005</v>
      </c>
      <c r="D269" s="3">
        <v>5.0</v>
      </c>
      <c r="E269" s="11">
        <v>2012.0</v>
      </c>
      <c r="F269" s="3" t="s">
        <v>815</v>
      </c>
      <c r="G269" s="37" t="s">
        <v>28</v>
      </c>
      <c r="H269" s="37" t="s">
        <v>13</v>
      </c>
    </row>
    <row r="270" ht="15.75" customHeight="1">
      <c r="A270" s="3" t="s">
        <v>291</v>
      </c>
      <c r="B270" s="13">
        <v>591532.64</v>
      </c>
      <c r="C270" s="13">
        <v>397530.72</v>
      </c>
      <c r="D270" s="3">
        <v>3.0</v>
      </c>
      <c r="E270" s="11">
        <v>2015.0</v>
      </c>
      <c r="F270" s="3" t="s">
        <v>815</v>
      </c>
      <c r="G270" s="37" t="s">
        <v>28</v>
      </c>
      <c r="H270" s="37" t="s">
        <v>5</v>
      </c>
    </row>
    <row r="271" ht="15.75" customHeight="1">
      <c r="A271" s="3" t="s">
        <v>455</v>
      </c>
      <c r="B271" s="13">
        <v>1301162.16</v>
      </c>
      <c r="C271" s="13">
        <v>488598.4199999999</v>
      </c>
      <c r="D271" s="3">
        <v>8.0</v>
      </c>
      <c r="E271" s="11">
        <v>2011.0</v>
      </c>
      <c r="F271" s="3" t="s">
        <v>818</v>
      </c>
      <c r="G271" s="37" t="s">
        <v>28</v>
      </c>
      <c r="H271" s="37" t="s">
        <v>10</v>
      </c>
    </row>
    <row r="272" ht="15.75" customHeight="1">
      <c r="A272" s="3" t="s">
        <v>536</v>
      </c>
      <c r="B272" s="13">
        <v>66056.4</v>
      </c>
      <c r="C272" s="13">
        <v>17062.799999999996</v>
      </c>
      <c r="D272" s="3">
        <v>10.0</v>
      </c>
      <c r="E272" s="11">
        <v>2010.0</v>
      </c>
      <c r="F272" s="3" t="s">
        <v>815</v>
      </c>
      <c r="G272" s="37" t="s">
        <v>28</v>
      </c>
      <c r="H272" s="37" t="s">
        <v>8</v>
      </c>
    </row>
    <row r="273" ht="15.75" customHeight="1">
      <c r="A273" s="3" t="s">
        <v>593</v>
      </c>
      <c r="B273" s="13">
        <v>265970.1</v>
      </c>
      <c r="C273" s="13">
        <v>114546.86999999997</v>
      </c>
      <c r="D273" s="3">
        <v>1.0</v>
      </c>
      <c r="E273" s="11">
        <v>2014.0</v>
      </c>
      <c r="F273" s="3" t="s">
        <v>815</v>
      </c>
      <c r="G273" s="37" t="s">
        <v>28</v>
      </c>
      <c r="H273" s="37" t="s">
        <v>3</v>
      </c>
    </row>
    <row r="274" ht="15.75" customHeight="1">
      <c r="A274" s="3" t="s">
        <v>346</v>
      </c>
      <c r="B274" s="13">
        <v>2391207.7600000002</v>
      </c>
      <c r="C274" s="13">
        <v>897920.6200000003</v>
      </c>
      <c r="D274" s="3">
        <v>1.0</v>
      </c>
      <c r="E274" s="11">
        <v>2010.0</v>
      </c>
      <c r="F274" s="3" t="s">
        <v>818</v>
      </c>
      <c r="G274" s="37" t="s">
        <v>28</v>
      </c>
      <c r="H274" s="37" t="s">
        <v>10</v>
      </c>
    </row>
    <row r="275" ht="15.75" customHeight="1">
      <c r="A275" s="3" t="s">
        <v>578</v>
      </c>
      <c r="B275" s="13">
        <v>422188.86000000004</v>
      </c>
      <c r="C275" s="13">
        <v>152572.38000000006</v>
      </c>
      <c r="D275" s="3">
        <v>3.0</v>
      </c>
      <c r="E275" s="11">
        <v>2014.0</v>
      </c>
      <c r="F275" s="3" t="s">
        <v>818</v>
      </c>
      <c r="G275" s="37" t="s">
        <v>28</v>
      </c>
      <c r="H275" s="37" t="s">
        <v>13</v>
      </c>
    </row>
    <row r="276" ht="15.75" customHeight="1">
      <c r="A276" s="3" t="s">
        <v>267</v>
      </c>
      <c r="B276" s="13">
        <v>826091.2</v>
      </c>
      <c r="C276" s="13">
        <v>355777.43999999994</v>
      </c>
      <c r="D276" s="3">
        <v>7.0</v>
      </c>
      <c r="E276" s="11">
        <v>2011.0</v>
      </c>
      <c r="F276" s="3" t="s">
        <v>815</v>
      </c>
      <c r="G276" s="37" t="s">
        <v>28</v>
      </c>
      <c r="H276" s="37" t="s">
        <v>3</v>
      </c>
    </row>
    <row r="277" ht="15.75" customHeight="1">
      <c r="A277" s="3" t="s">
        <v>300</v>
      </c>
      <c r="B277" s="13">
        <v>1741867.5999999999</v>
      </c>
      <c r="C277" s="13">
        <v>750180.1199999999</v>
      </c>
      <c r="D277" s="3">
        <v>10.0</v>
      </c>
      <c r="E277" s="11">
        <v>2011.0</v>
      </c>
      <c r="F277" s="3" t="s">
        <v>818</v>
      </c>
      <c r="G277" s="37" t="s">
        <v>28</v>
      </c>
      <c r="H277" s="37" t="s">
        <v>3</v>
      </c>
    </row>
    <row r="278" ht="15.75" customHeight="1">
      <c r="A278" s="3" t="s">
        <v>373</v>
      </c>
      <c r="B278" s="13">
        <v>437294.28</v>
      </c>
      <c r="C278" s="13">
        <v>158031.24000000005</v>
      </c>
      <c r="D278" s="3">
        <v>9.0</v>
      </c>
      <c r="E278" s="11">
        <v>2012.0</v>
      </c>
      <c r="F278" s="3" t="s">
        <v>815</v>
      </c>
      <c r="G278" s="37" t="s">
        <v>28</v>
      </c>
      <c r="H278" s="37" t="s">
        <v>13</v>
      </c>
    </row>
    <row r="279" ht="15.75" customHeight="1">
      <c r="A279" s="3" t="s">
        <v>593</v>
      </c>
      <c r="B279" s="13">
        <v>369236.07</v>
      </c>
      <c r="C279" s="13">
        <v>71583.75</v>
      </c>
      <c r="D279" s="3">
        <v>1.0</v>
      </c>
      <c r="E279" s="11">
        <v>2015.0</v>
      </c>
      <c r="F279" s="3" t="s">
        <v>818</v>
      </c>
      <c r="G279" s="37" t="s">
        <v>28</v>
      </c>
      <c r="H279" s="37" t="s">
        <v>7</v>
      </c>
    </row>
    <row r="280" ht="15.75" customHeight="1">
      <c r="A280" s="3" t="s">
        <v>455</v>
      </c>
      <c r="B280" s="13">
        <v>1247768.8</v>
      </c>
      <c r="C280" s="13">
        <v>496224.9800000001</v>
      </c>
      <c r="D280" s="3">
        <v>3.0</v>
      </c>
      <c r="E280" s="11">
        <v>2014.0</v>
      </c>
      <c r="F280" s="3" t="s">
        <v>815</v>
      </c>
      <c r="G280" s="37" t="s">
        <v>28</v>
      </c>
      <c r="H280" s="37" t="s">
        <v>12</v>
      </c>
    </row>
    <row r="281" ht="15.75" customHeight="1">
      <c r="A281" s="3" t="s">
        <v>575</v>
      </c>
      <c r="B281" s="13">
        <v>1167324.0</v>
      </c>
      <c r="C281" s="13">
        <v>464232.9</v>
      </c>
      <c r="D281" s="3">
        <v>7.0</v>
      </c>
      <c r="E281" s="11">
        <v>2016.0</v>
      </c>
      <c r="F281" s="3" t="s">
        <v>818</v>
      </c>
      <c r="G281" s="37" t="s">
        <v>28</v>
      </c>
      <c r="H281" s="37" t="s">
        <v>12</v>
      </c>
    </row>
    <row r="282" ht="15.75" customHeight="1">
      <c r="A282" s="3" t="s">
        <v>686</v>
      </c>
      <c r="B282" s="13">
        <v>15560.06</v>
      </c>
      <c r="C282" s="13">
        <v>6376.129999999999</v>
      </c>
      <c r="D282" s="3">
        <v>12.0</v>
      </c>
      <c r="E282" s="11">
        <v>2016.0</v>
      </c>
      <c r="F282" s="3" t="s">
        <v>818</v>
      </c>
      <c r="G282" s="37" t="s">
        <v>28</v>
      </c>
      <c r="H282" s="37" t="s">
        <v>9</v>
      </c>
    </row>
    <row r="283" ht="15.75" customHeight="1">
      <c r="A283" s="3" t="s">
        <v>488</v>
      </c>
      <c r="B283" s="13">
        <v>786651.25</v>
      </c>
      <c r="C283" s="13">
        <v>241202.5</v>
      </c>
      <c r="D283" s="3">
        <v>6.0</v>
      </c>
      <c r="E283" s="11">
        <v>2013.0</v>
      </c>
      <c r="F283" s="3" t="s">
        <v>818</v>
      </c>
      <c r="G283" s="37" t="s">
        <v>28</v>
      </c>
      <c r="H283" s="37" t="s">
        <v>14</v>
      </c>
    </row>
    <row r="284" ht="15.75" customHeight="1">
      <c r="A284" s="3" t="s">
        <v>623</v>
      </c>
      <c r="B284" s="13">
        <v>3113738.4</v>
      </c>
      <c r="C284" s="13">
        <v>1238302.1400000001</v>
      </c>
      <c r="D284" s="3">
        <v>10.0</v>
      </c>
      <c r="E284" s="11">
        <v>2016.0</v>
      </c>
      <c r="F284" s="3" t="s">
        <v>818</v>
      </c>
      <c r="G284" s="37" t="s">
        <v>28</v>
      </c>
      <c r="H284" s="37" t="s">
        <v>12</v>
      </c>
    </row>
    <row r="285" ht="15.75" customHeight="1">
      <c r="A285" s="3" t="s">
        <v>635</v>
      </c>
      <c r="B285" s="13">
        <v>1305812.56</v>
      </c>
      <c r="C285" s="13">
        <v>535089.88</v>
      </c>
      <c r="D285" s="3">
        <v>8.0</v>
      </c>
      <c r="E285" s="11">
        <v>2014.0</v>
      </c>
      <c r="F285" s="3" t="s">
        <v>815</v>
      </c>
      <c r="G285" s="37" t="s">
        <v>28</v>
      </c>
      <c r="H285" s="37" t="s">
        <v>9</v>
      </c>
    </row>
    <row r="286" ht="15.75" customHeight="1">
      <c r="A286" s="3" t="s">
        <v>689</v>
      </c>
      <c r="B286" s="13">
        <v>276492.59</v>
      </c>
      <c r="C286" s="13">
        <v>84777.98000000001</v>
      </c>
      <c r="D286" s="3">
        <v>8.0</v>
      </c>
      <c r="E286" s="11">
        <v>2014.0</v>
      </c>
      <c r="F286" s="3" t="s">
        <v>818</v>
      </c>
      <c r="G286" s="37" t="s">
        <v>28</v>
      </c>
      <c r="H286" s="37" t="s">
        <v>14</v>
      </c>
    </row>
    <row r="287" ht="15.75" customHeight="1">
      <c r="A287" s="3" t="s">
        <v>291</v>
      </c>
      <c r="B287" s="13">
        <v>5802.83</v>
      </c>
      <c r="C287" s="13">
        <v>1779.2599999999998</v>
      </c>
      <c r="D287" s="3">
        <v>12.0</v>
      </c>
      <c r="E287" s="11">
        <v>2012.0</v>
      </c>
      <c r="F287" s="3" t="s">
        <v>815</v>
      </c>
      <c r="G287" s="37" t="s">
        <v>28</v>
      </c>
      <c r="H287" s="37" t="s">
        <v>14</v>
      </c>
    </row>
    <row r="288" ht="15.75" customHeight="1">
      <c r="A288" s="3" t="s">
        <v>300</v>
      </c>
      <c r="B288" s="13">
        <v>1575332.8800000001</v>
      </c>
      <c r="C288" s="13">
        <v>591552.0600000002</v>
      </c>
      <c r="D288" s="3">
        <v>1.0</v>
      </c>
      <c r="E288" s="11">
        <v>2015.0</v>
      </c>
      <c r="F288" s="3" t="s">
        <v>818</v>
      </c>
      <c r="G288" s="37" t="s">
        <v>28</v>
      </c>
      <c r="H288" s="37" t="s">
        <v>10</v>
      </c>
    </row>
    <row r="289" ht="15.75" customHeight="1">
      <c r="A289" s="3" t="s">
        <v>123</v>
      </c>
      <c r="B289" s="13">
        <v>5621244.720000001</v>
      </c>
      <c r="C289" s="13">
        <v>1089790.0</v>
      </c>
      <c r="D289" s="3">
        <v>11.0</v>
      </c>
      <c r="E289" s="11">
        <v>2015.0</v>
      </c>
      <c r="F289" s="3" t="s">
        <v>818</v>
      </c>
      <c r="G289" s="37" t="s">
        <v>28</v>
      </c>
      <c r="H289" s="37" t="s">
        <v>7</v>
      </c>
    </row>
    <row r="290" ht="15.75" customHeight="1">
      <c r="A290" s="3" t="s">
        <v>373</v>
      </c>
      <c r="B290" s="13">
        <v>98300.37</v>
      </c>
      <c r="C290" s="13">
        <v>13327.599999999991</v>
      </c>
      <c r="D290" s="3">
        <v>2.0</v>
      </c>
      <c r="E290" s="11">
        <v>2016.0</v>
      </c>
      <c r="F290" s="3" t="s">
        <v>815</v>
      </c>
      <c r="G290" s="37" t="s">
        <v>28</v>
      </c>
      <c r="H290" s="37" t="s">
        <v>11</v>
      </c>
    </row>
    <row r="291" ht="15.75" customHeight="1">
      <c r="A291" s="3" t="s">
        <v>46</v>
      </c>
      <c r="B291" s="13">
        <v>4275816.0</v>
      </c>
      <c r="C291" s="13">
        <v>1700448.6</v>
      </c>
      <c r="D291" s="3">
        <v>4.0</v>
      </c>
      <c r="E291" s="11">
        <v>2012.0</v>
      </c>
      <c r="F291" s="3" t="s">
        <v>815</v>
      </c>
      <c r="G291" s="37" t="s">
        <v>28</v>
      </c>
      <c r="H291" s="37" t="s">
        <v>12</v>
      </c>
    </row>
    <row r="292" ht="15.75" customHeight="1">
      <c r="A292" s="3" t="s">
        <v>428</v>
      </c>
      <c r="B292" s="13">
        <v>3587273.36</v>
      </c>
      <c r="C292" s="13">
        <v>889638.6399999997</v>
      </c>
      <c r="D292" s="3">
        <v>2.0</v>
      </c>
      <c r="E292" s="11">
        <v>2017.0</v>
      </c>
      <c r="F292" s="3" t="s">
        <v>815</v>
      </c>
      <c r="G292" s="37" t="s">
        <v>28</v>
      </c>
      <c r="H292" s="37" t="s">
        <v>4</v>
      </c>
    </row>
    <row r="293" ht="15.75" customHeight="1">
      <c r="A293" s="3" t="s">
        <v>123</v>
      </c>
      <c r="B293" s="13">
        <v>25237.65</v>
      </c>
      <c r="C293" s="13">
        <v>6519.050000000003</v>
      </c>
      <c r="D293" s="3">
        <v>1.0</v>
      </c>
      <c r="E293" s="11">
        <v>2013.0</v>
      </c>
      <c r="F293" s="3" t="s">
        <v>815</v>
      </c>
      <c r="G293" s="37" t="s">
        <v>28</v>
      </c>
      <c r="H293" s="37" t="s">
        <v>8</v>
      </c>
    </row>
    <row r="294" ht="15.75" customHeight="1">
      <c r="A294" s="3" t="s">
        <v>650</v>
      </c>
      <c r="B294" s="13">
        <v>451012.25</v>
      </c>
      <c r="C294" s="13">
        <v>148848.3</v>
      </c>
      <c r="D294" s="3">
        <v>10.0</v>
      </c>
      <c r="E294" s="11">
        <v>2013.0</v>
      </c>
      <c r="F294" s="3" t="s">
        <v>815</v>
      </c>
      <c r="G294" s="37" t="s">
        <v>28</v>
      </c>
      <c r="H294" s="37" t="s">
        <v>6</v>
      </c>
    </row>
    <row r="295" ht="15.75" customHeight="1">
      <c r="A295" s="3" t="s">
        <v>346</v>
      </c>
      <c r="B295" s="13">
        <v>476965.08</v>
      </c>
      <c r="C295" s="13">
        <v>172367.64</v>
      </c>
      <c r="D295" s="3">
        <v>2.0</v>
      </c>
      <c r="E295" s="11">
        <v>2017.0</v>
      </c>
      <c r="F295" s="3" t="s">
        <v>818</v>
      </c>
      <c r="G295" s="37" t="s">
        <v>28</v>
      </c>
      <c r="H295" s="37" t="s">
        <v>13</v>
      </c>
    </row>
    <row r="296" ht="15.75" customHeight="1">
      <c r="A296" s="3" t="s">
        <v>821</v>
      </c>
      <c r="B296" s="13">
        <v>63332.04</v>
      </c>
      <c r="C296" s="13">
        <v>16359.080000000002</v>
      </c>
      <c r="D296" s="3">
        <v>5.0</v>
      </c>
      <c r="E296" s="11">
        <v>2010.0</v>
      </c>
      <c r="F296" s="3" t="s">
        <v>815</v>
      </c>
      <c r="G296" s="37" t="s">
        <v>821</v>
      </c>
      <c r="H296" s="37" t="s">
        <v>8</v>
      </c>
    </row>
    <row r="297" ht="15.75" customHeight="1">
      <c r="A297" s="3" t="s">
        <v>821</v>
      </c>
      <c r="B297" s="13">
        <v>1654364.8</v>
      </c>
      <c r="C297" s="13">
        <v>657924.0800000001</v>
      </c>
      <c r="D297" s="3">
        <v>5.0</v>
      </c>
      <c r="E297" s="11">
        <v>2012.0</v>
      </c>
      <c r="F297" s="3" t="s">
        <v>818</v>
      </c>
      <c r="G297" s="37" t="s">
        <v>821</v>
      </c>
      <c r="H297" s="37" t="s">
        <v>12</v>
      </c>
    </row>
    <row r="298" ht="15.75" customHeight="1">
      <c r="A298" s="3" t="s">
        <v>623</v>
      </c>
      <c r="B298" s="13">
        <v>565244.68</v>
      </c>
      <c r="C298" s="13">
        <v>173314.96000000002</v>
      </c>
      <c r="D298" s="3">
        <v>5.0</v>
      </c>
      <c r="E298" s="11">
        <v>2010.0</v>
      </c>
      <c r="F298" s="3" t="s">
        <v>815</v>
      </c>
      <c r="G298" s="37" t="s">
        <v>28</v>
      </c>
      <c r="H298" s="37" t="s">
        <v>14</v>
      </c>
    </row>
    <row r="299" ht="15.75" customHeight="1">
      <c r="A299" s="3" t="s">
        <v>653</v>
      </c>
      <c r="B299" s="13">
        <v>52891.77</v>
      </c>
      <c r="C299" s="13">
        <v>13662.289999999994</v>
      </c>
      <c r="D299" s="3">
        <v>5.0</v>
      </c>
      <c r="E299" s="11">
        <v>2016.0</v>
      </c>
      <c r="F299" s="3" t="s">
        <v>818</v>
      </c>
      <c r="G299" s="37" t="s">
        <v>28</v>
      </c>
      <c r="H299" s="37" t="s">
        <v>8</v>
      </c>
    </row>
    <row r="300" ht="15.75" customHeight="1">
      <c r="A300" s="3" t="s">
        <v>428</v>
      </c>
      <c r="B300" s="13">
        <v>2310794.56</v>
      </c>
      <c r="C300" s="13">
        <v>867724.7200000002</v>
      </c>
      <c r="D300" s="3">
        <v>1.0</v>
      </c>
      <c r="E300" s="11">
        <v>2015.0</v>
      </c>
      <c r="F300" s="3" t="s">
        <v>815</v>
      </c>
      <c r="G300" s="37" t="s">
        <v>28</v>
      </c>
      <c r="H300" s="37" t="s">
        <v>10</v>
      </c>
    </row>
    <row r="301" ht="15.75" customHeight="1">
      <c r="A301" s="3" t="s">
        <v>455</v>
      </c>
      <c r="B301" s="13">
        <v>894501.12</v>
      </c>
      <c r="C301" s="13">
        <v>335893.44000000006</v>
      </c>
      <c r="D301" s="3">
        <v>4.0</v>
      </c>
      <c r="E301" s="11">
        <v>2015.0</v>
      </c>
      <c r="F301" s="3" t="s">
        <v>818</v>
      </c>
      <c r="G301" s="37" t="s">
        <v>28</v>
      </c>
      <c r="H301" s="37" t="s">
        <v>10</v>
      </c>
    </row>
    <row r="302" ht="15.75" customHeight="1">
      <c r="A302" s="3" t="s">
        <v>686</v>
      </c>
      <c r="B302" s="13">
        <v>177323.06</v>
      </c>
      <c r="C302" s="13">
        <v>72662.62999999999</v>
      </c>
      <c r="D302" s="3">
        <v>9.0</v>
      </c>
      <c r="E302" s="11">
        <v>2010.0</v>
      </c>
      <c r="F302" s="3" t="s">
        <v>815</v>
      </c>
      <c r="G302" s="37" t="s">
        <v>28</v>
      </c>
      <c r="H302" s="37" t="s">
        <v>9</v>
      </c>
    </row>
    <row r="303" ht="15.75" customHeight="1">
      <c r="A303" s="3" t="s">
        <v>270</v>
      </c>
      <c r="B303" s="13">
        <v>357017.76</v>
      </c>
      <c r="C303" s="13">
        <v>239928.47999999998</v>
      </c>
      <c r="D303" s="3">
        <v>1.0</v>
      </c>
      <c r="E303" s="11">
        <v>2014.0</v>
      </c>
      <c r="F303" s="3" t="s">
        <v>818</v>
      </c>
      <c r="G303" s="37" t="s">
        <v>28</v>
      </c>
      <c r="H303" s="37" t="s">
        <v>5</v>
      </c>
    </row>
    <row r="304" ht="15.75" customHeight="1">
      <c r="A304" s="3" t="s">
        <v>590</v>
      </c>
      <c r="B304" s="13">
        <v>3847797.1999999997</v>
      </c>
      <c r="C304" s="13">
        <v>1530229.8699999996</v>
      </c>
      <c r="D304" s="3">
        <v>12.0</v>
      </c>
      <c r="E304" s="11">
        <v>2011.0</v>
      </c>
      <c r="F304" s="3" t="s">
        <v>818</v>
      </c>
      <c r="G304" s="37" t="s">
        <v>28</v>
      </c>
      <c r="H304" s="37" t="s">
        <v>12</v>
      </c>
    </row>
    <row r="305" ht="15.75" customHeight="1">
      <c r="A305" s="3" t="s">
        <v>821</v>
      </c>
      <c r="B305" s="13">
        <v>78661.23</v>
      </c>
      <c r="C305" s="13">
        <v>20318.71</v>
      </c>
      <c r="D305" s="3">
        <v>7.0</v>
      </c>
      <c r="E305" s="11">
        <v>2016.0</v>
      </c>
      <c r="F305" s="3" t="s">
        <v>818</v>
      </c>
      <c r="G305" s="37" t="s">
        <v>821</v>
      </c>
      <c r="H305" s="37" t="s">
        <v>8</v>
      </c>
    </row>
    <row r="306" ht="15.75" customHeight="1">
      <c r="A306" s="3" t="s">
        <v>635</v>
      </c>
      <c r="B306" s="13">
        <v>515155.04</v>
      </c>
      <c r="C306" s="13">
        <v>193445.47999999998</v>
      </c>
      <c r="D306" s="3">
        <v>3.0</v>
      </c>
      <c r="E306" s="11">
        <v>2014.0</v>
      </c>
      <c r="F306" s="3" t="s">
        <v>815</v>
      </c>
      <c r="G306" s="37" t="s">
        <v>28</v>
      </c>
      <c r="H306" s="37" t="s">
        <v>10</v>
      </c>
    </row>
    <row r="307" ht="15.75" customHeight="1">
      <c r="A307" s="3" t="s">
        <v>455</v>
      </c>
      <c r="B307" s="13">
        <v>2138991.12</v>
      </c>
      <c r="C307" s="13">
        <v>803210.9400000002</v>
      </c>
      <c r="D307" s="3">
        <v>12.0</v>
      </c>
      <c r="E307" s="11">
        <v>2012.0</v>
      </c>
      <c r="F307" s="3" t="s">
        <v>818</v>
      </c>
      <c r="G307" s="37" t="s">
        <v>28</v>
      </c>
      <c r="H307" s="37" t="s">
        <v>10</v>
      </c>
    </row>
    <row r="308" ht="15.75" customHeight="1">
      <c r="A308" s="3" t="s">
        <v>346</v>
      </c>
      <c r="B308" s="13">
        <v>636268.05</v>
      </c>
      <c r="C308" s="13">
        <v>195092.10000000003</v>
      </c>
      <c r="D308" s="3">
        <v>10.0</v>
      </c>
      <c r="E308" s="11">
        <v>2014.0</v>
      </c>
      <c r="F308" s="3" t="s">
        <v>818</v>
      </c>
      <c r="G308" s="37" t="s">
        <v>28</v>
      </c>
      <c r="H308" s="37" t="s">
        <v>14</v>
      </c>
    </row>
    <row r="309" ht="15.75" customHeight="1">
      <c r="A309" s="3" t="s">
        <v>349</v>
      </c>
      <c r="B309" s="13">
        <v>13593.81</v>
      </c>
      <c r="C309" s="13">
        <v>3511.369999999999</v>
      </c>
      <c r="D309" s="3">
        <v>8.0</v>
      </c>
      <c r="E309" s="11">
        <v>2011.0</v>
      </c>
      <c r="F309" s="3" t="s">
        <v>818</v>
      </c>
      <c r="G309" s="37" t="s">
        <v>28</v>
      </c>
      <c r="H309" s="37" t="s">
        <v>8</v>
      </c>
    </row>
    <row r="310" ht="15.75" customHeight="1">
      <c r="A310" s="3" t="s">
        <v>671</v>
      </c>
      <c r="B310" s="13">
        <v>546142.7</v>
      </c>
      <c r="C310" s="13">
        <v>223795.84999999992</v>
      </c>
      <c r="D310" s="3">
        <v>4.0</v>
      </c>
      <c r="E310" s="11">
        <v>2011.0</v>
      </c>
      <c r="F310" s="3" t="s">
        <v>818</v>
      </c>
      <c r="G310" s="37" t="s">
        <v>28</v>
      </c>
      <c r="H310" s="37" t="s">
        <v>9</v>
      </c>
    </row>
    <row r="311" ht="15.75" customHeight="1">
      <c r="A311" s="3" t="s">
        <v>488</v>
      </c>
      <c r="B311" s="13">
        <v>1571959.4</v>
      </c>
      <c r="C311" s="13">
        <v>677004.7799999999</v>
      </c>
      <c r="D311" s="3">
        <v>6.0</v>
      </c>
      <c r="E311" s="11">
        <v>2010.0</v>
      </c>
      <c r="F311" s="3" t="s">
        <v>818</v>
      </c>
      <c r="G311" s="37" t="s">
        <v>28</v>
      </c>
      <c r="H311" s="37" t="s">
        <v>3</v>
      </c>
    </row>
    <row r="312" ht="15.75" customHeight="1">
      <c r="A312" s="3" t="s">
        <v>373</v>
      </c>
      <c r="B312" s="13">
        <v>571537.89</v>
      </c>
      <c r="C312" s="13">
        <v>175244.58000000002</v>
      </c>
      <c r="D312" s="3">
        <v>11.0</v>
      </c>
      <c r="E312" s="11">
        <v>2012.0</v>
      </c>
      <c r="F312" s="3" t="s">
        <v>818</v>
      </c>
      <c r="G312" s="37" t="s">
        <v>28</v>
      </c>
      <c r="H312" s="37" t="s">
        <v>14</v>
      </c>
    </row>
    <row r="313" ht="15.75" customHeight="1">
      <c r="A313" s="3" t="s">
        <v>221</v>
      </c>
      <c r="B313" s="13">
        <v>2413417.12</v>
      </c>
      <c r="C313" s="13">
        <v>906260.4400000002</v>
      </c>
      <c r="D313" s="3">
        <v>9.0</v>
      </c>
      <c r="E313" s="11">
        <v>2013.0</v>
      </c>
      <c r="F313" s="3" t="s">
        <v>818</v>
      </c>
      <c r="G313" s="37" t="s">
        <v>28</v>
      </c>
      <c r="H313" s="37" t="s">
        <v>10</v>
      </c>
    </row>
    <row r="314" ht="15.75" customHeight="1">
      <c r="A314" s="3" t="s">
        <v>821</v>
      </c>
      <c r="B314" s="13">
        <v>68771.43000000001</v>
      </c>
      <c r="C314" s="13">
        <v>17764.110000000008</v>
      </c>
      <c r="D314" s="3">
        <v>7.0</v>
      </c>
      <c r="E314" s="11">
        <v>2013.0</v>
      </c>
      <c r="F314" s="3" t="s">
        <v>815</v>
      </c>
      <c r="G314" s="37" t="s">
        <v>821</v>
      </c>
      <c r="H314" s="37" t="s">
        <v>8</v>
      </c>
    </row>
    <row r="315" ht="15.75" customHeight="1">
      <c r="A315" s="3" t="s">
        <v>373</v>
      </c>
      <c r="B315" s="13">
        <v>85139.64000000001</v>
      </c>
      <c r="C315" s="13">
        <v>30768.120000000017</v>
      </c>
      <c r="D315" s="3">
        <v>12.0</v>
      </c>
      <c r="E315" s="11">
        <v>2010.0</v>
      </c>
      <c r="F315" s="3" t="s">
        <v>815</v>
      </c>
      <c r="G315" s="37" t="s">
        <v>28</v>
      </c>
      <c r="H315" s="37" t="s">
        <v>13</v>
      </c>
    </row>
    <row r="316" ht="15.75" customHeight="1">
      <c r="A316" s="3" t="s">
        <v>635</v>
      </c>
      <c r="B316" s="13">
        <v>252054.40000000002</v>
      </c>
      <c r="C316" s="13">
        <v>83185.92000000004</v>
      </c>
      <c r="D316" s="3">
        <v>12.0</v>
      </c>
      <c r="E316" s="11">
        <v>2012.0</v>
      </c>
      <c r="F316" s="3" t="s">
        <v>818</v>
      </c>
      <c r="G316" s="37" t="s">
        <v>28</v>
      </c>
      <c r="H316" s="37" t="s">
        <v>6</v>
      </c>
    </row>
    <row r="317" ht="15.75" customHeight="1">
      <c r="A317" s="3" t="s">
        <v>671</v>
      </c>
      <c r="B317" s="13">
        <v>1883853.13</v>
      </c>
      <c r="C317" s="13">
        <v>467192.8699999999</v>
      </c>
      <c r="D317" s="3">
        <v>4.0</v>
      </c>
      <c r="E317" s="11">
        <v>2012.0</v>
      </c>
      <c r="F317" s="3" t="s">
        <v>818</v>
      </c>
      <c r="G317" s="37" t="s">
        <v>28</v>
      </c>
      <c r="H317" s="37" t="s">
        <v>4</v>
      </c>
    </row>
    <row r="318" ht="15.75" customHeight="1">
      <c r="A318" s="3" t="s">
        <v>101</v>
      </c>
      <c r="B318" s="13">
        <v>42012.99</v>
      </c>
      <c r="C318" s="13">
        <v>10852.23</v>
      </c>
      <c r="D318" s="3">
        <v>7.0</v>
      </c>
      <c r="E318" s="11">
        <v>2015.0</v>
      </c>
      <c r="F318" s="3" t="s">
        <v>815</v>
      </c>
      <c r="G318" s="37" t="s">
        <v>28</v>
      </c>
      <c r="H318" s="37" t="s">
        <v>8</v>
      </c>
    </row>
    <row r="319" ht="15.75" customHeight="1">
      <c r="A319" s="3" t="s">
        <v>364</v>
      </c>
      <c r="B319" s="13">
        <v>272242.63</v>
      </c>
      <c r="C319" s="13">
        <v>83474.85999999999</v>
      </c>
      <c r="D319" s="3">
        <v>2.0</v>
      </c>
      <c r="E319" s="11">
        <v>2017.0</v>
      </c>
      <c r="F319" s="3" t="s">
        <v>818</v>
      </c>
      <c r="G319" s="37" t="s">
        <v>28</v>
      </c>
      <c r="H319" s="37" t="s">
        <v>14</v>
      </c>
    </row>
    <row r="320" ht="15.75" customHeight="1">
      <c r="A320" s="3" t="s">
        <v>373</v>
      </c>
      <c r="B320" s="13">
        <v>18144.06</v>
      </c>
      <c r="C320" s="13">
        <v>5563.3200000000015</v>
      </c>
      <c r="D320" s="3">
        <v>2.0</v>
      </c>
      <c r="E320" s="11">
        <v>2011.0</v>
      </c>
      <c r="F320" s="3" t="s">
        <v>815</v>
      </c>
      <c r="G320" s="37" t="s">
        <v>28</v>
      </c>
      <c r="H320" s="37" t="s">
        <v>14</v>
      </c>
    </row>
    <row r="321" ht="15.75" customHeight="1">
      <c r="A321" s="3" t="s">
        <v>206</v>
      </c>
      <c r="B321" s="13">
        <v>0.0</v>
      </c>
      <c r="C321" s="13">
        <v>0.0</v>
      </c>
      <c r="D321" s="3">
        <v>5.0</v>
      </c>
      <c r="E321" s="11">
        <v>2014.0</v>
      </c>
      <c r="F321" s="3" t="s">
        <v>818</v>
      </c>
      <c r="G321" s="37" t="s">
        <v>28</v>
      </c>
      <c r="H321" s="37" t="s">
        <v>14</v>
      </c>
    </row>
    <row r="322" ht="15.75" customHeight="1">
      <c r="A322" s="3" t="s">
        <v>455</v>
      </c>
      <c r="B322" s="13">
        <v>3942669.6</v>
      </c>
      <c r="C322" s="13">
        <v>1567959.6600000001</v>
      </c>
      <c r="D322" s="3">
        <v>12.0</v>
      </c>
      <c r="E322" s="11">
        <v>2012.0</v>
      </c>
      <c r="F322" s="3" t="s">
        <v>818</v>
      </c>
      <c r="G322" s="37" t="s">
        <v>28</v>
      </c>
      <c r="H322" s="37" t="s">
        <v>12</v>
      </c>
    </row>
    <row r="323" ht="15.75" customHeight="1">
      <c r="A323" s="3" t="s">
        <v>686</v>
      </c>
      <c r="B323" s="13">
        <v>57939.3</v>
      </c>
      <c r="C323" s="13">
        <v>14966.100000000006</v>
      </c>
      <c r="D323" s="3">
        <v>4.0</v>
      </c>
      <c r="E323" s="11">
        <v>2016.0</v>
      </c>
      <c r="F323" s="3" t="s">
        <v>815</v>
      </c>
      <c r="G323" s="37" t="s">
        <v>28</v>
      </c>
      <c r="H323" s="37" t="s">
        <v>8</v>
      </c>
    </row>
    <row r="324" ht="15.75" customHeight="1">
      <c r="A324" s="3" t="s">
        <v>746</v>
      </c>
      <c r="B324" s="13">
        <v>368520.57</v>
      </c>
      <c r="C324" s="13">
        <v>112995.54000000001</v>
      </c>
      <c r="D324" s="3">
        <v>1.0</v>
      </c>
      <c r="E324" s="11">
        <v>2015.0</v>
      </c>
      <c r="F324" s="3" t="s">
        <v>818</v>
      </c>
      <c r="G324" s="37" t="s">
        <v>28</v>
      </c>
      <c r="H324" s="37" t="s">
        <v>14</v>
      </c>
    </row>
    <row r="325" ht="15.75" customHeight="1">
      <c r="A325" s="3" t="s">
        <v>97</v>
      </c>
      <c r="B325" s="13">
        <v>152504.30000000002</v>
      </c>
      <c r="C325" s="13">
        <v>50331.24000000002</v>
      </c>
      <c r="D325" s="3">
        <v>8.0</v>
      </c>
      <c r="E325" s="11">
        <v>2010.0</v>
      </c>
      <c r="F325" s="3" t="s">
        <v>815</v>
      </c>
      <c r="G325" s="37" t="s">
        <v>28</v>
      </c>
      <c r="H325" s="37" t="s">
        <v>6</v>
      </c>
    </row>
    <row r="326" ht="15.75" customHeight="1">
      <c r="A326" s="3" t="s">
        <v>248</v>
      </c>
      <c r="B326" s="13">
        <v>1641686.0</v>
      </c>
      <c r="C326" s="13">
        <v>652881.8500000001</v>
      </c>
      <c r="D326" s="3">
        <v>1.0</v>
      </c>
      <c r="E326" s="11">
        <v>2017.0</v>
      </c>
      <c r="F326" s="3" t="s">
        <v>818</v>
      </c>
      <c r="G326" s="37" t="s">
        <v>28</v>
      </c>
      <c r="H326" s="37" t="s">
        <v>12</v>
      </c>
    </row>
    <row r="327" ht="15.75" customHeight="1">
      <c r="A327" s="3" t="s">
        <v>142</v>
      </c>
      <c r="B327" s="13">
        <v>246028.25000000003</v>
      </c>
      <c r="C327" s="13">
        <v>81197.10000000003</v>
      </c>
      <c r="D327" s="3">
        <v>10.0</v>
      </c>
      <c r="E327" s="11">
        <v>2013.0</v>
      </c>
      <c r="F327" s="3" t="s">
        <v>818</v>
      </c>
      <c r="G327" s="37" t="s">
        <v>28</v>
      </c>
      <c r="H327" s="37" t="s">
        <v>6</v>
      </c>
    </row>
    <row r="328" ht="15.75" customHeight="1">
      <c r="A328" s="3" t="s">
        <v>488</v>
      </c>
      <c r="B328" s="13">
        <v>12968.7</v>
      </c>
      <c r="C328" s="13">
        <v>3349.9000000000015</v>
      </c>
      <c r="D328" s="3">
        <v>5.0</v>
      </c>
      <c r="E328" s="11">
        <v>2016.0</v>
      </c>
      <c r="F328" s="3" t="s">
        <v>818</v>
      </c>
      <c r="G328" s="37" t="s">
        <v>28</v>
      </c>
      <c r="H328" s="37" t="s">
        <v>8</v>
      </c>
    </row>
    <row r="329" ht="15.75" customHeight="1">
      <c r="A329" s="3" t="s">
        <v>346</v>
      </c>
      <c r="B329" s="13">
        <v>3615517.9200000004</v>
      </c>
      <c r="C329" s="13">
        <v>700940.0</v>
      </c>
      <c r="D329" s="3">
        <v>12.0</v>
      </c>
      <c r="E329" s="11">
        <v>2010.0</v>
      </c>
      <c r="F329" s="3" t="s">
        <v>815</v>
      </c>
      <c r="G329" s="37" t="s">
        <v>28</v>
      </c>
      <c r="H329" s="37" t="s">
        <v>7</v>
      </c>
    </row>
    <row r="330" ht="15.75" customHeight="1">
      <c r="A330" s="3" t="s">
        <v>373</v>
      </c>
      <c r="B330" s="13">
        <v>2526250.88</v>
      </c>
      <c r="C330" s="13">
        <v>948630.56</v>
      </c>
      <c r="D330" s="3">
        <v>6.0</v>
      </c>
      <c r="E330" s="11">
        <v>2012.0</v>
      </c>
      <c r="F330" s="3" t="s">
        <v>818</v>
      </c>
      <c r="G330" s="37" t="s">
        <v>28</v>
      </c>
      <c r="H330" s="37" t="s">
        <v>10</v>
      </c>
    </row>
    <row r="331" ht="15.75" customHeight="1">
      <c r="A331" s="3" t="s">
        <v>650</v>
      </c>
      <c r="B331" s="13">
        <v>605437.4400000001</v>
      </c>
      <c r="C331" s="13">
        <v>218795.52000000008</v>
      </c>
      <c r="D331" s="3">
        <v>10.0</v>
      </c>
      <c r="E331" s="11">
        <v>2013.0</v>
      </c>
      <c r="F331" s="3" t="s">
        <v>818</v>
      </c>
      <c r="G331" s="37" t="s">
        <v>28</v>
      </c>
      <c r="H331" s="37" t="s">
        <v>13</v>
      </c>
    </row>
    <row r="332" ht="15.75" customHeight="1">
      <c r="A332" s="3" t="s">
        <v>248</v>
      </c>
      <c r="B332" s="13">
        <v>2100699.12</v>
      </c>
      <c r="C332" s="13">
        <v>788831.9400000002</v>
      </c>
      <c r="D332" s="3">
        <v>5.0</v>
      </c>
      <c r="E332" s="11">
        <v>2014.0</v>
      </c>
      <c r="F332" s="3" t="s">
        <v>818</v>
      </c>
      <c r="G332" s="37" t="s">
        <v>28</v>
      </c>
      <c r="H332" s="37" t="s">
        <v>10</v>
      </c>
    </row>
    <row r="333" ht="15.75" customHeight="1">
      <c r="A333" s="3" t="s">
        <v>300</v>
      </c>
      <c r="B333" s="13">
        <v>379125.5</v>
      </c>
      <c r="C333" s="13">
        <v>125123.4</v>
      </c>
      <c r="D333" s="3">
        <v>4.0</v>
      </c>
      <c r="E333" s="11">
        <v>2017.0</v>
      </c>
      <c r="F333" s="3" t="s">
        <v>818</v>
      </c>
      <c r="G333" s="37" t="s">
        <v>28</v>
      </c>
      <c r="H333" s="37" t="s">
        <v>6</v>
      </c>
    </row>
    <row r="334" ht="15.75" customHeight="1">
      <c r="A334" s="3" t="s">
        <v>248</v>
      </c>
      <c r="B334" s="13">
        <v>1449773.5999999999</v>
      </c>
      <c r="C334" s="13">
        <v>624382.3199999998</v>
      </c>
      <c r="D334" s="3">
        <v>10.0</v>
      </c>
      <c r="E334" s="11">
        <v>2015.0</v>
      </c>
      <c r="F334" s="3" t="s">
        <v>815</v>
      </c>
      <c r="G334" s="37" t="s">
        <v>28</v>
      </c>
      <c r="H334" s="37" t="s">
        <v>3</v>
      </c>
    </row>
    <row r="335" ht="15.75" customHeight="1">
      <c r="A335" s="3" t="s">
        <v>46</v>
      </c>
      <c r="B335" s="13">
        <v>73310.25</v>
      </c>
      <c r="C335" s="13">
        <v>24194.700000000004</v>
      </c>
      <c r="D335" s="3">
        <v>3.0</v>
      </c>
      <c r="E335" s="11">
        <v>2015.0</v>
      </c>
      <c r="F335" s="3" t="s">
        <v>815</v>
      </c>
      <c r="G335" s="37" t="s">
        <v>28</v>
      </c>
      <c r="H335" s="37" t="s">
        <v>6</v>
      </c>
    </row>
    <row r="336" ht="15.75" customHeight="1">
      <c r="A336" s="3" t="s">
        <v>575</v>
      </c>
      <c r="B336" s="13">
        <v>3918735.28</v>
      </c>
      <c r="C336" s="13">
        <v>971840.7199999997</v>
      </c>
      <c r="D336" s="3">
        <v>4.0</v>
      </c>
      <c r="E336" s="11">
        <v>2011.0</v>
      </c>
      <c r="F336" s="3" t="s">
        <v>815</v>
      </c>
      <c r="G336" s="37" t="s">
        <v>28</v>
      </c>
      <c r="H336" s="37" t="s">
        <v>4</v>
      </c>
    </row>
    <row r="337" ht="15.75" customHeight="1">
      <c r="A337" s="3" t="s">
        <v>218</v>
      </c>
      <c r="B337" s="13">
        <v>186158.5</v>
      </c>
      <c r="C337" s="13">
        <v>80173.95</v>
      </c>
      <c r="D337" s="3">
        <v>5.0</v>
      </c>
      <c r="E337" s="11">
        <v>2015.0</v>
      </c>
      <c r="F337" s="3" t="s">
        <v>818</v>
      </c>
      <c r="G337" s="37" t="s">
        <v>28</v>
      </c>
      <c r="H337" s="37" t="s">
        <v>3</v>
      </c>
    </row>
    <row r="338" ht="15.75" customHeight="1">
      <c r="A338" s="3" t="s">
        <v>78</v>
      </c>
      <c r="B338" s="13">
        <v>1770871.2999999998</v>
      </c>
      <c r="C338" s="13">
        <v>762671.3099999998</v>
      </c>
      <c r="D338" s="3">
        <v>12.0</v>
      </c>
      <c r="E338" s="11">
        <v>2015.0</v>
      </c>
      <c r="F338" s="3" t="s">
        <v>815</v>
      </c>
      <c r="G338" s="37" t="s">
        <v>28</v>
      </c>
      <c r="H338" s="37" t="s">
        <v>3</v>
      </c>
    </row>
    <row r="339" ht="15.75" customHeight="1">
      <c r="A339" s="3" t="s">
        <v>215</v>
      </c>
      <c r="B339" s="13">
        <v>710975.68</v>
      </c>
      <c r="C339" s="13">
        <v>477800.64</v>
      </c>
      <c r="D339" s="3">
        <v>1.0</v>
      </c>
      <c r="E339" s="11">
        <v>2012.0</v>
      </c>
      <c r="F339" s="3" t="s">
        <v>815</v>
      </c>
      <c r="G339" s="37" t="s">
        <v>23</v>
      </c>
      <c r="H339" s="37" t="s">
        <v>5</v>
      </c>
    </row>
    <row r="340" ht="15.75" customHeight="1">
      <c r="A340" s="3" t="s">
        <v>650</v>
      </c>
      <c r="B340" s="13">
        <v>3032419.1999999997</v>
      </c>
      <c r="C340" s="13">
        <v>1205962.3199999998</v>
      </c>
      <c r="D340" s="3">
        <v>11.0</v>
      </c>
      <c r="E340" s="11">
        <v>2013.0</v>
      </c>
      <c r="F340" s="3" t="s">
        <v>815</v>
      </c>
      <c r="G340" s="37" t="s">
        <v>28</v>
      </c>
      <c r="H340" s="37" t="s">
        <v>12</v>
      </c>
    </row>
    <row r="341" ht="15.75" customHeight="1">
      <c r="A341" s="3" t="s">
        <v>346</v>
      </c>
      <c r="B341" s="13">
        <v>203275.80000000002</v>
      </c>
      <c r="C341" s="13">
        <v>67087.44000000003</v>
      </c>
      <c r="D341" s="3">
        <v>4.0</v>
      </c>
      <c r="E341" s="11">
        <v>2013.0</v>
      </c>
      <c r="F341" s="3" t="s">
        <v>815</v>
      </c>
      <c r="G341" s="37" t="s">
        <v>28</v>
      </c>
      <c r="H341" s="37" t="s">
        <v>6</v>
      </c>
    </row>
    <row r="342" ht="15.75" customHeight="1">
      <c r="A342" s="3" t="s">
        <v>46</v>
      </c>
      <c r="B342" s="13">
        <v>3006187.1999999997</v>
      </c>
      <c r="C342" s="13">
        <v>1195530.1199999999</v>
      </c>
      <c r="D342" s="3">
        <v>6.0</v>
      </c>
      <c r="E342" s="11">
        <v>2012.0</v>
      </c>
      <c r="F342" s="3" t="s">
        <v>815</v>
      </c>
      <c r="G342" s="37" t="s">
        <v>28</v>
      </c>
      <c r="H342" s="37" t="s">
        <v>12</v>
      </c>
    </row>
    <row r="343" ht="15.75" customHeight="1">
      <c r="A343" s="3" t="s">
        <v>821</v>
      </c>
      <c r="B343" s="13">
        <v>1206963.84</v>
      </c>
      <c r="C343" s="13">
        <v>453226.0800000002</v>
      </c>
      <c r="D343" s="3">
        <v>12.0</v>
      </c>
      <c r="E343" s="11">
        <v>2016.0</v>
      </c>
      <c r="F343" s="3" t="s">
        <v>815</v>
      </c>
      <c r="G343" s="37" t="s">
        <v>821</v>
      </c>
      <c r="H343" s="37" t="s">
        <v>10</v>
      </c>
    </row>
    <row r="344" ht="15.75" customHeight="1">
      <c r="A344" s="3" t="s">
        <v>740</v>
      </c>
      <c r="B344" s="13">
        <v>1743553.5999999999</v>
      </c>
      <c r="C344" s="13">
        <v>693393.5599999998</v>
      </c>
      <c r="D344" s="3">
        <v>1.0</v>
      </c>
      <c r="E344" s="11">
        <v>2011.0</v>
      </c>
      <c r="F344" s="3" t="s">
        <v>815</v>
      </c>
      <c r="G344" s="37" t="s">
        <v>28</v>
      </c>
      <c r="H344" s="37" t="s">
        <v>12</v>
      </c>
    </row>
    <row r="345" ht="15.75" customHeight="1">
      <c r="A345" s="3" t="s">
        <v>542</v>
      </c>
      <c r="B345" s="13">
        <v>5159536.83</v>
      </c>
      <c r="C345" s="13">
        <v>1000278.75</v>
      </c>
      <c r="D345" s="3">
        <v>1.0</v>
      </c>
      <c r="E345" s="11">
        <v>2012.0</v>
      </c>
      <c r="F345" s="3" t="s">
        <v>815</v>
      </c>
      <c r="G345" s="37" t="s">
        <v>28</v>
      </c>
      <c r="H345" s="37" t="s">
        <v>7</v>
      </c>
    </row>
    <row r="346" ht="15.75" customHeight="1">
      <c r="A346" s="3" t="s">
        <v>575</v>
      </c>
      <c r="B346" s="13">
        <v>920918.8999999999</v>
      </c>
      <c r="C346" s="13">
        <v>396617.42999999993</v>
      </c>
      <c r="D346" s="3">
        <v>11.0</v>
      </c>
      <c r="E346" s="11">
        <v>2013.0</v>
      </c>
      <c r="F346" s="3" t="s">
        <v>815</v>
      </c>
      <c r="G346" s="37" t="s">
        <v>28</v>
      </c>
      <c r="H346" s="37" t="s">
        <v>3</v>
      </c>
    </row>
    <row r="347" ht="15.75" customHeight="1">
      <c r="A347" s="3" t="s">
        <v>346</v>
      </c>
      <c r="B347" s="13">
        <v>4151214.0</v>
      </c>
      <c r="C347" s="13">
        <v>1650895.6500000004</v>
      </c>
      <c r="D347" s="3">
        <v>10.0</v>
      </c>
      <c r="E347" s="11">
        <v>2010.0</v>
      </c>
      <c r="F347" s="3" t="s">
        <v>815</v>
      </c>
      <c r="G347" s="37" t="s">
        <v>28</v>
      </c>
      <c r="H347" s="37" t="s">
        <v>12</v>
      </c>
    </row>
    <row r="348" ht="15.75" customHeight="1">
      <c r="A348" s="3" t="s">
        <v>215</v>
      </c>
      <c r="B348" s="13">
        <v>441296.94</v>
      </c>
      <c r="C348" s="13">
        <v>59831.20000000001</v>
      </c>
      <c r="D348" s="3">
        <v>6.0</v>
      </c>
      <c r="E348" s="11">
        <v>2017.0</v>
      </c>
      <c r="F348" s="3" t="s">
        <v>815</v>
      </c>
      <c r="G348" s="37" t="s">
        <v>23</v>
      </c>
      <c r="H348" s="37" t="s">
        <v>11</v>
      </c>
    </row>
    <row r="349" ht="15.75" customHeight="1">
      <c r="A349" s="3" t="s">
        <v>373</v>
      </c>
      <c r="B349" s="13">
        <v>728569.76</v>
      </c>
      <c r="C349" s="13">
        <v>489624.48</v>
      </c>
      <c r="D349" s="3">
        <v>4.0</v>
      </c>
      <c r="E349" s="11">
        <v>2010.0</v>
      </c>
      <c r="F349" s="3" t="s">
        <v>815</v>
      </c>
      <c r="G349" s="37" t="s">
        <v>28</v>
      </c>
      <c r="H349" s="37" t="s">
        <v>5</v>
      </c>
    </row>
    <row r="350" ht="15.75" customHeight="1">
      <c r="A350" s="3" t="s">
        <v>821</v>
      </c>
      <c r="B350" s="13">
        <v>151527.42</v>
      </c>
      <c r="C350" s="13">
        <v>46461.240000000005</v>
      </c>
      <c r="D350" s="3">
        <v>5.0</v>
      </c>
      <c r="E350" s="11">
        <v>2012.0</v>
      </c>
      <c r="F350" s="3" t="s">
        <v>818</v>
      </c>
      <c r="G350" s="37" t="s">
        <v>821</v>
      </c>
      <c r="H350" s="37" t="s">
        <v>14</v>
      </c>
    </row>
    <row r="351" ht="15.75" customHeight="1">
      <c r="A351" s="3" t="s">
        <v>686</v>
      </c>
      <c r="B351" s="13">
        <v>4149902.4</v>
      </c>
      <c r="C351" s="13">
        <v>1650374.04</v>
      </c>
      <c r="D351" s="3">
        <v>1.0</v>
      </c>
      <c r="E351" s="11">
        <v>2010.0</v>
      </c>
      <c r="F351" s="3" t="s">
        <v>818</v>
      </c>
      <c r="G351" s="37" t="s">
        <v>28</v>
      </c>
      <c r="H351" s="37" t="s">
        <v>12</v>
      </c>
    </row>
    <row r="352" ht="15.75" customHeight="1">
      <c r="A352" s="3" t="s">
        <v>542</v>
      </c>
      <c r="B352" s="13">
        <v>4211984.8</v>
      </c>
      <c r="C352" s="13">
        <v>1675063.58</v>
      </c>
      <c r="D352" s="3">
        <v>12.0</v>
      </c>
      <c r="E352" s="11">
        <v>2011.0</v>
      </c>
      <c r="F352" s="3" t="s">
        <v>818</v>
      </c>
      <c r="G352" s="37" t="s">
        <v>28</v>
      </c>
      <c r="H352" s="37" t="s">
        <v>12</v>
      </c>
    </row>
    <row r="353" ht="15.75" customHeight="1">
      <c r="A353" s="3" t="s">
        <v>434</v>
      </c>
      <c r="B353" s="13">
        <v>6069928.41</v>
      </c>
      <c r="C353" s="13">
        <v>1176776.25</v>
      </c>
      <c r="D353" s="3">
        <v>9.0</v>
      </c>
      <c r="E353" s="11">
        <v>2011.0</v>
      </c>
      <c r="F353" s="3" t="s">
        <v>818</v>
      </c>
      <c r="G353" s="37" t="s">
        <v>28</v>
      </c>
      <c r="H353" s="37" t="s">
        <v>7</v>
      </c>
    </row>
    <row r="354" ht="15.75" customHeight="1">
      <c r="A354" s="3" t="s">
        <v>455</v>
      </c>
      <c r="B354" s="13">
        <v>352612.38</v>
      </c>
      <c r="C354" s="13">
        <v>127428.54000000001</v>
      </c>
      <c r="D354" s="3">
        <v>5.0</v>
      </c>
      <c r="E354" s="11">
        <v>2015.0</v>
      </c>
      <c r="F354" s="3" t="s">
        <v>815</v>
      </c>
      <c r="G354" s="37" t="s">
        <v>28</v>
      </c>
      <c r="H354" s="37" t="s">
        <v>13</v>
      </c>
    </row>
    <row r="355" ht="15.75" customHeight="1">
      <c r="A355" s="3" t="s">
        <v>270</v>
      </c>
      <c r="B355" s="13">
        <v>3700175.22</v>
      </c>
      <c r="C355" s="13">
        <v>717352.5</v>
      </c>
      <c r="D355" s="3">
        <v>6.0</v>
      </c>
      <c r="E355" s="11">
        <v>2010.0</v>
      </c>
      <c r="F355" s="3" t="s">
        <v>815</v>
      </c>
      <c r="G355" s="37" t="s">
        <v>28</v>
      </c>
      <c r="H355" s="37" t="s">
        <v>7</v>
      </c>
    </row>
    <row r="356" ht="15.75" customHeight="1">
      <c r="A356" s="3" t="s">
        <v>288</v>
      </c>
      <c r="B356" s="13">
        <v>944622.78</v>
      </c>
      <c r="C356" s="13">
        <v>341371.74</v>
      </c>
      <c r="D356" s="3">
        <v>1.0</v>
      </c>
      <c r="E356" s="11">
        <v>2017.0</v>
      </c>
      <c r="F356" s="3" t="s">
        <v>818</v>
      </c>
      <c r="G356" s="37" t="s">
        <v>23</v>
      </c>
      <c r="H356" s="37" t="s">
        <v>13</v>
      </c>
    </row>
    <row r="357" ht="15.75" customHeight="1">
      <c r="A357" s="3" t="s">
        <v>248</v>
      </c>
      <c r="B357" s="13">
        <v>3340056.0900000003</v>
      </c>
      <c r="C357" s="13">
        <v>647536.25</v>
      </c>
      <c r="D357" s="3">
        <v>3.0</v>
      </c>
      <c r="E357" s="11">
        <v>2013.0</v>
      </c>
      <c r="F357" s="3" t="s">
        <v>818</v>
      </c>
      <c r="G357" s="37" t="s">
        <v>28</v>
      </c>
      <c r="H357" s="37" t="s">
        <v>7</v>
      </c>
    </row>
    <row r="358" ht="15.75" customHeight="1">
      <c r="A358" s="3" t="s">
        <v>413</v>
      </c>
      <c r="B358" s="13">
        <v>4094157.27</v>
      </c>
      <c r="C358" s="13">
        <v>793733.75</v>
      </c>
      <c r="D358" s="3">
        <v>5.0</v>
      </c>
      <c r="E358" s="11">
        <v>2017.0</v>
      </c>
      <c r="F358" s="3" t="s">
        <v>815</v>
      </c>
      <c r="G358" s="37" t="s">
        <v>28</v>
      </c>
      <c r="H358" s="37" t="s">
        <v>7</v>
      </c>
    </row>
    <row r="359" ht="15.75" customHeight="1">
      <c r="A359" s="3" t="s">
        <v>740</v>
      </c>
      <c r="B359" s="13">
        <v>161472.35</v>
      </c>
      <c r="C359" s="13">
        <v>53290.98000000001</v>
      </c>
      <c r="D359" s="3">
        <v>2.0</v>
      </c>
      <c r="E359" s="11">
        <v>2014.0</v>
      </c>
      <c r="F359" s="3" t="s">
        <v>815</v>
      </c>
      <c r="G359" s="37" t="s">
        <v>28</v>
      </c>
      <c r="H359" s="37" t="s">
        <v>6</v>
      </c>
    </row>
    <row r="360" ht="15.75" customHeight="1">
      <c r="A360" s="3" t="s">
        <v>512</v>
      </c>
      <c r="B360" s="13">
        <v>1545804.96</v>
      </c>
      <c r="C360" s="13">
        <v>209580.80000000005</v>
      </c>
      <c r="D360" s="3">
        <v>10.0</v>
      </c>
      <c r="E360" s="11">
        <v>2010.0</v>
      </c>
      <c r="F360" s="3" t="s">
        <v>815</v>
      </c>
      <c r="G360" s="37" t="s">
        <v>28</v>
      </c>
      <c r="H360" s="37" t="s">
        <v>11</v>
      </c>
    </row>
    <row r="361" ht="15.75" customHeight="1">
      <c r="A361" s="3" t="s">
        <v>482</v>
      </c>
      <c r="B361" s="13">
        <v>853338.34</v>
      </c>
      <c r="C361" s="13">
        <v>349677.06999999995</v>
      </c>
      <c r="D361" s="3">
        <v>3.0</v>
      </c>
      <c r="E361" s="11">
        <v>2011.0</v>
      </c>
      <c r="F361" s="3" t="s">
        <v>815</v>
      </c>
      <c r="G361" s="37" t="s">
        <v>28</v>
      </c>
      <c r="H361" s="37" t="s">
        <v>9</v>
      </c>
    </row>
    <row r="362" ht="15.75" customHeight="1">
      <c r="A362" s="3" t="s">
        <v>689</v>
      </c>
      <c r="B362" s="13">
        <v>1838426.0</v>
      </c>
      <c r="C362" s="13">
        <v>731123.3500000001</v>
      </c>
      <c r="D362" s="3">
        <v>9.0</v>
      </c>
      <c r="E362" s="11">
        <v>2014.0</v>
      </c>
      <c r="F362" s="3" t="s">
        <v>818</v>
      </c>
      <c r="G362" s="37" t="s">
        <v>28</v>
      </c>
      <c r="H362" s="37" t="s">
        <v>12</v>
      </c>
    </row>
    <row r="363" ht="15.75" customHeight="1">
      <c r="A363" s="3" t="s">
        <v>46</v>
      </c>
      <c r="B363" s="13">
        <v>556306.68</v>
      </c>
      <c r="C363" s="13">
        <v>201040.44000000006</v>
      </c>
      <c r="D363" s="3">
        <v>5.0</v>
      </c>
      <c r="E363" s="11">
        <v>2010.0</v>
      </c>
      <c r="F363" s="3" t="s">
        <v>815</v>
      </c>
      <c r="G363" s="37" t="s">
        <v>28</v>
      </c>
      <c r="H363" s="37" t="s">
        <v>13</v>
      </c>
    </row>
    <row r="364" ht="15.75" customHeight="1">
      <c r="A364" s="3" t="s">
        <v>536</v>
      </c>
      <c r="B364" s="13">
        <v>913391.84</v>
      </c>
      <c r="C364" s="13">
        <v>342987.07999999996</v>
      </c>
      <c r="D364" s="3">
        <v>9.0</v>
      </c>
      <c r="E364" s="11">
        <v>2016.0</v>
      </c>
      <c r="F364" s="3" t="s">
        <v>815</v>
      </c>
      <c r="G364" s="37" t="s">
        <v>28</v>
      </c>
      <c r="H364" s="37" t="s">
        <v>10</v>
      </c>
    </row>
    <row r="365" ht="15.75" customHeight="1">
      <c r="A365" s="3" t="s">
        <v>142</v>
      </c>
      <c r="B365" s="13">
        <v>3654411.1799999997</v>
      </c>
      <c r="C365" s="13">
        <v>495466.3999999999</v>
      </c>
      <c r="D365" s="3">
        <v>7.0</v>
      </c>
      <c r="E365" s="11">
        <v>2016.0</v>
      </c>
      <c r="F365" s="3" t="s">
        <v>815</v>
      </c>
      <c r="G365" s="37" t="s">
        <v>28</v>
      </c>
      <c r="H365" s="37" t="s">
        <v>11</v>
      </c>
    </row>
    <row r="366" ht="15.75" customHeight="1">
      <c r="A366" s="3" t="s">
        <v>635</v>
      </c>
      <c r="B366" s="13">
        <v>1970897.5999999999</v>
      </c>
      <c r="C366" s="13">
        <v>783805.96</v>
      </c>
      <c r="D366" s="3">
        <v>3.0</v>
      </c>
      <c r="E366" s="11">
        <v>2012.0</v>
      </c>
      <c r="F366" s="3" t="s">
        <v>815</v>
      </c>
      <c r="G366" s="37" t="s">
        <v>28</v>
      </c>
      <c r="H366" s="37" t="s">
        <v>12</v>
      </c>
    </row>
    <row r="367" ht="15.75" customHeight="1">
      <c r="A367" s="3" t="s">
        <v>536</v>
      </c>
      <c r="B367" s="13">
        <v>379926.8</v>
      </c>
      <c r="C367" s="13">
        <v>151093.03</v>
      </c>
      <c r="D367" s="3">
        <v>12.0</v>
      </c>
      <c r="E367" s="11">
        <v>2010.0</v>
      </c>
      <c r="F367" s="3" t="s">
        <v>815</v>
      </c>
      <c r="G367" s="37" t="s">
        <v>28</v>
      </c>
      <c r="H367" s="37" t="s">
        <v>12</v>
      </c>
    </row>
    <row r="368" ht="15.75" customHeight="1">
      <c r="A368" s="3" t="s">
        <v>482</v>
      </c>
      <c r="B368" s="13">
        <v>61297.5</v>
      </c>
      <c r="C368" s="13">
        <v>18795.0</v>
      </c>
      <c r="D368" s="3">
        <v>3.0</v>
      </c>
      <c r="E368" s="11">
        <v>2016.0</v>
      </c>
      <c r="F368" s="3" t="s">
        <v>815</v>
      </c>
      <c r="G368" s="37" t="s">
        <v>28</v>
      </c>
      <c r="H368" s="37" t="s">
        <v>14</v>
      </c>
    </row>
    <row r="369" ht="15.75" customHeight="1">
      <c r="A369" s="3" t="s">
        <v>671</v>
      </c>
      <c r="B369" s="13">
        <v>739097.52</v>
      </c>
      <c r="C369" s="13">
        <v>267098.16000000003</v>
      </c>
      <c r="D369" s="3">
        <v>2.0</v>
      </c>
      <c r="E369" s="11">
        <v>2017.0</v>
      </c>
      <c r="F369" s="3" t="s">
        <v>818</v>
      </c>
      <c r="G369" s="37" t="s">
        <v>28</v>
      </c>
      <c r="H369" s="37" t="s">
        <v>13</v>
      </c>
    </row>
    <row r="370" ht="15.75" customHeight="1">
      <c r="A370" s="3" t="s">
        <v>248</v>
      </c>
      <c r="B370" s="13">
        <v>674148.3200000001</v>
      </c>
      <c r="C370" s="13">
        <v>453051.36000000004</v>
      </c>
      <c r="D370" s="3">
        <v>6.0</v>
      </c>
      <c r="E370" s="11">
        <v>2013.0</v>
      </c>
      <c r="F370" s="3" t="s">
        <v>818</v>
      </c>
      <c r="G370" s="37" t="s">
        <v>28</v>
      </c>
      <c r="H370" s="37" t="s">
        <v>5</v>
      </c>
    </row>
    <row r="371" ht="15.75" customHeight="1">
      <c r="A371" s="3" t="s">
        <v>488</v>
      </c>
      <c r="B371" s="13">
        <v>1810445.2</v>
      </c>
      <c r="C371" s="13">
        <v>719995.6699999999</v>
      </c>
      <c r="D371" s="3">
        <v>8.0</v>
      </c>
      <c r="E371" s="11">
        <v>2012.0</v>
      </c>
      <c r="F371" s="3" t="s">
        <v>818</v>
      </c>
      <c r="G371" s="37" t="s">
        <v>28</v>
      </c>
      <c r="H371" s="37" t="s">
        <v>12</v>
      </c>
    </row>
    <row r="372" ht="15.75" customHeight="1">
      <c r="A372" s="3" t="s">
        <v>821</v>
      </c>
      <c r="B372" s="13">
        <v>1829248.8900000001</v>
      </c>
      <c r="C372" s="13">
        <v>354636.25</v>
      </c>
      <c r="D372" s="3">
        <v>5.0</v>
      </c>
      <c r="E372" s="11">
        <v>2014.0</v>
      </c>
      <c r="F372" s="3" t="s">
        <v>815</v>
      </c>
      <c r="G372" s="37" t="s">
        <v>821</v>
      </c>
      <c r="H372" s="37" t="s">
        <v>7</v>
      </c>
    </row>
    <row r="373" ht="15.75" customHeight="1">
      <c r="A373" s="3" t="s">
        <v>218</v>
      </c>
      <c r="B373" s="13">
        <v>190757.82</v>
      </c>
      <c r="C373" s="13">
        <v>58490.04000000001</v>
      </c>
      <c r="D373" s="3">
        <v>12.0</v>
      </c>
      <c r="E373" s="11">
        <v>2010.0</v>
      </c>
      <c r="F373" s="3" t="s">
        <v>815</v>
      </c>
      <c r="G373" s="37" t="s">
        <v>28</v>
      </c>
      <c r="H373" s="37" t="s">
        <v>14</v>
      </c>
    </row>
    <row r="374" ht="15.75" customHeight="1">
      <c r="A374" s="3" t="s">
        <v>512</v>
      </c>
      <c r="B374" s="13">
        <v>19615.2</v>
      </c>
      <c r="C374" s="13">
        <v>6014.4</v>
      </c>
      <c r="D374" s="3">
        <v>10.0</v>
      </c>
      <c r="E374" s="11">
        <v>2014.0</v>
      </c>
      <c r="F374" s="3" t="s">
        <v>818</v>
      </c>
      <c r="G374" s="37" t="s">
        <v>28</v>
      </c>
      <c r="H374" s="37" t="s">
        <v>14</v>
      </c>
    </row>
    <row r="375" ht="15.75" customHeight="1">
      <c r="A375" s="3" t="s">
        <v>346</v>
      </c>
      <c r="B375" s="13">
        <v>48450.69</v>
      </c>
      <c r="C375" s="13">
        <v>12515.130000000005</v>
      </c>
      <c r="D375" s="3">
        <v>4.0</v>
      </c>
      <c r="E375" s="11">
        <v>2016.0</v>
      </c>
      <c r="F375" s="3" t="s">
        <v>818</v>
      </c>
      <c r="G375" s="37" t="s">
        <v>28</v>
      </c>
      <c r="H375" s="37" t="s">
        <v>8</v>
      </c>
    </row>
    <row r="376" ht="15.75" customHeight="1">
      <c r="A376" s="3" t="s">
        <v>623</v>
      </c>
      <c r="B376" s="13">
        <v>818058.6</v>
      </c>
      <c r="C376" s="13">
        <v>335220.29999999993</v>
      </c>
      <c r="D376" s="3">
        <v>10.0</v>
      </c>
      <c r="E376" s="11">
        <v>2012.0</v>
      </c>
      <c r="F376" s="3" t="s">
        <v>818</v>
      </c>
      <c r="G376" s="37" t="s">
        <v>28</v>
      </c>
      <c r="H376" s="37" t="s">
        <v>9</v>
      </c>
    </row>
    <row r="377" ht="15.75" customHeight="1">
      <c r="A377" s="3" t="s">
        <v>536</v>
      </c>
      <c r="B377" s="13">
        <v>443799.85000000003</v>
      </c>
      <c r="C377" s="13">
        <v>146467.98000000004</v>
      </c>
      <c r="D377" s="3">
        <v>7.0</v>
      </c>
      <c r="E377" s="11">
        <v>2012.0</v>
      </c>
      <c r="F377" s="3" t="s">
        <v>818</v>
      </c>
      <c r="G377" s="37" t="s">
        <v>28</v>
      </c>
      <c r="H377" s="37" t="s">
        <v>6</v>
      </c>
    </row>
    <row r="378" ht="15.75" customHeight="1">
      <c r="A378" s="3" t="s">
        <v>206</v>
      </c>
      <c r="B378" s="13">
        <v>1893718.6800000002</v>
      </c>
      <c r="C378" s="13">
        <v>367135.0</v>
      </c>
      <c r="D378" s="3">
        <v>11.0</v>
      </c>
      <c r="E378" s="11">
        <v>2012.0</v>
      </c>
      <c r="F378" s="3" t="s">
        <v>818</v>
      </c>
      <c r="G378" s="37" t="s">
        <v>28</v>
      </c>
      <c r="H378" s="37" t="s">
        <v>7</v>
      </c>
    </row>
    <row r="379" ht="15.75" customHeight="1">
      <c r="A379" s="3" t="s">
        <v>364</v>
      </c>
      <c r="B379" s="13">
        <v>82629.03</v>
      </c>
      <c r="C379" s="13">
        <v>25335.659999999996</v>
      </c>
      <c r="D379" s="3">
        <v>5.0</v>
      </c>
      <c r="E379" s="11">
        <v>2010.0</v>
      </c>
      <c r="F379" s="3" t="s">
        <v>818</v>
      </c>
      <c r="G379" s="37" t="s">
        <v>28</v>
      </c>
      <c r="H379" s="37" t="s">
        <v>14</v>
      </c>
    </row>
    <row r="380" ht="15.75" customHeight="1">
      <c r="A380" s="3" t="s">
        <v>300</v>
      </c>
      <c r="B380" s="13">
        <v>1031603.2</v>
      </c>
      <c r="C380" s="13">
        <v>693273.5999999999</v>
      </c>
      <c r="D380" s="3">
        <v>1.0</v>
      </c>
      <c r="E380" s="11">
        <v>2015.0</v>
      </c>
      <c r="F380" s="3" t="s">
        <v>815</v>
      </c>
      <c r="G380" s="37" t="s">
        <v>28</v>
      </c>
      <c r="H380" s="37" t="s">
        <v>5</v>
      </c>
    </row>
    <row r="381" ht="15.75" customHeight="1">
      <c r="A381" s="3" t="s">
        <v>123</v>
      </c>
      <c r="B381" s="13">
        <v>778723.4400000001</v>
      </c>
      <c r="C381" s="13">
        <v>238771.68000000005</v>
      </c>
      <c r="D381" s="3">
        <v>1.0</v>
      </c>
      <c r="E381" s="11">
        <v>2010.0</v>
      </c>
      <c r="F381" s="3" t="s">
        <v>818</v>
      </c>
      <c r="G381" s="37" t="s">
        <v>28</v>
      </c>
      <c r="H381" s="37" t="s">
        <v>14</v>
      </c>
    </row>
    <row r="382" ht="15.75" customHeight="1">
      <c r="A382" s="3" t="s">
        <v>488</v>
      </c>
      <c r="B382" s="13">
        <v>777778.7999999999</v>
      </c>
      <c r="C382" s="13">
        <v>309314.73</v>
      </c>
      <c r="D382" s="3">
        <v>5.0</v>
      </c>
      <c r="E382" s="11">
        <v>2015.0</v>
      </c>
      <c r="F382" s="3" t="s">
        <v>815</v>
      </c>
      <c r="G382" s="37" t="s">
        <v>28</v>
      </c>
      <c r="H382" s="37" t="s">
        <v>12</v>
      </c>
    </row>
    <row r="383" ht="15.75" customHeight="1">
      <c r="A383" s="3" t="s">
        <v>364</v>
      </c>
      <c r="B383" s="13">
        <v>278768.75</v>
      </c>
      <c r="C383" s="13">
        <v>92002.5</v>
      </c>
      <c r="D383" s="3">
        <v>7.0</v>
      </c>
      <c r="E383" s="11">
        <v>2014.0</v>
      </c>
      <c r="F383" s="3" t="s">
        <v>815</v>
      </c>
      <c r="G383" s="37" t="s">
        <v>28</v>
      </c>
      <c r="H383" s="37" t="s">
        <v>6</v>
      </c>
    </row>
    <row r="384" ht="15.75" customHeight="1">
      <c r="A384" s="3" t="s">
        <v>32</v>
      </c>
      <c r="B384" s="13">
        <v>938278.08</v>
      </c>
      <c r="C384" s="13">
        <v>630555.8399999999</v>
      </c>
      <c r="D384" s="3">
        <v>1.0</v>
      </c>
      <c r="E384" s="11">
        <v>2016.0</v>
      </c>
      <c r="F384" s="3" t="s">
        <v>818</v>
      </c>
      <c r="G384" s="37" t="s">
        <v>28</v>
      </c>
      <c r="H384" s="37" t="s">
        <v>5</v>
      </c>
    </row>
    <row r="385" ht="15.75" customHeight="1">
      <c r="A385" s="3" t="s">
        <v>542</v>
      </c>
      <c r="B385" s="13">
        <v>611650.88</v>
      </c>
      <c r="C385" s="13">
        <v>229680.56000000006</v>
      </c>
      <c r="D385" s="3">
        <v>2.0</v>
      </c>
      <c r="E385" s="11">
        <v>2013.0</v>
      </c>
      <c r="F385" s="3" t="s">
        <v>818</v>
      </c>
      <c r="G385" s="37" t="s">
        <v>28</v>
      </c>
      <c r="H385" s="37" t="s">
        <v>10</v>
      </c>
    </row>
    <row r="386" ht="15.75" customHeight="1">
      <c r="A386" s="3" t="s">
        <v>349</v>
      </c>
      <c r="B386" s="13">
        <v>750998.76</v>
      </c>
      <c r="C386" s="13">
        <v>271399.08</v>
      </c>
      <c r="D386" s="3">
        <v>12.0</v>
      </c>
      <c r="E386" s="11">
        <v>2016.0</v>
      </c>
      <c r="F386" s="3" t="s">
        <v>818</v>
      </c>
      <c r="G386" s="37" t="s">
        <v>28</v>
      </c>
      <c r="H386" s="37" t="s">
        <v>13</v>
      </c>
    </row>
    <row r="387" ht="15.75" customHeight="1">
      <c r="A387" s="3" t="s">
        <v>593</v>
      </c>
      <c r="B387" s="13">
        <v>402696.8</v>
      </c>
      <c r="C387" s="13">
        <v>270626.39999999997</v>
      </c>
      <c r="D387" s="3">
        <v>8.0</v>
      </c>
      <c r="E387" s="11">
        <v>2015.0</v>
      </c>
      <c r="F387" s="3" t="s">
        <v>818</v>
      </c>
      <c r="G387" s="37" t="s">
        <v>28</v>
      </c>
      <c r="H387" s="37" t="s">
        <v>5</v>
      </c>
    </row>
    <row r="388" ht="15.75" customHeight="1">
      <c r="A388" s="3" t="s">
        <v>288</v>
      </c>
      <c r="B388" s="13">
        <v>855698.56</v>
      </c>
      <c r="C388" s="13">
        <v>321322.7200000001</v>
      </c>
      <c r="D388" s="3">
        <v>1.0</v>
      </c>
      <c r="E388" s="11">
        <v>2014.0</v>
      </c>
      <c r="F388" s="3" t="s">
        <v>815</v>
      </c>
      <c r="G388" s="37" t="s">
        <v>23</v>
      </c>
      <c r="H388" s="37" t="s">
        <v>10</v>
      </c>
    </row>
    <row r="389" ht="15.75" customHeight="1">
      <c r="A389" s="3" t="s">
        <v>373</v>
      </c>
      <c r="B389" s="13">
        <v>1419200.72</v>
      </c>
      <c r="C389" s="13">
        <v>581553.5599999999</v>
      </c>
      <c r="D389" s="3">
        <v>7.0</v>
      </c>
      <c r="E389" s="11">
        <v>2011.0</v>
      </c>
      <c r="F389" s="3" t="s">
        <v>815</v>
      </c>
      <c r="G389" s="37" t="s">
        <v>28</v>
      </c>
      <c r="H389" s="37" t="s">
        <v>9</v>
      </c>
    </row>
    <row r="390" ht="15.75" customHeight="1">
      <c r="A390" s="3" t="s">
        <v>291</v>
      </c>
      <c r="B390" s="13">
        <v>2313092.08</v>
      </c>
      <c r="C390" s="13">
        <v>868587.4600000002</v>
      </c>
      <c r="D390" s="3">
        <v>1.0</v>
      </c>
      <c r="E390" s="11">
        <v>2017.0</v>
      </c>
      <c r="F390" s="3" t="s">
        <v>818</v>
      </c>
      <c r="G390" s="37" t="s">
        <v>28</v>
      </c>
      <c r="H390" s="37" t="s">
        <v>10</v>
      </c>
    </row>
    <row r="391" ht="15.75" customHeight="1">
      <c r="A391" s="3" t="s">
        <v>434</v>
      </c>
      <c r="B391" s="13">
        <v>370465.69999999995</v>
      </c>
      <c r="C391" s="13">
        <v>159550.58999999997</v>
      </c>
      <c r="D391" s="3">
        <v>6.0</v>
      </c>
      <c r="E391" s="11">
        <v>2012.0</v>
      </c>
      <c r="F391" s="3" t="s">
        <v>815</v>
      </c>
      <c r="G391" s="37" t="s">
        <v>28</v>
      </c>
      <c r="H391" s="37" t="s">
        <v>3</v>
      </c>
    </row>
    <row r="392" ht="15.75" customHeight="1">
      <c r="A392" s="3" t="s">
        <v>623</v>
      </c>
      <c r="B392" s="13">
        <v>228779.1</v>
      </c>
      <c r="C392" s="13">
        <v>93748.04999999999</v>
      </c>
      <c r="D392" s="3">
        <v>6.0</v>
      </c>
      <c r="E392" s="11">
        <v>2016.0</v>
      </c>
      <c r="F392" s="3" t="s">
        <v>818</v>
      </c>
      <c r="G392" s="37" t="s">
        <v>28</v>
      </c>
      <c r="H392" s="37" t="s">
        <v>9</v>
      </c>
    </row>
    <row r="393" ht="15.75" customHeight="1">
      <c r="A393" s="3" t="s">
        <v>67</v>
      </c>
      <c r="B393" s="13">
        <v>85966.62</v>
      </c>
      <c r="C393" s="13">
        <v>22205.739999999998</v>
      </c>
      <c r="D393" s="3">
        <v>11.0</v>
      </c>
      <c r="E393" s="11">
        <v>2014.0</v>
      </c>
      <c r="F393" s="3" t="s">
        <v>818</v>
      </c>
      <c r="G393" s="37" t="s">
        <v>23</v>
      </c>
      <c r="H393" s="37" t="s">
        <v>8</v>
      </c>
    </row>
    <row r="394" ht="15.75" customHeight="1">
      <c r="A394" s="3" t="s">
        <v>206</v>
      </c>
      <c r="B394" s="13">
        <v>2739932.4</v>
      </c>
      <c r="C394" s="13">
        <v>1089643.29</v>
      </c>
      <c r="D394" s="3">
        <v>2.0</v>
      </c>
      <c r="E394" s="11">
        <v>2012.0</v>
      </c>
      <c r="F394" s="3" t="s">
        <v>818</v>
      </c>
      <c r="G394" s="37" t="s">
        <v>28</v>
      </c>
      <c r="H394" s="37" t="s">
        <v>12</v>
      </c>
    </row>
    <row r="395" ht="15.75" customHeight="1">
      <c r="A395" s="3" t="s">
        <v>821</v>
      </c>
      <c r="B395" s="13">
        <v>1892390.64</v>
      </c>
      <c r="C395" s="13">
        <v>710610.1799999999</v>
      </c>
      <c r="D395" s="3">
        <v>9.0</v>
      </c>
      <c r="E395" s="11">
        <v>2012.0</v>
      </c>
      <c r="F395" s="3" t="s">
        <v>818</v>
      </c>
      <c r="G395" s="37" t="s">
        <v>821</v>
      </c>
      <c r="H395" s="37" t="s">
        <v>10</v>
      </c>
    </row>
    <row r="396" ht="15.75" customHeight="1">
      <c r="A396" s="3" t="s">
        <v>270</v>
      </c>
      <c r="B396" s="13">
        <v>6294435.13</v>
      </c>
      <c r="C396" s="13">
        <v>1561010.87</v>
      </c>
      <c r="D396" s="3">
        <v>6.0</v>
      </c>
      <c r="E396" s="11">
        <v>2011.0</v>
      </c>
      <c r="F396" s="3" t="s">
        <v>815</v>
      </c>
      <c r="G396" s="37" t="s">
        <v>28</v>
      </c>
      <c r="H396" s="37" t="s">
        <v>4</v>
      </c>
    </row>
    <row r="397" ht="15.75" customHeight="1">
      <c r="A397" s="3" t="s">
        <v>291</v>
      </c>
      <c r="B397" s="13">
        <v>2894628.45</v>
      </c>
      <c r="C397" s="13">
        <v>561181.25</v>
      </c>
      <c r="D397" s="3">
        <v>9.0</v>
      </c>
      <c r="E397" s="11">
        <v>2013.0</v>
      </c>
      <c r="F397" s="3" t="s">
        <v>815</v>
      </c>
      <c r="G397" s="37" t="s">
        <v>28</v>
      </c>
      <c r="H397" s="37" t="s">
        <v>7</v>
      </c>
    </row>
    <row r="398" ht="15.75" customHeight="1">
      <c r="A398" s="3" t="s">
        <v>686</v>
      </c>
      <c r="B398" s="13">
        <v>1145186.08</v>
      </c>
      <c r="C398" s="13">
        <v>430027.9600000001</v>
      </c>
      <c r="D398" s="3">
        <v>3.0</v>
      </c>
      <c r="E398" s="11">
        <v>2011.0</v>
      </c>
      <c r="F398" s="3" t="s">
        <v>818</v>
      </c>
      <c r="G398" s="37" t="s">
        <v>28</v>
      </c>
      <c r="H398" s="37" t="s">
        <v>10</v>
      </c>
    </row>
    <row r="399" ht="15.75" customHeight="1">
      <c r="A399" s="3" t="s">
        <v>821</v>
      </c>
      <c r="B399" s="13">
        <v>158862.6</v>
      </c>
      <c r="C399" s="13">
        <v>52429.68000000001</v>
      </c>
      <c r="D399" s="3">
        <v>12.0</v>
      </c>
      <c r="E399" s="11">
        <v>2015.0</v>
      </c>
      <c r="F399" s="3" t="s">
        <v>815</v>
      </c>
      <c r="G399" s="37" t="s">
        <v>821</v>
      </c>
      <c r="H399" s="37" t="s">
        <v>6</v>
      </c>
    </row>
    <row r="400" ht="15.75" customHeight="1">
      <c r="A400" s="3" t="s">
        <v>593</v>
      </c>
      <c r="B400" s="13">
        <v>585350.26</v>
      </c>
      <c r="C400" s="13">
        <v>179479.71999999997</v>
      </c>
      <c r="D400" s="3">
        <v>9.0</v>
      </c>
      <c r="E400" s="11">
        <v>2014.0</v>
      </c>
      <c r="F400" s="3" t="s">
        <v>815</v>
      </c>
      <c r="G400" s="37" t="s">
        <v>28</v>
      </c>
      <c r="H400" s="37" t="s">
        <v>14</v>
      </c>
    </row>
    <row r="401" ht="15.75" customHeight="1">
      <c r="A401" s="3" t="s">
        <v>821</v>
      </c>
      <c r="B401" s="13">
        <v>22792.350000000002</v>
      </c>
      <c r="C401" s="13">
        <v>4418.75</v>
      </c>
      <c r="D401" s="3">
        <v>11.0</v>
      </c>
      <c r="E401" s="11">
        <v>2011.0</v>
      </c>
      <c r="F401" s="3" t="s">
        <v>815</v>
      </c>
      <c r="G401" s="37" t="s">
        <v>821</v>
      </c>
      <c r="H401" s="37" t="s">
        <v>7</v>
      </c>
    </row>
    <row r="402" ht="15.75" customHeight="1">
      <c r="A402" s="3" t="s">
        <v>671</v>
      </c>
      <c r="B402" s="13">
        <v>535144.16</v>
      </c>
      <c r="C402" s="13">
        <v>359635.68000000005</v>
      </c>
      <c r="D402" s="3">
        <v>8.0</v>
      </c>
      <c r="E402" s="11">
        <v>2012.0</v>
      </c>
      <c r="F402" s="3" t="s">
        <v>815</v>
      </c>
      <c r="G402" s="37" t="s">
        <v>28</v>
      </c>
      <c r="H402" s="37" t="s">
        <v>5</v>
      </c>
    </row>
    <row r="403" ht="15.75" customHeight="1">
      <c r="A403" s="3" t="s">
        <v>431</v>
      </c>
      <c r="B403" s="13">
        <v>170695.36000000002</v>
      </c>
      <c r="C403" s="13">
        <v>114713.28000000001</v>
      </c>
      <c r="D403" s="3">
        <v>6.0</v>
      </c>
      <c r="E403" s="11">
        <v>2016.0</v>
      </c>
      <c r="F403" s="3" t="s">
        <v>815</v>
      </c>
      <c r="G403" s="37" t="s">
        <v>28</v>
      </c>
      <c r="H403" s="37" t="s">
        <v>5</v>
      </c>
    </row>
    <row r="404" ht="15.75" customHeight="1">
      <c r="A404" s="3" t="s">
        <v>488</v>
      </c>
      <c r="B404" s="13">
        <v>3936986.0</v>
      </c>
      <c r="C404" s="13">
        <v>1565699.35</v>
      </c>
      <c r="D404" s="3">
        <v>11.0</v>
      </c>
      <c r="E404" s="11">
        <v>2012.0</v>
      </c>
      <c r="F404" s="3" t="s">
        <v>818</v>
      </c>
      <c r="G404" s="37" t="s">
        <v>28</v>
      </c>
      <c r="H404" s="37" t="s">
        <v>12</v>
      </c>
    </row>
    <row r="405" ht="15.75" customHeight="1">
      <c r="A405" s="3" t="s">
        <v>46</v>
      </c>
      <c r="B405" s="13">
        <v>278341.7</v>
      </c>
      <c r="C405" s="13">
        <v>91861.56000000003</v>
      </c>
      <c r="D405" s="3">
        <v>11.0</v>
      </c>
      <c r="E405" s="11">
        <v>2012.0</v>
      </c>
      <c r="F405" s="3" t="s">
        <v>815</v>
      </c>
      <c r="G405" s="37" t="s">
        <v>28</v>
      </c>
      <c r="H405" s="37" t="s">
        <v>6</v>
      </c>
    </row>
    <row r="406" ht="15.75" customHeight="1">
      <c r="A406" s="3" t="s">
        <v>291</v>
      </c>
      <c r="B406" s="13">
        <v>1081325.6</v>
      </c>
      <c r="C406" s="13">
        <v>726688.8</v>
      </c>
      <c r="D406" s="3">
        <v>11.0</v>
      </c>
      <c r="E406" s="11">
        <v>2010.0</v>
      </c>
      <c r="F406" s="3" t="s">
        <v>818</v>
      </c>
      <c r="G406" s="37" t="s">
        <v>28</v>
      </c>
      <c r="H406" s="37" t="s">
        <v>5</v>
      </c>
    </row>
    <row r="407" ht="15.75" customHeight="1">
      <c r="A407" s="3" t="s">
        <v>32</v>
      </c>
      <c r="B407" s="13">
        <v>1168804.23</v>
      </c>
      <c r="C407" s="13">
        <v>289861.7699999999</v>
      </c>
      <c r="D407" s="3">
        <v>7.0</v>
      </c>
      <c r="E407" s="11">
        <v>2017.0</v>
      </c>
      <c r="F407" s="3" t="s">
        <v>815</v>
      </c>
      <c r="G407" s="37" t="s">
        <v>28</v>
      </c>
      <c r="H407" s="37" t="s">
        <v>4</v>
      </c>
    </row>
    <row r="408" ht="15.75" customHeight="1">
      <c r="A408" s="3" t="s">
        <v>142</v>
      </c>
      <c r="B408" s="13">
        <v>756982.56</v>
      </c>
      <c r="C408" s="13">
        <v>508718.88</v>
      </c>
      <c r="D408" s="3">
        <v>4.0</v>
      </c>
      <c r="E408" s="11">
        <v>2014.0</v>
      </c>
      <c r="F408" s="3" t="s">
        <v>815</v>
      </c>
      <c r="G408" s="37" t="s">
        <v>28</v>
      </c>
      <c r="H408" s="37" t="s">
        <v>5</v>
      </c>
    </row>
    <row r="409" ht="15.75" customHeight="1">
      <c r="A409" s="3" t="s">
        <v>635</v>
      </c>
      <c r="B409" s="13">
        <v>4196117.9399999995</v>
      </c>
      <c r="C409" s="13">
        <v>568911.1999999997</v>
      </c>
      <c r="D409" s="3">
        <v>12.0</v>
      </c>
      <c r="E409" s="11">
        <v>2011.0</v>
      </c>
      <c r="F409" s="3" t="s">
        <v>818</v>
      </c>
      <c r="G409" s="37" t="s">
        <v>28</v>
      </c>
      <c r="H409" s="37" t="s">
        <v>11</v>
      </c>
    </row>
    <row r="410" ht="15.75" customHeight="1">
      <c r="A410" s="3" t="s">
        <v>434</v>
      </c>
      <c r="B410" s="13">
        <v>782150.7999999999</v>
      </c>
      <c r="C410" s="13">
        <v>311053.42999999993</v>
      </c>
      <c r="D410" s="3">
        <v>1.0</v>
      </c>
      <c r="E410" s="11">
        <v>2015.0</v>
      </c>
      <c r="F410" s="3" t="s">
        <v>818</v>
      </c>
      <c r="G410" s="37" t="s">
        <v>28</v>
      </c>
      <c r="H410" s="37" t="s">
        <v>12</v>
      </c>
    </row>
    <row r="411" ht="15.75" customHeight="1">
      <c r="A411" s="3" t="s">
        <v>46</v>
      </c>
      <c r="B411" s="13">
        <v>1599839.76</v>
      </c>
      <c r="C411" s="13">
        <v>600754.6200000001</v>
      </c>
      <c r="D411" s="3">
        <v>3.0</v>
      </c>
      <c r="E411" s="11">
        <v>2013.0</v>
      </c>
      <c r="F411" s="3" t="s">
        <v>818</v>
      </c>
      <c r="G411" s="37" t="s">
        <v>28</v>
      </c>
      <c r="H411" s="37" t="s">
        <v>10</v>
      </c>
    </row>
    <row r="412" ht="15.75" customHeight="1">
      <c r="A412" s="3" t="s">
        <v>488</v>
      </c>
      <c r="B412" s="13">
        <v>1083401.92</v>
      </c>
      <c r="C412" s="13">
        <v>728084.1599999999</v>
      </c>
      <c r="D412" s="3">
        <v>3.0</v>
      </c>
      <c r="E412" s="11">
        <v>2012.0</v>
      </c>
      <c r="F412" s="3" t="s">
        <v>815</v>
      </c>
      <c r="G412" s="37" t="s">
        <v>28</v>
      </c>
      <c r="H412" s="37" t="s">
        <v>5</v>
      </c>
    </row>
    <row r="413" ht="15.75" customHeight="1">
      <c r="A413" s="3" t="s">
        <v>542</v>
      </c>
      <c r="B413" s="13">
        <v>41854.38</v>
      </c>
      <c r="C413" s="13">
        <v>10811.259999999998</v>
      </c>
      <c r="D413" s="3">
        <v>10.0</v>
      </c>
      <c r="E413" s="11">
        <v>2014.0</v>
      </c>
      <c r="F413" s="3" t="s">
        <v>818</v>
      </c>
      <c r="G413" s="37" t="s">
        <v>28</v>
      </c>
      <c r="H413" s="37" t="s">
        <v>8</v>
      </c>
    </row>
    <row r="414" ht="15.75" customHeight="1">
      <c r="A414" s="3" t="s">
        <v>364</v>
      </c>
      <c r="B414" s="13">
        <v>254343.76</v>
      </c>
      <c r="C414" s="13">
        <v>77986.72</v>
      </c>
      <c r="D414" s="3">
        <v>2.0</v>
      </c>
      <c r="E414" s="11">
        <v>2013.0</v>
      </c>
      <c r="F414" s="3" t="s">
        <v>818</v>
      </c>
      <c r="G414" s="37" t="s">
        <v>28</v>
      </c>
      <c r="H414" s="37" t="s">
        <v>14</v>
      </c>
    </row>
    <row r="415" ht="15.75" customHeight="1">
      <c r="A415" s="3" t="s">
        <v>97</v>
      </c>
      <c r="B415" s="13">
        <v>863530.56</v>
      </c>
      <c r="C415" s="13">
        <v>580322.88</v>
      </c>
      <c r="D415" s="3">
        <v>7.0</v>
      </c>
      <c r="E415" s="11">
        <v>2016.0</v>
      </c>
      <c r="F415" s="3" t="s">
        <v>815</v>
      </c>
      <c r="G415" s="37" t="s">
        <v>28</v>
      </c>
      <c r="H415" s="37" t="s">
        <v>5</v>
      </c>
    </row>
    <row r="416" ht="15.75" customHeight="1">
      <c r="A416" s="3" t="s">
        <v>542</v>
      </c>
      <c r="B416" s="13">
        <v>623495.91</v>
      </c>
      <c r="C416" s="13">
        <v>154626.09000000003</v>
      </c>
      <c r="D416" s="3">
        <v>3.0</v>
      </c>
      <c r="E416" s="11">
        <v>2010.0</v>
      </c>
      <c r="F416" s="3" t="s">
        <v>818</v>
      </c>
      <c r="G416" s="37" t="s">
        <v>28</v>
      </c>
      <c r="H416" s="37" t="s">
        <v>4</v>
      </c>
    </row>
    <row r="417" ht="15.75" customHeight="1">
      <c r="A417" s="3" t="s">
        <v>78</v>
      </c>
      <c r="B417" s="13">
        <v>957020.72</v>
      </c>
      <c r="C417" s="13">
        <v>392163.55999999994</v>
      </c>
      <c r="D417" s="3">
        <v>5.0</v>
      </c>
      <c r="E417" s="11">
        <v>2011.0</v>
      </c>
      <c r="F417" s="3" t="s">
        <v>818</v>
      </c>
      <c r="G417" s="37" t="s">
        <v>28</v>
      </c>
      <c r="H417" s="37" t="s">
        <v>9</v>
      </c>
    </row>
    <row r="418" ht="15.75" customHeight="1">
      <c r="A418" s="3" t="s">
        <v>434</v>
      </c>
      <c r="B418" s="13">
        <v>9413.97</v>
      </c>
      <c r="C418" s="13">
        <v>2431.6899999999996</v>
      </c>
      <c r="D418" s="3">
        <v>9.0</v>
      </c>
      <c r="E418" s="11">
        <v>2016.0</v>
      </c>
      <c r="F418" s="3" t="s">
        <v>815</v>
      </c>
      <c r="G418" s="37" t="s">
        <v>28</v>
      </c>
      <c r="H418" s="37" t="s">
        <v>8</v>
      </c>
    </row>
    <row r="419" ht="15.75" customHeight="1">
      <c r="A419" s="3" t="s">
        <v>349</v>
      </c>
      <c r="B419" s="13">
        <v>1222321.1700000002</v>
      </c>
      <c r="C419" s="13">
        <v>236971.25000000012</v>
      </c>
      <c r="D419" s="3">
        <v>2.0</v>
      </c>
      <c r="E419" s="11">
        <v>2015.0</v>
      </c>
      <c r="F419" s="3" t="s">
        <v>815</v>
      </c>
      <c r="G419" s="37" t="s">
        <v>28</v>
      </c>
      <c r="H419" s="37" t="s">
        <v>7</v>
      </c>
    </row>
    <row r="420" ht="15.75" customHeight="1">
      <c r="A420" s="3" t="s">
        <v>215</v>
      </c>
      <c r="B420" s="13">
        <v>1252140.8</v>
      </c>
      <c r="C420" s="13">
        <v>497963.68000000005</v>
      </c>
      <c r="D420" s="3">
        <v>11.0</v>
      </c>
      <c r="E420" s="11">
        <v>2015.0</v>
      </c>
      <c r="F420" s="3" t="s">
        <v>818</v>
      </c>
      <c r="G420" s="37" t="s">
        <v>23</v>
      </c>
      <c r="H420" s="37" t="s">
        <v>12</v>
      </c>
    </row>
    <row r="421" ht="15.75" customHeight="1">
      <c r="A421" s="3" t="s">
        <v>291</v>
      </c>
      <c r="B421" s="13">
        <v>4183566.8</v>
      </c>
      <c r="C421" s="13">
        <v>1663762.0299999998</v>
      </c>
      <c r="D421" s="3">
        <v>2.0</v>
      </c>
      <c r="E421" s="11">
        <v>2012.0</v>
      </c>
      <c r="F421" s="3" t="s">
        <v>818</v>
      </c>
      <c r="G421" s="37" t="s">
        <v>28</v>
      </c>
      <c r="H421" s="37" t="s">
        <v>12</v>
      </c>
    </row>
    <row r="422" ht="15.75" customHeight="1">
      <c r="A422" s="3" t="s">
        <v>431</v>
      </c>
      <c r="B422" s="13">
        <v>627931.5900000001</v>
      </c>
      <c r="C422" s="13">
        <v>192535.9800000001</v>
      </c>
      <c r="D422" s="3">
        <v>3.0</v>
      </c>
      <c r="E422" s="11">
        <v>2013.0</v>
      </c>
      <c r="F422" s="3" t="s">
        <v>818</v>
      </c>
      <c r="G422" s="37" t="s">
        <v>28</v>
      </c>
      <c r="H422" s="37" t="s">
        <v>14</v>
      </c>
    </row>
    <row r="423" ht="15.75" customHeight="1">
      <c r="A423" s="3" t="s">
        <v>671</v>
      </c>
      <c r="B423" s="13">
        <v>1463724.06</v>
      </c>
      <c r="C423" s="13">
        <v>599798.13</v>
      </c>
      <c r="D423" s="3">
        <v>12.0</v>
      </c>
      <c r="E423" s="11">
        <v>2010.0</v>
      </c>
      <c r="F423" s="3" t="s">
        <v>815</v>
      </c>
      <c r="G423" s="37" t="s">
        <v>28</v>
      </c>
      <c r="H423" s="37" t="s">
        <v>9</v>
      </c>
    </row>
    <row r="424" ht="15.75" customHeight="1">
      <c r="A424" s="3" t="s">
        <v>575</v>
      </c>
      <c r="B424" s="13">
        <v>413553.80000000005</v>
      </c>
      <c r="C424" s="13">
        <v>126803.60000000003</v>
      </c>
      <c r="D424" s="3">
        <v>4.0</v>
      </c>
      <c r="E424" s="11">
        <v>2014.0</v>
      </c>
      <c r="F424" s="3" t="s">
        <v>818</v>
      </c>
      <c r="G424" s="37" t="s">
        <v>28</v>
      </c>
      <c r="H424" s="37" t="s">
        <v>14</v>
      </c>
    </row>
    <row r="425" ht="15.75" customHeight="1">
      <c r="A425" s="3" t="s">
        <v>431</v>
      </c>
      <c r="B425" s="13">
        <v>452628.28</v>
      </c>
      <c r="C425" s="13">
        <v>185475.94</v>
      </c>
      <c r="D425" s="3">
        <v>7.0</v>
      </c>
      <c r="E425" s="11">
        <v>2016.0</v>
      </c>
      <c r="F425" s="3" t="s">
        <v>815</v>
      </c>
      <c r="G425" s="37" t="s">
        <v>28</v>
      </c>
      <c r="H425" s="37" t="s">
        <v>9</v>
      </c>
    </row>
    <row r="426" ht="15.75" customHeight="1">
      <c r="A426" s="3" t="s">
        <v>746</v>
      </c>
      <c r="B426" s="13">
        <v>817218.27</v>
      </c>
      <c r="C426" s="13">
        <v>250574.93999999994</v>
      </c>
      <c r="D426" s="3">
        <v>12.0</v>
      </c>
      <c r="E426" s="11">
        <v>2013.0</v>
      </c>
      <c r="F426" s="3" t="s">
        <v>818</v>
      </c>
      <c r="G426" s="37" t="s">
        <v>28</v>
      </c>
      <c r="H426" s="37" t="s">
        <v>14</v>
      </c>
    </row>
    <row r="427" ht="15.75" customHeight="1">
      <c r="A427" s="3" t="s">
        <v>123</v>
      </c>
      <c r="B427" s="13">
        <v>336133.74000000005</v>
      </c>
      <c r="C427" s="13">
        <v>121473.42000000004</v>
      </c>
      <c r="D427" s="3">
        <v>3.0</v>
      </c>
      <c r="E427" s="11">
        <v>2012.0</v>
      </c>
      <c r="F427" s="3" t="s">
        <v>818</v>
      </c>
      <c r="G427" s="37" t="s">
        <v>28</v>
      </c>
      <c r="H427" s="37" t="s">
        <v>13</v>
      </c>
    </row>
    <row r="428" ht="15.75" customHeight="1">
      <c r="A428" s="3" t="s">
        <v>671</v>
      </c>
      <c r="B428" s="13">
        <v>1046656.7999999999</v>
      </c>
      <c r="C428" s="13">
        <v>416244.7799999999</v>
      </c>
      <c r="D428" s="3">
        <v>1.0</v>
      </c>
      <c r="E428" s="11">
        <v>2017.0</v>
      </c>
      <c r="F428" s="3" t="s">
        <v>818</v>
      </c>
      <c r="G428" s="37" t="s">
        <v>28</v>
      </c>
      <c r="H428" s="37" t="s">
        <v>12</v>
      </c>
    </row>
    <row r="429" ht="15.75" customHeight="1">
      <c r="A429" s="3" t="s">
        <v>270</v>
      </c>
      <c r="B429" s="13">
        <v>2492180.67</v>
      </c>
      <c r="C429" s="13">
        <v>483158.74999999977</v>
      </c>
      <c r="D429" s="3">
        <v>1.0</v>
      </c>
      <c r="E429" s="11">
        <v>2012.0</v>
      </c>
      <c r="F429" s="3" t="s">
        <v>815</v>
      </c>
      <c r="G429" s="37" t="s">
        <v>28</v>
      </c>
      <c r="H429" s="37" t="s">
        <v>7</v>
      </c>
    </row>
    <row r="430" ht="15.75" customHeight="1">
      <c r="A430" s="3" t="s">
        <v>288</v>
      </c>
      <c r="B430" s="13">
        <v>1228440.4</v>
      </c>
      <c r="C430" s="13">
        <v>529059.4799999999</v>
      </c>
      <c r="D430" s="3">
        <v>11.0</v>
      </c>
      <c r="E430" s="11">
        <v>2016.0</v>
      </c>
      <c r="F430" s="3" t="s">
        <v>818</v>
      </c>
      <c r="G430" s="37" t="s">
        <v>23</v>
      </c>
      <c r="H430" s="37" t="s">
        <v>3</v>
      </c>
    </row>
    <row r="431" ht="15.75" customHeight="1">
      <c r="A431" s="3" t="s">
        <v>542</v>
      </c>
      <c r="B431" s="13">
        <v>714226.9800000001</v>
      </c>
      <c r="C431" s="13">
        <v>258110.34000000008</v>
      </c>
      <c r="D431" s="3">
        <v>3.0</v>
      </c>
      <c r="E431" s="11">
        <v>2016.0</v>
      </c>
      <c r="F431" s="3" t="s">
        <v>818</v>
      </c>
      <c r="G431" s="37" t="s">
        <v>28</v>
      </c>
      <c r="H431" s="37" t="s">
        <v>13</v>
      </c>
    </row>
    <row r="432" ht="15.75" customHeight="1">
      <c r="A432" s="3" t="s">
        <v>671</v>
      </c>
      <c r="B432" s="13">
        <v>1074165.4</v>
      </c>
      <c r="C432" s="13">
        <v>462616.97999999986</v>
      </c>
      <c r="D432" s="3">
        <v>1.0</v>
      </c>
      <c r="E432" s="11">
        <v>2015.0</v>
      </c>
      <c r="F432" s="3" t="s">
        <v>818</v>
      </c>
      <c r="G432" s="37" t="s">
        <v>28</v>
      </c>
      <c r="H432" s="37" t="s">
        <v>3</v>
      </c>
    </row>
    <row r="433" ht="15.75" customHeight="1">
      <c r="A433" s="3" t="s">
        <v>635</v>
      </c>
      <c r="B433" s="13">
        <v>570792.3</v>
      </c>
      <c r="C433" s="13">
        <v>233896.65000000002</v>
      </c>
      <c r="D433" s="3">
        <v>6.0</v>
      </c>
      <c r="E433" s="11">
        <v>2011.0</v>
      </c>
      <c r="F433" s="3" t="s">
        <v>818</v>
      </c>
      <c r="G433" s="37" t="s">
        <v>28</v>
      </c>
      <c r="H433" s="37" t="s">
        <v>9</v>
      </c>
    </row>
    <row r="434" ht="15.75" customHeight="1">
      <c r="A434" s="3" t="s">
        <v>215</v>
      </c>
      <c r="B434" s="13">
        <v>116631.9</v>
      </c>
      <c r="C434" s="13">
        <v>50230.53</v>
      </c>
      <c r="D434" s="3">
        <v>7.0</v>
      </c>
      <c r="E434" s="11">
        <v>2011.0</v>
      </c>
      <c r="F434" s="3" t="s">
        <v>818</v>
      </c>
      <c r="G434" s="37" t="s">
        <v>23</v>
      </c>
      <c r="H434" s="37" t="s">
        <v>3</v>
      </c>
    </row>
    <row r="435" ht="15.75" customHeight="1">
      <c r="A435" s="3" t="s">
        <v>512</v>
      </c>
      <c r="B435" s="13">
        <v>248867.85</v>
      </c>
      <c r="C435" s="13">
        <v>76307.70000000001</v>
      </c>
      <c r="D435" s="3">
        <v>5.0</v>
      </c>
      <c r="E435" s="11">
        <v>2010.0</v>
      </c>
      <c r="F435" s="3" t="s">
        <v>818</v>
      </c>
      <c r="G435" s="37" t="s">
        <v>28</v>
      </c>
      <c r="H435" s="37" t="s">
        <v>14</v>
      </c>
    </row>
    <row r="436" ht="15.75" customHeight="1">
      <c r="A436" s="3" t="s">
        <v>270</v>
      </c>
      <c r="B436" s="13">
        <v>59460.090000000004</v>
      </c>
      <c r="C436" s="13">
        <v>15358.930000000008</v>
      </c>
      <c r="D436" s="3">
        <v>3.0</v>
      </c>
      <c r="E436" s="11">
        <v>2017.0</v>
      </c>
      <c r="F436" s="3" t="s">
        <v>818</v>
      </c>
      <c r="G436" s="37" t="s">
        <v>28</v>
      </c>
      <c r="H436" s="37" t="s">
        <v>8</v>
      </c>
    </row>
    <row r="437" ht="15.75" customHeight="1">
      <c r="A437" s="3" t="s">
        <v>635</v>
      </c>
      <c r="B437" s="13">
        <v>627485.76</v>
      </c>
      <c r="C437" s="13">
        <v>421692.48</v>
      </c>
      <c r="D437" s="3">
        <v>1.0</v>
      </c>
      <c r="E437" s="11">
        <v>2010.0</v>
      </c>
      <c r="F437" s="3" t="s">
        <v>818</v>
      </c>
      <c r="G437" s="37" t="s">
        <v>28</v>
      </c>
      <c r="H437" s="37" t="s">
        <v>5</v>
      </c>
    </row>
    <row r="438" ht="15.75" customHeight="1">
      <c r="A438" s="3" t="s">
        <v>650</v>
      </c>
      <c r="B438" s="13">
        <v>2929.62</v>
      </c>
      <c r="C438" s="13">
        <v>756.7399999999998</v>
      </c>
      <c r="D438" s="3">
        <v>8.0</v>
      </c>
      <c r="E438" s="11">
        <v>2012.0</v>
      </c>
      <c r="F438" s="3" t="s">
        <v>818</v>
      </c>
      <c r="G438" s="37" t="s">
        <v>28</v>
      </c>
      <c r="H438" s="37" t="s">
        <v>8</v>
      </c>
    </row>
    <row r="439" ht="15.75" customHeight="1">
      <c r="A439" s="3" t="s">
        <v>101</v>
      </c>
      <c r="B439" s="13">
        <v>768451.28</v>
      </c>
      <c r="C439" s="13">
        <v>314892.44</v>
      </c>
      <c r="D439" s="3">
        <v>12.0</v>
      </c>
      <c r="E439" s="11">
        <v>2011.0</v>
      </c>
      <c r="F439" s="3" t="s">
        <v>818</v>
      </c>
      <c r="G439" s="37" t="s">
        <v>28</v>
      </c>
      <c r="H439" s="37" t="s">
        <v>9</v>
      </c>
    </row>
    <row r="440" ht="15.75" customHeight="1">
      <c r="A440" s="3" t="s">
        <v>746</v>
      </c>
      <c r="B440" s="13">
        <v>5183102.12</v>
      </c>
      <c r="C440" s="13">
        <v>1285401.88</v>
      </c>
      <c r="D440" s="3">
        <v>7.0</v>
      </c>
      <c r="E440" s="11">
        <v>2016.0</v>
      </c>
      <c r="F440" s="3" t="s">
        <v>815</v>
      </c>
      <c r="G440" s="37" t="s">
        <v>28</v>
      </c>
      <c r="H440" s="37" t="s">
        <v>4</v>
      </c>
    </row>
    <row r="441" ht="15.75" customHeight="1">
      <c r="A441" s="3" t="s">
        <v>488</v>
      </c>
      <c r="B441" s="13">
        <v>68538.18000000001</v>
      </c>
      <c r="C441" s="13">
        <v>17703.860000000008</v>
      </c>
      <c r="D441" s="3">
        <v>1.0</v>
      </c>
      <c r="E441" s="11">
        <v>2016.0</v>
      </c>
      <c r="F441" s="3" t="s">
        <v>815</v>
      </c>
      <c r="G441" s="37" t="s">
        <v>28</v>
      </c>
      <c r="H441" s="37" t="s">
        <v>8</v>
      </c>
    </row>
    <row r="442" ht="15.75" customHeight="1">
      <c r="A442" s="3" t="s">
        <v>635</v>
      </c>
      <c r="B442" s="13">
        <v>218981.75</v>
      </c>
      <c r="C442" s="13">
        <v>72270.9</v>
      </c>
      <c r="D442" s="3">
        <v>10.0</v>
      </c>
      <c r="E442" s="11">
        <v>2010.0</v>
      </c>
      <c r="F442" s="3" t="s">
        <v>815</v>
      </c>
      <c r="G442" s="37" t="s">
        <v>28</v>
      </c>
      <c r="H442" s="37" t="s">
        <v>6</v>
      </c>
    </row>
    <row r="443" ht="15.75" customHeight="1">
      <c r="A443" s="3" t="s">
        <v>364</v>
      </c>
      <c r="B443" s="13">
        <v>86061.69</v>
      </c>
      <c r="C443" s="13">
        <v>26388.18</v>
      </c>
      <c r="D443" s="3">
        <v>1.0</v>
      </c>
      <c r="E443" s="11">
        <v>2016.0</v>
      </c>
      <c r="F443" s="3" t="s">
        <v>818</v>
      </c>
      <c r="G443" s="37" t="s">
        <v>28</v>
      </c>
      <c r="H443" s="37" t="s">
        <v>14</v>
      </c>
    </row>
    <row r="444" ht="15.75" customHeight="1">
      <c r="A444" s="3" t="s">
        <v>215</v>
      </c>
      <c r="B444" s="13">
        <v>816103.04</v>
      </c>
      <c r="C444" s="13">
        <v>548449.9199999999</v>
      </c>
      <c r="D444" s="3">
        <v>3.0</v>
      </c>
      <c r="E444" s="11">
        <v>2014.0</v>
      </c>
      <c r="F444" s="3" t="s">
        <v>818</v>
      </c>
      <c r="G444" s="37" t="s">
        <v>23</v>
      </c>
      <c r="H444" s="37" t="s">
        <v>5</v>
      </c>
    </row>
    <row r="445" ht="15.75" customHeight="1">
      <c r="A445" s="3" t="s">
        <v>123</v>
      </c>
      <c r="B445" s="13">
        <v>551023.66</v>
      </c>
      <c r="C445" s="13">
        <v>168954.52000000002</v>
      </c>
      <c r="D445" s="3">
        <v>2.0</v>
      </c>
      <c r="E445" s="11">
        <v>2010.0</v>
      </c>
      <c r="F445" s="3" t="s">
        <v>818</v>
      </c>
      <c r="G445" s="37" t="s">
        <v>28</v>
      </c>
      <c r="H445" s="37" t="s">
        <v>14</v>
      </c>
    </row>
    <row r="446" ht="15.75" customHeight="1">
      <c r="A446" s="3" t="s">
        <v>206</v>
      </c>
      <c r="B446" s="13">
        <v>42744.79</v>
      </c>
      <c r="C446" s="13">
        <v>13106.380000000001</v>
      </c>
      <c r="D446" s="3">
        <v>3.0</v>
      </c>
      <c r="E446" s="11">
        <v>2013.0</v>
      </c>
      <c r="F446" s="3" t="s">
        <v>818</v>
      </c>
      <c r="G446" s="37" t="s">
        <v>28</v>
      </c>
      <c r="H446" s="37" t="s">
        <v>14</v>
      </c>
    </row>
    <row r="447" ht="15.75" customHeight="1">
      <c r="A447" s="3" t="s">
        <v>650</v>
      </c>
      <c r="B447" s="13">
        <v>414855.35000000003</v>
      </c>
      <c r="C447" s="13">
        <v>136915.38000000006</v>
      </c>
      <c r="D447" s="3">
        <v>10.0</v>
      </c>
      <c r="E447" s="11">
        <v>2014.0</v>
      </c>
      <c r="F447" s="3" t="s">
        <v>815</v>
      </c>
      <c r="G447" s="37" t="s">
        <v>28</v>
      </c>
      <c r="H447" s="37" t="s">
        <v>6</v>
      </c>
    </row>
    <row r="448" ht="15.75" customHeight="1">
      <c r="A448" s="3" t="s">
        <v>455</v>
      </c>
      <c r="B448" s="13">
        <v>1706802.08</v>
      </c>
      <c r="C448" s="13">
        <v>640919.9600000002</v>
      </c>
      <c r="D448" s="3">
        <v>6.0</v>
      </c>
      <c r="E448" s="11">
        <v>2012.0</v>
      </c>
      <c r="F448" s="3" t="s">
        <v>818</v>
      </c>
      <c r="G448" s="37" t="s">
        <v>28</v>
      </c>
      <c r="H448" s="37" t="s">
        <v>10</v>
      </c>
    </row>
    <row r="449" ht="15.75" customHeight="1">
      <c r="A449" s="3" t="s">
        <v>291</v>
      </c>
      <c r="B449" s="13">
        <v>952185.2999999999</v>
      </c>
      <c r="C449" s="13">
        <v>410083.11</v>
      </c>
      <c r="D449" s="3">
        <v>2.0</v>
      </c>
      <c r="E449" s="11">
        <v>2010.0</v>
      </c>
      <c r="F449" s="3" t="s">
        <v>818</v>
      </c>
      <c r="G449" s="37" t="s">
        <v>28</v>
      </c>
      <c r="H449" s="37" t="s">
        <v>3</v>
      </c>
    </row>
    <row r="450" ht="15.75" customHeight="1">
      <c r="A450" s="3" t="s">
        <v>346</v>
      </c>
      <c r="B450" s="13">
        <v>1743051.84</v>
      </c>
      <c r="C450" s="13">
        <v>654532.0800000001</v>
      </c>
      <c r="D450" s="3">
        <v>5.0</v>
      </c>
      <c r="E450" s="11">
        <v>2014.0</v>
      </c>
      <c r="F450" s="3" t="s">
        <v>818</v>
      </c>
      <c r="G450" s="37" t="s">
        <v>28</v>
      </c>
      <c r="H450" s="37" t="s">
        <v>10</v>
      </c>
    </row>
    <row r="451" ht="15.75" customHeight="1">
      <c r="A451" s="3" t="s">
        <v>671</v>
      </c>
      <c r="B451" s="13">
        <v>946236.52</v>
      </c>
      <c r="C451" s="13">
        <v>387744.45999999996</v>
      </c>
      <c r="D451" s="3">
        <v>6.0</v>
      </c>
      <c r="E451" s="11">
        <v>2015.0</v>
      </c>
      <c r="F451" s="3" t="s">
        <v>815</v>
      </c>
      <c r="G451" s="37" t="s">
        <v>28</v>
      </c>
      <c r="H451" s="37" t="s">
        <v>9</v>
      </c>
    </row>
    <row r="452" ht="15.75" customHeight="1">
      <c r="A452" s="3" t="s">
        <v>653</v>
      </c>
      <c r="B452" s="13">
        <v>71561.1</v>
      </c>
      <c r="C452" s="13">
        <v>18484.700000000004</v>
      </c>
      <c r="D452" s="3">
        <v>12.0</v>
      </c>
      <c r="E452" s="11">
        <v>2014.0</v>
      </c>
      <c r="F452" s="3" t="s">
        <v>815</v>
      </c>
      <c r="G452" s="37" t="s">
        <v>28</v>
      </c>
      <c r="H452" s="37" t="s">
        <v>8</v>
      </c>
    </row>
    <row r="453" ht="15.75" customHeight="1">
      <c r="A453" s="3" t="s">
        <v>78</v>
      </c>
      <c r="B453" s="13">
        <v>1048682.34</v>
      </c>
      <c r="C453" s="13">
        <v>378977.2200000001</v>
      </c>
      <c r="D453" s="3">
        <v>7.0</v>
      </c>
      <c r="E453" s="11">
        <v>2013.0</v>
      </c>
      <c r="F453" s="3" t="s">
        <v>818</v>
      </c>
      <c r="G453" s="37" t="s">
        <v>28</v>
      </c>
      <c r="H453" s="37" t="s">
        <v>13</v>
      </c>
    </row>
    <row r="454" ht="15.75" customHeight="1">
      <c r="A454" s="3" t="s">
        <v>413</v>
      </c>
      <c r="B454" s="13">
        <v>1123533.4</v>
      </c>
      <c r="C454" s="13">
        <v>483878.57999999996</v>
      </c>
      <c r="D454" s="3">
        <v>6.0</v>
      </c>
      <c r="E454" s="11">
        <v>2010.0</v>
      </c>
      <c r="F454" s="3" t="s">
        <v>818</v>
      </c>
      <c r="G454" s="37" t="s">
        <v>28</v>
      </c>
      <c r="H454" s="37" t="s">
        <v>3</v>
      </c>
    </row>
    <row r="455" ht="15.75" customHeight="1">
      <c r="A455" s="3" t="s">
        <v>740</v>
      </c>
      <c r="B455" s="13">
        <v>1599934.5999999999</v>
      </c>
      <c r="C455" s="13">
        <v>689053.0199999999</v>
      </c>
      <c r="D455" s="3">
        <v>3.0</v>
      </c>
      <c r="E455" s="11">
        <v>2011.0</v>
      </c>
      <c r="F455" s="3" t="s">
        <v>818</v>
      </c>
      <c r="G455" s="37" t="s">
        <v>28</v>
      </c>
      <c r="H455" s="37" t="s">
        <v>3</v>
      </c>
    </row>
    <row r="456" ht="15.75" customHeight="1">
      <c r="A456" s="3" t="s">
        <v>46</v>
      </c>
      <c r="B456" s="13">
        <v>851797.74</v>
      </c>
      <c r="C456" s="13">
        <v>349045.76999999996</v>
      </c>
      <c r="D456" s="3">
        <v>10.0</v>
      </c>
      <c r="E456" s="11">
        <v>2016.0</v>
      </c>
      <c r="F456" s="3" t="s">
        <v>818</v>
      </c>
      <c r="G456" s="37" t="s">
        <v>28</v>
      </c>
      <c r="H456" s="37" t="s">
        <v>9</v>
      </c>
    </row>
    <row r="457" ht="15.75" customHeight="1">
      <c r="A457" s="3" t="s">
        <v>97</v>
      </c>
      <c r="B457" s="13">
        <v>350934.0</v>
      </c>
      <c r="C457" s="13">
        <v>126822.0</v>
      </c>
      <c r="D457" s="3">
        <v>1.0</v>
      </c>
      <c r="E457" s="11">
        <v>2016.0</v>
      </c>
      <c r="F457" s="3" t="s">
        <v>818</v>
      </c>
      <c r="G457" s="37" t="s">
        <v>28</v>
      </c>
      <c r="H457" s="37" t="s">
        <v>13</v>
      </c>
    </row>
    <row r="458" ht="15.75" customHeight="1">
      <c r="A458" s="3" t="s">
        <v>578</v>
      </c>
      <c r="B458" s="13">
        <v>1316478.96</v>
      </c>
      <c r="C458" s="13">
        <v>494350.02</v>
      </c>
      <c r="D458" s="3">
        <v>8.0</v>
      </c>
      <c r="E458" s="11">
        <v>2015.0</v>
      </c>
      <c r="F458" s="3" t="s">
        <v>815</v>
      </c>
      <c r="G458" s="37" t="s">
        <v>28</v>
      </c>
      <c r="H458" s="37" t="s">
        <v>10</v>
      </c>
    </row>
    <row r="459" ht="15.75" customHeight="1">
      <c r="A459" s="3" t="s">
        <v>291</v>
      </c>
      <c r="B459" s="13">
        <v>2354192.16</v>
      </c>
      <c r="C459" s="13">
        <v>884020.9200000002</v>
      </c>
      <c r="D459" s="3">
        <v>12.0</v>
      </c>
      <c r="E459" s="11">
        <v>2014.0</v>
      </c>
      <c r="F459" s="3" t="s">
        <v>815</v>
      </c>
      <c r="G459" s="37" t="s">
        <v>28</v>
      </c>
      <c r="H459" s="37" t="s">
        <v>10</v>
      </c>
    </row>
    <row r="460" ht="15.75" customHeight="1">
      <c r="A460" s="3" t="s">
        <v>590</v>
      </c>
      <c r="B460" s="13">
        <v>502445.94000000006</v>
      </c>
      <c r="C460" s="13">
        <v>181576.02000000008</v>
      </c>
      <c r="D460" s="3">
        <v>4.0</v>
      </c>
      <c r="E460" s="11">
        <v>2016.0</v>
      </c>
      <c r="F460" s="3" t="s">
        <v>815</v>
      </c>
      <c r="G460" s="37" t="s">
        <v>28</v>
      </c>
      <c r="H460" s="37" t="s">
        <v>13</v>
      </c>
    </row>
    <row r="461" ht="15.75" customHeight="1">
      <c r="A461" s="3" t="s">
        <v>32</v>
      </c>
      <c r="B461" s="13">
        <v>44061.16</v>
      </c>
      <c r="C461" s="13">
        <v>18055.18</v>
      </c>
      <c r="D461" s="3">
        <v>8.0</v>
      </c>
      <c r="E461" s="11">
        <v>2014.0</v>
      </c>
      <c r="F461" s="3" t="s">
        <v>815</v>
      </c>
      <c r="G461" s="37" t="s">
        <v>28</v>
      </c>
      <c r="H461" s="37" t="s">
        <v>9</v>
      </c>
    </row>
    <row r="462" ht="15.75" customHeight="1">
      <c r="A462" s="3" t="s">
        <v>686</v>
      </c>
      <c r="B462" s="13">
        <v>918039.1</v>
      </c>
      <c r="C462" s="13">
        <v>395377.17</v>
      </c>
      <c r="D462" s="3">
        <v>5.0</v>
      </c>
      <c r="E462" s="11">
        <v>2016.0</v>
      </c>
      <c r="F462" s="3" t="s">
        <v>815</v>
      </c>
      <c r="G462" s="37" t="s">
        <v>28</v>
      </c>
      <c r="H462" s="37" t="s">
        <v>3</v>
      </c>
    </row>
    <row r="463" ht="15.75" customHeight="1">
      <c r="A463" s="3" t="s">
        <v>623</v>
      </c>
      <c r="B463" s="13">
        <v>786014.12</v>
      </c>
      <c r="C463" s="13">
        <v>322089.25999999995</v>
      </c>
      <c r="D463" s="3">
        <v>9.0</v>
      </c>
      <c r="E463" s="11">
        <v>2013.0</v>
      </c>
      <c r="F463" s="3" t="s">
        <v>818</v>
      </c>
      <c r="G463" s="37" t="s">
        <v>28</v>
      </c>
      <c r="H463" s="37" t="s">
        <v>9</v>
      </c>
    </row>
    <row r="464" ht="15.75" customHeight="1">
      <c r="A464" s="3" t="s">
        <v>488</v>
      </c>
      <c r="B464" s="13">
        <v>676015.28</v>
      </c>
      <c r="C464" s="13">
        <v>277014.44</v>
      </c>
      <c r="D464" s="3">
        <v>3.0</v>
      </c>
      <c r="E464" s="11">
        <v>2013.0</v>
      </c>
      <c r="F464" s="3" t="s">
        <v>815</v>
      </c>
      <c r="G464" s="37" t="s">
        <v>28</v>
      </c>
      <c r="H464" s="37" t="s">
        <v>9</v>
      </c>
    </row>
    <row r="465" ht="15.75" customHeight="1">
      <c r="A465" s="3" t="s">
        <v>123</v>
      </c>
      <c r="B465" s="13">
        <v>276492.59</v>
      </c>
      <c r="C465" s="13">
        <v>84777.98000000001</v>
      </c>
      <c r="D465" s="3">
        <v>7.0</v>
      </c>
      <c r="E465" s="11">
        <v>2014.0</v>
      </c>
      <c r="F465" s="3" t="s">
        <v>815</v>
      </c>
      <c r="G465" s="37" t="s">
        <v>28</v>
      </c>
      <c r="H465" s="37" t="s">
        <v>14</v>
      </c>
    </row>
    <row r="466" ht="15.75" customHeight="1">
      <c r="A466" s="3" t="s">
        <v>578</v>
      </c>
      <c r="B466" s="13">
        <v>3146646.72</v>
      </c>
      <c r="C466" s="13">
        <v>610040.0</v>
      </c>
      <c r="D466" s="3">
        <v>11.0</v>
      </c>
      <c r="E466" s="11">
        <v>2016.0</v>
      </c>
      <c r="F466" s="3" t="s">
        <v>815</v>
      </c>
      <c r="G466" s="37" t="s">
        <v>28</v>
      </c>
      <c r="H466" s="37" t="s">
        <v>7</v>
      </c>
    </row>
    <row r="467" ht="15.75" customHeight="1">
      <c r="A467" s="3" t="s">
        <v>653</v>
      </c>
      <c r="B467" s="13">
        <v>254915.87000000002</v>
      </c>
      <c r="C467" s="13">
        <v>78162.14000000001</v>
      </c>
      <c r="D467" s="3">
        <v>2.0</v>
      </c>
      <c r="E467" s="11">
        <v>2012.0</v>
      </c>
      <c r="F467" s="3" t="s">
        <v>818</v>
      </c>
      <c r="G467" s="37" t="s">
        <v>28</v>
      </c>
      <c r="H467" s="37" t="s">
        <v>14</v>
      </c>
    </row>
    <row r="468" ht="15.75" customHeight="1">
      <c r="A468" s="3" t="s">
        <v>635</v>
      </c>
      <c r="B468" s="13">
        <v>6045833.640000001</v>
      </c>
      <c r="C468" s="13">
        <v>1172105.0</v>
      </c>
      <c r="D468" s="3">
        <v>3.0</v>
      </c>
      <c r="E468" s="11">
        <v>2017.0</v>
      </c>
      <c r="F468" s="3" t="s">
        <v>818</v>
      </c>
      <c r="G468" s="37" t="s">
        <v>28</v>
      </c>
      <c r="H468" s="37" t="s">
        <v>7</v>
      </c>
    </row>
    <row r="469" ht="15.75" customHeight="1">
      <c r="A469" s="3" t="s">
        <v>123</v>
      </c>
      <c r="B469" s="13">
        <v>2620358.79</v>
      </c>
      <c r="C469" s="13">
        <v>355269.2000000002</v>
      </c>
      <c r="D469" s="3">
        <v>7.0</v>
      </c>
      <c r="E469" s="11">
        <v>2012.0</v>
      </c>
      <c r="F469" s="3" t="s">
        <v>815</v>
      </c>
      <c r="G469" s="37" t="s">
        <v>28</v>
      </c>
      <c r="H469" s="37" t="s">
        <v>11</v>
      </c>
    </row>
    <row r="470" ht="15.75" customHeight="1">
      <c r="A470" s="3" t="s">
        <v>300</v>
      </c>
      <c r="B470" s="13">
        <v>528443.2999999999</v>
      </c>
      <c r="C470" s="13">
        <v>227587.7099999999</v>
      </c>
      <c r="D470" s="3">
        <v>1.0</v>
      </c>
      <c r="E470" s="11">
        <v>2013.0</v>
      </c>
      <c r="F470" s="3" t="s">
        <v>815</v>
      </c>
      <c r="G470" s="37" t="s">
        <v>28</v>
      </c>
      <c r="H470" s="37" t="s">
        <v>3</v>
      </c>
    </row>
    <row r="471" ht="15.75" customHeight="1">
      <c r="A471" s="3" t="s">
        <v>623</v>
      </c>
      <c r="B471" s="13">
        <v>511581.12</v>
      </c>
      <c r="C471" s="13">
        <v>192103.44</v>
      </c>
      <c r="D471" s="3">
        <v>6.0</v>
      </c>
      <c r="E471" s="11">
        <v>2016.0</v>
      </c>
      <c r="F471" s="3" t="s">
        <v>818</v>
      </c>
      <c r="G471" s="37" t="s">
        <v>28</v>
      </c>
      <c r="H471" s="37" t="s">
        <v>10</v>
      </c>
    </row>
    <row r="472" ht="15.75" customHeight="1">
      <c r="A472" s="3" t="s">
        <v>97</v>
      </c>
      <c r="B472" s="13">
        <v>1245729.16</v>
      </c>
      <c r="C472" s="13">
        <v>510469.1799999998</v>
      </c>
      <c r="D472" s="3">
        <v>12.0</v>
      </c>
      <c r="E472" s="11">
        <v>2012.0</v>
      </c>
      <c r="F472" s="3" t="s">
        <v>815</v>
      </c>
      <c r="G472" s="37" t="s">
        <v>28</v>
      </c>
      <c r="H472" s="37" t="s">
        <v>9</v>
      </c>
    </row>
    <row r="473" ht="15.75" customHeight="1">
      <c r="A473" s="3" t="s">
        <v>46</v>
      </c>
      <c r="B473" s="13">
        <v>68668.8</v>
      </c>
      <c r="C473" s="13">
        <v>17737.600000000006</v>
      </c>
      <c r="D473" s="3">
        <v>6.0</v>
      </c>
      <c r="E473" s="11">
        <v>2016.0</v>
      </c>
      <c r="F473" s="3" t="s">
        <v>818</v>
      </c>
      <c r="G473" s="37" t="s">
        <v>28</v>
      </c>
      <c r="H473" s="37" t="s">
        <v>8</v>
      </c>
    </row>
    <row r="474" ht="15.75" customHeight="1">
      <c r="A474" s="3" t="s">
        <v>78</v>
      </c>
      <c r="B474" s="13">
        <v>303442.75</v>
      </c>
      <c r="C474" s="13">
        <v>100145.70000000001</v>
      </c>
      <c r="D474" s="3">
        <v>5.0</v>
      </c>
      <c r="E474" s="11">
        <v>2015.0</v>
      </c>
      <c r="F474" s="3" t="s">
        <v>818</v>
      </c>
      <c r="G474" s="37" t="s">
        <v>28</v>
      </c>
      <c r="H474" s="37" t="s">
        <v>6</v>
      </c>
    </row>
    <row r="475" ht="15.75" customHeight="1">
      <c r="A475" s="3" t="s">
        <v>590</v>
      </c>
      <c r="B475" s="13">
        <v>1797681.76</v>
      </c>
      <c r="C475" s="13">
        <v>675046.1200000001</v>
      </c>
      <c r="D475" s="3">
        <v>8.0</v>
      </c>
      <c r="E475" s="11">
        <v>2014.0</v>
      </c>
      <c r="F475" s="3" t="s">
        <v>818</v>
      </c>
      <c r="G475" s="37" t="s">
        <v>28</v>
      </c>
      <c r="H475" s="37" t="s">
        <v>10</v>
      </c>
    </row>
    <row r="476" ht="15.75" customHeight="1">
      <c r="A476" s="3" t="s">
        <v>267</v>
      </c>
      <c r="B476" s="13">
        <v>334302.78</v>
      </c>
      <c r="C476" s="13">
        <v>120811.74000000002</v>
      </c>
      <c r="D476" s="3">
        <v>6.0</v>
      </c>
      <c r="E476" s="11">
        <v>2017.0</v>
      </c>
      <c r="F476" s="3" t="s">
        <v>815</v>
      </c>
      <c r="G476" s="37" t="s">
        <v>28</v>
      </c>
      <c r="H476" s="37" t="s">
        <v>13</v>
      </c>
    </row>
    <row r="477" ht="15.75" customHeight="1">
      <c r="A477" s="3" t="s">
        <v>46</v>
      </c>
      <c r="B477" s="13">
        <v>1159737.04</v>
      </c>
      <c r="C477" s="13">
        <v>435491.9800000001</v>
      </c>
      <c r="D477" s="3">
        <v>1.0</v>
      </c>
      <c r="E477" s="11">
        <v>2012.0</v>
      </c>
      <c r="F477" s="3" t="s">
        <v>818</v>
      </c>
      <c r="G477" s="37" t="s">
        <v>28</v>
      </c>
      <c r="H477" s="37" t="s">
        <v>10</v>
      </c>
    </row>
    <row r="478" ht="15.75" customHeight="1">
      <c r="A478" s="3" t="s">
        <v>542</v>
      </c>
      <c r="B478" s="13">
        <v>669236.64</v>
      </c>
      <c r="C478" s="13">
        <v>274236.72</v>
      </c>
      <c r="D478" s="3">
        <v>7.0</v>
      </c>
      <c r="E478" s="11">
        <v>2012.0</v>
      </c>
      <c r="F478" s="3" t="s">
        <v>818</v>
      </c>
      <c r="G478" s="37" t="s">
        <v>28</v>
      </c>
      <c r="H478" s="37" t="s">
        <v>9</v>
      </c>
    </row>
    <row r="479" ht="15.75" customHeight="1">
      <c r="A479" s="3" t="s">
        <v>364</v>
      </c>
      <c r="B479" s="13">
        <v>218554.7</v>
      </c>
      <c r="C479" s="13">
        <v>72129.96000000002</v>
      </c>
      <c r="D479" s="3">
        <v>9.0</v>
      </c>
      <c r="E479" s="11">
        <v>2016.0</v>
      </c>
      <c r="F479" s="3" t="s">
        <v>818</v>
      </c>
      <c r="G479" s="37" t="s">
        <v>28</v>
      </c>
      <c r="H479" s="37" t="s">
        <v>6</v>
      </c>
    </row>
    <row r="480" ht="15.75" customHeight="1">
      <c r="A480" s="3" t="s">
        <v>67</v>
      </c>
      <c r="B480" s="13">
        <v>607115.8200000001</v>
      </c>
      <c r="C480" s="13">
        <v>219402.06000000006</v>
      </c>
      <c r="D480" s="3">
        <v>3.0</v>
      </c>
      <c r="E480" s="11">
        <v>2011.0</v>
      </c>
      <c r="F480" s="3" t="s">
        <v>818</v>
      </c>
      <c r="G480" s="37" t="s">
        <v>23</v>
      </c>
      <c r="H480" s="37" t="s">
        <v>13</v>
      </c>
    </row>
    <row r="481" ht="15.75" customHeight="1">
      <c r="A481" s="3" t="s">
        <v>431</v>
      </c>
      <c r="B481" s="13">
        <v>2283495.6</v>
      </c>
      <c r="C481" s="13">
        <v>908123.0100000002</v>
      </c>
      <c r="D481" s="3">
        <v>1.0</v>
      </c>
      <c r="E481" s="11">
        <v>2012.0</v>
      </c>
      <c r="F481" s="3" t="s">
        <v>818</v>
      </c>
      <c r="G481" s="37" t="s">
        <v>28</v>
      </c>
      <c r="H481" s="37" t="s">
        <v>12</v>
      </c>
    </row>
    <row r="482" ht="15.75" customHeight="1">
      <c r="A482" s="3" t="s">
        <v>821</v>
      </c>
      <c r="B482" s="13">
        <v>3080640.78</v>
      </c>
      <c r="C482" s="13">
        <v>417674.3999999999</v>
      </c>
      <c r="D482" s="3">
        <v>12.0</v>
      </c>
      <c r="E482" s="11">
        <v>2013.0</v>
      </c>
      <c r="F482" s="3" t="s">
        <v>815</v>
      </c>
      <c r="G482" s="37" t="s">
        <v>821</v>
      </c>
      <c r="H482" s="37" t="s">
        <v>11</v>
      </c>
    </row>
    <row r="483" ht="15.75" customHeight="1">
      <c r="A483" s="3" t="s">
        <v>364</v>
      </c>
      <c r="B483" s="13">
        <v>5010688.46</v>
      </c>
      <c r="C483" s="13">
        <v>1242643.54</v>
      </c>
      <c r="D483" s="3">
        <v>3.0</v>
      </c>
      <c r="E483" s="11">
        <v>2015.0</v>
      </c>
      <c r="F483" s="3" t="s">
        <v>818</v>
      </c>
      <c r="G483" s="37" t="s">
        <v>28</v>
      </c>
      <c r="H483" s="37" t="s">
        <v>4</v>
      </c>
    </row>
    <row r="484" ht="15.75" customHeight="1">
      <c r="A484" s="3" t="s">
        <v>455</v>
      </c>
      <c r="B484" s="13">
        <v>2678579.61</v>
      </c>
      <c r="C484" s="13">
        <v>363162.7999999998</v>
      </c>
      <c r="D484" s="3">
        <v>5.0</v>
      </c>
      <c r="E484" s="11">
        <v>2016.0</v>
      </c>
      <c r="F484" s="3" t="s">
        <v>815</v>
      </c>
      <c r="G484" s="37" t="s">
        <v>28</v>
      </c>
      <c r="H484" s="37" t="s">
        <v>11</v>
      </c>
    </row>
    <row r="485" ht="15.75" customHeight="1">
      <c r="A485" s="3" t="s">
        <v>67</v>
      </c>
      <c r="B485" s="13">
        <v>740520.0</v>
      </c>
      <c r="C485" s="13">
        <v>318924.0</v>
      </c>
      <c r="D485" s="3">
        <v>2.0</v>
      </c>
      <c r="E485" s="11">
        <v>2013.0</v>
      </c>
      <c r="F485" s="3" t="s">
        <v>815</v>
      </c>
      <c r="G485" s="37" t="s">
        <v>23</v>
      </c>
      <c r="H485" s="37" t="s">
        <v>3</v>
      </c>
    </row>
    <row r="486" ht="15.75" customHeight="1">
      <c r="A486" s="3" t="s">
        <v>635</v>
      </c>
      <c r="B486" s="13">
        <v>380359.2</v>
      </c>
      <c r="C486" s="13">
        <v>125530.56000000003</v>
      </c>
      <c r="D486" s="3">
        <v>12.0</v>
      </c>
      <c r="E486" s="11">
        <v>2011.0</v>
      </c>
      <c r="F486" s="3" t="s">
        <v>815</v>
      </c>
      <c r="G486" s="37" t="s">
        <v>28</v>
      </c>
      <c r="H486" s="37" t="s">
        <v>6</v>
      </c>
    </row>
    <row r="487" ht="15.75" customHeight="1">
      <c r="A487" s="3" t="s">
        <v>689</v>
      </c>
      <c r="B487" s="13">
        <v>97681.5</v>
      </c>
      <c r="C487" s="13">
        <v>18937.5</v>
      </c>
      <c r="D487" s="3">
        <v>4.0</v>
      </c>
      <c r="E487" s="11">
        <v>2013.0</v>
      </c>
      <c r="F487" s="3" t="s">
        <v>818</v>
      </c>
      <c r="G487" s="37" t="s">
        <v>28</v>
      </c>
      <c r="H487" s="37" t="s">
        <v>7</v>
      </c>
    </row>
    <row r="488" ht="15.75" customHeight="1">
      <c r="A488" s="3" t="s">
        <v>46</v>
      </c>
      <c r="B488" s="13">
        <v>377464.75</v>
      </c>
      <c r="C488" s="13">
        <v>124575.30000000002</v>
      </c>
      <c r="D488" s="3">
        <v>8.0</v>
      </c>
      <c r="E488" s="11">
        <v>2010.0</v>
      </c>
      <c r="F488" s="3" t="s">
        <v>815</v>
      </c>
      <c r="G488" s="37" t="s">
        <v>28</v>
      </c>
      <c r="H488" s="37" t="s">
        <v>6</v>
      </c>
    </row>
    <row r="489" ht="15.75" customHeight="1">
      <c r="A489" s="3" t="s">
        <v>267</v>
      </c>
      <c r="B489" s="13">
        <v>873062.7600000001</v>
      </c>
      <c r="C489" s="13">
        <v>315511.0800000002</v>
      </c>
      <c r="D489" s="3">
        <v>12.0</v>
      </c>
      <c r="E489" s="11">
        <v>2015.0</v>
      </c>
      <c r="F489" s="3" t="s">
        <v>815</v>
      </c>
      <c r="G489" s="37" t="s">
        <v>28</v>
      </c>
      <c r="H489" s="37" t="s">
        <v>13</v>
      </c>
    </row>
    <row r="490" ht="15.75" customHeight="1">
      <c r="A490" s="3" t="s">
        <v>270</v>
      </c>
      <c r="B490" s="13">
        <v>5087903.73</v>
      </c>
      <c r="C490" s="13">
        <v>986391.25</v>
      </c>
      <c r="D490" s="3">
        <v>11.0</v>
      </c>
      <c r="E490" s="11">
        <v>2013.0</v>
      </c>
      <c r="F490" s="3" t="s">
        <v>818</v>
      </c>
      <c r="G490" s="37" t="s">
        <v>28</v>
      </c>
      <c r="H490" s="37" t="s">
        <v>7</v>
      </c>
    </row>
    <row r="491" ht="15.75" customHeight="1">
      <c r="A491" s="3" t="s">
        <v>821</v>
      </c>
      <c r="B491" s="13">
        <v>928601.8800000001</v>
      </c>
      <c r="C491" s="13">
        <v>335582.04000000015</v>
      </c>
      <c r="D491" s="3">
        <v>10.0</v>
      </c>
      <c r="E491" s="11">
        <v>2014.0</v>
      </c>
      <c r="F491" s="3" t="s">
        <v>818</v>
      </c>
      <c r="G491" s="37" t="s">
        <v>821</v>
      </c>
      <c r="H491" s="37" t="s">
        <v>13</v>
      </c>
    </row>
    <row r="492" ht="15.75" customHeight="1">
      <c r="A492" s="3" t="s">
        <v>746</v>
      </c>
      <c r="B492" s="13">
        <v>724127.8</v>
      </c>
      <c r="C492" s="13">
        <v>222031.60000000003</v>
      </c>
      <c r="D492" s="3">
        <v>6.0</v>
      </c>
      <c r="E492" s="11">
        <v>2013.0</v>
      </c>
      <c r="F492" s="3" t="s">
        <v>815</v>
      </c>
      <c r="G492" s="37" t="s">
        <v>28</v>
      </c>
      <c r="H492" s="37" t="s">
        <v>14</v>
      </c>
    </row>
    <row r="493" ht="15.75" customHeight="1">
      <c r="A493" s="3" t="s">
        <v>300</v>
      </c>
      <c r="B493" s="13">
        <v>526180.6</v>
      </c>
      <c r="C493" s="13">
        <v>226613.21999999997</v>
      </c>
      <c r="D493" s="3">
        <v>8.0</v>
      </c>
      <c r="E493" s="11">
        <v>2015.0</v>
      </c>
      <c r="F493" s="3" t="s">
        <v>815</v>
      </c>
      <c r="G493" s="37" t="s">
        <v>28</v>
      </c>
      <c r="H493" s="37" t="s">
        <v>3</v>
      </c>
    </row>
    <row r="494" ht="15.75" customHeight="1">
      <c r="A494" s="3" t="s">
        <v>536</v>
      </c>
      <c r="B494" s="13">
        <v>1005157.4400000001</v>
      </c>
      <c r="C494" s="13">
        <v>675501.1200000001</v>
      </c>
      <c r="D494" s="3">
        <v>8.0</v>
      </c>
      <c r="E494" s="11">
        <v>2016.0</v>
      </c>
      <c r="F494" s="3" t="s">
        <v>818</v>
      </c>
      <c r="G494" s="37" t="s">
        <v>28</v>
      </c>
      <c r="H494" s="37" t="s">
        <v>5</v>
      </c>
    </row>
    <row r="495" ht="15.75" customHeight="1">
      <c r="A495" s="3" t="s">
        <v>650</v>
      </c>
      <c r="B495" s="13">
        <v>198862.95</v>
      </c>
      <c r="C495" s="13">
        <v>65631.06000000003</v>
      </c>
      <c r="D495" s="3">
        <v>9.0</v>
      </c>
      <c r="E495" s="11">
        <v>2015.0</v>
      </c>
      <c r="F495" s="3" t="s">
        <v>815</v>
      </c>
      <c r="G495" s="37" t="s">
        <v>28</v>
      </c>
      <c r="H495" s="37" t="s">
        <v>6</v>
      </c>
    </row>
    <row r="496" ht="15.75" customHeight="1">
      <c r="A496" s="3" t="s">
        <v>67</v>
      </c>
      <c r="B496" s="13">
        <v>313739.4</v>
      </c>
      <c r="C496" s="13">
        <v>103543.92000000004</v>
      </c>
      <c r="D496" s="3">
        <v>6.0</v>
      </c>
      <c r="E496" s="11">
        <v>2011.0</v>
      </c>
      <c r="F496" s="3" t="s">
        <v>815</v>
      </c>
      <c r="G496" s="37" t="s">
        <v>23</v>
      </c>
      <c r="H496" s="37" t="s">
        <v>6</v>
      </c>
    </row>
    <row r="497" ht="15.75" customHeight="1">
      <c r="A497" s="3" t="s">
        <v>431</v>
      </c>
      <c r="B497" s="13">
        <v>4303846.890000001</v>
      </c>
      <c r="C497" s="13">
        <v>834386.2500000005</v>
      </c>
      <c r="D497" s="3">
        <v>3.0</v>
      </c>
      <c r="E497" s="11">
        <v>2013.0</v>
      </c>
      <c r="F497" s="3" t="s">
        <v>818</v>
      </c>
      <c r="G497" s="37" t="s">
        <v>28</v>
      </c>
      <c r="H497" s="37" t="s">
        <v>7</v>
      </c>
    </row>
    <row r="498" ht="15.75" customHeight="1">
      <c r="A498" s="3" t="s">
        <v>291</v>
      </c>
      <c r="B498" s="13">
        <v>346443.72000000003</v>
      </c>
      <c r="C498" s="13">
        <v>67165.0</v>
      </c>
      <c r="D498" s="3">
        <v>8.0</v>
      </c>
      <c r="E498" s="11">
        <v>2010.0</v>
      </c>
      <c r="F498" s="3" t="s">
        <v>818</v>
      </c>
      <c r="G498" s="37" t="s">
        <v>28</v>
      </c>
      <c r="H498" s="37" t="s">
        <v>7</v>
      </c>
    </row>
    <row r="499" ht="15.75" customHeight="1">
      <c r="A499" s="3" t="s">
        <v>482</v>
      </c>
      <c r="B499" s="13">
        <v>1401663.2</v>
      </c>
      <c r="C499" s="13">
        <v>557427.22</v>
      </c>
      <c r="D499" s="3">
        <v>9.0</v>
      </c>
      <c r="E499" s="11">
        <v>2010.0</v>
      </c>
      <c r="F499" s="3" t="s">
        <v>818</v>
      </c>
      <c r="G499" s="37" t="s">
        <v>28</v>
      </c>
      <c r="H499" s="37" t="s">
        <v>12</v>
      </c>
    </row>
    <row r="500" ht="15.75" customHeight="1">
      <c r="A500" s="3" t="s">
        <v>123</v>
      </c>
      <c r="B500" s="13">
        <v>438915.54000000004</v>
      </c>
      <c r="C500" s="13">
        <v>85092.5</v>
      </c>
      <c r="D500" s="3">
        <v>7.0</v>
      </c>
      <c r="E500" s="11">
        <v>2012.0</v>
      </c>
      <c r="F500" s="3" t="s">
        <v>818</v>
      </c>
      <c r="G500" s="37" t="s">
        <v>28</v>
      </c>
      <c r="H500" s="37" t="s">
        <v>7</v>
      </c>
    </row>
    <row r="501" ht="15.75" customHeight="1">
      <c r="A501" s="3" t="s">
        <v>623</v>
      </c>
      <c r="B501" s="13">
        <v>237180.46000000002</v>
      </c>
      <c r="C501" s="13">
        <v>72724.12000000002</v>
      </c>
      <c r="D501" s="3">
        <v>9.0</v>
      </c>
      <c r="E501" s="11">
        <v>2010.0</v>
      </c>
      <c r="F501" s="3" t="s">
        <v>815</v>
      </c>
      <c r="G501" s="37" t="s">
        <v>28</v>
      </c>
      <c r="H501" s="37" t="s">
        <v>14</v>
      </c>
    </row>
    <row r="502" ht="15.75" customHeight="1">
      <c r="A502" s="3" t="s">
        <v>455</v>
      </c>
      <c r="B502" s="13">
        <v>104342.55</v>
      </c>
      <c r="C502" s="13">
        <v>34436.34000000001</v>
      </c>
      <c r="D502" s="3">
        <v>10.0</v>
      </c>
      <c r="E502" s="11">
        <v>2013.0</v>
      </c>
      <c r="F502" s="3" t="s">
        <v>815</v>
      </c>
      <c r="G502" s="37" t="s">
        <v>28</v>
      </c>
      <c r="H502" s="37" t="s">
        <v>6</v>
      </c>
    </row>
    <row r="503" ht="15.75" customHeight="1">
      <c r="A503" s="3" t="s">
        <v>821</v>
      </c>
      <c r="B503" s="13">
        <v>18458.050000000003</v>
      </c>
      <c r="C503" s="13">
        <v>6091.740000000003</v>
      </c>
      <c r="D503" s="3">
        <v>11.0</v>
      </c>
      <c r="E503" s="11">
        <v>2013.0</v>
      </c>
      <c r="F503" s="3" t="s">
        <v>818</v>
      </c>
      <c r="G503" s="37" t="s">
        <v>821</v>
      </c>
      <c r="H503" s="37" t="s">
        <v>6</v>
      </c>
    </row>
    <row r="504" ht="15.75" customHeight="1">
      <c r="A504" s="3" t="s">
        <v>671</v>
      </c>
      <c r="B504" s="13">
        <v>3248974.8899999997</v>
      </c>
      <c r="C504" s="13">
        <v>440497.1999999997</v>
      </c>
      <c r="D504" s="3">
        <v>11.0</v>
      </c>
      <c r="E504" s="11">
        <v>2011.0</v>
      </c>
      <c r="F504" s="3" t="s">
        <v>818</v>
      </c>
      <c r="G504" s="37" t="s">
        <v>28</v>
      </c>
      <c r="H504" s="37" t="s">
        <v>11</v>
      </c>
    </row>
    <row r="505" ht="15.75" customHeight="1">
      <c r="A505" s="3" t="s">
        <v>686</v>
      </c>
      <c r="B505" s="13">
        <v>625240.98</v>
      </c>
      <c r="C505" s="13">
        <v>84770.40000000002</v>
      </c>
      <c r="D505" s="3">
        <v>1.0</v>
      </c>
      <c r="E505" s="11">
        <v>2015.0</v>
      </c>
      <c r="F505" s="3" t="s">
        <v>815</v>
      </c>
      <c r="G505" s="37" t="s">
        <v>28</v>
      </c>
      <c r="H505" s="37" t="s">
        <v>11</v>
      </c>
    </row>
    <row r="506" ht="15.75" customHeight="1">
      <c r="A506" s="3" t="s">
        <v>434</v>
      </c>
      <c r="B506" s="13">
        <v>862839.9</v>
      </c>
      <c r="C506" s="13">
        <v>311816.70000000007</v>
      </c>
      <c r="D506" s="3">
        <v>2.0</v>
      </c>
      <c r="E506" s="11">
        <v>2013.0</v>
      </c>
      <c r="F506" s="3" t="s">
        <v>815</v>
      </c>
      <c r="G506" s="37" t="s">
        <v>28</v>
      </c>
      <c r="H506" s="37" t="s">
        <v>13</v>
      </c>
    </row>
    <row r="507" ht="15.75" customHeight="1">
      <c r="A507" s="3" t="s">
        <v>590</v>
      </c>
      <c r="B507" s="13">
        <v>423116.21</v>
      </c>
      <c r="C507" s="13">
        <v>129735.62</v>
      </c>
      <c r="D507" s="3">
        <v>6.0</v>
      </c>
      <c r="E507" s="11">
        <v>2011.0</v>
      </c>
      <c r="F507" s="3" t="s">
        <v>815</v>
      </c>
      <c r="G507" s="37" t="s">
        <v>28</v>
      </c>
      <c r="H507" s="37" t="s">
        <v>14</v>
      </c>
    </row>
    <row r="508" ht="15.75" customHeight="1">
      <c r="A508" s="3" t="s">
        <v>746</v>
      </c>
      <c r="B508" s="13">
        <v>208738.42</v>
      </c>
      <c r="C508" s="13">
        <v>64003.24000000002</v>
      </c>
      <c r="D508" s="3">
        <v>6.0</v>
      </c>
      <c r="E508" s="11">
        <v>2012.0</v>
      </c>
      <c r="F508" s="3" t="s">
        <v>815</v>
      </c>
      <c r="G508" s="37" t="s">
        <v>28</v>
      </c>
      <c r="H508" s="37" t="s">
        <v>14</v>
      </c>
    </row>
    <row r="509" ht="15.75" customHeight="1">
      <c r="A509" s="3" t="s">
        <v>349</v>
      </c>
      <c r="B509" s="13">
        <v>443657.5</v>
      </c>
      <c r="C509" s="13">
        <v>146421.0</v>
      </c>
      <c r="D509" s="3">
        <v>2.0</v>
      </c>
      <c r="E509" s="11">
        <v>2017.0</v>
      </c>
      <c r="F509" s="3" t="s">
        <v>815</v>
      </c>
      <c r="G509" s="37" t="s">
        <v>28</v>
      </c>
      <c r="H509" s="37" t="s">
        <v>6</v>
      </c>
    </row>
    <row r="510" ht="15.75" customHeight="1">
      <c r="A510" s="3" t="s">
        <v>575</v>
      </c>
      <c r="B510" s="13">
        <v>1671106.7999999998</v>
      </c>
      <c r="C510" s="13">
        <v>719705.1599999998</v>
      </c>
      <c r="D510" s="3">
        <v>10.0</v>
      </c>
      <c r="E510" s="11">
        <v>2011.0</v>
      </c>
      <c r="F510" s="3" t="s">
        <v>815</v>
      </c>
      <c r="G510" s="37" t="s">
        <v>28</v>
      </c>
      <c r="H510" s="37" t="s">
        <v>3</v>
      </c>
    </row>
    <row r="511" ht="15.75" customHeight="1">
      <c r="A511" s="3" t="s">
        <v>67</v>
      </c>
      <c r="B511" s="13">
        <v>32878.92</v>
      </c>
      <c r="C511" s="13">
        <v>8492.84</v>
      </c>
      <c r="D511" s="3">
        <v>3.0</v>
      </c>
      <c r="E511" s="11">
        <v>2015.0</v>
      </c>
      <c r="F511" s="3" t="s">
        <v>818</v>
      </c>
      <c r="G511" s="37" t="s">
        <v>23</v>
      </c>
      <c r="H511" s="37" t="s">
        <v>8</v>
      </c>
    </row>
    <row r="512" ht="15.75" customHeight="1">
      <c r="A512" s="3" t="s">
        <v>46</v>
      </c>
      <c r="B512" s="13">
        <v>180482.96</v>
      </c>
      <c r="C512" s="13">
        <v>67773.02</v>
      </c>
      <c r="D512" s="3">
        <v>9.0</v>
      </c>
      <c r="E512" s="11">
        <v>2010.0</v>
      </c>
      <c r="F512" s="3" t="s">
        <v>815</v>
      </c>
      <c r="G512" s="37" t="s">
        <v>28</v>
      </c>
      <c r="H512" s="37" t="s">
        <v>10</v>
      </c>
    </row>
    <row r="513" ht="15.75" customHeight="1">
      <c r="A513" s="3" t="s">
        <v>635</v>
      </c>
      <c r="B513" s="13">
        <v>1971840.2</v>
      </c>
      <c r="C513" s="13">
        <v>849223.74</v>
      </c>
      <c r="D513" s="3">
        <v>6.0</v>
      </c>
      <c r="E513" s="11">
        <v>2013.0</v>
      </c>
      <c r="F513" s="3" t="s">
        <v>818</v>
      </c>
      <c r="G513" s="37" t="s">
        <v>28</v>
      </c>
      <c r="H513" s="37" t="s">
        <v>3</v>
      </c>
    </row>
    <row r="514" ht="15.75" customHeight="1">
      <c r="A514" s="3" t="s">
        <v>46</v>
      </c>
      <c r="B514" s="13">
        <v>1052361.2</v>
      </c>
      <c r="C514" s="13">
        <v>453226.43999999994</v>
      </c>
      <c r="D514" s="3">
        <v>3.0</v>
      </c>
      <c r="E514" s="11">
        <v>2015.0</v>
      </c>
      <c r="F514" s="3" t="s">
        <v>818</v>
      </c>
      <c r="G514" s="37" t="s">
        <v>28</v>
      </c>
      <c r="H514" s="37" t="s">
        <v>3</v>
      </c>
    </row>
    <row r="515" ht="15.75" customHeight="1">
      <c r="A515" s="3" t="s">
        <v>46</v>
      </c>
      <c r="B515" s="13">
        <v>167688.30000000002</v>
      </c>
      <c r="C515" s="13">
        <v>55342.44000000002</v>
      </c>
      <c r="D515" s="3">
        <v>4.0</v>
      </c>
      <c r="E515" s="11">
        <v>2016.0</v>
      </c>
      <c r="F515" s="3" t="s">
        <v>815</v>
      </c>
      <c r="G515" s="37" t="s">
        <v>28</v>
      </c>
      <c r="H515" s="37" t="s">
        <v>6</v>
      </c>
    </row>
    <row r="516" ht="15.75" customHeight="1">
      <c r="A516" s="3" t="s">
        <v>686</v>
      </c>
      <c r="B516" s="13">
        <v>1420888.48</v>
      </c>
      <c r="C516" s="13">
        <v>533556.76</v>
      </c>
      <c r="D516" s="3">
        <v>4.0</v>
      </c>
      <c r="E516" s="11">
        <v>2013.0</v>
      </c>
      <c r="F516" s="3" t="s">
        <v>815</v>
      </c>
      <c r="G516" s="37" t="s">
        <v>28</v>
      </c>
      <c r="H516" s="37" t="s">
        <v>10</v>
      </c>
    </row>
    <row r="517" ht="15.75" customHeight="1">
      <c r="A517" s="3" t="s">
        <v>300</v>
      </c>
      <c r="B517" s="13">
        <v>1944467.76</v>
      </c>
      <c r="C517" s="13">
        <v>730165.6200000001</v>
      </c>
      <c r="D517" s="3">
        <v>8.0</v>
      </c>
      <c r="E517" s="11">
        <v>2013.0</v>
      </c>
      <c r="F517" s="3" t="s">
        <v>815</v>
      </c>
      <c r="G517" s="37" t="s">
        <v>28</v>
      </c>
      <c r="H517" s="37" t="s">
        <v>10</v>
      </c>
    </row>
    <row r="518" ht="15.75" customHeight="1">
      <c r="A518" s="3" t="s">
        <v>578</v>
      </c>
      <c r="B518" s="13">
        <v>3170272.88</v>
      </c>
      <c r="C518" s="13">
        <v>786223.1199999996</v>
      </c>
      <c r="D518" s="3">
        <v>1.0</v>
      </c>
      <c r="E518" s="11">
        <v>2014.0</v>
      </c>
      <c r="F518" s="3" t="s">
        <v>815</v>
      </c>
      <c r="G518" s="37" t="s">
        <v>28</v>
      </c>
      <c r="H518" s="37" t="s">
        <v>4</v>
      </c>
    </row>
    <row r="519" ht="15.75" customHeight="1">
      <c r="A519" s="3" t="s">
        <v>218</v>
      </c>
      <c r="B519" s="13">
        <v>1419947.0999999999</v>
      </c>
      <c r="C519" s="13">
        <v>611536.7699999999</v>
      </c>
      <c r="D519" s="3">
        <v>2.0</v>
      </c>
      <c r="E519" s="11">
        <v>2013.0</v>
      </c>
      <c r="F519" s="3" t="s">
        <v>815</v>
      </c>
      <c r="G519" s="37" t="s">
        <v>28</v>
      </c>
      <c r="H519" s="37" t="s">
        <v>3</v>
      </c>
    </row>
    <row r="520" ht="15.75" customHeight="1">
      <c r="A520" s="3" t="s">
        <v>267</v>
      </c>
      <c r="B520" s="13">
        <v>3386943.21</v>
      </c>
      <c r="C520" s="13">
        <v>656626.25</v>
      </c>
      <c r="D520" s="3">
        <v>11.0</v>
      </c>
      <c r="E520" s="11">
        <v>2011.0</v>
      </c>
      <c r="F520" s="3" t="s">
        <v>818</v>
      </c>
      <c r="G520" s="37" t="s">
        <v>28</v>
      </c>
      <c r="H520" s="37" t="s">
        <v>7</v>
      </c>
    </row>
    <row r="521" ht="15.75" customHeight="1">
      <c r="A521" s="3" t="s">
        <v>455</v>
      </c>
      <c r="B521" s="13">
        <v>324876.75</v>
      </c>
      <c r="C521" s="13">
        <v>99613.5</v>
      </c>
      <c r="D521" s="3">
        <v>2.0</v>
      </c>
      <c r="E521" s="11">
        <v>2014.0</v>
      </c>
      <c r="F521" s="3" t="s">
        <v>815</v>
      </c>
      <c r="G521" s="37" t="s">
        <v>28</v>
      </c>
      <c r="H521" s="37" t="s">
        <v>14</v>
      </c>
    </row>
    <row r="522" ht="15.75" customHeight="1">
      <c r="A522" s="3" t="s">
        <v>542</v>
      </c>
      <c r="B522" s="13">
        <v>1256621.3</v>
      </c>
      <c r="C522" s="13">
        <v>541196.31</v>
      </c>
      <c r="D522" s="3">
        <v>6.0</v>
      </c>
      <c r="E522" s="11">
        <v>2015.0</v>
      </c>
      <c r="F522" s="3" t="s">
        <v>818</v>
      </c>
      <c r="G522" s="37" t="s">
        <v>28</v>
      </c>
      <c r="H522" s="37" t="s">
        <v>3</v>
      </c>
    </row>
    <row r="523" ht="15.75" customHeight="1">
      <c r="A523" s="3" t="s">
        <v>740</v>
      </c>
      <c r="B523" s="13">
        <v>892623.64</v>
      </c>
      <c r="C523" s="13">
        <v>365775.22</v>
      </c>
      <c r="D523" s="3">
        <v>11.0</v>
      </c>
      <c r="E523" s="11">
        <v>2011.0</v>
      </c>
      <c r="F523" s="3" t="s">
        <v>815</v>
      </c>
      <c r="G523" s="37" t="s">
        <v>28</v>
      </c>
      <c r="H523" s="37" t="s">
        <v>9</v>
      </c>
    </row>
    <row r="524" ht="15.75" customHeight="1">
      <c r="A524" s="3" t="s">
        <v>671</v>
      </c>
      <c r="B524" s="13">
        <v>33028.2</v>
      </c>
      <c r="C524" s="13">
        <v>8531.399999999998</v>
      </c>
      <c r="D524" s="3">
        <v>10.0</v>
      </c>
      <c r="E524" s="11">
        <v>2015.0</v>
      </c>
      <c r="F524" s="3" t="s">
        <v>818</v>
      </c>
      <c r="G524" s="37" t="s">
        <v>28</v>
      </c>
      <c r="H524" s="37" t="s">
        <v>8</v>
      </c>
    </row>
    <row r="525" ht="15.75" customHeight="1">
      <c r="A525" s="3" t="s">
        <v>623</v>
      </c>
      <c r="B525" s="13">
        <v>146024.8</v>
      </c>
      <c r="C525" s="13">
        <v>58072.57999999999</v>
      </c>
      <c r="D525" s="3">
        <v>8.0</v>
      </c>
      <c r="E525" s="11">
        <v>2014.0</v>
      </c>
      <c r="F525" s="3" t="s">
        <v>818</v>
      </c>
      <c r="G525" s="37" t="s">
        <v>28</v>
      </c>
      <c r="H525" s="37" t="s">
        <v>12</v>
      </c>
    </row>
    <row r="526" ht="15.75" customHeight="1">
      <c r="A526" s="3" t="s">
        <v>635</v>
      </c>
      <c r="B526" s="13">
        <v>2047010.28</v>
      </c>
      <c r="C526" s="13">
        <v>277534.40000000014</v>
      </c>
      <c r="D526" s="3">
        <v>4.0</v>
      </c>
      <c r="E526" s="11">
        <v>2010.0</v>
      </c>
      <c r="F526" s="3" t="s">
        <v>818</v>
      </c>
      <c r="G526" s="37" t="s">
        <v>28</v>
      </c>
      <c r="H526" s="37" t="s">
        <v>11</v>
      </c>
    </row>
    <row r="527" ht="15.75" customHeight="1">
      <c r="A527" s="3" t="s">
        <v>270</v>
      </c>
      <c r="B527" s="13">
        <v>1302728.04</v>
      </c>
      <c r="C527" s="13">
        <v>470785.32000000007</v>
      </c>
      <c r="D527" s="3">
        <v>7.0</v>
      </c>
      <c r="E527" s="11">
        <v>2016.0</v>
      </c>
      <c r="F527" s="3" t="s">
        <v>818</v>
      </c>
      <c r="G527" s="37" t="s">
        <v>28</v>
      </c>
      <c r="H527" s="37" t="s">
        <v>13</v>
      </c>
    </row>
    <row r="528" ht="15.75" customHeight="1">
      <c r="A528" s="3" t="s">
        <v>270</v>
      </c>
      <c r="B528" s="13">
        <v>1849860.0999999999</v>
      </c>
      <c r="C528" s="13">
        <v>796689.8699999999</v>
      </c>
      <c r="D528" s="3">
        <v>2.0</v>
      </c>
      <c r="E528" s="11">
        <v>2016.0</v>
      </c>
      <c r="F528" s="3" t="s">
        <v>818</v>
      </c>
      <c r="G528" s="37" t="s">
        <v>28</v>
      </c>
      <c r="H528" s="37" t="s">
        <v>3</v>
      </c>
    </row>
    <row r="529" ht="15.75" customHeight="1">
      <c r="A529" s="3" t="s">
        <v>578</v>
      </c>
      <c r="B529" s="13">
        <v>2623200.0</v>
      </c>
      <c r="C529" s="13">
        <v>1043220.0</v>
      </c>
      <c r="D529" s="3">
        <v>3.0</v>
      </c>
      <c r="E529" s="11">
        <v>2014.0</v>
      </c>
      <c r="F529" s="3" t="s">
        <v>818</v>
      </c>
      <c r="G529" s="37" t="s">
        <v>28</v>
      </c>
      <c r="H529" s="37" t="s">
        <v>12</v>
      </c>
    </row>
    <row r="530" ht="15.75" customHeight="1">
      <c r="A530" s="3" t="s">
        <v>593</v>
      </c>
      <c r="B530" s="13">
        <v>1689443.04</v>
      </c>
      <c r="C530" s="13">
        <v>634401.4800000002</v>
      </c>
      <c r="D530" s="3">
        <v>12.0</v>
      </c>
      <c r="E530" s="11">
        <v>2011.0</v>
      </c>
      <c r="F530" s="3" t="s">
        <v>818</v>
      </c>
      <c r="G530" s="37" t="s">
        <v>28</v>
      </c>
      <c r="H530" s="37" t="s">
        <v>10</v>
      </c>
    </row>
    <row r="531" ht="15.75" customHeight="1">
      <c r="A531" s="3" t="s">
        <v>686</v>
      </c>
      <c r="B531" s="13">
        <v>49504.98</v>
      </c>
      <c r="C531" s="13">
        <v>12787.460000000006</v>
      </c>
      <c r="D531" s="3">
        <v>1.0</v>
      </c>
      <c r="E531" s="11">
        <v>2015.0</v>
      </c>
      <c r="F531" s="3" t="s">
        <v>818</v>
      </c>
      <c r="G531" s="37" t="s">
        <v>28</v>
      </c>
      <c r="H531" s="37" t="s">
        <v>8</v>
      </c>
    </row>
    <row r="532" ht="15.75" customHeight="1">
      <c r="A532" s="3" t="s">
        <v>821</v>
      </c>
      <c r="B532" s="13">
        <v>206440.4</v>
      </c>
      <c r="C532" s="13">
        <v>84594.19999999998</v>
      </c>
      <c r="D532" s="3">
        <v>3.0</v>
      </c>
      <c r="E532" s="11">
        <v>2014.0</v>
      </c>
      <c r="F532" s="3" t="s">
        <v>818</v>
      </c>
      <c r="G532" s="37" t="s">
        <v>821</v>
      </c>
      <c r="H532" s="37" t="s">
        <v>9</v>
      </c>
    </row>
    <row r="533" ht="15.75" customHeight="1">
      <c r="A533" s="3" t="s">
        <v>575</v>
      </c>
      <c r="B533" s="13">
        <v>97707.5</v>
      </c>
      <c r="C533" s="13">
        <v>42080.25</v>
      </c>
      <c r="D533" s="3">
        <v>8.0</v>
      </c>
      <c r="E533" s="11">
        <v>2011.0</v>
      </c>
      <c r="F533" s="3" t="s">
        <v>815</v>
      </c>
      <c r="G533" s="37" t="s">
        <v>28</v>
      </c>
      <c r="H533" s="37" t="s">
        <v>3</v>
      </c>
    </row>
    <row r="534" ht="15.75" customHeight="1">
      <c r="A534" s="3" t="s">
        <v>270</v>
      </c>
      <c r="B534" s="13">
        <v>847946.24</v>
      </c>
      <c r="C534" s="13">
        <v>347467.51999999996</v>
      </c>
      <c r="D534" s="3">
        <v>2.0</v>
      </c>
      <c r="E534" s="11">
        <v>2012.0</v>
      </c>
      <c r="F534" s="3" t="s">
        <v>818</v>
      </c>
      <c r="G534" s="37" t="s">
        <v>28</v>
      </c>
      <c r="H534" s="37" t="s">
        <v>9</v>
      </c>
    </row>
    <row r="535" ht="15.75" customHeight="1">
      <c r="A535" s="3" t="s">
        <v>536</v>
      </c>
      <c r="B535" s="13">
        <v>530345.97</v>
      </c>
      <c r="C535" s="13">
        <v>162614.33999999997</v>
      </c>
      <c r="D535" s="3">
        <v>7.0</v>
      </c>
      <c r="E535" s="11">
        <v>2014.0</v>
      </c>
      <c r="F535" s="3" t="s">
        <v>815</v>
      </c>
      <c r="G535" s="37" t="s">
        <v>28</v>
      </c>
      <c r="H535" s="37" t="s">
        <v>14</v>
      </c>
    </row>
    <row r="536" ht="15.75" customHeight="1">
      <c r="A536" s="3" t="s">
        <v>101</v>
      </c>
      <c r="B536" s="13">
        <v>3528906.99</v>
      </c>
      <c r="C536" s="13">
        <v>684148.75</v>
      </c>
      <c r="D536" s="3">
        <v>12.0</v>
      </c>
      <c r="E536" s="11">
        <v>2012.0</v>
      </c>
      <c r="F536" s="3" t="s">
        <v>818</v>
      </c>
      <c r="G536" s="37" t="s">
        <v>28</v>
      </c>
      <c r="H536" s="37" t="s">
        <v>7</v>
      </c>
    </row>
    <row r="537" ht="15.75" customHeight="1">
      <c r="A537" s="3" t="s">
        <v>623</v>
      </c>
      <c r="B537" s="13">
        <v>2558762.85</v>
      </c>
      <c r="C537" s="13">
        <v>346918.0</v>
      </c>
      <c r="D537" s="3">
        <v>3.0</v>
      </c>
      <c r="E537" s="11">
        <v>2012.0</v>
      </c>
      <c r="F537" s="3" t="s">
        <v>818</v>
      </c>
      <c r="G537" s="37" t="s">
        <v>28</v>
      </c>
      <c r="H537" s="37" t="s">
        <v>11</v>
      </c>
    </row>
    <row r="538" ht="15.75" customHeight="1">
      <c r="A538" s="3" t="s">
        <v>821</v>
      </c>
      <c r="B538" s="13">
        <v>1833156.1500000001</v>
      </c>
      <c r="C538" s="13">
        <v>355393.75</v>
      </c>
      <c r="D538" s="3">
        <v>4.0</v>
      </c>
      <c r="E538" s="11">
        <v>2015.0</v>
      </c>
      <c r="F538" s="3" t="s">
        <v>818</v>
      </c>
      <c r="G538" s="37" t="s">
        <v>821</v>
      </c>
      <c r="H538" s="37" t="s">
        <v>7</v>
      </c>
    </row>
    <row r="539" ht="15.75" customHeight="1">
      <c r="A539" s="3" t="s">
        <v>671</v>
      </c>
      <c r="B539" s="13">
        <v>3938765.04</v>
      </c>
      <c r="C539" s="13">
        <v>534019.2000000002</v>
      </c>
      <c r="D539" s="3">
        <v>11.0</v>
      </c>
      <c r="E539" s="11">
        <v>2013.0</v>
      </c>
      <c r="F539" s="3" t="s">
        <v>815</v>
      </c>
      <c r="G539" s="37" t="s">
        <v>28</v>
      </c>
      <c r="H539" s="37" t="s">
        <v>11</v>
      </c>
    </row>
    <row r="540" ht="15.75" customHeight="1">
      <c r="A540" s="3" t="s">
        <v>373</v>
      </c>
      <c r="B540" s="13">
        <v>1922003.12</v>
      </c>
      <c r="C540" s="13">
        <v>721729.9400000002</v>
      </c>
      <c r="D540" s="3">
        <v>3.0</v>
      </c>
      <c r="E540" s="11">
        <v>2012.0</v>
      </c>
      <c r="F540" s="3" t="s">
        <v>818</v>
      </c>
      <c r="G540" s="37" t="s">
        <v>28</v>
      </c>
      <c r="H540" s="37" t="s">
        <v>10</v>
      </c>
    </row>
    <row r="541" ht="15.75" customHeight="1">
      <c r="A541" s="3" t="s">
        <v>288</v>
      </c>
      <c r="B541" s="13">
        <v>76216.77</v>
      </c>
      <c r="C541" s="13">
        <v>19687.290000000008</v>
      </c>
      <c r="D541" s="3">
        <v>1.0</v>
      </c>
      <c r="E541" s="11">
        <v>2017.0</v>
      </c>
      <c r="F541" s="3" t="s">
        <v>818</v>
      </c>
      <c r="G541" s="37" t="s">
        <v>23</v>
      </c>
      <c r="H541" s="37" t="s">
        <v>8</v>
      </c>
    </row>
    <row r="542" ht="15.75" customHeight="1">
      <c r="A542" s="3" t="s">
        <v>821</v>
      </c>
      <c r="B542" s="13">
        <v>75191.6</v>
      </c>
      <c r="C542" s="13">
        <v>23055.200000000004</v>
      </c>
      <c r="D542" s="3">
        <v>2.0</v>
      </c>
      <c r="E542" s="11">
        <v>2016.0</v>
      </c>
      <c r="F542" s="3" t="s">
        <v>815</v>
      </c>
      <c r="G542" s="37" t="s">
        <v>821</v>
      </c>
      <c r="H542" s="37" t="s">
        <v>14</v>
      </c>
    </row>
    <row r="543" ht="15.75" customHeight="1">
      <c r="A543" s="3" t="s">
        <v>488</v>
      </c>
      <c r="B543" s="13">
        <v>157252.48</v>
      </c>
      <c r="C543" s="13">
        <v>59049.760000000024</v>
      </c>
      <c r="D543" s="3">
        <v>2.0</v>
      </c>
      <c r="E543" s="11">
        <v>2016.0</v>
      </c>
      <c r="F543" s="3" t="s">
        <v>818</v>
      </c>
      <c r="G543" s="37" t="s">
        <v>28</v>
      </c>
      <c r="H543" s="37" t="s">
        <v>10</v>
      </c>
    </row>
    <row r="544" ht="15.75" customHeight="1">
      <c r="A544" s="3" t="s">
        <v>671</v>
      </c>
      <c r="B544" s="13">
        <v>414717.87</v>
      </c>
      <c r="C544" s="13">
        <v>56227.59999999998</v>
      </c>
      <c r="D544" s="3">
        <v>4.0</v>
      </c>
      <c r="E544" s="11">
        <v>2013.0</v>
      </c>
      <c r="F544" s="3" t="s">
        <v>815</v>
      </c>
      <c r="G544" s="37" t="s">
        <v>28</v>
      </c>
      <c r="H544" s="37" t="s">
        <v>11</v>
      </c>
    </row>
    <row r="545" ht="15.75" customHeight="1">
      <c r="A545" s="3" t="s">
        <v>434</v>
      </c>
      <c r="B545" s="13">
        <v>3857922.71</v>
      </c>
      <c r="C545" s="13">
        <v>956759.29</v>
      </c>
      <c r="D545" s="3">
        <v>9.0</v>
      </c>
      <c r="E545" s="11">
        <v>2016.0</v>
      </c>
      <c r="F545" s="3" t="s">
        <v>818</v>
      </c>
      <c r="G545" s="37" t="s">
        <v>28</v>
      </c>
      <c r="H545" s="37" t="s">
        <v>4</v>
      </c>
    </row>
    <row r="546" ht="15.75" customHeight="1">
      <c r="A546" s="3" t="s">
        <v>373</v>
      </c>
      <c r="B546" s="13">
        <v>978495.54</v>
      </c>
      <c r="C546" s="13">
        <v>353612.82000000007</v>
      </c>
      <c r="D546" s="3">
        <v>1.0</v>
      </c>
      <c r="E546" s="11">
        <v>2014.0</v>
      </c>
      <c r="F546" s="3" t="s">
        <v>818</v>
      </c>
      <c r="G546" s="37" t="s">
        <v>28</v>
      </c>
      <c r="H546" s="37" t="s">
        <v>13</v>
      </c>
    </row>
    <row r="547" ht="15.75" customHeight="1">
      <c r="A547" s="3" t="s">
        <v>291</v>
      </c>
      <c r="B547" s="13">
        <v>859500.74</v>
      </c>
      <c r="C547" s="13">
        <v>352202.26999999996</v>
      </c>
      <c r="D547" s="3">
        <v>3.0</v>
      </c>
      <c r="E547" s="11">
        <v>2011.0</v>
      </c>
      <c r="F547" s="3" t="s">
        <v>818</v>
      </c>
      <c r="G547" s="37" t="s">
        <v>28</v>
      </c>
      <c r="H547" s="37" t="s">
        <v>9</v>
      </c>
    </row>
    <row r="548" ht="15.75" customHeight="1">
      <c r="A548" s="3" t="s">
        <v>97</v>
      </c>
      <c r="B548" s="13">
        <v>17596.38</v>
      </c>
      <c r="C548" s="13">
        <v>4545.260000000002</v>
      </c>
      <c r="D548" s="3">
        <v>8.0</v>
      </c>
      <c r="E548" s="11">
        <v>2010.0</v>
      </c>
      <c r="F548" s="3" t="s">
        <v>815</v>
      </c>
      <c r="G548" s="37" t="s">
        <v>28</v>
      </c>
      <c r="H548" s="37" t="s">
        <v>8</v>
      </c>
    </row>
    <row r="549" ht="15.75" customHeight="1">
      <c r="A549" s="3" t="s">
        <v>455</v>
      </c>
      <c r="B549" s="13">
        <v>98157.73000000001</v>
      </c>
      <c r="C549" s="13">
        <v>30097.060000000012</v>
      </c>
      <c r="D549" s="3">
        <v>8.0</v>
      </c>
      <c r="E549" s="11">
        <v>2011.0</v>
      </c>
      <c r="F549" s="3" t="s">
        <v>818</v>
      </c>
      <c r="G549" s="37" t="s">
        <v>28</v>
      </c>
      <c r="H549" s="37" t="s">
        <v>14</v>
      </c>
    </row>
    <row r="550" ht="15.75" customHeight="1">
      <c r="A550" s="3" t="s">
        <v>821</v>
      </c>
      <c r="B550" s="13">
        <v>661359.16</v>
      </c>
      <c r="C550" s="13">
        <v>202785.52000000002</v>
      </c>
      <c r="D550" s="3">
        <v>3.0</v>
      </c>
      <c r="E550" s="11">
        <v>2013.0</v>
      </c>
      <c r="F550" s="3" t="s">
        <v>815</v>
      </c>
      <c r="G550" s="37" t="s">
        <v>821</v>
      </c>
      <c r="H550" s="37" t="s">
        <v>14</v>
      </c>
    </row>
    <row r="551" ht="15.75" customHeight="1">
      <c r="A551" s="3" t="s">
        <v>623</v>
      </c>
      <c r="B551" s="13">
        <v>603553.4400000001</v>
      </c>
      <c r="C551" s="13">
        <v>405609.12000000005</v>
      </c>
      <c r="D551" s="3">
        <v>7.0</v>
      </c>
      <c r="E551" s="11">
        <v>2013.0</v>
      </c>
      <c r="F551" s="3" t="s">
        <v>815</v>
      </c>
      <c r="G551" s="37" t="s">
        <v>28</v>
      </c>
      <c r="H551" s="37" t="s">
        <v>5</v>
      </c>
    </row>
    <row r="552" ht="15.75" customHeight="1">
      <c r="A552" s="3" t="s">
        <v>218</v>
      </c>
      <c r="B552" s="13">
        <v>1775727.68</v>
      </c>
      <c r="C552" s="13">
        <v>666802.1599999999</v>
      </c>
      <c r="D552" s="3">
        <v>3.0</v>
      </c>
      <c r="E552" s="11">
        <v>2016.0</v>
      </c>
      <c r="F552" s="3" t="s">
        <v>815</v>
      </c>
      <c r="G552" s="37" t="s">
        <v>28</v>
      </c>
      <c r="H552" s="37" t="s">
        <v>10</v>
      </c>
    </row>
    <row r="553" ht="15.75" customHeight="1">
      <c r="A553" s="3" t="s">
        <v>346</v>
      </c>
      <c r="B553" s="13">
        <v>5326246.59</v>
      </c>
      <c r="C553" s="13">
        <v>1032598.75</v>
      </c>
      <c r="D553" s="3">
        <v>9.0</v>
      </c>
      <c r="E553" s="11">
        <v>2015.0</v>
      </c>
      <c r="F553" s="3" t="s">
        <v>818</v>
      </c>
      <c r="G553" s="37" t="s">
        <v>28</v>
      </c>
      <c r="H553" s="37" t="s">
        <v>7</v>
      </c>
    </row>
    <row r="554" ht="15.75" customHeight="1">
      <c r="A554" s="3" t="s">
        <v>78</v>
      </c>
      <c r="B554" s="13">
        <v>831461.8200000001</v>
      </c>
      <c r="C554" s="13">
        <v>340712.61000000004</v>
      </c>
      <c r="D554" s="3">
        <v>11.0</v>
      </c>
      <c r="E554" s="11">
        <v>2016.0</v>
      </c>
      <c r="F554" s="3" t="s">
        <v>818</v>
      </c>
      <c r="G554" s="37" t="s">
        <v>28</v>
      </c>
      <c r="H554" s="37" t="s">
        <v>9</v>
      </c>
    </row>
    <row r="555" ht="15.75" customHeight="1">
      <c r="A555" s="3" t="s">
        <v>142</v>
      </c>
      <c r="B555" s="13">
        <v>77131.11</v>
      </c>
      <c r="C555" s="13">
        <v>19923.47</v>
      </c>
      <c r="D555" s="3">
        <v>8.0</v>
      </c>
      <c r="E555" s="11">
        <v>2010.0</v>
      </c>
      <c r="F555" s="3" t="s">
        <v>815</v>
      </c>
      <c r="G555" s="37" t="s">
        <v>28</v>
      </c>
      <c r="H555" s="37" t="s">
        <v>8</v>
      </c>
    </row>
    <row r="556" ht="15.75" customHeight="1">
      <c r="A556" s="3" t="s">
        <v>434</v>
      </c>
      <c r="B556" s="13">
        <v>1964741.73</v>
      </c>
      <c r="C556" s="13">
        <v>266380.3999999999</v>
      </c>
      <c r="D556" s="3">
        <v>12.0</v>
      </c>
      <c r="E556" s="11">
        <v>2010.0</v>
      </c>
      <c r="F556" s="3" t="s">
        <v>818</v>
      </c>
      <c r="G556" s="37" t="s">
        <v>28</v>
      </c>
      <c r="H556" s="37" t="s">
        <v>11</v>
      </c>
    </row>
    <row r="557" ht="15.75" customHeight="1">
      <c r="A557" s="3" t="s">
        <v>455</v>
      </c>
      <c r="B557" s="13">
        <v>1898405.2999999998</v>
      </c>
      <c r="C557" s="13">
        <v>817597.1099999999</v>
      </c>
      <c r="D557" s="3">
        <v>7.0</v>
      </c>
      <c r="E557" s="11">
        <v>2013.0</v>
      </c>
      <c r="F557" s="3" t="s">
        <v>818</v>
      </c>
      <c r="G557" s="37" t="s">
        <v>28</v>
      </c>
      <c r="H557" s="37" t="s">
        <v>3</v>
      </c>
    </row>
    <row r="558" ht="15.75" customHeight="1">
      <c r="A558" s="3" t="s">
        <v>413</v>
      </c>
      <c r="B558" s="13">
        <v>224106.35</v>
      </c>
      <c r="C558" s="13">
        <v>73962.18000000002</v>
      </c>
      <c r="D558" s="3">
        <v>11.0</v>
      </c>
      <c r="E558" s="11">
        <v>2013.0</v>
      </c>
      <c r="F558" s="3" t="s">
        <v>815</v>
      </c>
      <c r="G558" s="37" t="s">
        <v>28</v>
      </c>
      <c r="H558" s="37" t="s">
        <v>6</v>
      </c>
    </row>
    <row r="559" ht="15.75" customHeight="1">
      <c r="A559" s="3" t="s">
        <v>575</v>
      </c>
      <c r="B559" s="13">
        <v>784165.4</v>
      </c>
      <c r="C559" s="13">
        <v>321331.7</v>
      </c>
      <c r="D559" s="3">
        <v>1.0</v>
      </c>
      <c r="E559" s="11">
        <v>2011.0</v>
      </c>
      <c r="F559" s="3" t="s">
        <v>818</v>
      </c>
      <c r="G559" s="37" t="s">
        <v>28</v>
      </c>
      <c r="H559" s="37" t="s">
        <v>9</v>
      </c>
    </row>
    <row r="560" ht="15.75" customHeight="1">
      <c r="A560" s="3" t="s">
        <v>686</v>
      </c>
      <c r="B560" s="13">
        <v>1235555.2</v>
      </c>
      <c r="C560" s="13">
        <v>463962.4</v>
      </c>
      <c r="D560" s="3">
        <v>5.0</v>
      </c>
      <c r="E560" s="11">
        <v>2010.0</v>
      </c>
      <c r="F560" s="3" t="s">
        <v>818</v>
      </c>
      <c r="G560" s="37" t="s">
        <v>28</v>
      </c>
      <c r="H560" s="37" t="s">
        <v>10</v>
      </c>
    </row>
    <row r="561" ht="15.75" customHeight="1">
      <c r="A561" s="3" t="s">
        <v>32</v>
      </c>
      <c r="B561" s="13">
        <v>128076.16</v>
      </c>
      <c r="C561" s="13">
        <v>86071.68</v>
      </c>
      <c r="D561" s="3">
        <v>3.0</v>
      </c>
      <c r="E561" s="11">
        <v>2015.0</v>
      </c>
      <c r="F561" s="3" t="s">
        <v>818</v>
      </c>
      <c r="G561" s="37" t="s">
        <v>28</v>
      </c>
      <c r="H561" s="37" t="s">
        <v>5</v>
      </c>
    </row>
    <row r="562" ht="15.75" customHeight="1">
      <c r="A562" s="3" t="s">
        <v>300</v>
      </c>
      <c r="B562" s="13">
        <v>12632.82</v>
      </c>
      <c r="C562" s="13">
        <v>3263.1399999999994</v>
      </c>
      <c r="D562" s="3">
        <v>8.0</v>
      </c>
      <c r="E562" s="11">
        <v>2014.0</v>
      </c>
      <c r="F562" s="3" t="s">
        <v>815</v>
      </c>
      <c r="G562" s="37" t="s">
        <v>28</v>
      </c>
      <c r="H562" s="37" t="s">
        <v>8</v>
      </c>
    </row>
    <row r="563" ht="15.75" customHeight="1">
      <c r="A563" s="3" t="s">
        <v>221</v>
      </c>
      <c r="B563" s="13">
        <v>379090.8</v>
      </c>
      <c r="C563" s="13">
        <v>142352.1</v>
      </c>
      <c r="D563" s="3">
        <v>12.0</v>
      </c>
      <c r="E563" s="11">
        <v>2012.0</v>
      </c>
      <c r="F563" s="3" t="s">
        <v>815</v>
      </c>
      <c r="G563" s="37" t="s">
        <v>28</v>
      </c>
      <c r="H563" s="37" t="s">
        <v>10</v>
      </c>
    </row>
    <row r="564" ht="15.75" customHeight="1">
      <c r="A564" s="3" t="s">
        <v>593</v>
      </c>
      <c r="B564" s="13">
        <v>28115.120000000003</v>
      </c>
      <c r="C564" s="13">
        <v>8620.640000000003</v>
      </c>
      <c r="D564" s="3">
        <v>11.0</v>
      </c>
      <c r="E564" s="11">
        <v>2011.0</v>
      </c>
      <c r="F564" s="3" t="s">
        <v>818</v>
      </c>
      <c r="G564" s="37" t="s">
        <v>28</v>
      </c>
      <c r="H564" s="37" t="s">
        <v>14</v>
      </c>
    </row>
    <row r="565" ht="15.75" customHeight="1">
      <c r="A565" s="3" t="s">
        <v>455</v>
      </c>
      <c r="B565" s="13">
        <v>38803.47</v>
      </c>
      <c r="C565" s="13">
        <v>10023.190000000002</v>
      </c>
      <c r="D565" s="3">
        <v>7.0</v>
      </c>
      <c r="E565" s="11">
        <v>2010.0</v>
      </c>
      <c r="F565" s="3" t="s">
        <v>815</v>
      </c>
      <c r="G565" s="37" t="s">
        <v>28</v>
      </c>
      <c r="H565" s="37" t="s">
        <v>8</v>
      </c>
    </row>
    <row r="566" ht="15.75" customHeight="1">
      <c r="A566" s="3" t="s">
        <v>434</v>
      </c>
      <c r="B566" s="13">
        <v>609563.84</v>
      </c>
      <c r="C566" s="13">
        <v>409648.31999999995</v>
      </c>
      <c r="D566" s="3">
        <v>5.0</v>
      </c>
      <c r="E566" s="11">
        <v>2011.0</v>
      </c>
      <c r="F566" s="3" t="s">
        <v>815</v>
      </c>
      <c r="G566" s="37" t="s">
        <v>28</v>
      </c>
      <c r="H566" s="37" t="s">
        <v>5</v>
      </c>
    </row>
    <row r="567" ht="15.75" customHeight="1">
      <c r="A567" s="3" t="s">
        <v>623</v>
      </c>
      <c r="B567" s="13">
        <v>320265.42000000004</v>
      </c>
      <c r="C567" s="13">
        <v>115738.86000000004</v>
      </c>
      <c r="D567" s="3">
        <v>7.0</v>
      </c>
      <c r="E567" s="11">
        <v>2017.0</v>
      </c>
      <c r="F567" s="3" t="s">
        <v>818</v>
      </c>
      <c r="G567" s="37" t="s">
        <v>28</v>
      </c>
      <c r="H567" s="37" t="s">
        <v>13</v>
      </c>
    </row>
    <row r="568" ht="15.75" customHeight="1">
      <c r="A568" s="3" t="s">
        <v>32</v>
      </c>
      <c r="B568" s="13">
        <v>818058.6</v>
      </c>
      <c r="C568" s="13">
        <v>335220.29999999993</v>
      </c>
      <c r="D568" s="3">
        <v>10.0</v>
      </c>
      <c r="E568" s="11">
        <v>2012.0</v>
      </c>
      <c r="F568" s="3" t="s">
        <v>815</v>
      </c>
      <c r="G568" s="37" t="s">
        <v>28</v>
      </c>
      <c r="H568" s="37" t="s">
        <v>9</v>
      </c>
    </row>
    <row r="569" ht="15.75" customHeight="1">
      <c r="A569" s="3" t="s">
        <v>142</v>
      </c>
      <c r="B569" s="13">
        <v>133192.15</v>
      </c>
      <c r="C569" s="13">
        <v>43957.619999999995</v>
      </c>
      <c r="D569" s="3">
        <v>2.0</v>
      </c>
      <c r="E569" s="11">
        <v>2016.0</v>
      </c>
      <c r="F569" s="3" t="s">
        <v>815</v>
      </c>
      <c r="G569" s="37" t="s">
        <v>28</v>
      </c>
      <c r="H569" s="37" t="s">
        <v>6</v>
      </c>
    </row>
    <row r="570" ht="15.75" customHeight="1">
      <c r="A570" s="3" t="s">
        <v>142</v>
      </c>
      <c r="B570" s="13">
        <v>186910.50000000003</v>
      </c>
      <c r="C570" s="13">
        <v>67546.50000000003</v>
      </c>
      <c r="D570" s="3">
        <v>3.0</v>
      </c>
      <c r="E570" s="11">
        <v>2017.0</v>
      </c>
      <c r="F570" s="3" t="s">
        <v>818</v>
      </c>
      <c r="G570" s="37" t="s">
        <v>28</v>
      </c>
      <c r="H570" s="37" t="s">
        <v>13</v>
      </c>
    </row>
    <row r="571" ht="15.75" customHeight="1">
      <c r="A571" s="3" t="s">
        <v>67</v>
      </c>
      <c r="B571" s="13">
        <v>1533493.5</v>
      </c>
      <c r="C571" s="13">
        <v>660438.45</v>
      </c>
      <c r="D571" s="3">
        <v>1.0</v>
      </c>
      <c r="E571" s="11">
        <v>2010.0</v>
      </c>
      <c r="F571" s="3" t="s">
        <v>818</v>
      </c>
      <c r="G571" s="37" t="s">
        <v>23</v>
      </c>
      <c r="H571" s="37" t="s">
        <v>3</v>
      </c>
    </row>
    <row r="572" ht="15.75" customHeight="1">
      <c r="A572" s="3" t="s">
        <v>542</v>
      </c>
      <c r="B572" s="13">
        <v>529449.2</v>
      </c>
      <c r="C572" s="13">
        <v>210556.56999999995</v>
      </c>
      <c r="D572" s="3">
        <v>5.0</v>
      </c>
      <c r="E572" s="11">
        <v>2015.0</v>
      </c>
      <c r="F572" s="3" t="s">
        <v>815</v>
      </c>
      <c r="G572" s="37" t="s">
        <v>28</v>
      </c>
      <c r="H572" s="37" t="s">
        <v>12</v>
      </c>
    </row>
    <row r="573" ht="15.75" customHeight="1">
      <c r="A573" s="3" t="s">
        <v>218</v>
      </c>
      <c r="B573" s="13">
        <v>226716.1</v>
      </c>
      <c r="C573" s="13">
        <v>74823.48000000001</v>
      </c>
      <c r="D573" s="3">
        <v>9.0</v>
      </c>
      <c r="E573" s="11">
        <v>2011.0</v>
      </c>
      <c r="F573" s="3" t="s">
        <v>818</v>
      </c>
      <c r="G573" s="37" t="s">
        <v>28</v>
      </c>
      <c r="H573" s="37" t="s">
        <v>6</v>
      </c>
    </row>
    <row r="574" ht="15.75" customHeight="1">
      <c r="A574" s="3" t="s">
        <v>221</v>
      </c>
      <c r="B574" s="13">
        <v>690700.23</v>
      </c>
      <c r="C574" s="13">
        <v>211782.05999999994</v>
      </c>
      <c r="D574" s="3">
        <v>2.0</v>
      </c>
      <c r="E574" s="11">
        <v>2016.0</v>
      </c>
      <c r="F574" s="3" t="s">
        <v>815</v>
      </c>
      <c r="G574" s="37" t="s">
        <v>28</v>
      </c>
      <c r="H574" s="37" t="s">
        <v>14</v>
      </c>
    </row>
    <row r="575" ht="15.75" customHeight="1">
      <c r="A575" s="3" t="s">
        <v>578</v>
      </c>
      <c r="B575" s="13">
        <v>1592436.64</v>
      </c>
      <c r="C575" s="13">
        <v>597974.6799999999</v>
      </c>
      <c r="D575" s="3">
        <v>1.0</v>
      </c>
      <c r="E575" s="11">
        <v>2010.0</v>
      </c>
      <c r="F575" s="3" t="s">
        <v>818</v>
      </c>
      <c r="G575" s="37" t="s">
        <v>28</v>
      </c>
      <c r="H575" s="37" t="s">
        <v>10</v>
      </c>
    </row>
    <row r="576" ht="15.75" customHeight="1">
      <c r="A576" s="3" t="s">
        <v>434</v>
      </c>
      <c r="B576" s="13">
        <v>45772.98</v>
      </c>
      <c r="C576" s="13">
        <v>11823.460000000006</v>
      </c>
      <c r="D576" s="3">
        <v>10.0</v>
      </c>
      <c r="E576" s="11">
        <v>2011.0</v>
      </c>
      <c r="F576" s="3" t="s">
        <v>815</v>
      </c>
      <c r="G576" s="37" t="s">
        <v>28</v>
      </c>
      <c r="H576" s="37" t="s">
        <v>8</v>
      </c>
    </row>
    <row r="577" ht="15.75" customHeight="1">
      <c r="A577" s="3" t="s">
        <v>373</v>
      </c>
      <c r="B577" s="13">
        <v>1213856.4</v>
      </c>
      <c r="C577" s="13">
        <v>455814.29999999993</v>
      </c>
      <c r="D577" s="3">
        <v>3.0</v>
      </c>
      <c r="E577" s="11">
        <v>2017.0</v>
      </c>
      <c r="F577" s="3" t="s">
        <v>818</v>
      </c>
      <c r="G577" s="37" t="s">
        <v>28</v>
      </c>
      <c r="H577" s="37" t="s">
        <v>10</v>
      </c>
    </row>
    <row r="578" ht="15.75" customHeight="1">
      <c r="A578" s="3" t="s">
        <v>46</v>
      </c>
      <c r="B578" s="13">
        <v>1380543.84</v>
      </c>
      <c r="C578" s="13">
        <v>498906.7200000001</v>
      </c>
      <c r="D578" s="3">
        <v>1.0</v>
      </c>
      <c r="E578" s="11">
        <v>2010.0</v>
      </c>
      <c r="F578" s="3" t="s">
        <v>818</v>
      </c>
      <c r="G578" s="37" t="s">
        <v>28</v>
      </c>
      <c r="H578" s="37" t="s">
        <v>13</v>
      </c>
    </row>
    <row r="579" ht="15.75" customHeight="1">
      <c r="A579" s="3" t="s">
        <v>542</v>
      </c>
      <c r="B579" s="13">
        <v>262473.2</v>
      </c>
      <c r="C579" s="13">
        <v>113040.84000000003</v>
      </c>
      <c r="D579" s="3">
        <v>11.0</v>
      </c>
      <c r="E579" s="11">
        <v>2015.0</v>
      </c>
      <c r="F579" s="3" t="s">
        <v>815</v>
      </c>
      <c r="G579" s="37" t="s">
        <v>28</v>
      </c>
      <c r="H579" s="37" t="s">
        <v>3</v>
      </c>
    </row>
    <row r="580" ht="15.75" customHeight="1">
      <c r="A580" s="3" t="s">
        <v>267</v>
      </c>
      <c r="B580" s="13">
        <v>2215319.84</v>
      </c>
      <c r="C580" s="13">
        <v>831873.0800000001</v>
      </c>
      <c r="D580" s="3">
        <v>9.0</v>
      </c>
      <c r="E580" s="11">
        <v>2014.0</v>
      </c>
      <c r="F580" s="3" t="s">
        <v>818</v>
      </c>
      <c r="G580" s="37" t="s">
        <v>28</v>
      </c>
      <c r="H580" s="37" t="s">
        <v>10</v>
      </c>
    </row>
    <row r="581" ht="15.75" customHeight="1">
      <c r="A581" s="3" t="s">
        <v>590</v>
      </c>
      <c r="B581" s="13">
        <v>59814.63</v>
      </c>
      <c r="C581" s="13">
        <v>15450.509999999995</v>
      </c>
      <c r="D581" s="3">
        <v>10.0</v>
      </c>
      <c r="E581" s="11">
        <v>2016.0</v>
      </c>
      <c r="F581" s="3" t="s">
        <v>815</v>
      </c>
      <c r="G581" s="37" t="s">
        <v>28</v>
      </c>
      <c r="H581" s="37" t="s">
        <v>8</v>
      </c>
    </row>
    <row r="582" ht="15.75" customHeight="1">
      <c r="A582" s="3" t="s">
        <v>288</v>
      </c>
      <c r="B582" s="13">
        <v>3779712.51</v>
      </c>
      <c r="C582" s="13">
        <v>512454.7999999998</v>
      </c>
      <c r="D582" s="3">
        <v>8.0</v>
      </c>
      <c r="E582" s="11">
        <v>2012.0</v>
      </c>
      <c r="F582" s="3" t="s">
        <v>815</v>
      </c>
      <c r="G582" s="37" t="s">
        <v>23</v>
      </c>
      <c r="H582" s="37" t="s">
        <v>11</v>
      </c>
    </row>
    <row r="583" ht="15.75" customHeight="1">
      <c r="A583" s="3" t="s">
        <v>821</v>
      </c>
      <c r="B583" s="13">
        <v>688272.2</v>
      </c>
      <c r="C583" s="13">
        <v>296422.13999999996</v>
      </c>
      <c r="D583" s="3">
        <v>7.0</v>
      </c>
      <c r="E583" s="11">
        <v>2017.0</v>
      </c>
      <c r="F583" s="3" t="s">
        <v>818</v>
      </c>
      <c r="G583" s="37" t="s">
        <v>821</v>
      </c>
      <c r="H583" s="37" t="s">
        <v>3</v>
      </c>
    </row>
    <row r="584" ht="15.75" customHeight="1">
      <c r="A584" s="3" t="s">
        <v>653</v>
      </c>
      <c r="B584" s="13">
        <v>6340180.5600000005</v>
      </c>
      <c r="C584" s="13">
        <v>1229170.0</v>
      </c>
      <c r="D584" s="3">
        <v>4.0</v>
      </c>
      <c r="E584" s="11">
        <v>2010.0</v>
      </c>
      <c r="F584" s="3" t="s">
        <v>815</v>
      </c>
      <c r="G584" s="37" t="s">
        <v>28</v>
      </c>
      <c r="H584" s="37" t="s">
        <v>7</v>
      </c>
    </row>
    <row r="585" ht="15.75" customHeight="1">
      <c r="A585" s="3" t="s">
        <v>671</v>
      </c>
      <c r="B585" s="13">
        <v>37382.100000000006</v>
      </c>
      <c r="C585" s="13">
        <v>13509.300000000007</v>
      </c>
      <c r="D585" s="3">
        <v>11.0</v>
      </c>
      <c r="E585" s="11">
        <v>2016.0</v>
      </c>
      <c r="F585" s="3" t="s">
        <v>815</v>
      </c>
      <c r="G585" s="37" t="s">
        <v>28</v>
      </c>
      <c r="H585" s="37" t="s">
        <v>13</v>
      </c>
    </row>
    <row r="586" ht="15.75" customHeight="1">
      <c r="A586" s="3" t="s">
        <v>740</v>
      </c>
      <c r="B586" s="13">
        <v>504355.83</v>
      </c>
      <c r="C586" s="13">
        <v>154645.26</v>
      </c>
      <c r="D586" s="3">
        <v>4.0</v>
      </c>
      <c r="E586" s="11">
        <v>2017.0</v>
      </c>
      <c r="F586" s="3" t="s">
        <v>818</v>
      </c>
      <c r="G586" s="37" t="s">
        <v>28</v>
      </c>
      <c r="H586" s="37" t="s">
        <v>14</v>
      </c>
    </row>
    <row r="587" ht="15.75" customHeight="1">
      <c r="A587" s="3" t="s">
        <v>593</v>
      </c>
      <c r="B587" s="13">
        <v>4090880.4</v>
      </c>
      <c r="C587" s="13">
        <v>1626901.5899999999</v>
      </c>
      <c r="D587" s="3">
        <v>9.0</v>
      </c>
      <c r="E587" s="11">
        <v>2014.0</v>
      </c>
      <c r="F587" s="3" t="s">
        <v>818</v>
      </c>
      <c r="G587" s="37" t="s">
        <v>28</v>
      </c>
      <c r="H587" s="37" t="s">
        <v>12</v>
      </c>
    </row>
    <row r="588" ht="15.75" customHeight="1">
      <c r="A588" s="3" t="s">
        <v>413</v>
      </c>
      <c r="B588" s="13">
        <v>542137.14</v>
      </c>
      <c r="C588" s="13">
        <v>222154.46999999997</v>
      </c>
      <c r="D588" s="3">
        <v>10.0</v>
      </c>
      <c r="E588" s="11">
        <v>2016.0</v>
      </c>
      <c r="F588" s="3" t="s">
        <v>818</v>
      </c>
      <c r="G588" s="37" t="s">
        <v>28</v>
      </c>
      <c r="H588" s="37" t="s">
        <v>9</v>
      </c>
    </row>
    <row r="589" ht="15.75" customHeight="1">
      <c r="A589" s="3" t="s">
        <v>300</v>
      </c>
      <c r="B589" s="13">
        <v>23539.59</v>
      </c>
      <c r="C589" s="13">
        <v>6080.43</v>
      </c>
      <c r="D589" s="3">
        <v>10.0</v>
      </c>
      <c r="E589" s="11">
        <v>2015.0</v>
      </c>
      <c r="F589" s="3" t="s">
        <v>815</v>
      </c>
      <c r="G589" s="37" t="s">
        <v>28</v>
      </c>
      <c r="H589" s="37" t="s">
        <v>8</v>
      </c>
    </row>
    <row r="590" ht="15.75" customHeight="1">
      <c r="A590" s="3" t="s">
        <v>206</v>
      </c>
      <c r="B590" s="13">
        <v>52945.26</v>
      </c>
      <c r="C590" s="13">
        <v>19133.58</v>
      </c>
      <c r="D590" s="3">
        <v>3.0</v>
      </c>
      <c r="E590" s="11">
        <v>2011.0</v>
      </c>
      <c r="F590" s="3" t="s">
        <v>818</v>
      </c>
      <c r="G590" s="37" t="s">
        <v>28</v>
      </c>
      <c r="H590" s="37" t="s">
        <v>13</v>
      </c>
    </row>
    <row r="591" ht="15.75" customHeight="1">
      <c r="A591" s="3" t="s">
        <v>78</v>
      </c>
      <c r="B591" s="13">
        <v>403945.32</v>
      </c>
      <c r="C591" s="13">
        <v>165526.86</v>
      </c>
      <c r="D591" s="3">
        <v>5.0</v>
      </c>
      <c r="E591" s="11">
        <v>2014.0</v>
      </c>
      <c r="F591" s="3" t="s">
        <v>818</v>
      </c>
      <c r="G591" s="37" t="s">
        <v>28</v>
      </c>
      <c r="H591" s="37" t="s">
        <v>9</v>
      </c>
    </row>
    <row r="592" ht="15.75" customHeight="1">
      <c r="A592" s="3" t="s">
        <v>821</v>
      </c>
      <c r="B592" s="13">
        <v>880691.7600000001</v>
      </c>
      <c r="C592" s="13">
        <v>318268.0800000002</v>
      </c>
      <c r="D592" s="3">
        <v>5.0</v>
      </c>
      <c r="E592" s="11">
        <v>2010.0</v>
      </c>
      <c r="F592" s="3" t="s">
        <v>818</v>
      </c>
      <c r="G592" s="37" t="s">
        <v>821</v>
      </c>
      <c r="H592" s="37" t="s">
        <v>13</v>
      </c>
    </row>
    <row r="593" ht="15.75" customHeight="1">
      <c r="A593" s="3" t="s">
        <v>821</v>
      </c>
      <c r="B593" s="13">
        <v>1336624.56</v>
      </c>
      <c r="C593" s="13">
        <v>547715.88</v>
      </c>
      <c r="D593" s="3">
        <v>11.0</v>
      </c>
      <c r="E593" s="11">
        <v>2014.0</v>
      </c>
      <c r="F593" s="3" t="s">
        <v>815</v>
      </c>
      <c r="G593" s="37" t="s">
        <v>821</v>
      </c>
      <c r="H593" s="37" t="s">
        <v>9</v>
      </c>
    </row>
    <row r="594" ht="15.75" customHeight="1">
      <c r="A594" s="3" t="s">
        <v>215</v>
      </c>
      <c r="B594" s="13">
        <v>4879707.54</v>
      </c>
      <c r="C594" s="13">
        <v>1210160.46</v>
      </c>
      <c r="D594" s="3">
        <v>3.0</v>
      </c>
      <c r="E594" s="11">
        <v>2013.0</v>
      </c>
      <c r="F594" s="3" t="s">
        <v>815</v>
      </c>
      <c r="G594" s="37" t="s">
        <v>23</v>
      </c>
      <c r="H594" s="37" t="s">
        <v>4</v>
      </c>
    </row>
    <row r="595" ht="15.75" customHeight="1">
      <c r="A595" s="3" t="s">
        <v>101</v>
      </c>
      <c r="B595" s="13">
        <v>762118.5</v>
      </c>
      <c r="C595" s="13">
        <v>328225.95</v>
      </c>
      <c r="D595" s="3">
        <v>11.0</v>
      </c>
      <c r="E595" s="11">
        <v>2012.0</v>
      </c>
      <c r="F595" s="3" t="s">
        <v>818</v>
      </c>
      <c r="G595" s="37" t="s">
        <v>28</v>
      </c>
      <c r="H595" s="37" t="s">
        <v>3</v>
      </c>
    </row>
    <row r="596" ht="15.75" customHeight="1">
      <c r="A596" s="3" t="s">
        <v>650</v>
      </c>
      <c r="B596" s="13">
        <v>278436.60000000003</v>
      </c>
      <c r="C596" s="13">
        <v>91892.88000000003</v>
      </c>
      <c r="D596" s="3">
        <v>9.0</v>
      </c>
      <c r="E596" s="11">
        <v>2015.0</v>
      </c>
      <c r="F596" s="3" t="s">
        <v>818</v>
      </c>
      <c r="G596" s="37" t="s">
        <v>28</v>
      </c>
      <c r="H596" s="37" t="s">
        <v>6</v>
      </c>
    </row>
    <row r="597" ht="15.75" customHeight="1">
      <c r="A597" s="3" t="s">
        <v>346</v>
      </c>
      <c r="B597" s="13">
        <v>1104764.26</v>
      </c>
      <c r="C597" s="13">
        <v>452705.23</v>
      </c>
      <c r="D597" s="3">
        <v>6.0</v>
      </c>
      <c r="E597" s="11">
        <v>2012.0</v>
      </c>
      <c r="F597" s="3" t="s">
        <v>815</v>
      </c>
      <c r="G597" s="37" t="s">
        <v>28</v>
      </c>
      <c r="H597" s="37" t="s">
        <v>9</v>
      </c>
    </row>
    <row r="598" ht="15.75" customHeight="1">
      <c r="A598" s="3" t="s">
        <v>288</v>
      </c>
      <c r="B598" s="13">
        <v>7977.15</v>
      </c>
      <c r="C598" s="13">
        <v>2060.5499999999993</v>
      </c>
      <c r="D598" s="3">
        <v>10.0</v>
      </c>
      <c r="E598" s="11">
        <v>2012.0</v>
      </c>
      <c r="F598" s="3" t="s">
        <v>815</v>
      </c>
      <c r="G598" s="37" t="s">
        <v>23</v>
      </c>
      <c r="H598" s="37" t="s">
        <v>8</v>
      </c>
    </row>
    <row r="599" ht="15.75" customHeight="1">
      <c r="A599" s="3" t="s">
        <v>101</v>
      </c>
      <c r="B599" s="13">
        <v>137663.62</v>
      </c>
      <c r="C599" s="13">
        <v>34140.37999999999</v>
      </c>
      <c r="D599" s="3">
        <v>4.0</v>
      </c>
      <c r="E599" s="11">
        <v>2015.0</v>
      </c>
      <c r="F599" s="3" t="s">
        <v>818</v>
      </c>
      <c r="G599" s="37" t="s">
        <v>28</v>
      </c>
      <c r="H599" s="37" t="s">
        <v>4</v>
      </c>
    </row>
    <row r="600" ht="15.75" customHeight="1">
      <c r="A600" s="3" t="s">
        <v>364</v>
      </c>
      <c r="B600" s="13">
        <v>547320.32</v>
      </c>
      <c r="C600" s="13">
        <v>205523.83999999997</v>
      </c>
      <c r="D600" s="3">
        <v>4.0</v>
      </c>
      <c r="E600" s="11">
        <v>2015.0</v>
      </c>
      <c r="F600" s="3" t="s">
        <v>815</v>
      </c>
      <c r="G600" s="37" t="s">
        <v>28</v>
      </c>
      <c r="H600" s="37" t="s">
        <v>10</v>
      </c>
    </row>
    <row r="601" ht="15.75" customHeight="1">
      <c r="A601" s="3" t="s">
        <v>215</v>
      </c>
      <c r="B601" s="13">
        <v>681907.2</v>
      </c>
      <c r="C601" s="13">
        <v>458265.5999999999</v>
      </c>
      <c r="D601" s="3">
        <v>6.0</v>
      </c>
      <c r="E601" s="11">
        <v>2014.0</v>
      </c>
      <c r="F601" s="3" t="s">
        <v>815</v>
      </c>
      <c r="G601" s="37" t="s">
        <v>23</v>
      </c>
      <c r="H601" s="37" t="s">
        <v>5</v>
      </c>
    </row>
    <row r="602" ht="15.75" customHeight="1">
      <c r="A602" s="3" t="s">
        <v>215</v>
      </c>
      <c r="B602" s="13">
        <v>1942381.5599999998</v>
      </c>
      <c r="C602" s="13">
        <v>263348.7999999998</v>
      </c>
      <c r="D602" s="3">
        <v>3.0</v>
      </c>
      <c r="E602" s="11">
        <v>2016.0</v>
      </c>
      <c r="F602" s="3" t="s">
        <v>815</v>
      </c>
      <c r="G602" s="37" t="s">
        <v>23</v>
      </c>
      <c r="H602" s="37" t="s">
        <v>11</v>
      </c>
    </row>
    <row r="603" ht="15.75" customHeight="1">
      <c r="A603" s="3" t="s">
        <v>653</v>
      </c>
      <c r="B603" s="13">
        <v>3332775.6</v>
      </c>
      <c r="C603" s="13">
        <v>1325411.0100000002</v>
      </c>
      <c r="D603" s="3">
        <v>10.0</v>
      </c>
      <c r="E603" s="11">
        <v>2013.0</v>
      </c>
      <c r="F603" s="3" t="s">
        <v>815</v>
      </c>
      <c r="G603" s="37" t="s">
        <v>28</v>
      </c>
      <c r="H603" s="37" t="s">
        <v>12</v>
      </c>
    </row>
    <row r="604" ht="15.75" customHeight="1">
      <c r="A604" s="3" t="s">
        <v>123</v>
      </c>
      <c r="B604" s="13">
        <v>3519406.38</v>
      </c>
      <c r="C604" s="13">
        <v>477162.3999999999</v>
      </c>
      <c r="D604" s="3">
        <v>12.0</v>
      </c>
      <c r="E604" s="11">
        <v>2015.0</v>
      </c>
      <c r="F604" s="3" t="s">
        <v>818</v>
      </c>
      <c r="G604" s="37" t="s">
        <v>28</v>
      </c>
      <c r="H604" s="37" t="s">
        <v>11</v>
      </c>
    </row>
    <row r="605" ht="15.75" customHeight="1">
      <c r="A605" s="3" t="s">
        <v>821</v>
      </c>
      <c r="B605" s="13">
        <v>619627.38</v>
      </c>
      <c r="C605" s="13">
        <v>223923.54000000004</v>
      </c>
      <c r="D605" s="3">
        <v>7.0</v>
      </c>
      <c r="E605" s="11">
        <v>2011.0</v>
      </c>
      <c r="F605" s="3" t="s">
        <v>818</v>
      </c>
      <c r="G605" s="37" t="s">
        <v>821</v>
      </c>
      <c r="H605" s="37" t="s">
        <v>13</v>
      </c>
    </row>
    <row r="606" ht="15.75" customHeight="1">
      <c r="A606" s="3" t="s">
        <v>740</v>
      </c>
      <c r="B606" s="13">
        <v>197266.3</v>
      </c>
      <c r="C606" s="13">
        <v>84957.80999999998</v>
      </c>
      <c r="D606" s="3">
        <v>12.0</v>
      </c>
      <c r="E606" s="11">
        <v>2015.0</v>
      </c>
      <c r="F606" s="3" t="s">
        <v>815</v>
      </c>
      <c r="G606" s="37" t="s">
        <v>28</v>
      </c>
      <c r="H606" s="37" t="s">
        <v>3</v>
      </c>
    </row>
    <row r="607" ht="15.75" customHeight="1">
      <c r="A607" s="3" t="s">
        <v>46</v>
      </c>
      <c r="B607" s="13">
        <v>791043.75</v>
      </c>
      <c r="C607" s="13">
        <v>107250.0</v>
      </c>
      <c r="D607" s="3">
        <v>10.0</v>
      </c>
      <c r="E607" s="11">
        <v>2011.0</v>
      </c>
      <c r="F607" s="3" t="s">
        <v>815</v>
      </c>
      <c r="G607" s="37" t="s">
        <v>28</v>
      </c>
      <c r="H607" s="37" t="s">
        <v>11</v>
      </c>
    </row>
    <row r="608" ht="15.75" customHeight="1">
      <c r="A608" s="3" t="s">
        <v>142</v>
      </c>
      <c r="B608" s="13">
        <v>672399.84</v>
      </c>
      <c r="C608" s="13">
        <v>451876.31999999995</v>
      </c>
      <c r="D608" s="3">
        <v>5.0</v>
      </c>
      <c r="E608" s="11">
        <v>2010.0</v>
      </c>
      <c r="F608" s="3" t="s">
        <v>818</v>
      </c>
      <c r="G608" s="37" t="s">
        <v>28</v>
      </c>
      <c r="H608" s="37" t="s">
        <v>5</v>
      </c>
    </row>
    <row r="609" ht="15.75" customHeight="1">
      <c r="A609" s="3" t="s">
        <v>248</v>
      </c>
      <c r="B609" s="13">
        <v>532199.04</v>
      </c>
      <c r="C609" s="13">
        <v>192328.32000000007</v>
      </c>
      <c r="D609" s="3">
        <v>7.0</v>
      </c>
      <c r="E609" s="11">
        <v>2015.0</v>
      </c>
      <c r="F609" s="3" t="s">
        <v>815</v>
      </c>
      <c r="G609" s="37" t="s">
        <v>28</v>
      </c>
      <c r="H609" s="37" t="s">
        <v>13</v>
      </c>
    </row>
    <row r="610" ht="15.75" customHeight="1">
      <c r="A610" s="3" t="s">
        <v>686</v>
      </c>
      <c r="B610" s="13">
        <v>1338279.1800000002</v>
      </c>
      <c r="C610" s="13">
        <v>483632.9400000002</v>
      </c>
      <c r="D610" s="3">
        <v>10.0</v>
      </c>
      <c r="E610" s="11">
        <v>2012.0</v>
      </c>
      <c r="F610" s="3" t="s">
        <v>818</v>
      </c>
      <c r="G610" s="37" t="s">
        <v>28</v>
      </c>
      <c r="H610" s="37" t="s">
        <v>13</v>
      </c>
    </row>
    <row r="611" ht="15.75" customHeight="1">
      <c r="A611" s="3" t="s">
        <v>821</v>
      </c>
      <c r="B611" s="13">
        <v>179437.76</v>
      </c>
      <c r="C611" s="13">
        <v>120588.48000000001</v>
      </c>
      <c r="D611" s="3">
        <v>3.0</v>
      </c>
      <c r="E611" s="11">
        <v>2014.0</v>
      </c>
      <c r="F611" s="3" t="s">
        <v>818</v>
      </c>
      <c r="G611" s="37" t="s">
        <v>821</v>
      </c>
      <c r="H611" s="37" t="s">
        <v>5</v>
      </c>
    </row>
    <row r="612" ht="15.75" customHeight="1">
      <c r="A612" s="3" t="s">
        <v>542</v>
      </c>
      <c r="B612" s="13">
        <v>943195.68</v>
      </c>
      <c r="C612" s="13">
        <v>633860.64</v>
      </c>
      <c r="D612" s="3">
        <v>4.0</v>
      </c>
      <c r="E612" s="11">
        <v>2014.0</v>
      </c>
      <c r="F612" s="3" t="s">
        <v>815</v>
      </c>
      <c r="G612" s="37" t="s">
        <v>28</v>
      </c>
      <c r="H612" s="37" t="s">
        <v>5</v>
      </c>
    </row>
    <row r="613" ht="15.75" customHeight="1">
      <c r="A613" s="3" t="s">
        <v>746</v>
      </c>
      <c r="B613" s="13">
        <v>490134.81</v>
      </c>
      <c r="C613" s="13">
        <v>150284.82</v>
      </c>
      <c r="D613" s="3">
        <v>9.0</v>
      </c>
      <c r="E613" s="11">
        <v>2011.0</v>
      </c>
      <c r="F613" s="3" t="s">
        <v>818</v>
      </c>
      <c r="G613" s="37" t="s">
        <v>28</v>
      </c>
      <c r="H613" s="37" t="s">
        <v>14</v>
      </c>
    </row>
    <row r="614" ht="15.75" customHeight="1">
      <c r="A614" s="3" t="s">
        <v>821</v>
      </c>
      <c r="B614" s="13">
        <v>233643.80000000002</v>
      </c>
      <c r="C614" s="13">
        <v>77109.84000000003</v>
      </c>
      <c r="D614" s="3">
        <v>11.0</v>
      </c>
      <c r="E614" s="11">
        <v>2011.0</v>
      </c>
      <c r="F614" s="3" t="s">
        <v>818</v>
      </c>
      <c r="G614" s="37" t="s">
        <v>821</v>
      </c>
      <c r="H614" s="37" t="s">
        <v>6</v>
      </c>
    </row>
    <row r="615" ht="15.75" customHeight="1">
      <c r="A615" s="3" t="s">
        <v>434</v>
      </c>
      <c r="B615" s="13">
        <v>354901.08</v>
      </c>
      <c r="C615" s="13">
        <v>128255.64000000001</v>
      </c>
      <c r="D615" s="3">
        <v>9.0</v>
      </c>
      <c r="E615" s="11">
        <v>2010.0</v>
      </c>
      <c r="F615" s="3" t="s">
        <v>815</v>
      </c>
      <c r="G615" s="37" t="s">
        <v>28</v>
      </c>
      <c r="H615" s="37" t="s">
        <v>13</v>
      </c>
    </row>
    <row r="616" ht="15.75" customHeight="1">
      <c r="A616" s="3" t="s">
        <v>221</v>
      </c>
      <c r="B616" s="13">
        <v>53428.700000000004</v>
      </c>
      <c r="C616" s="13">
        <v>17633.160000000003</v>
      </c>
      <c r="D616" s="3">
        <v>9.0</v>
      </c>
      <c r="E616" s="11">
        <v>2010.0</v>
      </c>
      <c r="F616" s="3" t="s">
        <v>818</v>
      </c>
      <c r="G616" s="37" t="s">
        <v>28</v>
      </c>
      <c r="H616" s="37" t="s">
        <v>6</v>
      </c>
    </row>
    <row r="617" ht="15.75" customHeight="1">
      <c r="A617" s="3" t="s">
        <v>78</v>
      </c>
      <c r="B617" s="13">
        <v>3802415.1900000004</v>
      </c>
      <c r="C617" s="13">
        <v>737173.75</v>
      </c>
      <c r="D617" s="3">
        <v>3.0</v>
      </c>
      <c r="E617" s="11">
        <v>2015.0</v>
      </c>
      <c r="F617" s="3" t="s">
        <v>818</v>
      </c>
      <c r="G617" s="37" t="s">
        <v>28</v>
      </c>
      <c r="H617" s="37" t="s">
        <v>7</v>
      </c>
    </row>
    <row r="618" ht="15.75" customHeight="1">
      <c r="A618" s="3" t="s">
        <v>218</v>
      </c>
      <c r="B618" s="13">
        <v>4683904.43</v>
      </c>
      <c r="C618" s="13">
        <v>1161601.5699999994</v>
      </c>
      <c r="D618" s="3">
        <v>5.0</v>
      </c>
      <c r="E618" s="11">
        <v>2015.0</v>
      </c>
      <c r="F618" s="3" t="s">
        <v>818</v>
      </c>
      <c r="G618" s="37" t="s">
        <v>28</v>
      </c>
      <c r="H618" s="37" t="s">
        <v>4</v>
      </c>
    </row>
    <row r="619" ht="15.75" customHeight="1">
      <c r="A619" s="3" t="s">
        <v>101</v>
      </c>
      <c r="B619" s="13">
        <v>1055568.78</v>
      </c>
      <c r="C619" s="13">
        <v>143114.40000000002</v>
      </c>
      <c r="D619" s="3">
        <v>9.0</v>
      </c>
      <c r="E619" s="11">
        <v>2015.0</v>
      </c>
      <c r="F619" s="3" t="s">
        <v>815</v>
      </c>
      <c r="G619" s="37" t="s">
        <v>28</v>
      </c>
      <c r="H619" s="37" t="s">
        <v>11</v>
      </c>
    </row>
    <row r="620" ht="15.75" customHeight="1">
      <c r="A620" s="3" t="s">
        <v>142</v>
      </c>
      <c r="B620" s="13">
        <v>3061338.21</v>
      </c>
      <c r="C620" s="13">
        <v>593501.25</v>
      </c>
      <c r="D620" s="3">
        <v>5.0</v>
      </c>
      <c r="E620" s="11">
        <v>2012.0</v>
      </c>
      <c r="F620" s="3" t="s">
        <v>815</v>
      </c>
      <c r="G620" s="37" t="s">
        <v>28</v>
      </c>
      <c r="H620" s="37" t="s">
        <v>7</v>
      </c>
    </row>
    <row r="621" ht="15.75" customHeight="1">
      <c r="A621" s="3" t="s">
        <v>512</v>
      </c>
      <c r="B621" s="13">
        <v>852056.16</v>
      </c>
      <c r="C621" s="13">
        <v>572611.6799999999</v>
      </c>
      <c r="D621" s="3">
        <v>7.0</v>
      </c>
      <c r="E621" s="11">
        <v>2016.0</v>
      </c>
      <c r="F621" s="3" t="s">
        <v>818</v>
      </c>
      <c r="G621" s="37" t="s">
        <v>28</v>
      </c>
      <c r="H621" s="37" t="s">
        <v>5</v>
      </c>
    </row>
    <row r="622" ht="15.75" customHeight="1">
      <c r="A622" s="3" t="s">
        <v>671</v>
      </c>
      <c r="B622" s="13">
        <v>2889418.77</v>
      </c>
      <c r="C622" s="13">
        <v>560171.25</v>
      </c>
      <c r="D622" s="3">
        <v>7.0</v>
      </c>
      <c r="E622" s="11">
        <v>2017.0</v>
      </c>
      <c r="F622" s="3" t="s">
        <v>815</v>
      </c>
      <c r="G622" s="37" t="s">
        <v>28</v>
      </c>
      <c r="H622" s="37" t="s">
        <v>7</v>
      </c>
    </row>
    <row r="623" ht="15.75" customHeight="1">
      <c r="A623" s="3" t="s">
        <v>623</v>
      </c>
      <c r="B623" s="13">
        <v>1112621.32</v>
      </c>
      <c r="C623" s="13">
        <v>455924.86</v>
      </c>
      <c r="D623" s="3">
        <v>2.0</v>
      </c>
      <c r="E623" s="11">
        <v>2012.0</v>
      </c>
      <c r="F623" s="3" t="s">
        <v>818</v>
      </c>
      <c r="G623" s="37" t="s">
        <v>28</v>
      </c>
      <c r="H623" s="37" t="s">
        <v>9</v>
      </c>
    </row>
    <row r="624" ht="15.75" customHeight="1">
      <c r="A624" s="3" t="s">
        <v>821</v>
      </c>
      <c r="B624" s="13">
        <v>3207629.67</v>
      </c>
      <c r="C624" s="13">
        <v>434891.6000000001</v>
      </c>
      <c r="D624" s="3">
        <v>2.0</v>
      </c>
      <c r="E624" s="11">
        <v>2011.0</v>
      </c>
      <c r="F624" s="3" t="s">
        <v>818</v>
      </c>
      <c r="G624" s="37" t="s">
        <v>821</v>
      </c>
      <c r="H624" s="37" t="s">
        <v>11</v>
      </c>
    </row>
    <row r="625" ht="15.75" customHeight="1">
      <c r="A625" s="3" t="s">
        <v>78</v>
      </c>
      <c r="B625" s="13">
        <v>168600.90000000002</v>
      </c>
      <c r="C625" s="13">
        <v>60929.700000000026</v>
      </c>
      <c r="D625" s="3">
        <v>1.0</v>
      </c>
      <c r="E625" s="11">
        <v>2012.0</v>
      </c>
      <c r="F625" s="3" t="s">
        <v>815</v>
      </c>
      <c r="G625" s="37" t="s">
        <v>28</v>
      </c>
      <c r="H625" s="37" t="s">
        <v>13</v>
      </c>
    </row>
    <row r="626" ht="15.75" customHeight="1">
      <c r="A626" s="3" t="s">
        <v>67</v>
      </c>
      <c r="B626" s="13">
        <v>702351.77</v>
      </c>
      <c r="C626" s="13">
        <v>174182.22999999998</v>
      </c>
      <c r="D626" s="3">
        <v>9.0</v>
      </c>
      <c r="E626" s="11">
        <v>2012.0</v>
      </c>
      <c r="F626" s="3" t="s">
        <v>818</v>
      </c>
      <c r="G626" s="37" t="s">
        <v>23</v>
      </c>
      <c r="H626" s="37" t="s">
        <v>4</v>
      </c>
    </row>
    <row r="627" ht="15.75" customHeight="1">
      <c r="A627" s="3" t="s">
        <v>288</v>
      </c>
      <c r="B627" s="13">
        <v>3550626.2399999998</v>
      </c>
      <c r="C627" s="13">
        <v>481395.1999999997</v>
      </c>
      <c r="D627" s="3">
        <v>2.0</v>
      </c>
      <c r="E627" s="11">
        <v>2010.0</v>
      </c>
      <c r="F627" s="3" t="s">
        <v>818</v>
      </c>
      <c r="G627" s="37" t="s">
        <v>23</v>
      </c>
      <c r="H627" s="37" t="s">
        <v>11</v>
      </c>
    </row>
    <row r="628" ht="15.75" customHeight="1">
      <c r="A628" s="3" t="s">
        <v>300</v>
      </c>
      <c r="B628" s="13">
        <v>1430708.37</v>
      </c>
      <c r="C628" s="13">
        <v>277371.25</v>
      </c>
      <c r="D628" s="3">
        <v>4.0</v>
      </c>
      <c r="E628" s="11">
        <v>2013.0</v>
      </c>
      <c r="F628" s="3" t="s">
        <v>818</v>
      </c>
      <c r="G628" s="37" t="s">
        <v>28</v>
      </c>
      <c r="H628" s="37" t="s">
        <v>7</v>
      </c>
    </row>
    <row r="629" ht="15.75" customHeight="1">
      <c r="A629" s="3" t="s">
        <v>431</v>
      </c>
      <c r="B629" s="13">
        <v>1829723.26</v>
      </c>
      <c r="C629" s="13">
        <v>453768.74</v>
      </c>
      <c r="D629" s="3">
        <v>1.0</v>
      </c>
      <c r="E629" s="11">
        <v>2012.0</v>
      </c>
      <c r="F629" s="3" t="s">
        <v>815</v>
      </c>
      <c r="G629" s="37" t="s">
        <v>28</v>
      </c>
      <c r="H629" s="37" t="s">
        <v>4</v>
      </c>
    </row>
    <row r="630" ht="15.75" customHeight="1">
      <c r="A630" s="3" t="s">
        <v>300</v>
      </c>
      <c r="B630" s="13">
        <v>84287.22</v>
      </c>
      <c r="C630" s="13">
        <v>21771.940000000002</v>
      </c>
      <c r="D630" s="3">
        <v>6.0</v>
      </c>
      <c r="E630" s="11">
        <v>2015.0</v>
      </c>
      <c r="F630" s="3" t="s">
        <v>818</v>
      </c>
      <c r="G630" s="37" t="s">
        <v>28</v>
      </c>
      <c r="H630" s="37" t="s">
        <v>8</v>
      </c>
    </row>
    <row r="631" ht="15.75" customHeight="1">
      <c r="A631" s="3" t="s">
        <v>413</v>
      </c>
      <c r="B631" s="13">
        <v>1470871.2000000002</v>
      </c>
      <c r="C631" s="13">
        <v>531549.6000000002</v>
      </c>
      <c r="D631" s="3">
        <v>3.0</v>
      </c>
      <c r="E631" s="11">
        <v>2017.0</v>
      </c>
      <c r="F631" s="3" t="s">
        <v>815</v>
      </c>
      <c r="G631" s="37" t="s">
        <v>28</v>
      </c>
      <c r="H631" s="37" t="s">
        <v>13</v>
      </c>
    </row>
    <row r="632" ht="15.75" customHeight="1">
      <c r="A632" s="3" t="s">
        <v>288</v>
      </c>
      <c r="B632" s="13">
        <v>1192261.14</v>
      </c>
      <c r="C632" s="13">
        <v>161647.19999999995</v>
      </c>
      <c r="D632" s="3">
        <v>8.0</v>
      </c>
      <c r="E632" s="11">
        <v>2014.0</v>
      </c>
      <c r="F632" s="3" t="s">
        <v>818</v>
      </c>
      <c r="G632" s="37" t="s">
        <v>23</v>
      </c>
      <c r="H632" s="37" t="s">
        <v>11</v>
      </c>
    </row>
    <row r="633" ht="15.75" customHeight="1">
      <c r="A633" s="3" t="s">
        <v>623</v>
      </c>
      <c r="B633" s="13">
        <v>266587.2</v>
      </c>
      <c r="C633" s="13">
        <v>114812.64000000001</v>
      </c>
      <c r="D633" s="3">
        <v>10.0</v>
      </c>
      <c r="E633" s="11">
        <v>2016.0</v>
      </c>
      <c r="F633" s="3" t="s">
        <v>815</v>
      </c>
      <c r="G633" s="37" t="s">
        <v>28</v>
      </c>
      <c r="H633" s="37" t="s">
        <v>3</v>
      </c>
    </row>
    <row r="634" ht="15.75" customHeight="1">
      <c r="A634" s="3" t="s">
        <v>101</v>
      </c>
      <c r="B634" s="13">
        <v>763662.9</v>
      </c>
      <c r="C634" s="13">
        <v>275975.7</v>
      </c>
      <c r="D634" s="3">
        <v>1.0</v>
      </c>
      <c r="E634" s="11">
        <v>2015.0</v>
      </c>
      <c r="F634" s="3" t="s">
        <v>815</v>
      </c>
      <c r="G634" s="37" t="s">
        <v>28</v>
      </c>
      <c r="H634" s="37" t="s">
        <v>13</v>
      </c>
    </row>
    <row r="635" ht="15.75" customHeight="1">
      <c r="A635" s="3" t="s">
        <v>575</v>
      </c>
      <c r="B635" s="13">
        <v>839256.0</v>
      </c>
      <c r="C635" s="13">
        <v>361447.2</v>
      </c>
      <c r="D635" s="3">
        <v>6.0</v>
      </c>
      <c r="E635" s="11">
        <v>2011.0</v>
      </c>
      <c r="F635" s="3" t="s">
        <v>818</v>
      </c>
      <c r="G635" s="37" t="s">
        <v>28</v>
      </c>
      <c r="H635" s="37" t="s">
        <v>3</v>
      </c>
    </row>
    <row r="636" ht="15.75" customHeight="1">
      <c r="A636" s="3" t="s">
        <v>142</v>
      </c>
      <c r="B636" s="13">
        <v>929317.12</v>
      </c>
      <c r="C636" s="13">
        <v>624533.76</v>
      </c>
      <c r="D636" s="3">
        <v>3.0</v>
      </c>
      <c r="E636" s="11">
        <v>2010.0</v>
      </c>
      <c r="F636" s="3" t="s">
        <v>818</v>
      </c>
      <c r="G636" s="37" t="s">
        <v>28</v>
      </c>
      <c r="H636" s="37" t="s">
        <v>5</v>
      </c>
    </row>
    <row r="637" ht="15.75" customHeight="1">
      <c r="A637" s="3" t="s">
        <v>593</v>
      </c>
      <c r="B637" s="13">
        <v>6036716.7</v>
      </c>
      <c r="C637" s="13">
        <v>1170337.5</v>
      </c>
      <c r="D637" s="3">
        <v>10.0</v>
      </c>
      <c r="E637" s="11">
        <v>2011.0</v>
      </c>
      <c r="F637" s="3" t="s">
        <v>818</v>
      </c>
      <c r="G637" s="37" t="s">
        <v>28</v>
      </c>
      <c r="H637" s="37" t="s">
        <v>7</v>
      </c>
    </row>
    <row r="638" ht="15.75" customHeight="1">
      <c r="A638" s="3" t="s">
        <v>218</v>
      </c>
      <c r="B638" s="13">
        <v>3879257.97</v>
      </c>
      <c r="C638" s="13">
        <v>752071.25</v>
      </c>
      <c r="D638" s="3">
        <v>2.0</v>
      </c>
      <c r="E638" s="11">
        <v>2010.0</v>
      </c>
      <c r="F638" s="3" t="s">
        <v>815</v>
      </c>
      <c r="G638" s="37" t="s">
        <v>28</v>
      </c>
      <c r="H638" s="37" t="s">
        <v>7</v>
      </c>
    </row>
    <row r="639" ht="15.75" customHeight="1">
      <c r="A639" s="3" t="s">
        <v>97</v>
      </c>
      <c r="B639" s="13">
        <v>1302418.8</v>
      </c>
      <c r="C639" s="13">
        <v>517958.7300000001</v>
      </c>
      <c r="D639" s="3">
        <v>1.0</v>
      </c>
      <c r="E639" s="11">
        <v>2010.0</v>
      </c>
      <c r="F639" s="3" t="s">
        <v>818</v>
      </c>
      <c r="G639" s="37" t="s">
        <v>28</v>
      </c>
      <c r="H639" s="37" t="s">
        <v>12</v>
      </c>
    </row>
    <row r="640" ht="15.75" customHeight="1">
      <c r="A640" s="3" t="s">
        <v>590</v>
      </c>
      <c r="B640" s="13">
        <v>649560.32</v>
      </c>
      <c r="C640" s="13">
        <v>436527.3599999999</v>
      </c>
      <c r="D640" s="3">
        <v>11.0</v>
      </c>
      <c r="E640" s="11">
        <v>2015.0</v>
      </c>
      <c r="F640" s="3" t="s">
        <v>815</v>
      </c>
      <c r="G640" s="37" t="s">
        <v>28</v>
      </c>
      <c r="H640" s="37" t="s">
        <v>5</v>
      </c>
    </row>
    <row r="641" ht="15.75" customHeight="1">
      <c r="A641" s="3" t="s">
        <v>635</v>
      </c>
      <c r="B641" s="13">
        <v>864951.2</v>
      </c>
      <c r="C641" s="13">
        <v>581277.5999999999</v>
      </c>
      <c r="D641" s="3">
        <v>6.0</v>
      </c>
      <c r="E641" s="11">
        <v>2011.0</v>
      </c>
      <c r="F641" s="3" t="s">
        <v>815</v>
      </c>
      <c r="G641" s="37" t="s">
        <v>28</v>
      </c>
      <c r="H641" s="37" t="s">
        <v>5</v>
      </c>
    </row>
    <row r="642" ht="15.75" customHeight="1">
      <c r="A642" s="3" t="s">
        <v>123</v>
      </c>
      <c r="B642" s="13">
        <v>867819.98</v>
      </c>
      <c r="C642" s="13">
        <v>355611.2899999999</v>
      </c>
      <c r="D642" s="3">
        <v>11.0</v>
      </c>
      <c r="E642" s="11">
        <v>2013.0</v>
      </c>
      <c r="F642" s="3" t="s">
        <v>815</v>
      </c>
      <c r="G642" s="37" t="s">
        <v>28</v>
      </c>
      <c r="H642" s="37" t="s">
        <v>9</v>
      </c>
    </row>
    <row r="643" ht="15.75" customHeight="1">
      <c r="A643" s="3" t="s">
        <v>431</v>
      </c>
      <c r="B643" s="13">
        <v>393954.4</v>
      </c>
      <c r="C643" s="13">
        <v>264751.2</v>
      </c>
      <c r="D643" s="3">
        <v>2.0</v>
      </c>
      <c r="E643" s="11">
        <v>2013.0</v>
      </c>
      <c r="F643" s="3" t="s">
        <v>815</v>
      </c>
      <c r="G643" s="37" t="s">
        <v>28</v>
      </c>
      <c r="H643" s="37" t="s">
        <v>5</v>
      </c>
    </row>
    <row r="644" ht="15.75" customHeight="1">
      <c r="A644" s="3" t="s">
        <v>291</v>
      </c>
      <c r="B644" s="13">
        <v>580251.4400000001</v>
      </c>
      <c r="C644" s="13">
        <v>217889.7800000001</v>
      </c>
      <c r="D644" s="3">
        <v>11.0</v>
      </c>
      <c r="E644" s="11">
        <v>2014.0</v>
      </c>
      <c r="F644" s="3" t="s">
        <v>818</v>
      </c>
      <c r="G644" s="37" t="s">
        <v>28</v>
      </c>
      <c r="H644" s="37" t="s">
        <v>10</v>
      </c>
    </row>
    <row r="645" ht="15.75" customHeight="1">
      <c r="A645" s="3" t="s">
        <v>300</v>
      </c>
      <c r="B645" s="13">
        <v>420656.5</v>
      </c>
      <c r="C645" s="13">
        <v>181166.55</v>
      </c>
      <c r="D645" s="3">
        <v>10.0</v>
      </c>
      <c r="E645" s="11">
        <v>2013.0</v>
      </c>
      <c r="F645" s="3" t="s">
        <v>818</v>
      </c>
      <c r="G645" s="37" t="s">
        <v>28</v>
      </c>
      <c r="H645" s="37" t="s">
        <v>3</v>
      </c>
    </row>
    <row r="646" ht="15.75" customHeight="1">
      <c r="A646" s="3" t="s">
        <v>590</v>
      </c>
      <c r="B646" s="13">
        <v>7172.13</v>
      </c>
      <c r="C646" s="13">
        <v>972.4000000000005</v>
      </c>
      <c r="D646" s="3">
        <v>12.0</v>
      </c>
      <c r="E646" s="11">
        <v>2012.0</v>
      </c>
      <c r="F646" s="3" t="s">
        <v>818</v>
      </c>
      <c r="G646" s="37" t="s">
        <v>28</v>
      </c>
      <c r="H646" s="37" t="s">
        <v>11</v>
      </c>
    </row>
    <row r="647" ht="15.75" customHeight="1">
      <c r="A647" s="3" t="s">
        <v>488</v>
      </c>
      <c r="B647" s="13">
        <v>2097031.26</v>
      </c>
      <c r="C647" s="13">
        <v>520060.74</v>
      </c>
      <c r="D647" s="3">
        <v>12.0</v>
      </c>
      <c r="E647" s="11">
        <v>2014.0</v>
      </c>
      <c r="F647" s="3" t="s">
        <v>815</v>
      </c>
      <c r="G647" s="37" t="s">
        <v>28</v>
      </c>
      <c r="H647" s="37" t="s">
        <v>4</v>
      </c>
    </row>
    <row r="648" ht="15.75" customHeight="1">
      <c r="A648" s="3" t="s">
        <v>536</v>
      </c>
      <c r="B648" s="13">
        <v>2001395.2</v>
      </c>
      <c r="C648" s="13">
        <v>751542.4000000001</v>
      </c>
      <c r="D648" s="3">
        <v>11.0</v>
      </c>
      <c r="E648" s="11">
        <v>2015.0</v>
      </c>
      <c r="F648" s="3" t="s">
        <v>815</v>
      </c>
      <c r="G648" s="37" t="s">
        <v>28</v>
      </c>
      <c r="H648" s="37" t="s">
        <v>10</v>
      </c>
    </row>
    <row r="649" ht="15.75" customHeight="1">
      <c r="A649" s="3" t="s">
        <v>97</v>
      </c>
      <c r="B649" s="13">
        <v>1507490.4000000001</v>
      </c>
      <c r="C649" s="13">
        <v>544783.2000000002</v>
      </c>
      <c r="D649" s="3">
        <v>9.0</v>
      </c>
      <c r="E649" s="11">
        <v>2012.0</v>
      </c>
      <c r="F649" s="3" t="s">
        <v>815</v>
      </c>
      <c r="G649" s="37" t="s">
        <v>28</v>
      </c>
      <c r="H649" s="37" t="s">
        <v>13</v>
      </c>
    </row>
    <row r="650" ht="15.75" customHeight="1">
      <c r="A650" s="3" t="s">
        <v>821</v>
      </c>
      <c r="B650" s="13">
        <v>4100498.8</v>
      </c>
      <c r="C650" s="13">
        <v>1630726.73</v>
      </c>
      <c r="D650" s="3">
        <v>6.0</v>
      </c>
      <c r="E650" s="11">
        <v>2011.0</v>
      </c>
      <c r="F650" s="3" t="s">
        <v>815</v>
      </c>
      <c r="G650" s="37" t="s">
        <v>821</v>
      </c>
      <c r="H650" s="37" t="s">
        <v>12</v>
      </c>
    </row>
    <row r="651" ht="15.75" customHeight="1">
      <c r="A651" s="3" t="s">
        <v>488</v>
      </c>
      <c r="B651" s="13">
        <v>824736.16</v>
      </c>
      <c r="C651" s="13">
        <v>554251.6799999999</v>
      </c>
      <c r="D651" s="3">
        <v>11.0</v>
      </c>
      <c r="E651" s="11">
        <v>2011.0</v>
      </c>
      <c r="F651" s="3" t="s">
        <v>818</v>
      </c>
      <c r="G651" s="37" t="s">
        <v>28</v>
      </c>
      <c r="H651" s="37" t="s">
        <v>5</v>
      </c>
    </row>
    <row r="652" ht="15.75" customHeight="1">
      <c r="A652" s="3" t="s">
        <v>288</v>
      </c>
      <c r="B652" s="13">
        <v>16560.75</v>
      </c>
      <c r="C652" s="13">
        <v>4277.75</v>
      </c>
      <c r="D652" s="3">
        <v>12.0</v>
      </c>
      <c r="E652" s="11">
        <v>2016.0</v>
      </c>
      <c r="F652" s="3" t="s">
        <v>815</v>
      </c>
      <c r="G652" s="37" t="s">
        <v>23</v>
      </c>
      <c r="H652" s="37" t="s">
        <v>8</v>
      </c>
    </row>
    <row r="653" ht="15.75" customHeight="1">
      <c r="A653" s="3" t="s">
        <v>218</v>
      </c>
      <c r="B653" s="13">
        <v>510554.84</v>
      </c>
      <c r="C653" s="13">
        <v>209212.82</v>
      </c>
      <c r="D653" s="3">
        <v>6.0</v>
      </c>
      <c r="E653" s="11">
        <v>2012.0</v>
      </c>
      <c r="F653" s="3" t="s">
        <v>815</v>
      </c>
      <c r="G653" s="37" t="s">
        <v>28</v>
      </c>
      <c r="H653" s="37" t="s">
        <v>9</v>
      </c>
    </row>
    <row r="654" ht="15.75" customHeight="1">
      <c r="A654" s="3" t="s">
        <v>428</v>
      </c>
      <c r="B654" s="13">
        <v>554047.67</v>
      </c>
      <c r="C654" s="13">
        <v>169881.74000000005</v>
      </c>
      <c r="D654" s="3">
        <v>1.0</v>
      </c>
      <c r="E654" s="11">
        <v>2012.0</v>
      </c>
      <c r="F654" s="3" t="s">
        <v>815</v>
      </c>
      <c r="G654" s="37" t="s">
        <v>28</v>
      </c>
      <c r="H654" s="37" t="s">
        <v>14</v>
      </c>
    </row>
    <row r="655" ht="15.75" customHeight="1">
      <c r="A655" s="3" t="s">
        <v>349</v>
      </c>
      <c r="B655" s="13">
        <v>449986.11000000004</v>
      </c>
      <c r="C655" s="13">
        <v>87238.75</v>
      </c>
      <c r="D655" s="3">
        <v>6.0</v>
      </c>
      <c r="E655" s="11">
        <v>2013.0</v>
      </c>
      <c r="F655" s="3" t="s">
        <v>815</v>
      </c>
      <c r="G655" s="37" t="s">
        <v>28</v>
      </c>
      <c r="H655" s="37" t="s">
        <v>7</v>
      </c>
    </row>
    <row r="656" ht="15.75" customHeight="1">
      <c r="A656" s="3" t="s">
        <v>431</v>
      </c>
      <c r="B656" s="13">
        <v>586833.6</v>
      </c>
      <c r="C656" s="13">
        <v>394372.79999999993</v>
      </c>
      <c r="D656" s="3">
        <v>4.0</v>
      </c>
      <c r="E656" s="11">
        <v>2012.0</v>
      </c>
      <c r="F656" s="3" t="s">
        <v>818</v>
      </c>
      <c r="G656" s="37" t="s">
        <v>28</v>
      </c>
      <c r="H656" s="37" t="s">
        <v>5</v>
      </c>
    </row>
    <row r="657" ht="15.75" customHeight="1">
      <c r="A657" s="3" t="s">
        <v>746</v>
      </c>
      <c r="B657" s="13">
        <v>1414506.48</v>
      </c>
      <c r="C657" s="13">
        <v>531160.26</v>
      </c>
      <c r="D657" s="3">
        <v>10.0</v>
      </c>
      <c r="E657" s="11">
        <v>2015.0</v>
      </c>
      <c r="F657" s="3" t="s">
        <v>818</v>
      </c>
      <c r="G657" s="37" t="s">
        <v>28</v>
      </c>
      <c r="H657" s="37" t="s">
        <v>10</v>
      </c>
    </row>
    <row r="658" ht="15.75" customHeight="1">
      <c r="A658" s="3" t="s">
        <v>206</v>
      </c>
      <c r="B658" s="13">
        <v>3692803.17</v>
      </c>
      <c r="C658" s="13">
        <v>500671.6000000001</v>
      </c>
      <c r="D658" s="3">
        <v>12.0</v>
      </c>
      <c r="E658" s="11">
        <v>2010.0</v>
      </c>
      <c r="F658" s="3" t="s">
        <v>815</v>
      </c>
      <c r="G658" s="37" t="s">
        <v>28</v>
      </c>
      <c r="H658" s="37" t="s">
        <v>11</v>
      </c>
    </row>
    <row r="659" ht="15.75" customHeight="1">
      <c r="A659" s="3" t="s">
        <v>270</v>
      </c>
      <c r="B659" s="13">
        <v>2947323.54</v>
      </c>
      <c r="C659" s="13">
        <v>399599.2000000002</v>
      </c>
      <c r="D659" s="3">
        <v>5.0</v>
      </c>
      <c r="E659" s="11">
        <v>2014.0</v>
      </c>
      <c r="F659" s="3" t="s">
        <v>815</v>
      </c>
      <c r="G659" s="37" t="s">
        <v>28</v>
      </c>
      <c r="H659" s="37" t="s">
        <v>11</v>
      </c>
    </row>
    <row r="660" ht="15.75" customHeight="1">
      <c r="A660" s="3" t="s">
        <v>46</v>
      </c>
      <c r="B660" s="13">
        <v>5639530.53</v>
      </c>
      <c r="C660" s="13">
        <v>1398595.4699999997</v>
      </c>
      <c r="D660" s="3">
        <v>9.0</v>
      </c>
      <c r="E660" s="11">
        <v>2010.0</v>
      </c>
      <c r="F660" s="3" t="s">
        <v>815</v>
      </c>
      <c r="G660" s="37" t="s">
        <v>28</v>
      </c>
      <c r="H660" s="37" t="s">
        <v>4</v>
      </c>
    </row>
    <row r="661" ht="15.75" customHeight="1">
      <c r="A661" s="3" t="s">
        <v>578</v>
      </c>
      <c r="B661" s="13">
        <v>1387077.3</v>
      </c>
      <c r="C661" s="13">
        <v>268912.5</v>
      </c>
      <c r="D661" s="3">
        <v>2.0</v>
      </c>
      <c r="E661" s="11">
        <v>2013.0</v>
      </c>
      <c r="F661" s="3" t="s">
        <v>815</v>
      </c>
      <c r="G661" s="37" t="s">
        <v>28</v>
      </c>
      <c r="H661" s="37" t="s">
        <v>7</v>
      </c>
    </row>
    <row r="662" ht="15.75" customHeight="1">
      <c r="A662" s="3" t="s">
        <v>593</v>
      </c>
      <c r="B662" s="13">
        <v>52716.950000000004</v>
      </c>
      <c r="C662" s="13">
        <v>17398.260000000002</v>
      </c>
      <c r="D662" s="3">
        <v>8.0</v>
      </c>
      <c r="E662" s="11">
        <v>2012.0</v>
      </c>
      <c r="F662" s="3" t="s">
        <v>818</v>
      </c>
      <c r="G662" s="37" t="s">
        <v>28</v>
      </c>
      <c r="H662" s="37" t="s">
        <v>6</v>
      </c>
    </row>
    <row r="663" ht="15.75" customHeight="1">
      <c r="A663" s="3" t="s">
        <v>575</v>
      </c>
      <c r="B663" s="13">
        <v>181174.56</v>
      </c>
      <c r="C663" s="13">
        <v>74240.87999999999</v>
      </c>
      <c r="D663" s="3">
        <v>7.0</v>
      </c>
      <c r="E663" s="11">
        <v>2015.0</v>
      </c>
      <c r="F663" s="3" t="s">
        <v>815</v>
      </c>
      <c r="G663" s="37" t="s">
        <v>28</v>
      </c>
      <c r="H663" s="37" t="s">
        <v>9</v>
      </c>
    </row>
    <row r="664" ht="15.75" customHeight="1">
      <c r="A664" s="3" t="s">
        <v>78</v>
      </c>
      <c r="B664" s="13">
        <v>518822.04000000004</v>
      </c>
      <c r="C664" s="13">
        <v>159080.88</v>
      </c>
      <c r="D664" s="3">
        <v>5.0</v>
      </c>
      <c r="E664" s="11">
        <v>2010.0</v>
      </c>
      <c r="F664" s="3" t="s">
        <v>818</v>
      </c>
      <c r="G664" s="37" t="s">
        <v>28</v>
      </c>
      <c r="H664" s="37" t="s">
        <v>14</v>
      </c>
    </row>
    <row r="665" ht="15.75" customHeight="1">
      <c r="A665" s="3" t="s">
        <v>650</v>
      </c>
      <c r="B665" s="13">
        <v>228870.00000000003</v>
      </c>
      <c r="C665" s="13">
        <v>82710.00000000003</v>
      </c>
      <c r="D665" s="3">
        <v>11.0</v>
      </c>
      <c r="E665" s="11">
        <v>2016.0</v>
      </c>
      <c r="F665" s="3" t="s">
        <v>818</v>
      </c>
      <c r="G665" s="37" t="s">
        <v>28</v>
      </c>
      <c r="H665" s="37" t="s">
        <v>13</v>
      </c>
    </row>
    <row r="666" ht="15.75" customHeight="1">
      <c r="A666" s="3" t="s">
        <v>346</v>
      </c>
      <c r="B666" s="13">
        <v>257791.52</v>
      </c>
      <c r="C666" s="13">
        <v>173244.95999999996</v>
      </c>
      <c r="D666" s="3">
        <v>1.0</v>
      </c>
      <c r="E666" s="11">
        <v>2015.0</v>
      </c>
      <c r="F666" s="3" t="s">
        <v>818</v>
      </c>
      <c r="G666" s="37" t="s">
        <v>28</v>
      </c>
      <c r="H666" s="37" t="s">
        <v>5</v>
      </c>
    </row>
    <row r="667" ht="15.75" customHeight="1">
      <c r="A667" s="3" t="s">
        <v>221</v>
      </c>
      <c r="B667" s="13">
        <v>179765.6</v>
      </c>
      <c r="C667" s="13">
        <v>120808.8</v>
      </c>
      <c r="D667" s="3">
        <v>7.0</v>
      </c>
      <c r="E667" s="11">
        <v>2014.0</v>
      </c>
      <c r="F667" s="3" t="s">
        <v>815</v>
      </c>
      <c r="G667" s="37" t="s">
        <v>28</v>
      </c>
      <c r="H667" s="37" t="s">
        <v>5</v>
      </c>
    </row>
    <row r="668" ht="15.75" customHeight="1">
      <c r="A668" s="3" t="s">
        <v>78</v>
      </c>
      <c r="B668" s="13">
        <v>3324468.8</v>
      </c>
      <c r="C668" s="13">
        <v>1322107.48</v>
      </c>
      <c r="D668" s="3">
        <v>7.0</v>
      </c>
      <c r="E668" s="11">
        <v>2010.0</v>
      </c>
      <c r="F668" s="3" t="s">
        <v>818</v>
      </c>
      <c r="G668" s="37" t="s">
        <v>28</v>
      </c>
      <c r="H668" s="37" t="s">
        <v>12</v>
      </c>
    </row>
    <row r="669" ht="15.75" customHeight="1">
      <c r="A669" s="3" t="s">
        <v>593</v>
      </c>
      <c r="B669" s="13">
        <v>5409.3</v>
      </c>
      <c r="C669" s="13">
        <v>1785.2400000000002</v>
      </c>
      <c r="D669" s="3">
        <v>4.0</v>
      </c>
      <c r="E669" s="11">
        <v>2014.0</v>
      </c>
      <c r="F669" s="3" t="s">
        <v>818</v>
      </c>
      <c r="G669" s="37" t="s">
        <v>28</v>
      </c>
      <c r="H669" s="37" t="s">
        <v>6</v>
      </c>
    </row>
    <row r="670" ht="15.75" customHeight="1">
      <c r="A670" s="3" t="s">
        <v>428</v>
      </c>
      <c r="B670" s="13">
        <v>825638.73</v>
      </c>
      <c r="C670" s="13">
        <v>111940.40000000002</v>
      </c>
      <c r="D670" s="3">
        <v>5.0</v>
      </c>
      <c r="E670" s="11">
        <v>2017.0</v>
      </c>
      <c r="F670" s="3" t="s">
        <v>815</v>
      </c>
      <c r="G670" s="37" t="s">
        <v>28</v>
      </c>
      <c r="H670" s="37" t="s">
        <v>11</v>
      </c>
    </row>
    <row r="671" ht="15.75" customHeight="1">
      <c r="A671" s="3" t="s">
        <v>431</v>
      </c>
      <c r="B671" s="13">
        <v>3233758.53</v>
      </c>
      <c r="C671" s="13">
        <v>801967.4699999997</v>
      </c>
      <c r="D671" s="3">
        <v>10.0</v>
      </c>
      <c r="E671" s="11">
        <v>2014.0</v>
      </c>
      <c r="F671" s="3" t="s">
        <v>818</v>
      </c>
      <c r="G671" s="37" t="s">
        <v>28</v>
      </c>
      <c r="H671" s="37" t="s">
        <v>4</v>
      </c>
    </row>
    <row r="672" ht="15.75" customHeight="1">
      <c r="A672" s="3" t="s">
        <v>512</v>
      </c>
      <c r="B672" s="13">
        <v>814275.99</v>
      </c>
      <c r="C672" s="13">
        <v>249672.78000000003</v>
      </c>
      <c r="D672" s="3">
        <v>3.0</v>
      </c>
      <c r="E672" s="11">
        <v>2012.0</v>
      </c>
      <c r="F672" s="3" t="s">
        <v>815</v>
      </c>
      <c r="G672" s="37" t="s">
        <v>28</v>
      </c>
      <c r="H672" s="37" t="s">
        <v>14</v>
      </c>
    </row>
    <row r="673" ht="15.75" customHeight="1">
      <c r="A673" s="3" t="s">
        <v>428</v>
      </c>
      <c r="B673" s="13">
        <v>430563.2</v>
      </c>
      <c r="C673" s="13">
        <v>289353.6</v>
      </c>
      <c r="D673" s="3">
        <v>8.0</v>
      </c>
      <c r="E673" s="11">
        <v>2016.0</v>
      </c>
      <c r="F673" s="3" t="s">
        <v>818</v>
      </c>
      <c r="G673" s="37" t="s">
        <v>28</v>
      </c>
      <c r="H673" s="37" t="s">
        <v>5</v>
      </c>
    </row>
    <row r="674" ht="15.75" customHeight="1">
      <c r="A674" s="3" t="s">
        <v>575</v>
      </c>
      <c r="B674" s="13">
        <v>2772239.19</v>
      </c>
      <c r="C674" s="13">
        <v>375861.2000000002</v>
      </c>
      <c r="D674" s="3">
        <v>4.0</v>
      </c>
      <c r="E674" s="11">
        <v>2013.0</v>
      </c>
      <c r="F674" s="3" t="s">
        <v>815</v>
      </c>
      <c r="G674" s="37" t="s">
        <v>28</v>
      </c>
      <c r="H674" s="37" t="s">
        <v>11</v>
      </c>
    </row>
    <row r="675" ht="15.75" customHeight="1">
      <c r="A675" s="3" t="s">
        <v>349</v>
      </c>
      <c r="B675" s="13">
        <v>314088.39</v>
      </c>
      <c r="C675" s="13">
        <v>96305.58000000002</v>
      </c>
      <c r="D675" s="3">
        <v>11.0</v>
      </c>
      <c r="E675" s="11">
        <v>2013.0</v>
      </c>
      <c r="F675" s="3" t="s">
        <v>818</v>
      </c>
      <c r="G675" s="37" t="s">
        <v>28</v>
      </c>
      <c r="H675" s="37" t="s">
        <v>14</v>
      </c>
    </row>
    <row r="676" ht="15.75" customHeight="1">
      <c r="A676" s="3" t="s">
        <v>488</v>
      </c>
      <c r="B676" s="13">
        <v>2320901.71</v>
      </c>
      <c r="C676" s="13">
        <v>575580.2899999998</v>
      </c>
      <c r="D676" s="3">
        <v>11.0</v>
      </c>
      <c r="E676" s="11">
        <v>2010.0</v>
      </c>
      <c r="F676" s="3" t="s">
        <v>818</v>
      </c>
      <c r="G676" s="37" t="s">
        <v>28</v>
      </c>
      <c r="H676" s="37" t="s">
        <v>4</v>
      </c>
    </row>
    <row r="677" ht="15.75" customHeight="1">
      <c r="A677" s="3" t="s">
        <v>364</v>
      </c>
      <c r="B677" s="13">
        <v>420337.39</v>
      </c>
      <c r="C677" s="13">
        <v>128883.58000000002</v>
      </c>
      <c r="D677" s="3">
        <v>4.0</v>
      </c>
      <c r="E677" s="11">
        <v>2012.0</v>
      </c>
      <c r="F677" s="3" t="s">
        <v>818</v>
      </c>
      <c r="G677" s="37" t="s">
        <v>28</v>
      </c>
      <c r="H677" s="37" t="s">
        <v>14</v>
      </c>
    </row>
    <row r="678" ht="15.75" customHeight="1">
      <c r="A678" s="3" t="s">
        <v>821</v>
      </c>
      <c r="B678" s="13">
        <v>426416.1</v>
      </c>
      <c r="C678" s="13">
        <v>183647.06999999998</v>
      </c>
      <c r="D678" s="3">
        <v>6.0</v>
      </c>
      <c r="E678" s="11">
        <v>2011.0</v>
      </c>
      <c r="F678" s="3" t="s">
        <v>815</v>
      </c>
      <c r="G678" s="37" t="s">
        <v>821</v>
      </c>
      <c r="H678" s="37" t="s">
        <v>3</v>
      </c>
    </row>
    <row r="679" ht="15.75" customHeight="1">
      <c r="A679" s="3" t="s">
        <v>434</v>
      </c>
      <c r="B679" s="13">
        <v>275920.48000000004</v>
      </c>
      <c r="C679" s="13">
        <v>84602.56000000003</v>
      </c>
      <c r="D679" s="3">
        <v>9.0</v>
      </c>
      <c r="E679" s="11">
        <v>2015.0</v>
      </c>
      <c r="F679" s="3" t="s">
        <v>818</v>
      </c>
      <c r="G679" s="37" t="s">
        <v>28</v>
      </c>
      <c r="H679" s="37" t="s">
        <v>14</v>
      </c>
    </row>
    <row r="680" ht="15.75" customHeight="1">
      <c r="A680" s="3" t="s">
        <v>364</v>
      </c>
      <c r="B680" s="13">
        <v>82243.95</v>
      </c>
      <c r="C680" s="13">
        <v>21244.149999999994</v>
      </c>
      <c r="D680" s="3">
        <v>9.0</v>
      </c>
      <c r="E680" s="11">
        <v>2016.0</v>
      </c>
      <c r="F680" s="3" t="s">
        <v>815</v>
      </c>
      <c r="G680" s="37" t="s">
        <v>28</v>
      </c>
      <c r="H680" s="37" t="s">
        <v>8</v>
      </c>
    </row>
    <row r="681" ht="15.75" customHeight="1">
      <c r="A681" s="3" t="s">
        <v>215</v>
      </c>
      <c r="B681" s="13">
        <v>910444.8600000001</v>
      </c>
      <c r="C681" s="13">
        <v>329020.3800000001</v>
      </c>
      <c r="D681" s="3">
        <v>12.0</v>
      </c>
      <c r="E681" s="11">
        <v>2014.0</v>
      </c>
      <c r="F681" s="3" t="s">
        <v>818</v>
      </c>
      <c r="G681" s="37" t="s">
        <v>23</v>
      </c>
      <c r="H681" s="37" t="s">
        <v>13</v>
      </c>
    </row>
    <row r="682" ht="15.75" customHeight="1">
      <c r="A682" s="3" t="s">
        <v>746</v>
      </c>
      <c r="B682" s="13">
        <v>2334267.11</v>
      </c>
      <c r="C682" s="13">
        <v>578894.8899999999</v>
      </c>
      <c r="D682" s="3">
        <v>3.0</v>
      </c>
      <c r="E682" s="11">
        <v>2012.0</v>
      </c>
      <c r="F682" s="3" t="s">
        <v>815</v>
      </c>
      <c r="G682" s="37" t="s">
        <v>28</v>
      </c>
      <c r="H682" s="37" t="s">
        <v>4</v>
      </c>
    </row>
    <row r="683" ht="15.75" customHeight="1">
      <c r="A683" s="3" t="s">
        <v>434</v>
      </c>
      <c r="B683" s="13">
        <v>3009892.62</v>
      </c>
      <c r="C683" s="13">
        <v>583527.5</v>
      </c>
      <c r="D683" s="3">
        <v>10.0</v>
      </c>
      <c r="E683" s="11">
        <v>2014.0</v>
      </c>
      <c r="F683" s="3" t="s">
        <v>815</v>
      </c>
      <c r="G683" s="37" t="s">
        <v>28</v>
      </c>
      <c r="H683" s="37" t="s">
        <v>7</v>
      </c>
    </row>
    <row r="684" ht="15.75" customHeight="1">
      <c r="A684" s="3" t="s">
        <v>593</v>
      </c>
      <c r="B684" s="13">
        <v>4955890.32</v>
      </c>
      <c r="C684" s="13">
        <v>1229053.6800000002</v>
      </c>
      <c r="D684" s="3">
        <v>4.0</v>
      </c>
      <c r="E684" s="11">
        <v>2017.0</v>
      </c>
      <c r="F684" s="3" t="s">
        <v>815</v>
      </c>
      <c r="G684" s="37" t="s">
        <v>28</v>
      </c>
      <c r="H684" s="37" t="s">
        <v>4</v>
      </c>
    </row>
    <row r="685" ht="15.75" customHeight="1">
      <c r="A685" s="3" t="s">
        <v>650</v>
      </c>
      <c r="B685" s="13">
        <v>2522206.8</v>
      </c>
      <c r="C685" s="13">
        <v>1003056.0299999998</v>
      </c>
      <c r="D685" s="3">
        <v>5.0</v>
      </c>
      <c r="E685" s="11">
        <v>2015.0</v>
      </c>
      <c r="F685" s="3" t="s">
        <v>815</v>
      </c>
      <c r="G685" s="37" t="s">
        <v>28</v>
      </c>
      <c r="H685" s="37" t="s">
        <v>12</v>
      </c>
    </row>
    <row r="686" ht="15.75" customHeight="1">
      <c r="A686" s="3" t="s">
        <v>123</v>
      </c>
      <c r="B686" s="13">
        <v>1786194.16</v>
      </c>
      <c r="C686" s="13">
        <v>670732.4199999999</v>
      </c>
      <c r="D686" s="3">
        <v>7.0</v>
      </c>
      <c r="E686" s="11">
        <v>2016.0</v>
      </c>
      <c r="F686" s="3" t="s">
        <v>815</v>
      </c>
      <c r="G686" s="37" t="s">
        <v>28</v>
      </c>
      <c r="H686" s="37" t="s">
        <v>10</v>
      </c>
    </row>
    <row r="687" ht="15.75" customHeight="1">
      <c r="A687" s="3" t="s">
        <v>218</v>
      </c>
      <c r="B687" s="13">
        <v>1855825.4</v>
      </c>
      <c r="C687" s="13">
        <v>799258.98</v>
      </c>
      <c r="D687" s="3">
        <v>7.0</v>
      </c>
      <c r="E687" s="11">
        <v>2011.0</v>
      </c>
      <c r="F687" s="3" t="s">
        <v>815</v>
      </c>
      <c r="G687" s="37" t="s">
        <v>28</v>
      </c>
      <c r="H687" s="37" t="s">
        <v>3</v>
      </c>
    </row>
    <row r="688" ht="15.75" customHeight="1">
      <c r="A688" s="3" t="s">
        <v>218</v>
      </c>
      <c r="B688" s="13">
        <v>4117224.51</v>
      </c>
      <c r="C688" s="13">
        <v>558214.7999999998</v>
      </c>
      <c r="D688" s="3">
        <v>8.0</v>
      </c>
      <c r="E688" s="11">
        <v>2011.0</v>
      </c>
      <c r="F688" s="3" t="s">
        <v>818</v>
      </c>
      <c r="G688" s="37" t="s">
        <v>28</v>
      </c>
      <c r="H688" s="37" t="s">
        <v>11</v>
      </c>
    </row>
    <row r="689" ht="15.75" customHeight="1">
      <c r="A689" s="3" t="s">
        <v>46</v>
      </c>
      <c r="B689" s="13">
        <v>1553398.98</v>
      </c>
      <c r="C689" s="13">
        <v>210610.3999999999</v>
      </c>
      <c r="D689" s="3">
        <v>8.0</v>
      </c>
      <c r="E689" s="11">
        <v>2016.0</v>
      </c>
      <c r="F689" s="3" t="s">
        <v>818</v>
      </c>
      <c r="G689" s="37" t="s">
        <v>28</v>
      </c>
      <c r="H689" s="37" t="s">
        <v>11</v>
      </c>
    </row>
    <row r="690" ht="15.75" customHeight="1">
      <c r="A690" s="3" t="s">
        <v>215</v>
      </c>
      <c r="B690" s="13">
        <v>470029.23000000004</v>
      </c>
      <c r="C690" s="13">
        <v>144120.06000000006</v>
      </c>
      <c r="D690" s="3">
        <v>12.0</v>
      </c>
      <c r="E690" s="11">
        <v>2014.0</v>
      </c>
      <c r="F690" s="3" t="s">
        <v>815</v>
      </c>
      <c r="G690" s="37" t="s">
        <v>23</v>
      </c>
      <c r="H690" s="37" t="s">
        <v>14</v>
      </c>
    </row>
    <row r="691" ht="15.75" customHeight="1">
      <c r="A691" s="3" t="s">
        <v>623</v>
      </c>
      <c r="B691" s="13">
        <v>818891.7</v>
      </c>
      <c r="C691" s="13">
        <v>352676.79</v>
      </c>
      <c r="D691" s="3">
        <v>7.0</v>
      </c>
      <c r="E691" s="11">
        <v>2012.0</v>
      </c>
      <c r="F691" s="3" t="s">
        <v>818</v>
      </c>
      <c r="G691" s="37" t="s">
        <v>28</v>
      </c>
      <c r="H691" s="37" t="s">
        <v>3</v>
      </c>
    </row>
    <row r="692" ht="15.75" customHeight="1">
      <c r="A692" s="3" t="s">
        <v>578</v>
      </c>
      <c r="B692" s="13">
        <v>154497.2</v>
      </c>
      <c r="C692" s="13">
        <v>50988.96000000002</v>
      </c>
      <c r="D692" s="3">
        <v>1.0</v>
      </c>
      <c r="E692" s="11">
        <v>2016.0</v>
      </c>
      <c r="F692" s="3" t="s">
        <v>818</v>
      </c>
      <c r="G692" s="37" t="s">
        <v>28</v>
      </c>
      <c r="H692" s="37" t="s">
        <v>6</v>
      </c>
    </row>
    <row r="693" ht="15.75" customHeight="1">
      <c r="A693" s="3" t="s">
        <v>671</v>
      </c>
      <c r="B693" s="13">
        <v>459268.55000000005</v>
      </c>
      <c r="C693" s="13">
        <v>151573.14000000007</v>
      </c>
      <c r="D693" s="3">
        <v>12.0</v>
      </c>
      <c r="E693" s="11">
        <v>2011.0</v>
      </c>
      <c r="F693" s="3" t="s">
        <v>815</v>
      </c>
      <c r="G693" s="37" t="s">
        <v>28</v>
      </c>
      <c r="H693" s="37" t="s">
        <v>6</v>
      </c>
    </row>
    <row r="694" ht="15.75" customHeight="1">
      <c r="A694" s="3" t="s">
        <v>746</v>
      </c>
      <c r="B694" s="13">
        <v>514714.46</v>
      </c>
      <c r="C694" s="13">
        <v>210917.33000000002</v>
      </c>
      <c r="D694" s="3">
        <v>9.0</v>
      </c>
      <c r="E694" s="11">
        <v>2012.0</v>
      </c>
      <c r="F694" s="3" t="s">
        <v>815</v>
      </c>
      <c r="G694" s="37" t="s">
        <v>28</v>
      </c>
      <c r="H694" s="37" t="s">
        <v>9</v>
      </c>
    </row>
    <row r="695" ht="15.75" customHeight="1">
      <c r="A695" s="3" t="s">
        <v>46</v>
      </c>
      <c r="B695" s="13">
        <v>434232.69999999995</v>
      </c>
      <c r="C695" s="13">
        <v>187013.48999999996</v>
      </c>
      <c r="D695" s="3">
        <v>4.0</v>
      </c>
      <c r="E695" s="11">
        <v>2011.0</v>
      </c>
      <c r="F695" s="3" t="s">
        <v>815</v>
      </c>
      <c r="G695" s="37" t="s">
        <v>28</v>
      </c>
      <c r="H695" s="37" t="s">
        <v>3</v>
      </c>
    </row>
    <row r="696" ht="15.75" customHeight="1">
      <c r="A696" s="3" t="s">
        <v>740</v>
      </c>
      <c r="B696" s="13">
        <v>747308.1</v>
      </c>
      <c r="C696" s="13">
        <v>321847.47</v>
      </c>
      <c r="D696" s="3">
        <v>4.0</v>
      </c>
      <c r="E696" s="11">
        <v>2014.0</v>
      </c>
      <c r="F696" s="3" t="s">
        <v>818</v>
      </c>
      <c r="G696" s="37" t="s">
        <v>28</v>
      </c>
      <c r="H696" s="37" t="s">
        <v>3</v>
      </c>
    </row>
    <row r="697" ht="15.75" customHeight="1">
      <c r="A697" s="3" t="s">
        <v>635</v>
      </c>
      <c r="B697" s="13">
        <v>458020.38</v>
      </c>
      <c r="C697" s="13">
        <v>187685.49</v>
      </c>
      <c r="D697" s="3">
        <v>2.0</v>
      </c>
      <c r="E697" s="11">
        <v>2013.0</v>
      </c>
      <c r="F697" s="3" t="s">
        <v>818</v>
      </c>
      <c r="G697" s="37" t="s">
        <v>28</v>
      </c>
      <c r="H697" s="37" t="s">
        <v>9</v>
      </c>
    </row>
    <row r="698" ht="15.75" customHeight="1">
      <c r="A698" s="3" t="s">
        <v>623</v>
      </c>
      <c r="B698" s="13">
        <v>75797.52</v>
      </c>
      <c r="C698" s="13">
        <v>31059.96</v>
      </c>
      <c r="D698" s="3">
        <v>1.0</v>
      </c>
      <c r="E698" s="11">
        <v>2016.0</v>
      </c>
      <c r="F698" s="3" t="s">
        <v>818</v>
      </c>
      <c r="G698" s="37" t="s">
        <v>28</v>
      </c>
      <c r="H698" s="37" t="s">
        <v>9</v>
      </c>
    </row>
    <row r="699" ht="15.75" customHeight="1">
      <c r="A699" s="3" t="s">
        <v>746</v>
      </c>
      <c r="B699" s="13">
        <v>637534.5900000001</v>
      </c>
      <c r="C699" s="13">
        <v>123598.75000000006</v>
      </c>
      <c r="D699" s="3">
        <v>7.0</v>
      </c>
      <c r="E699" s="11">
        <v>2015.0</v>
      </c>
      <c r="F699" s="3" t="s">
        <v>815</v>
      </c>
      <c r="G699" s="37" t="s">
        <v>28</v>
      </c>
      <c r="H699" s="37" t="s">
        <v>7</v>
      </c>
    </row>
    <row r="700" ht="15.75" customHeight="1">
      <c r="A700" s="3" t="s">
        <v>215</v>
      </c>
      <c r="B700" s="13">
        <v>771939.8500000001</v>
      </c>
      <c r="C700" s="13">
        <v>236691.70000000007</v>
      </c>
      <c r="D700" s="3">
        <v>1.0</v>
      </c>
      <c r="E700" s="11">
        <v>2014.0</v>
      </c>
      <c r="F700" s="3" t="s">
        <v>815</v>
      </c>
      <c r="G700" s="37" t="s">
        <v>23</v>
      </c>
      <c r="H700" s="37" t="s">
        <v>14</v>
      </c>
    </row>
    <row r="701" ht="15.75" customHeight="1">
      <c r="A701" s="3" t="s">
        <v>349</v>
      </c>
      <c r="B701" s="13">
        <v>109717.12</v>
      </c>
      <c r="C701" s="13">
        <v>73733.76</v>
      </c>
      <c r="D701" s="3">
        <v>11.0</v>
      </c>
      <c r="E701" s="11">
        <v>2010.0</v>
      </c>
      <c r="F701" s="3" t="s">
        <v>818</v>
      </c>
      <c r="G701" s="37" t="s">
        <v>28</v>
      </c>
      <c r="H701" s="37" t="s">
        <v>5</v>
      </c>
    </row>
    <row r="702" ht="15.75" customHeight="1">
      <c r="A702" s="3" t="s">
        <v>267</v>
      </c>
      <c r="B702" s="13">
        <v>87561.04</v>
      </c>
      <c r="C702" s="13">
        <v>32879.979999999996</v>
      </c>
      <c r="D702" s="3">
        <v>4.0</v>
      </c>
      <c r="E702" s="11">
        <v>2017.0</v>
      </c>
      <c r="F702" s="3" t="s">
        <v>818</v>
      </c>
      <c r="G702" s="37" t="s">
        <v>28</v>
      </c>
      <c r="H702" s="37" t="s">
        <v>10</v>
      </c>
    </row>
    <row r="703" ht="15.75" customHeight="1">
      <c r="A703" s="3" t="s">
        <v>267</v>
      </c>
      <c r="B703" s="13">
        <v>359718.45</v>
      </c>
      <c r="C703" s="13">
        <v>118718.46000000002</v>
      </c>
      <c r="D703" s="3">
        <v>3.0</v>
      </c>
      <c r="E703" s="11">
        <v>2012.0</v>
      </c>
      <c r="F703" s="3" t="s">
        <v>815</v>
      </c>
      <c r="G703" s="37" t="s">
        <v>28</v>
      </c>
      <c r="H703" s="37" t="s">
        <v>6</v>
      </c>
    </row>
    <row r="704" ht="15.75" customHeight="1">
      <c r="A704" s="3" t="s">
        <v>689</v>
      </c>
      <c r="B704" s="13">
        <v>83130.3</v>
      </c>
      <c r="C704" s="13">
        <v>21473.100000000006</v>
      </c>
      <c r="D704" s="3">
        <v>3.0</v>
      </c>
      <c r="E704" s="11">
        <v>2012.0</v>
      </c>
      <c r="F704" s="3" t="s">
        <v>818</v>
      </c>
      <c r="G704" s="37" t="s">
        <v>28</v>
      </c>
      <c r="H704" s="37" t="s">
        <v>8</v>
      </c>
    </row>
    <row r="705" ht="15.75" customHeight="1">
      <c r="A705" s="3" t="s">
        <v>455</v>
      </c>
      <c r="B705" s="13">
        <v>4037979.1999999997</v>
      </c>
      <c r="C705" s="13">
        <v>1605863.3199999998</v>
      </c>
      <c r="D705" s="3">
        <v>10.0</v>
      </c>
      <c r="E705" s="11">
        <v>2011.0</v>
      </c>
      <c r="F705" s="3" t="s">
        <v>815</v>
      </c>
      <c r="G705" s="37" t="s">
        <v>28</v>
      </c>
      <c r="H705" s="37" t="s">
        <v>12</v>
      </c>
    </row>
    <row r="706" ht="15.75" customHeight="1">
      <c r="A706" s="3" t="s">
        <v>413</v>
      </c>
      <c r="B706" s="13">
        <v>1386189.3</v>
      </c>
      <c r="C706" s="13">
        <v>500946.9</v>
      </c>
      <c r="D706" s="3">
        <v>4.0</v>
      </c>
      <c r="E706" s="11">
        <v>2017.0</v>
      </c>
      <c r="F706" s="3" t="s">
        <v>818</v>
      </c>
      <c r="G706" s="37" t="s">
        <v>28</v>
      </c>
      <c r="H706" s="37" t="s">
        <v>13</v>
      </c>
    </row>
    <row r="707" ht="15.75" customHeight="1">
      <c r="A707" s="3" t="s">
        <v>689</v>
      </c>
      <c r="B707" s="13">
        <v>939020.5</v>
      </c>
      <c r="C707" s="13">
        <v>404413.35</v>
      </c>
      <c r="D707" s="3">
        <v>10.0</v>
      </c>
      <c r="E707" s="11">
        <v>2015.0</v>
      </c>
      <c r="F707" s="3" t="s">
        <v>818</v>
      </c>
      <c r="G707" s="37" t="s">
        <v>28</v>
      </c>
      <c r="H707" s="37" t="s">
        <v>3</v>
      </c>
    </row>
    <row r="708" ht="15.75" customHeight="1">
      <c r="A708" s="3" t="s">
        <v>46</v>
      </c>
      <c r="B708" s="13">
        <v>1830357.6</v>
      </c>
      <c r="C708" s="13">
        <v>687316.2000000002</v>
      </c>
      <c r="D708" s="3">
        <v>10.0</v>
      </c>
      <c r="E708" s="11">
        <v>2016.0</v>
      </c>
      <c r="F708" s="3" t="s">
        <v>815</v>
      </c>
      <c r="G708" s="37" t="s">
        <v>28</v>
      </c>
      <c r="H708" s="37" t="s">
        <v>10</v>
      </c>
    </row>
    <row r="709" ht="15.75" customHeight="1">
      <c r="A709" s="3" t="s">
        <v>32</v>
      </c>
      <c r="B709" s="13">
        <v>3698206.1799999997</v>
      </c>
      <c r="C709" s="13">
        <v>917149.8199999994</v>
      </c>
      <c r="D709" s="3">
        <v>12.0</v>
      </c>
      <c r="E709" s="11">
        <v>2010.0</v>
      </c>
      <c r="F709" s="3" t="s">
        <v>815</v>
      </c>
      <c r="G709" s="37" t="s">
        <v>28</v>
      </c>
      <c r="H709" s="37" t="s">
        <v>4</v>
      </c>
    </row>
    <row r="710" ht="15.75" customHeight="1">
      <c r="A710" s="3" t="s">
        <v>349</v>
      </c>
      <c r="B710" s="13">
        <v>221896.95</v>
      </c>
      <c r="C710" s="13">
        <v>68037.9</v>
      </c>
      <c r="D710" s="3">
        <v>9.0</v>
      </c>
      <c r="E710" s="11">
        <v>2010.0</v>
      </c>
      <c r="F710" s="3" t="s">
        <v>818</v>
      </c>
      <c r="G710" s="37" t="s">
        <v>28</v>
      </c>
      <c r="H710" s="37" t="s">
        <v>14</v>
      </c>
    </row>
    <row r="711" ht="15.75" customHeight="1">
      <c r="A711" s="3" t="s">
        <v>218</v>
      </c>
      <c r="B711" s="13">
        <v>5493179.399999999</v>
      </c>
      <c r="C711" s="13">
        <v>1362300.5999999992</v>
      </c>
      <c r="D711" s="3">
        <v>8.0</v>
      </c>
      <c r="E711" s="11">
        <v>2014.0</v>
      </c>
      <c r="F711" s="3" t="s">
        <v>815</v>
      </c>
      <c r="G711" s="37" t="s">
        <v>28</v>
      </c>
      <c r="H711" s="37" t="s">
        <v>4</v>
      </c>
    </row>
    <row r="712" ht="15.75" customHeight="1">
      <c r="A712" s="3" t="s">
        <v>67</v>
      </c>
      <c r="B712" s="13">
        <v>939303.8200000001</v>
      </c>
      <c r="C712" s="13">
        <v>384903.61</v>
      </c>
      <c r="D712" s="3">
        <v>12.0</v>
      </c>
      <c r="E712" s="11">
        <v>2016.0</v>
      </c>
      <c r="F712" s="3" t="s">
        <v>815</v>
      </c>
      <c r="G712" s="37" t="s">
        <v>23</v>
      </c>
      <c r="H712" s="37" t="s">
        <v>9</v>
      </c>
    </row>
    <row r="713" ht="15.75" customHeight="1">
      <c r="A713" s="3" t="s">
        <v>590</v>
      </c>
      <c r="B713" s="13">
        <v>863322.8999999999</v>
      </c>
      <c r="C713" s="13">
        <v>371812.2299999999</v>
      </c>
      <c r="D713" s="3">
        <v>3.0</v>
      </c>
      <c r="E713" s="11">
        <v>2016.0</v>
      </c>
      <c r="F713" s="3" t="s">
        <v>815</v>
      </c>
      <c r="G713" s="37" t="s">
        <v>28</v>
      </c>
      <c r="H713" s="37" t="s">
        <v>3</v>
      </c>
    </row>
    <row r="714" ht="15.75" customHeight="1">
      <c r="A714" s="3" t="s">
        <v>218</v>
      </c>
      <c r="B714" s="13">
        <v>967654.96</v>
      </c>
      <c r="C714" s="13">
        <v>239977.03999999992</v>
      </c>
      <c r="D714" s="3">
        <v>12.0</v>
      </c>
      <c r="E714" s="11">
        <v>2012.0</v>
      </c>
      <c r="F714" s="3" t="s">
        <v>818</v>
      </c>
      <c r="G714" s="37" t="s">
        <v>28</v>
      </c>
      <c r="H714" s="37" t="s">
        <v>4</v>
      </c>
    </row>
    <row r="715" ht="15.75" customHeight="1">
      <c r="A715" s="3" t="s">
        <v>740</v>
      </c>
      <c r="B715" s="13">
        <v>863470.0</v>
      </c>
      <c r="C715" s="13">
        <v>343393.25000000006</v>
      </c>
      <c r="D715" s="3">
        <v>6.0</v>
      </c>
      <c r="E715" s="11">
        <v>2017.0</v>
      </c>
      <c r="F715" s="3" t="s">
        <v>818</v>
      </c>
      <c r="G715" s="37" t="s">
        <v>28</v>
      </c>
      <c r="H715" s="37" t="s">
        <v>12</v>
      </c>
    </row>
    <row r="716" ht="15.75" customHeight="1">
      <c r="A716" s="3" t="s">
        <v>46</v>
      </c>
      <c r="B716" s="13">
        <v>923719.3200000001</v>
      </c>
      <c r="C716" s="13">
        <v>333817.56000000006</v>
      </c>
      <c r="D716" s="3">
        <v>2.0</v>
      </c>
      <c r="E716" s="11">
        <v>2011.0</v>
      </c>
      <c r="F716" s="3" t="s">
        <v>815</v>
      </c>
      <c r="G716" s="37" t="s">
        <v>28</v>
      </c>
      <c r="H716" s="37" t="s">
        <v>13</v>
      </c>
    </row>
    <row r="717" ht="15.75" customHeight="1">
      <c r="A717" s="3" t="s">
        <v>78</v>
      </c>
      <c r="B717" s="13">
        <v>4894494.36</v>
      </c>
      <c r="C717" s="13">
        <v>948895.0</v>
      </c>
      <c r="D717" s="3">
        <v>4.0</v>
      </c>
      <c r="E717" s="11">
        <v>2015.0</v>
      </c>
      <c r="F717" s="3" t="s">
        <v>818</v>
      </c>
      <c r="G717" s="37" t="s">
        <v>28</v>
      </c>
      <c r="H717" s="37" t="s">
        <v>7</v>
      </c>
    </row>
    <row r="718" ht="15.75" customHeight="1">
      <c r="A718" s="3" t="s">
        <v>123</v>
      </c>
      <c r="B718" s="13">
        <v>4337058.600000001</v>
      </c>
      <c r="C718" s="13">
        <v>840825.0000000005</v>
      </c>
      <c r="D718" s="3">
        <v>11.0</v>
      </c>
      <c r="E718" s="11">
        <v>2012.0</v>
      </c>
      <c r="F718" s="3" t="s">
        <v>818</v>
      </c>
      <c r="G718" s="37" t="s">
        <v>28</v>
      </c>
      <c r="H718" s="37" t="s">
        <v>7</v>
      </c>
    </row>
    <row r="719" ht="15.75" customHeight="1">
      <c r="A719" s="3" t="s">
        <v>270</v>
      </c>
      <c r="B719" s="13">
        <v>713421.17</v>
      </c>
      <c r="C719" s="13">
        <v>218748.74000000005</v>
      </c>
      <c r="D719" s="3">
        <v>3.0</v>
      </c>
      <c r="E719" s="11">
        <v>2011.0</v>
      </c>
      <c r="F719" s="3" t="s">
        <v>815</v>
      </c>
      <c r="G719" s="37" t="s">
        <v>28</v>
      </c>
      <c r="H719" s="37" t="s">
        <v>14</v>
      </c>
    </row>
    <row r="720" ht="15.75" customHeight="1">
      <c r="A720" s="3" t="s">
        <v>32</v>
      </c>
      <c r="B720" s="13">
        <v>4205426.8</v>
      </c>
      <c r="C720" s="13">
        <v>1672455.5299999998</v>
      </c>
      <c r="D720" s="3">
        <v>9.0</v>
      </c>
      <c r="E720" s="11">
        <v>2016.0</v>
      </c>
      <c r="F720" s="3" t="s">
        <v>818</v>
      </c>
      <c r="G720" s="37" t="s">
        <v>28</v>
      </c>
      <c r="H720" s="37" t="s">
        <v>12</v>
      </c>
    </row>
    <row r="721" ht="15.75" customHeight="1">
      <c r="A721" s="3" t="s">
        <v>218</v>
      </c>
      <c r="B721" s="13">
        <v>252954.35</v>
      </c>
      <c r="C721" s="13">
        <v>77560.70000000001</v>
      </c>
      <c r="D721" s="3">
        <v>4.0</v>
      </c>
      <c r="E721" s="11">
        <v>2012.0</v>
      </c>
      <c r="F721" s="3" t="s">
        <v>815</v>
      </c>
      <c r="G721" s="37" t="s">
        <v>28</v>
      </c>
      <c r="H721" s="37" t="s">
        <v>14</v>
      </c>
    </row>
    <row r="722" ht="15.75" customHeight="1">
      <c r="A722" s="3" t="s">
        <v>349</v>
      </c>
      <c r="B722" s="13">
        <v>3083594.01</v>
      </c>
      <c r="C722" s="13">
        <v>418074.7999999998</v>
      </c>
      <c r="D722" s="3">
        <v>7.0</v>
      </c>
      <c r="E722" s="11">
        <v>2015.0</v>
      </c>
      <c r="F722" s="3" t="s">
        <v>815</v>
      </c>
      <c r="G722" s="37" t="s">
        <v>28</v>
      </c>
      <c r="H722" s="37" t="s">
        <v>11</v>
      </c>
    </row>
    <row r="723" ht="15.75" customHeight="1">
      <c r="A723" s="3" t="s">
        <v>593</v>
      </c>
      <c r="B723" s="13">
        <v>85154.91</v>
      </c>
      <c r="C723" s="13">
        <v>21996.070000000007</v>
      </c>
      <c r="D723" s="3">
        <v>3.0</v>
      </c>
      <c r="E723" s="11">
        <v>2013.0</v>
      </c>
      <c r="F723" s="3" t="s">
        <v>818</v>
      </c>
      <c r="G723" s="37" t="s">
        <v>28</v>
      </c>
      <c r="H723" s="37" t="s">
        <v>8</v>
      </c>
    </row>
    <row r="724" ht="15.75" customHeight="1">
      <c r="A724" s="3" t="s">
        <v>215</v>
      </c>
      <c r="B724" s="13">
        <v>904178.14</v>
      </c>
      <c r="C724" s="13">
        <v>370509.97</v>
      </c>
      <c r="D724" s="3">
        <v>12.0</v>
      </c>
      <c r="E724" s="11">
        <v>2010.0</v>
      </c>
      <c r="F724" s="3" t="s">
        <v>818</v>
      </c>
      <c r="G724" s="37" t="s">
        <v>23</v>
      </c>
      <c r="H724" s="37" t="s">
        <v>9</v>
      </c>
    </row>
    <row r="725" ht="15.75" customHeight="1">
      <c r="A725" s="3" t="s">
        <v>248</v>
      </c>
      <c r="B725" s="13">
        <v>46258.14</v>
      </c>
      <c r="C725" s="13">
        <v>11948.779999999999</v>
      </c>
      <c r="D725" s="3">
        <v>9.0</v>
      </c>
      <c r="E725" s="11">
        <v>2016.0</v>
      </c>
      <c r="F725" s="3" t="s">
        <v>815</v>
      </c>
      <c r="G725" s="37" t="s">
        <v>28</v>
      </c>
      <c r="H725" s="37" t="s">
        <v>8</v>
      </c>
    </row>
    <row r="726" ht="15.75" customHeight="1">
      <c r="A726" s="3" t="s">
        <v>349</v>
      </c>
      <c r="B726" s="13">
        <v>1766027.04</v>
      </c>
      <c r="C726" s="13">
        <v>663159.4800000002</v>
      </c>
      <c r="D726" s="3">
        <v>5.0</v>
      </c>
      <c r="E726" s="11">
        <v>2016.0</v>
      </c>
      <c r="F726" s="3" t="s">
        <v>818</v>
      </c>
      <c r="G726" s="37" t="s">
        <v>28</v>
      </c>
      <c r="H726" s="37" t="s">
        <v>10</v>
      </c>
    </row>
    <row r="727" ht="15.75" customHeight="1">
      <c r="A727" s="3" t="s">
        <v>67</v>
      </c>
      <c r="B727" s="13">
        <v>1037962.2</v>
      </c>
      <c r="C727" s="13">
        <v>447025.14</v>
      </c>
      <c r="D727" s="3">
        <v>9.0</v>
      </c>
      <c r="E727" s="11">
        <v>2011.0</v>
      </c>
      <c r="F727" s="3" t="s">
        <v>818</v>
      </c>
      <c r="G727" s="37" t="s">
        <v>23</v>
      </c>
      <c r="H727" s="37" t="s">
        <v>3</v>
      </c>
    </row>
    <row r="728" ht="15.75" customHeight="1">
      <c r="A728" s="3" t="s">
        <v>740</v>
      </c>
      <c r="B728" s="13">
        <v>176696.3</v>
      </c>
      <c r="C728" s="13">
        <v>76098.80999999998</v>
      </c>
      <c r="D728" s="3">
        <v>10.0</v>
      </c>
      <c r="E728" s="11">
        <v>2011.0</v>
      </c>
      <c r="F728" s="3" t="s">
        <v>818</v>
      </c>
      <c r="G728" s="37" t="s">
        <v>28</v>
      </c>
      <c r="H728" s="37" t="s">
        <v>3</v>
      </c>
    </row>
    <row r="729" ht="15.75" customHeight="1">
      <c r="A729" s="3" t="s">
        <v>364</v>
      </c>
      <c r="B729" s="13">
        <v>105671.15000000001</v>
      </c>
      <c r="C729" s="13">
        <v>34874.82000000001</v>
      </c>
      <c r="D729" s="3">
        <v>6.0</v>
      </c>
      <c r="E729" s="11">
        <v>2011.0</v>
      </c>
      <c r="F729" s="3" t="s">
        <v>818</v>
      </c>
      <c r="G729" s="37" t="s">
        <v>28</v>
      </c>
      <c r="H729" s="37" t="s">
        <v>6</v>
      </c>
    </row>
    <row r="730" ht="15.75" customHeight="1">
      <c r="A730" s="3" t="s">
        <v>821</v>
      </c>
      <c r="B730" s="13">
        <v>3397362.5700000003</v>
      </c>
      <c r="C730" s="13">
        <v>658646.25</v>
      </c>
      <c r="D730" s="3">
        <v>2.0</v>
      </c>
      <c r="E730" s="11">
        <v>2015.0</v>
      </c>
      <c r="F730" s="3" t="s">
        <v>815</v>
      </c>
      <c r="G730" s="37" t="s">
        <v>821</v>
      </c>
      <c r="H730" s="37" t="s">
        <v>7</v>
      </c>
    </row>
    <row r="731" ht="15.75" customHeight="1">
      <c r="A731" s="3" t="s">
        <v>215</v>
      </c>
      <c r="B731" s="13">
        <v>1068975.48</v>
      </c>
      <c r="C731" s="13">
        <v>386310.83999999997</v>
      </c>
      <c r="D731" s="3">
        <v>4.0</v>
      </c>
      <c r="E731" s="11">
        <v>2011.0</v>
      </c>
      <c r="F731" s="3" t="s">
        <v>815</v>
      </c>
      <c r="G731" s="37" t="s">
        <v>23</v>
      </c>
      <c r="H731" s="37" t="s">
        <v>13</v>
      </c>
    </row>
    <row r="732" ht="15.75" customHeight="1">
      <c r="A732" s="3" t="s">
        <v>206</v>
      </c>
      <c r="B732" s="13">
        <v>910183.74</v>
      </c>
      <c r="C732" s="13">
        <v>225724.26</v>
      </c>
      <c r="D732" s="3">
        <v>5.0</v>
      </c>
      <c r="E732" s="11">
        <v>2016.0</v>
      </c>
      <c r="F732" s="3" t="s">
        <v>815</v>
      </c>
      <c r="G732" s="37" t="s">
        <v>28</v>
      </c>
      <c r="H732" s="37" t="s">
        <v>4</v>
      </c>
    </row>
    <row r="733" ht="15.75" customHeight="1">
      <c r="A733" s="3" t="s">
        <v>821</v>
      </c>
      <c r="B733" s="13">
        <v>1589146.06</v>
      </c>
      <c r="C733" s="13">
        <v>394105.93999999994</v>
      </c>
      <c r="D733" s="3">
        <v>1.0</v>
      </c>
      <c r="E733" s="11">
        <v>2011.0</v>
      </c>
      <c r="F733" s="3" t="s">
        <v>815</v>
      </c>
      <c r="G733" s="37" t="s">
        <v>821</v>
      </c>
      <c r="H733" s="37" t="s">
        <v>4</v>
      </c>
    </row>
    <row r="734" ht="15.75" customHeight="1">
      <c r="A734" s="3" t="s">
        <v>46</v>
      </c>
      <c r="B734" s="13">
        <v>1966654.2000000002</v>
      </c>
      <c r="C734" s="13">
        <v>381275.0</v>
      </c>
      <c r="D734" s="3">
        <v>3.0</v>
      </c>
      <c r="E734" s="11">
        <v>2014.0</v>
      </c>
      <c r="F734" s="3" t="s">
        <v>815</v>
      </c>
      <c r="G734" s="37" t="s">
        <v>28</v>
      </c>
      <c r="H734" s="37" t="s">
        <v>7</v>
      </c>
    </row>
    <row r="735" ht="15.75" customHeight="1">
      <c r="A735" s="3" t="s">
        <v>300</v>
      </c>
      <c r="B735" s="13">
        <v>3474865.6</v>
      </c>
      <c r="C735" s="13">
        <v>1381918.7600000002</v>
      </c>
      <c r="D735" s="3">
        <v>5.0</v>
      </c>
      <c r="E735" s="11">
        <v>2010.0</v>
      </c>
      <c r="F735" s="3" t="s">
        <v>815</v>
      </c>
      <c r="G735" s="37" t="s">
        <v>28</v>
      </c>
      <c r="H735" s="37" t="s">
        <v>12</v>
      </c>
    </row>
    <row r="736" ht="15.75" customHeight="1">
      <c r="A736" s="3" t="s">
        <v>821</v>
      </c>
      <c r="B736" s="13">
        <v>802570.8</v>
      </c>
      <c r="C736" s="13">
        <v>290036.4000000001</v>
      </c>
      <c r="D736" s="3">
        <v>1.0</v>
      </c>
      <c r="E736" s="11">
        <v>2016.0</v>
      </c>
      <c r="F736" s="3" t="s">
        <v>818</v>
      </c>
      <c r="G736" s="37" t="s">
        <v>821</v>
      </c>
      <c r="H736" s="37" t="s">
        <v>13</v>
      </c>
    </row>
    <row r="737" ht="15.75" customHeight="1">
      <c r="A737" s="3" t="s">
        <v>578</v>
      </c>
      <c r="B737" s="13">
        <v>774343.5000000001</v>
      </c>
      <c r="C737" s="13">
        <v>279835.5000000001</v>
      </c>
      <c r="D737" s="3">
        <v>10.0</v>
      </c>
      <c r="E737" s="11">
        <v>2010.0</v>
      </c>
      <c r="F737" s="3" t="s">
        <v>815</v>
      </c>
      <c r="G737" s="37" t="s">
        <v>28</v>
      </c>
      <c r="H737" s="37" t="s">
        <v>13</v>
      </c>
    </row>
    <row r="738" ht="15.75" customHeight="1">
      <c r="A738" s="3" t="s">
        <v>650</v>
      </c>
      <c r="B738" s="13">
        <v>516572.70999999996</v>
      </c>
      <c r="C738" s="13">
        <v>128109.28999999992</v>
      </c>
      <c r="D738" s="3">
        <v>2.0</v>
      </c>
      <c r="E738" s="11">
        <v>2010.0</v>
      </c>
      <c r="F738" s="3" t="s">
        <v>818</v>
      </c>
      <c r="G738" s="37" t="s">
        <v>28</v>
      </c>
      <c r="H738" s="37" t="s">
        <v>4</v>
      </c>
    </row>
    <row r="739" ht="15.75" customHeight="1">
      <c r="A739" s="3" t="s">
        <v>221</v>
      </c>
      <c r="B739" s="13">
        <v>569733.7200000001</v>
      </c>
      <c r="C739" s="13">
        <v>205892.76000000013</v>
      </c>
      <c r="D739" s="3">
        <v>4.0</v>
      </c>
      <c r="E739" s="11">
        <v>2012.0</v>
      </c>
      <c r="F739" s="3" t="s">
        <v>815</v>
      </c>
      <c r="G739" s="37" t="s">
        <v>28</v>
      </c>
      <c r="H739" s="37" t="s">
        <v>13</v>
      </c>
    </row>
    <row r="740" ht="15.75" customHeight="1">
      <c r="A740" s="3" t="s">
        <v>593</v>
      </c>
      <c r="B740" s="13">
        <v>6359716.86</v>
      </c>
      <c r="C740" s="13">
        <v>1232957.5</v>
      </c>
      <c r="D740" s="3">
        <v>3.0</v>
      </c>
      <c r="E740" s="11">
        <v>2013.0</v>
      </c>
      <c r="F740" s="3" t="s">
        <v>818</v>
      </c>
      <c r="G740" s="37" t="s">
        <v>28</v>
      </c>
      <c r="H740" s="37" t="s">
        <v>7</v>
      </c>
    </row>
    <row r="741" ht="15.75" customHeight="1">
      <c r="A741" s="3" t="s">
        <v>300</v>
      </c>
      <c r="B741" s="13">
        <v>498205.39999999997</v>
      </c>
      <c r="C741" s="13">
        <v>214564.97999999998</v>
      </c>
      <c r="D741" s="3">
        <v>5.0</v>
      </c>
      <c r="E741" s="11">
        <v>2015.0</v>
      </c>
      <c r="F741" s="3" t="s">
        <v>815</v>
      </c>
      <c r="G741" s="37" t="s">
        <v>28</v>
      </c>
      <c r="H741" s="37" t="s">
        <v>3</v>
      </c>
    </row>
    <row r="742" ht="15.75" customHeight="1">
      <c r="A742" s="3" t="s">
        <v>623</v>
      </c>
      <c r="B742" s="13">
        <v>473799.68</v>
      </c>
      <c r="C742" s="13">
        <v>177916.16000000003</v>
      </c>
      <c r="D742" s="3">
        <v>2.0</v>
      </c>
      <c r="E742" s="11">
        <v>2011.0</v>
      </c>
      <c r="F742" s="3" t="s">
        <v>818</v>
      </c>
      <c r="G742" s="37" t="s">
        <v>28</v>
      </c>
      <c r="H742" s="37" t="s">
        <v>10</v>
      </c>
    </row>
    <row r="743" ht="15.75" customHeight="1">
      <c r="A743" s="3" t="s">
        <v>686</v>
      </c>
      <c r="B743" s="13">
        <v>455399.56</v>
      </c>
      <c r="C743" s="13">
        <v>139634.32</v>
      </c>
      <c r="D743" s="3">
        <v>4.0</v>
      </c>
      <c r="E743" s="11">
        <v>2011.0</v>
      </c>
      <c r="F743" s="3" t="s">
        <v>815</v>
      </c>
      <c r="G743" s="37" t="s">
        <v>28</v>
      </c>
      <c r="H743" s="37" t="s">
        <v>14</v>
      </c>
    </row>
    <row r="744" ht="15.75" customHeight="1">
      <c r="A744" s="3" t="s">
        <v>300</v>
      </c>
      <c r="B744" s="13">
        <v>623027.79</v>
      </c>
      <c r="C744" s="13">
        <v>191032.38</v>
      </c>
      <c r="D744" s="3">
        <v>9.0</v>
      </c>
      <c r="E744" s="11">
        <v>2011.0</v>
      </c>
      <c r="F744" s="3" t="s">
        <v>815</v>
      </c>
      <c r="G744" s="37" t="s">
        <v>28</v>
      </c>
      <c r="H744" s="37" t="s">
        <v>14</v>
      </c>
    </row>
    <row r="745" ht="15.75" customHeight="1">
      <c r="A745" s="3" t="s">
        <v>373</v>
      </c>
      <c r="B745" s="13">
        <v>530019.05</v>
      </c>
      <c r="C745" s="13">
        <v>162514.10000000003</v>
      </c>
      <c r="D745" s="3">
        <v>6.0</v>
      </c>
      <c r="E745" s="11">
        <v>2016.0</v>
      </c>
      <c r="F745" s="3" t="s">
        <v>818</v>
      </c>
      <c r="G745" s="37" t="s">
        <v>28</v>
      </c>
      <c r="H745" s="37" t="s">
        <v>14</v>
      </c>
    </row>
    <row r="746" ht="15.75" customHeight="1">
      <c r="A746" s="3" t="s">
        <v>267</v>
      </c>
      <c r="B746" s="13">
        <v>38066.4</v>
      </c>
      <c r="C746" s="13">
        <v>9832.800000000003</v>
      </c>
      <c r="D746" s="3">
        <v>9.0</v>
      </c>
      <c r="E746" s="11">
        <v>2010.0</v>
      </c>
      <c r="F746" s="3" t="s">
        <v>818</v>
      </c>
      <c r="G746" s="37" t="s">
        <v>28</v>
      </c>
      <c r="H746" s="37" t="s">
        <v>8</v>
      </c>
    </row>
    <row r="747" ht="15.75" customHeight="1">
      <c r="A747" s="3" t="s">
        <v>623</v>
      </c>
      <c r="B747" s="13">
        <v>1638811.9</v>
      </c>
      <c r="C747" s="13">
        <v>705796.5299999999</v>
      </c>
      <c r="D747" s="3">
        <v>5.0</v>
      </c>
      <c r="E747" s="11">
        <v>2014.0</v>
      </c>
      <c r="F747" s="3" t="s">
        <v>815</v>
      </c>
      <c r="G747" s="37" t="s">
        <v>28</v>
      </c>
      <c r="H747" s="37" t="s">
        <v>3</v>
      </c>
    </row>
    <row r="748" ht="15.75" customHeight="1">
      <c r="A748" s="3" t="s">
        <v>215</v>
      </c>
      <c r="B748" s="13">
        <v>935010.2400000001</v>
      </c>
      <c r="C748" s="13">
        <v>337897.92000000016</v>
      </c>
      <c r="D748" s="3">
        <v>11.0</v>
      </c>
      <c r="E748" s="11">
        <v>2012.0</v>
      </c>
      <c r="F748" s="3" t="s">
        <v>815</v>
      </c>
      <c r="G748" s="37" t="s">
        <v>23</v>
      </c>
      <c r="H748" s="37" t="s">
        <v>13</v>
      </c>
    </row>
    <row r="749" ht="15.75" customHeight="1">
      <c r="A749" s="3" t="s">
        <v>215</v>
      </c>
      <c r="B749" s="13">
        <v>836647.68</v>
      </c>
      <c r="C749" s="13">
        <v>562256.64</v>
      </c>
      <c r="D749" s="3">
        <v>5.0</v>
      </c>
      <c r="E749" s="11">
        <v>2012.0</v>
      </c>
      <c r="F749" s="3" t="s">
        <v>815</v>
      </c>
      <c r="G749" s="37" t="s">
        <v>23</v>
      </c>
      <c r="H749" s="37" t="s">
        <v>5</v>
      </c>
    </row>
    <row r="750" ht="15.75" customHeight="1">
      <c r="A750" s="3" t="s">
        <v>488</v>
      </c>
      <c r="B750" s="13">
        <v>302319.27</v>
      </c>
      <c r="C750" s="13">
        <v>92696.94</v>
      </c>
      <c r="D750" s="3">
        <v>11.0</v>
      </c>
      <c r="E750" s="11">
        <v>2016.0</v>
      </c>
      <c r="F750" s="3" t="s">
        <v>818</v>
      </c>
      <c r="G750" s="37" t="s">
        <v>28</v>
      </c>
      <c r="H750" s="37" t="s">
        <v>14</v>
      </c>
    </row>
    <row r="751" ht="15.75" customHeight="1">
      <c r="A751" s="3" t="s">
        <v>542</v>
      </c>
      <c r="B751" s="13">
        <v>611340.4</v>
      </c>
      <c r="C751" s="13">
        <v>187448.8</v>
      </c>
      <c r="D751" s="3">
        <v>6.0</v>
      </c>
      <c r="E751" s="11">
        <v>2012.0</v>
      </c>
      <c r="F751" s="3" t="s">
        <v>818</v>
      </c>
      <c r="G751" s="37" t="s">
        <v>28</v>
      </c>
      <c r="H751" s="37" t="s">
        <v>14</v>
      </c>
    </row>
    <row r="752" ht="15.75" customHeight="1">
      <c r="A752" s="3" t="s">
        <v>434</v>
      </c>
      <c r="B752" s="13">
        <v>1514966.82</v>
      </c>
      <c r="C752" s="13">
        <v>547485.06</v>
      </c>
      <c r="D752" s="3">
        <v>4.0</v>
      </c>
      <c r="E752" s="11">
        <v>2017.0</v>
      </c>
      <c r="F752" s="3" t="s">
        <v>818</v>
      </c>
      <c r="G752" s="37" t="s">
        <v>28</v>
      </c>
      <c r="H752" s="37" t="s">
        <v>13</v>
      </c>
    </row>
    <row r="753" ht="15.75" customHeight="1">
      <c r="A753" s="3" t="s">
        <v>434</v>
      </c>
      <c r="B753" s="13">
        <v>552903.4500000001</v>
      </c>
      <c r="C753" s="13">
        <v>169530.90000000008</v>
      </c>
      <c r="D753" s="3">
        <v>12.0</v>
      </c>
      <c r="E753" s="11">
        <v>2011.0</v>
      </c>
      <c r="F753" s="3" t="s">
        <v>818</v>
      </c>
      <c r="G753" s="37" t="s">
        <v>28</v>
      </c>
      <c r="H753" s="37" t="s">
        <v>14</v>
      </c>
    </row>
    <row r="754" ht="15.75" customHeight="1">
      <c r="A754" s="3" t="s">
        <v>623</v>
      </c>
      <c r="B754" s="13">
        <v>453574.55000000005</v>
      </c>
      <c r="C754" s="13">
        <v>149693.94000000006</v>
      </c>
      <c r="D754" s="3">
        <v>5.0</v>
      </c>
      <c r="E754" s="11">
        <v>2014.0</v>
      </c>
      <c r="F754" s="3" t="s">
        <v>818</v>
      </c>
      <c r="G754" s="37" t="s">
        <v>28</v>
      </c>
      <c r="H754" s="37" t="s">
        <v>6</v>
      </c>
    </row>
    <row r="755" ht="15.75" customHeight="1">
      <c r="A755" s="3" t="s">
        <v>142</v>
      </c>
      <c r="B755" s="13">
        <v>778886.9</v>
      </c>
      <c r="C755" s="13">
        <v>238821.80000000005</v>
      </c>
      <c r="D755" s="3">
        <v>10.0</v>
      </c>
      <c r="E755" s="11">
        <v>2012.0</v>
      </c>
      <c r="F755" s="3" t="s">
        <v>818</v>
      </c>
      <c r="G755" s="37" t="s">
        <v>28</v>
      </c>
      <c r="H755" s="37" t="s">
        <v>14</v>
      </c>
    </row>
    <row r="756" ht="15.75" customHeight="1">
      <c r="A756" s="3" t="s">
        <v>221</v>
      </c>
      <c r="B756" s="13">
        <v>2324613.9</v>
      </c>
      <c r="C756" s="13">
        <v>315172.0</v>
      </c>
      <c r="D756" s="3">
        <v>8.0</v>
      </c>
      <c r="E756" s="11">
        <v>2012.0</v>
      </c>
      <c r="F756" s="3" t="s">
        <v>818</v>
      </c>
      <c r="G756" s="37" t="s">
        <v>28</v>
      </c>
      <c r="H756" s="37" t="s">
        <v>11</v>
      </c>
    </row>
    <row r="757" ht="15.75" customHeight="1">
      <c r="A757" s="3" t="s">
        <v>291</v>
      </c>
      <c r="B757" s="13">
        <v>1951360.32</v>
      </c>
      <c r="C757" s="13">
        <v>732753.8400000001</v>
      </c>
      <c r="D757" s="3">
        <v>11.0</v>
      </c>
      <c r="E757" s="11">
        <v>2013.0</v>
      </c>
      <c r="F757" s="3" t="s">
        <v>818</v>
      </c>
      <c r="G757" s="37" t="s">
        <v>28</v>
      </c>
      <c r="H757" s="37" t="s">
        <v>10</v>
      </c>
    </row>
    <row r="758" ht="15.75" customHeight="1">
      <c r="A758" s="3" t="s">
        <v>536</v>
      </c>
      <c r="B758" s="13">
        <v>860398.6200000001</v>
      </c>
      <c r="C758" s="13">
        <v>310934.4600000001</v>
      </c>
      <c r="D758" s="3">
        <v>9.0</v>
      </c>
      <c r="E758" s="11">
        <v>2012.0</v>
      </c>
      <c r="F758" s="3" t="s">
        <v>818</v>
      </c>
      <c r="G758" s="37" t="s">
        <v>28</v>
      </c>
      <c r="H758" s="37" t="s">
        <v>13</v>
      </c>
    </row>
    <row r="759" ht="15.75" customHeight="1">
      <c r="A759" s="3" t="s">
        <v>221</v>
      </c>
      <c r="B759" s="13">
        <v>229007.46000000002</v>
      </c>
      <c r="C759" s="13">
        <v>70218.12000000002</v>
      </c>
      <c r="D759" s="3">
        <v>6.0</v>
      </c>
      <c r="E759" s="11">
        <v>2014.0</v>
      </c>
      <c r="F759" s="3" t="s">
        <v>818</v>
      </c>
      <c r="G759" s="37" t="s">
        <v>28</v>
      </c>
      <c r="H759" s="37" t="s">
        <v>14</v>
      </c>
    </row>
    <row r="760" ht="15.75" customHeight="1">
      <c r="A760" s="3" t="s">
        <v>821</v>
      </c>
      <c r="B760" s="13">
        <v>92637.57</v>
      </c>
      <c r="C760" s="13">
        <v>23928.890000000014</v>
      </c>
      <c r="D760" s="3">
        <v>11.0</v>
      </c>
      <c r="E760" s="11">
        <v>2014.0</v>
      </c>
      <c r="F760" s="3" t="s">
        <v>815</v>
      </c>
      <c r="G760" s="37" t="s">
        <v>821</v>
      </c>
      <c r="H760" s="37" t="s">
        <v>8</v>
      </c>
    </row>
    <row r="761" ht="15.75" customHeight="1">
      <c r="A761" s="3" t="s">
        <v>635</v>
      </c>
      <c r="B761" s="13">
        <v>46406.100000000006</v>
      </c>
      <c r="C761" s="13">
        <v>15315.480000000007</v>
      </c>
      <c r="D761" s="3">
        <v>9.0</v>
      </c>
      <c r="E761" s="11">
        <v>2012.0</v>
      </c>
      <c r="F761" s="3" t="s">
        <v>815</v>
      </c>
      <c r="G761" s="37" t="s">
        <v>28</v>
      </c>
      <c r="H761" s="37" t="s">
        <v>6</v>
      </c>
    </row>
    <row r="762" ht="15.75" customHeight="1">
      <c r="A762" s="3" t="s">
        <v>821</v>
      </c>
      <c r="B762" s="13">
        <v>69514.25</v>
      </c>
      <c r="C762" s="13">
        <v>22941.9</v>
      </c>
      <c r="D762" s="3">
        <v>2.0</v>
      </c>
      <c r="E762" s="11">
        <v>2012.0</v>
      </c>
      <c r="F762" s="3" t="s">
        <v>818</v>
      </c>
      <c r="G762" s="37" t="s">
        <v>821</v>
      </c>
      <c r="H762" s="37" t="s">
        <v>6</v>
      </c>
    </row>
    <row r="763" ht="15.75" customHeight="1">
      <c r="A763" s="3" t="s">
        <v>215</v>
      </c>
      <c r="B763" s="13">
        <v>43123.26</v>
      </c>
      <c r="C763" s="13">
        <v>11139.020000000004</v>
      </c>
      <c r="D763" s="3">
        <v>7.0</v>
      </c>
      <c r="E763" s="11">
        <v>2015.0</v>
      </c>
      <c r="F763" s="3" t="s">
        <v>818</v>
      </c>
      <c r="G763" s="37" t="s">
        <v>23</v>
      </c>
      <c r="H763" s="37" t="s">
        <v>8</v>
      </c>
    </row>
    <row r="764" ht="15.75" customHeight="1">
      <c r="A764" s="3" t="s">
        <v>512</v>
      </c>
      <c r="B764" s="13">
        <v>146715.40000000002</v>
      </c>
      <c r="C764" s="13">
        <v>48420.72000000003</v>
      </c>
      <c r="D764" s="3">
        <v>3.0</v>
      </c>
      <c r="E764" s="11">
        <v>2010.0</v>
      </c>
      <c r="F764" s="3" t="s">
        <v>815</v>
      </c>
      <c r="G764" s="37" t="s">
        <v>28</v>
      </c>
      <c r="H764" s="37" t="s">
        <v>6</v>
      </c>
    </row>
    <row r="765" ht="15.75" customHeight="1">
      <c r="A765" s="3" t="s">
        <v>821</v>
      </c>
      <c r="B765" s="13">
        <v>258556.48</v>
      </c>
      <c r="C765" s="13">
        <v>173759.04</v>
      </c>
      <c r="D765" s="3">
        <v>9.0</v>
      </c>
      <c r="E765" s="11">
        <v>2013.0</v>
      </c>
      <c r="F765" s="3" t="s">
        <v>818</v>
      </c>
      <c r="G765" s="37" t="s">
        <v>821</v>
      </c>
      <c r="H765" s="37" t="s">
        <v>5</v>
      </c>
    </row>
    <row r="766" ht="15.75" customHeight="1">
      <c r="A766" s="3" t="s">
        <v>270</v>
      </c>
      <c r="B766" s="13">
        <v>3489.42</v>
      </c>
      <c r="C766" s="13">
        <v>901.3400000000001</v>
      </c>
      <c r="D766" s="3">
        <v>4.0</v>
      </c>
      <c r="E766" s="11">
        <v>2014.0</v>
      </c>
      <c r="F766" s="3" t="s">
        <v>818</v>
      </c>
      <c r="G766" s="37" t="s">
        <v>28</v>
      </c>
      <c r="H766" s="37" t="s">
        <v>8</v>
      </c>
    </row>
    <row r="767" ht="15.75" customHeight="1">
      <c r="A767" s="3" t="s">
        <v>650</v>
      </c>
      <c r="B767" s="13">
        <v>1814922.27</v>
      </c>
      <c r="C767" s="13">
        <v>351858.75</v>
      </c>
      <c r="D767" s="3">
        <v>3.0</v>
      </c>
      <c r="E767" s="11">
        <v>2010.0</v>
      </c>
      <c r="F767" s="3" t="s">
        <v>818</v>
      </c>
      <c r="G767" s="37" t="s">
        <v>28</v>
      </c>
      <c r="H767" s="37" t="s">
        <v>7</v>
      </c>
    </row>
    <row r="768" ht="15.75" customHeight="1">
      <c r="A768" s="3" t="s">
        <v>455</v>
      </c>
      <c r="B768" s="13">
        <v>1470432.1800000002</v>
      </c>
      <c r="C768" s="13">
        <v>285072.5</v>
      </c>
      <c r="D768" s="3">
        <v>12.0</v>
      </c>
      <c r="E768" s="11">
        <v>2014.0</v>
      </c>
      <c r="F768" s="3" t="s">
        <v>818</v>
      </c>
      <c r="G768" s="37" t="s">
        <v>28</v>
      </c>
      <c r="H768" s="37" t="s">
        <v>7</v>
      </c>
    </row>
    <row r="769" ht="15.75" customHeight="1">
      <c r="A769" s="3" t="s">
        <v>373</v>
      </c>
      <c r="B769" s="13">
        <v>347510.4</v>
      </c>
      <c r="C769" s="13">
        <v>233539.2</v>
      </c>
      <c r="D769" s="3">
        <v>9.0</v>
      </c>
      <c r="E769" s="11">
        <v>2012.0</v>
      </c>
      <c r="F769" s="3" t="s">
        <v>818</v>
      </c>
      <c r="G769" s="37" t="s">
        <v>28</v>
      </c>
      <c r="H769" s="37" t="s">
        <v>5</v>
      </c>
    </row>
    <row r="770" ht="15.75" customHeight="1">
      <c r="A770" s="3" t="s">
        <v>593</v>
      </c>
      <c r="B770" s="13">
        <v>791881.9700000001</v>
      </c>
      <c r="C770" s="13">
        <v>242806.34000000008</v>
      </c>
      <c r="D770" s="3">
        <v>4.0</v>
      </c>
      <c r="E770" s="11">
        <v>2015.0</v>
      </c>
      <c r="F770" s="3" t="s">
        <v>815</v>
      </c>
      <c r="G770" s="37" t="s">
        <v>28</v>
      </c>
      <c r="H770" s="37" t="s">
        <v>14</v>
      </c>
    </row>
    <row r="771" ht="15.75" customHeight="1">
      <c r="A771" s="3" t="s">
        <v>536</v>
      </c>
      <c r="B771" s="13">
        <v>1121805.51</v>
      </c>
      <c r="C771" s="13">
        <v>152094.80000000005</v>
      </c>
      <c r="D771" s="3">
        <v>3.0</v>
      </c>
      <c r="E771" s="11">
        <v>2015.0</v>
      </c>
      <c r="F771" s="3" t="s">
        <v>815</v>
      </c>
      <c r="G771" s="37" t="s">
        <v>28</v>
      </c>
      <c r="H771" s="37" t="s">
        <v>11</v>
      </c>
    </row>
    <row r="772" ht="15.75" customHeight="1">
      <c r="A772" s="3" t="s">
        <v>288</v>
      </c>
      <c r="B772" s="13">
        <v>174003.17</v>
      </c>
      <c r="C772" s="13">
        <v>53352.740000000005</v>
      </c>
      <c r="D772" s="3">
        <v>5.0</v>
      </c>
      <c r="E772" s="11">
        <v>2012.0</v>
      </c>
      <c r="F772" s="3" t="s">
        <v>818</v>
      </c>
      <c r="G772" s="37" t="s">
        <v>23</v>
      </c>
      <c r="H772" s="37" t="s">
        <v>14</v>
      </c>
    </row>
    <row r="773" ht="15.75" customHeight="1">
      <c r="A773" s="3" t="s">
        <v>270</v>
      </c>
      <c r="B773" s="13">
        <v>4599.69</v>
      </c>
      <c r="C773" s="13">
        <v>1188.1299999999997</v>
      </c>
      <c r="D773" s="3">
        <v>2.0</v>
      </c>
      <c r="E773" s="11">
        <v>2014.0</v>
      </c>
      <c r="F773" s="3" t="s">
        <v>818</v>
      </c>
      <c r="G773" s="37" t="s">
        <v>28</v>
      </c>
      <c r="H773" s="37" t="s">
        <v>8</v>
      </c>
    </row>
    <row r="774" ht="15.75" customHeight="1">
      <c r="A774" s="3" t="s">
        <v>590</v>
      </c>
      <c r="B774" s="13">
        <v>432754.54</v>
      </c>
      <c r="C774" s="13">
        <v>177332.16999999995</v>
      </c>
      <c r="D774" s="3">
        <v>11.0</v>
      </c>
      <c r="E774" s="11">
        <v>2014.0</v>
      </c>
      <c r="F774" s="3" t="s">
        <v>818</v>
      </c>
      <c r="G774" s="37" t="s">
        <v>28</v>
      </c>
      <c r="H774" s="37" t="s">
        <v>9</v>
      </c>
    </row>
    <row r="775" ht="15.75" customHeight="1">
      <c r="A775" s="3" t="s">
        <v>221</v>
      </c>
      <c r="B775" s="13">
        <v>1826184.4</v>
      </c>
      <c r="C775" s="13">
        <v>726254.99</v>
      </c>
      <c r="D775" s="3">
        <v>7.0</v>
      </c>
      <c r="E775" s="11">
        <v>2014.0</v>
      </c>
      <c r="F775" s="3" t="s">
        <v>818</v>
      </c>
      <c r="G775" s="37" t="s">
        <v>28</v>
      </c>
      <c r="H775" s="37" t="s">
        <v>12</v>
      </c>
    </row>
    <row r="776" ht="15.75" customHeight="1">
      <c r="A776" s="3" t="s">
        <v>821</v>
      </c>
      <c r="B776" s="13">
        <v>346195.2</v>
      </c>
      <c r="C776" s="13">
        <v>114255.36000000002</v>
      </c>
      <c r="D776" s="3">
        <v>9.0</v>
      </c>
      <c r="E776" s="11">
        <v>2010.0</v>
      </c>
      <c r="F776" s="3" t="s">
        <v>815</v>
      </c>
      <c r="G776" s="37" t="s">
        <v>821</v>
      </c>
      <c r="H776" s="37" t="s">
        <v>6</v>
      </c>
    </row>
    <row r="777" ht="15.75" customHeight="1">
      <c r="A777" s="3" t="s">
        <v>413</v>
      </c>
      <c r="B777" s="13">
        <v>4962573.02</v>
      </c>
      <c r="C777" s="13">
        <v>1230710.9799999995</v>
      </c>
      <c r="D777" s="3">
        <v>8.0</v>
      </c>
      <c r="E777" s="11">
        <v>2016.0</v>
      </c>
      <c r="F777" s="3" t="s">
        <v>815</v>
      </c>
      <c r="G777" s="37" t="s">
        <v>28</v>
      </c>
      <c r="H777" s="37" t="s">
        <v>4</v>
      </c>
    </row>
    <row r="778" ht="15.75" customHeight="1">
      <c r="A778" s="3" t="s">
        <v>373</v>
      </c>
      <c r="B778" s="13">
        <v>65937.68000000001</v>
      </c>
      <c r="C778" s="13">
        <v>27019.640000000007</v>
      </c>
      <c r="D778" s="3">
        <v>4.0</v>
      </c>
      <c r="E778" s="11">
        <v>2016.0</v>
      </c>
      <c r="F778" s="3" t="s">
        <v>818</v>
      </c>
      <c r="G778" s="37" t="s">
        <v>28</v>
      </c>
      <c r="H778" s="37" t="s">
        <v>9</v>
      </c>
    </row>
    <row r="779" ht="15.75" customHeight="1">
      <c r="A779" s="3" t="s">
        <v>821</v>
      </c>
      <c r="B779" s="13">
        <v>839105.36</v>
      </c>
      <c r="C779" s="13">
        <v>315091.82</v>
      </c>
      <c r="D779" s="3">
        <v>1.0</v>
      </c>
      <c r="E779" s="11">
        <v>2014.0</v>
      </c>
      <c r="F779" s="3" t="s">
        <v>815</v>
      </c>
      <c r="G779" s="37" t="s">
        <v>821</v>
      </c>
      <c r="H779" s="37" t="s">
        <v>10</v>
      </c>
    </row>
    <row r="780" ht="15.75" customHeight="1">
      <c r="A780" s="3" t="s">
        <v>101</v>
      </c>
      <c r="B780" s="13">
        <v>33420.06</v>
      </c>
      <c r="C780" s="13">
        <v>8632.619999999999</v>
      </c>
      <c r="D780" s="3">
        <v>11.0</v>
      </c>
      <c r="E780" s="11">
        <v>2013.0</v>
      </c>
      <c r="F780" s="3" t="s">
        <v>815</v>
      </c>
      <c r="G780" s="37" t="s">
        <v>28</v>
      </c>
      <c r="H780" s="37" t="s">
        <v>8</v>
      </c>
    </row>
    <row r="781" ht="15.75" customHeight="1">
      <c r="A781" s="3" t="s">
        <v>593</v>
      </c>
      <c r="B781" s="13">
        <v>3118610.88</v>
      </c>
      <c r="C781" s="13">
        <v>422822.3999999999</v>
      </c>
      <c r="D781" s="3">
        <v>12.0</v>
      </c>
      <c r="E781" s="11">
        <v>2010.0</v>
      </c>
      <c r="F781" s="3" t="s">
        <v>815</v>
      </c>
      <c r="G781" s="37" t="s">
        <v>28</v>
      </c>
      <c r="H781" s="37" t="s">
        <v>11</v>
      </c>
    </row>
    <row r="782" ht="15.75" customHeight="1">
      <c r="A782" s="3" t="s">
        <v>512</v>
      </c>
      <c r="B782" s="13">
        <v>1040776.56</v>
      </c>
      <c r="C782" s="13">
        <v>390821.2200000001</v>
      </c>
      <c r="D782" s="3">
        <v>1.0</v>
      </c>
      <c r="E782" s="11">
        <v>2011.0</v>
      </c>
      <c r="F782" s="3" t="s">
        <v>818</v>
      </c>
      <c r="G782" s="37" t="s">
        <v>28</v>
      </c>
      <c r="H782" s="37" t="s">
        <v>10</v>
      </c>
    </row>
    <row r="783" ht="15.75" customHeight="1">
      <c r="A783" s="3" t="s">
        <v>740</v>
      </c>
      <c r="B783" s="13">
        <v>220172.94000000003</v>
      </c>
      <c r="C783" s="13">
        <v>79567.02000000005</v>
      </c>
      <c r="D783" s="3">
        <v>1.0</v>
      </c>
      <c r="E783" s="11">
        <v>2016.0</v>
      </c>
      <c r="F783" s="3" t="s">
        <v>818</v>
      </c>
      <c r="G783" s="37" t="s">
        <v>28</v>
      </c>
      <c r="H783" s="37" t="s">
        <v>13</v>
      </c>
    </row>
    <row r="784" ht="15.75" customHeight="1">
      <c r="A784" s="3" t="s">
        <v>97</v>
      </c>
      <c r="B784" s="13">
        <v>3645373.6</v>
      </c>
      <c r="C784" s="13">
        <v>1449728.06</v>
      </c>
      <c r="D784" s="3">
        <v>9.0</v>
      </c>
      <c r="E784" s="11">
        <v>2011.0</v>
      </c>
      <c r="F784" s="3" t="s">
        <v>818</v>
      </c>
      <c r="G784" s="37" t="s">
        <v>28</v>
      </c>
      <c r="H784" s="37" t="s">
        <v>12</v>
      </c>
    </row>
    <row r="785" ht="15.75" customHeight="1">
      <c r="A785" s="3" t="s">
        <v>97</v>
      </c>
      <c r="B785" s="13">
        <v>187953.2</v>
      </c>
      <c r="C785" s="13">
        <v>77018.6</v>
      </c>
      <c r="D785" s="3">
        <v>8.0</v>
      </c>
      <c r="E785" s="11">
        <v>2016.0</v>
      </c>
      <c r="F785" s="3" t="s">
        <v>815</v>
      </c>
      <c r="G785" s="37" t="s">
        <v>28</v>
      </c>
      <c r="H785" s="37" t="s">
        <v>9</v>
      </c>
    </row>
    <row r="786" ht="15.75" customHeight="1">
      <c r="A786" s="3" t="s">
        <v>623</v>
      </c>
      <c r="B786" s="13">
        <v>143020.71</v>
      </c>
      <c r="C786" s="13">
        <v>19390.79999999999</v>
      </c>
      <c r="D786" s="3">
        <v>5.0</v>
      </c>
      <c r="E786" s="11">
        <v>2016.0</v>
      </c>
      <c r="F786" s="3" t="s">
        <v>815</v>
      </c>
      <c r="G786" s="37" t="s">
        <v>28</v>
      </c>
      <c r="H786" s="37" t="s">
        <v>11</v>
      </c>
    </row>
    <row r="787" ht="15.75" customHeight="1">
      <c r="A787" s="3" t="s">
        <v>488</v>
      </c>
      <c r="B787" s="13">
        <v>873088.4</v>
      </c>
      <c r="C787" s="13">
        <v>347218.39</v>
      </c>
      <c r="D787" s="3">
        <v>3.0</v>
      </c>
      <c r="E787" s="11">
        <v>2014.0</v>
      </c>
      <c r="F787" s="3" t="s">
        <v>818</v>
      </c>
      <c r="G787" s="37" t="s">
        <v>28</v>
      </c>
      <c r="H787" s="37" t="s">
        <v>12</v>
      </c>
    </row>
    <row r="788" ht="15.75" customHeight="1">
      <c r="A788" s="3" t="s">
        <v>578</v>
      </c>
      <c r="B788" s="13">
        <v>1001347.6</v>
      </c>
      <c r="C788" s="13">
        <v>431256.12</v>
      </c>
      <c r="D788" s="3">
        <v>8.0</v>
      </c>
      <c r="E788" s="11">
        <v>2015.0</v>
      </c>
      <c r="F788" s="3" t="s">
        <v>815</v>
      </c>
      <c r="G788" s="37" t="s">
        <v>28</v>
      </c>
      <c r="H788" s="37" t="s">
        <v>3</v>
      </c>
    </row>
    <row r="789" ht="15.75" customHeight="1">
      <c r="A789" s="3" t="s">
        <v>291</v>
      </c>
      <c r="B789" s="13">
        <v>2886571.38</v>
      </c>
      <c r="C789" s="13">
        <v>391362.3999999999</v>
      </c>
      <c r="D789" s="3">
        <v>1.0</v>
      </c>
      <c r="E789" s="11">
        <v>2017.0</v>
      </c>
      <c r="F789" s="3" t="s">
        <v>818</v>
      </c>
      <c r="G789" s="37" t="s">
        <v>28</v>
      </c>
      <c r="H789" s="37" t="s">
        <v>11</v>
      </c>
    </row>
    <row r="790" ht="15.75" customHeight="1">
      <c r="A790" s="3" t="s">
        <v>821</v>
      </c>
      <c r="B790" s="13">
        <v>4151463.75</v>
      </c>
      <c r="C790" s="13">
        <v>804843.75</v>
      </c>
      <c r="D790" s="3">
        <v>5.0</v>
      </c>
      <c r="E790" s="11">
        <v>2011.0</v>
      </c>
      <c r="F790" s="3" t="s">
        <v>818</v>
      </c>
      <c r="G790" s="37" t="s">
        <v>821</v>
      </c>
      <c r="H790" s="37" t="s">
        <v>7</v>
      </c>
    </row>
    <row r="791" ht="15.75" customHeight="1">
      <c r="A791" s="3" t="s">
        <v>67</v>
      </c>
      <c r="B791" s="13">
        <v>4985962.47</v>
      </c>
      <c r="C791" s="13">
        <v>1236511.5299999998</v>
      </c>
      <c r="D791" s="3">
        <v>9.0</v>
      </c>
      <c r="E791" s="11">
        <v>2015.0</v>
      </c>
      <c r="F791" s="3" t="s">
        <v>818</v>
      </c>
      <c r="G791" s="37" t="s">
        <v>23</v>
      </c>
      <c r="H791" s="37" t="s">
        <v>4</v>
      </c>
    </row>
    <row r="792" ht="15.75" customHeight="1">
      <c r="A792" s="3" t="s">
        <v>653</v>
      </c>
      <c r="B792" s="13">
        <v>353083.68</v>
      </c>
      <c r="C792" s="13">
        <v>237284.63999999998</v>
      </c>
      <c r="D792" s="3">
        <v>5.0</v>
      </c>
      <c r="E792" s="11">
        <v>2012.0</v>
      </c>
      <c r="F792" s="3" t="s">
        <v>815</v>
      </c>
      <c r="G792" s="37" t="s">
        <v>28</v>
      </c>
      <c r="H792" s="37" t="s">
        <v>5</v>
      </c>
    </row>
    <row r="793" ht="15.75" customHeight="1">
      <c r="A793" s="3" t="s">
        <v>123</v>
      </c>
      <c r="B793" s="13">
        <v>14209.59</v>
      </c>
      <c r="C793" s="13">
        <v>3670.4300000000003</v>
      </c>
      <c r="D793" s="3">
        <v>10.0</v>
      </c>
      <c r="E793" s="11">
        <v>2016.0</v>
      </c>
      <c r="F793" s="3" t="s">
        <v>818</v>
      </c>
      <c r="G793" s="37" t="s">
        <v>28</v>
      </c>
      <c r="H793" s="37" t="s">
        <v>8</v>
      </c>
    </row>
    <row r="794" ht="15.75" customHeight="1">
      <c r="A794" s="3" t="s">
        <v>740</v>
      </c>
      <c r="B794" s="13">
        <v>4784439.87</v>
      </c>
      <c r="C794" s="13">
        <v>927558.75</v>
      </c>
      <c r="D794" s="3">
        <v>11.0</v>
      </c>
      <c r="E794" s="11">
        <v>2012.0</v>
      </c>
      <c r="F794" s="3" t="s">
        <v>815</v>
      </c>
      <c r="G794" s="37" t="s">
        <v>28</v>
      </c>
      <c r="H794" s="37" t="s">
        <v>7</v>
      </c>
    </row>
    <row r="795" ht="15.75" customHeight="1">
      <c r="A795" s="3" t="s">
        <v>97</v>
      </c>
      <c r="B795" s="13">
        <v>1436569.26</v>
      </c>
      <c r="C795" s="13">
        <v>278507.5</v>
      </c>
      <c r="D795" s="3">
        <v>6.0</v>
      </c>
      <c r="E795" s="11">
        <v>2017.0</v>
      </c>
      <c r="F795" s="3" t="s">
        <v>818</v>
      </c>
      <c r="G795" s="37" t="s">
        <v>28</v>
      </c>
      <c r="H795" s="37" t="s">
        <v>7</v>
      </c>
    </row>
    <row r="796" ht="15.75" customHeight="1">
      <c r="A796" s="3" t="s">
        <v>746</v>
      </c>
      <c r="B796" s="13">
        <v>1137594.4</v>
      </c>
      <c r="C796" s="13">
        <v>452409.74</v>
      </c>
      <c r="D796" s="3">
        <v>3.0</v>
      </c>
      <c r="E796" s="11">
        <v>2016.0</v>
      </c>
      <c r="F796" s="3" t="s">
        <v>818</v>
      </c>
      <c r="G796" s="37" t="s">
        <v>28</v>
      </c>
      <c r="H796" s="37" t="s">
        <v>12</v>
      </c>
    </row>
    <row r="797" ht="15.75" customHeight="1">
      <c r="A797" s="3" t="s">
        <v>623</v>
      </c>
      <c r="B797" s="13">
        <v>214459.52000000002</v>
      </c>
      <c r="C797" s="13">
        <v>65757.44</v>
      </c>
      <c r="D797" s="3">
        <v>9.0</v>
      </c>
      <c r="E797" s="11">
        <v>2015.0</v>
      </c>
      <c r="F797" s="3" t="s">
        <v>818</v>
      </c>
      <c r="G797" s="37" t="s">
        <v>28</v>
      </c>
      <c r="H797" s="37" t="s">
        <v>14</v>
      </c>
    </row>
    <row r="798" ht="15.75" customHeight="1">
      <c r="A798" s="3" t="s">
        <v>482</v>
      </c>
      <c r="B798" s="13">
        <v>1061218.08</v>
      </c>
      <c r="C798" s="13">
        <v>713175.8400000001</v>
      </c>
      <c r="D798" s="3">
        <v>1.0</v>
      </c>
      <c r="E798" s="11">
        <v>2011.0</v>
      </c>
      <c r="F798" s="3" t="s">
        <v>818</v>
      </c>
      <c r="G798" s="37" t="s">
        <v>28</v>
      </c>
      <c r="H798" s="37" t="s">
        <v>5</v>
      </c>
    </row>
    <row r="799" ht="15.75" customHeight="1">
      <c r="A799" s="3" t="s">
        <v>740</v>
      </c>
      <c r="B799" s="13">
        <v>1756472.2999999998</v>
      </c>
      <c r="C799" s="13">
        <v>756470.0099999998</v>
      </c>
      <c r="D799" s="3">
        <v>8.0</v>
      </c>
      <c r="E799" s="11">
        <v>2012.0</v>
      </c>
      <c r="F799" s="3" t="s">
        <v>815</v>
      </c>
      <c r="G799" s="37" t="s">
        <v>28</v>
      </c>
      <c r="H799" s="37" t="s">
        <v>3</v>
      </c>
    </row>
    <row r="800" ht="15.75" customHeight="1">
      <c r="A800" s="3" t="s">
        <v>821</v>
      </c>
      <c r="B800" s="13">
        <v>124965.17000000001</v>
      </c>
      <c r="C800" s="13">
        <v>38316.740000000005</v>
      </c>
      <c r="D800" s="3">
        <v>4.0</v>
      </c>
      <c r="E800" s="11">
        <v>2016.0</v>
      </c>
      <c r="F800" s="3" t="s">
        <v>818</v>
      </c>
      <c r="G800" s="37" t="s">
        <v>821</v>
      </c>
      <c r="H800" s="37" t="s">
        <v>14</v>
      </c>
    </row>
    <row r="801" ht="15.75" customHeight="1">
      <c r="A801" s="3" t="s">
        <v>578</v>
      </c>
      <c r="B801" s="13">
        <v>114983.59999999999</v>
      </c>
      <c r="C801" s="13">
        <v>45727.81</v>
      </c>
      <c r="D801" s="3">
        <v>5.0</v>
      </c>
      <c r="E801" s="11">
        <v>2013.0</v>
      </c>
      <c r="F801" s="3" t="s">
        <v>818</v>
      </c>
      <c r="G801" s="37" t="s">
        <v>28</v>
      </c>
      <c r="H801" s="37" t="s">
        <v>12</v>
      </c>
    </row>
    <row r="802" ht="15.75" customHeight="1">
      <c r="A802" s="3" t="s">
        <v>590</v>
      </c>
      <c r="B802" s="13">
        <v>1349626.1099999999</v>
      </c>
      <c r="C802" s="13">
        <v>182982.7999999998</v>
      </c>
      <c r="D802" s="3">
        <v>2.0</v>
      </c>
      <c r="E802" s="11">
        <v>2010.0</v>
      </c>
      <c r="F802" s="3" t="s">
        <v>818</v>
      </c>
      <c r="G802" s="37" t="s">
        <v>28</v>
      </c>
      <c r="H802" s="37" t="s">
        <v>11</v>
      </c>
    </row>
    <row r="803" ht="15.75" customHeight="1">
      <c r="A803" s="3" t="s">
        <v>215</v>
      </c>
      <c r="B803" s="13">
        <v>812477.93</v>
      </c>
      <c r="C803" s="13">
        <v>249121.46000000008</v>
      </c>
      <c r="D803" s="3">
        <v>6.0</v>
      </c>
      <c r="E803" s="11">
        <v>2015.0</v>
      </c>
      <c r="F803" s="3" t="s">
        <v>815</v>
      </c>
      <c r="G803" s="37" t="s">
        <v>23</v>
      </c>
      <c r="H803" s="37" t="s">
        <v>14</v>
      </c>
    </row>
    <row r="804" ht="15.75" customHeight="1">
      <c r="A804" s="3" t="s">
        <v>248</v>
      </c>
      <c r="B804" s="13">
        <v>2825600.19</v>
      </c>
      <c r="C804" s="13">
        <v>547798.75</v>
      </c>
      <c r="D804" s="3">
        <v>4.0</v>
      </c>
      <c r="E804" s="11">
        <v>2016.0</v>
      </c>
      <c r="F804" s="3" t="s">
        <v>818</v>
      </c>
      <c r="G804" s="37" t="s">
        <v>28</v>
      </c>
      <c r="H804" s="37" t="s">
        <v>7</v>
      </c>
    </row>
    <row r="805" ht="15.75" customHeight="1">
      <c r="A805" s="3" t="s">
        <v>650</v>
      </c>
      <c r="B805" s="13">
        <v>73794.74</v>
      </c>
      <c r="C805" s="13">
        <v>30239.270000000004</v>
      </c>
      <c r="D805" s="3">
        <v>12.0</v>
      </c>
      <c r="E805" s="11">
        <v>2015.0</v>
      </c>
      <c r="F805" s="3" t="s">
        <v>815</v>
      </c>
      <c r="G805" s="37" t="s">
        <v>28</v>
      </c>
      <c r="H805" s="37" t="s">
        <v>9</v>
      </c>
    </row>
    <row r="806" ht="15.75" customHeight="1">
      <c r="A806" s="3" t="s">
        <v>346</v>
      </c>
      <c r="B806" s="13">
        <v>38253.0</v>
      </c>
      <c r="C806" s="13">
        <v>9881.0</v>
      </c>
      <c r="D806" s="3">
        <v>9.0</v>
      </c>
      <c r="E806" s="11">
        <v>2011.0</v>
      </c>
      <c r="F806" s="3" t="s">
        <v>818</v>
      </c>
      <c r="G806" s="37" t="s">
        <v>28</v>
      </c>
      <c r="H806" s="37" t="s">
        <v>8</v>
      </c>
    </row>
    <row r="807" ht="15.75" customHeight="1">
      <c r="A807" s="3" t="s">
        <v>364</v>
      </c>
      <c r="B807" s="13">
        <v>800302.8</v>
      </c>
      <c r="C807" s="13">
        <v>300521.1000000001</v>
      </c>
      <c r="D807" s="3">
        <v>7.0</v>
      </c>
      <c r="E807" s="11">
        <v>2010.0</v>
      </c>
      <c r="F807" s="3" t="s">
        <v>818</v>
      </c>
      <c r="G807" s="37" t="s">
        <v>28</v>
      </c>
      <c r="H807" s="37" t="s">
        <v>10</v>
      </c>
    </row>
    <row r="808" ht="15.75" customHeight="1">
      <c r="A808" s="3" t="s">
        <v>635</v>
      </c>
      <c r="B808" s="13">
        <v>1220238.4</v>
      </c>
      <c r="C808" s="13">
        <v>458210.79999999993</v>
      </c>
      <c r="D808" s="3">
        <v>2.0</v>
      </c>
      <c r="E808" s="11">
        <v>2014.0</v>
      </c>
      <c r="F808" s="3" t="s">
        <v>818</v>
      </c>
      <c r="G808" s="37" t="s">
        <v>28</v>
      </c>
      <c r="H808" s="37" t="s">
        <v>10</v>
      </c>
    </row>
    <row r="809" ht="15.75" customHeight="1">
      <c r="A809" s="3" t="s">
        <v>488</v>
      </c>
      <c r="B809" s="13">
        <v>1427781.04</v>
      </c>
      <c r="C809" s="13">
        <v>536144.9800000001</v>
      </c>
      <c r="D809" s="3">
        <v>3.0</v>
      </c>
      <c r="E809" s="11">
        <v>2013.0</v>
      </c>
      <c r="F809" s="3" t="s">
        <v>818</v>
      </c>
      <c r="G809" s="37" t="s">
        <v>28</v>
      </c>
      <c r="H809" s="37" t="s">
        <v>10</v>
      </c>
    </row>
    <row r="810" ht="15.75" customHeight="1">
      <c r="A810" s="3" t="s">
        <v>288</v>
      </c>
      <c r="B810" s="13">
        <v>2831303.79</v>
      </c>
      <c r="C810" s="13">
        <v>383869.2000000002</v>
      </c>
      <c r="D810" s="3">
        <v>3.0</v>
      </c>
      <c r="E810" s="11">
        <v>2012.0</v>
      </c>
      <c r="F810" s="3" t="s">
        <v>818</v>
      </c>
      <c r="G810" s="37" t="s">
        <v>23</v>
      </c>
      <c r="H810" s="37" t="s">
        <v>11</v>
      </c>
    </row>
    <row r="811" ht="15.75" customHeight="1">
      <c r="A811" s="3" t="s">
        <v>653</v>
      </c>
      <c r="B811" s="13">
        <v>919720.2</v>
      </c>
      <c r="C811" s="13">
        <v>124696.0</v>
      </c>
      <c r="D811" s="3">
        <v>9.0</v>
      </c>
      <c r="E811" s="11">
        <v>2014.0</v>
      </c>
      <c r="F811" s="3" t="s">
        <v>818</v>
      </c>
      <c r="G811" s="37" t="s">
        <v>28</v>
      </c>
      <c r="H811" s="37" t="s">
        <v>11</v>
      </c>
    </row>
    <row r="812" ht="15.75" customHeight="1">
      <c r="A812" s="3" t="s">
        <v>218</v>
      </c>
      <c r="B812" s="13">
        <v>321501.76</v>
      </c>
      <c r="C812" s="13">
        <v>216060.47999999998</v>
      </c>
      <c r="D812" s="3">
        <v>8.0</v>
      </c>
      <c r="E812" s="11">
        <v>2012.0</v>
      </c>
      <c r="F812" s="3" t="s">
        <v>818</v>
      </c>
      <c r="G812" s="37" t="s">
        <v>28</v>
      </c>
      <c r="H812" s="37" t="s">
        <v>5</v>
      </c>
    </row>
    <row r="813" ht="15.75" customHeight="1">
      <c r="A813" s="3" t="s">
        <v>270</v>
      </c>
      <c r="B813" s="13">
        <v>70455.63</v>
      </c>
      <c r="C813" s="13">
        <v>9552.400000000001</v>
      </c>
      <c r="D813" s="3">
        <v>7.0</v>
      </c>
      <c r="E813" s="11">
        <v>2011.0</v>
      </c>
      <c r="F813" s="3" t="s">
        <v>818</v>
      </c>
      <c r="G813" s="37" t="s">
        <v>28</v>
      </c>
      <c r="H813" s="37" t="s">
        <v>11</v>
      </c>
    </row>
    <row r="814" ht="15.75" customHeight="1">
      <c r="A814" s="3" t="s">
        <v>270</v>
      </c>
      <c r="B814" s="13">
        <v>678956.64</v>
      </c>
      <c r="C814" s="13">
        <v>456282.72</v>
      </c>
      <c r="D814" s="3">
        <v>4.0</v>
      </c>
      <c r="E814" s="11">
        <v>2014.0</v>
      </c>
      <c r="F814" s="3" t="s">
        <v>815</v>
      </c>
      <c r="G814" s="37" t="s">
        <v>28</v>
      </c>
      <c r="H814" s="37" t="s">
        <v>5</v>
      </c>
    </row>
    <row r="815" ht="15.75" customHeight="1">
      <c r="A815" s="3" t="s">
        <v>346</v>
      </c>
      <c r="B815" s="13">
        <v>13584.48</v>
      </c>
      <c r="C815" s="13">
        <v>3508.959999999999</v>
      </c>
      <c r="D815" s="3">
        <v>1.0</v>
      </c>
      <c r="E815" s="11">
        <v>2014.0</v>
      </c>
      <c r="F815" s="3" t="s">
        <v>818</v>
      </c>
      <c r="G815" s="37" t="s">
        <v>28</v>
      </c>
      <c r="H815" s="37" t="s">
        <v>8</v>
      </c>
    </row>
    <row r="816" ht="15.75" customHeight="1">
      <c r="A816" s="3" t="s">
        <v>542</v>
      </c>
      <c r="B816" s="13">
        <v>277391.62</v>
      </c>
      <c r="C816" s="13">
        <v>85053.63999999998</v>
      </c>
      <c r="D816" s="3">
        <v>1.0</v>
      </c>
      <c r="E816" s="11">
        <v>2014.0</v>
      </c>
      <c r="F816" s="3" t="s">
        <v>818</v>
      </c>
      <c r="G816" s="37" t="s">
        <v>28</v>
      </c>
      <c r="H816" s="37" t="s">
        <v>14</v>
      </c>
    </row>
    <row r="817" ht="15.75" customHeight="1">
      <c r="A817" s="3" t="s">
        <v>373</v>
      </c>
      <c r="B817" s="13">
        <v>73119.21</v>
      </c>
      <c r="C817" s="13">
        <v>18887.170000000006</v>
      </c>
      <c r="D817" s="3">
        <v>2.0</v>
      </c>
      <c r="E817" s="11">
        <v>2014.0</v>
      </c>
      <c r="F817" s="3" t="s">
        <v>815</v>
      </c>
      <c r="G817" s="37" t="s">
        <v>28</v>
      </c>
      <c r="H817" s="37" t="s">
        <v>8</v>
      </c>
    </row>
    <row r="818" ht="15.75" customHeight="1">
      <c r="A818" s="3" t="s">
        <v>578</v>
      </c>
      <c r="B818" s="13">
        <v>430530.1</v>
      </c>
      <c r="C818" s="13">
        <v>185418.86999999997</v>
      </c>
      <c r="D818" s="3">
        <v>2.0</v>
      </c>
      <c r="E818" s="11">
        <v>2013.0</v>
      </c>
      <c r="F818" s="3" t="s">
        <v>818</v>
      </c>
      <c r="G818" s="37" t="s">
        <v>28</v>
      </c>
      <c r="H818" s="37" t="s">
        <v>3</v>
      </c>
    </row>
    <row r="819" ht="15.75" customHeight="1">
      <c r="A819" s="3" t="s">
        <v>288</v>
      </c>
      <c r="B819" s="13">
        <v>618242.78</v>
      </c>
      <c r="C819" s="13">
        <v>253340.69</v>
      </c>
      <c r="D819" s="3">
        <v>2.0</v>
      </c>
      <c r="E819" s="11">
        <v>2015.0</v>
      </c>
      <c r="F819" s="3" t="s">
        <v>815</v>
      </c>
      <c r="G819" s="37" t="s">
        <v>23</v>
      </c>
      <c r="H819" s="37" t="s">
        <v>9</v>
      </c>
    </row>
    <row r="820" ht="15.75" customHeight="1">
      <c r="A820" s="3" t="s">
        <v>650</v>
      </c>
      <c r="B820" s="13">
        <v>516025.56000000006</v>
      </c>
      <c r="C820" s="13">
        <v>186483.48000000004</v>
      </c>
      <c r="D820" s="3">
        <v>7.0</v>
      </c>
      <c r="E820" s="11">
        <v>2015.0</v>
      </c>
      <c r="F820" s="3" t="s">
        <v>815</v>
      </c>
      <c r="G820" s="37" t="s">
        <v>28</v>
      </c>
      <c r="H820" s="37" t="s">
        <v>13</v>
      </c>
    </row>
    <row r="821" ht="15.75" customHeight="1">
      <c r="A821" s="3" t="s">
        <v>270</v>
      </c>
      <c r="B821" s="13">
        <v>3090566.8</v>
      </c>
      <c r="C821" s="13">
        <v>1229087.03</v>
      </c>
      <c r="D821" s="3">
        <v>3.0</v>
      </c>
      <c r="E821" s="11">
        <v>2014.0</v>
      </c>
      <c r="F821" s="3" t="s">
        <v>815</v>
      </c>
      <c r="G821" s="37" t="s">
        <v>28</v>
      </c>
      <c r="H821" s="37" t="s">
        <v>12</v>
      </c>
    </row>
    <row r="822" ht="15.75" customHeight="1">
      <c r="A822" s="3" t="s">
        <v>123</v>
      </c>
      <c r="B822" s="13">
        <v>2402184.8</v>
      </c>
      <c r="C822" s="13">
        <v>902042.5999999999</v>
      </c>
      <c r="D822" s="3">
        <v>10.0</v>
      </c>
      <c r="E822" s="11">
        <v>2012.0</v>
      </c>
      <c r="F822" s="3" t="s">
        <v>815</v>
      </c>
      <c r="G822" s="37" t="s">
        <v>28</v>
      </c>
      <c r="H822" s="37" t="s">
        <v>10</v>
      </c>
    </row>
    <row r="823" ht="15.75" customHeight="1">
      <c r="A823" s="3" t="s">
        <v>821</v>
      </c>
      <c r="B823" s="13">
        <v>129098.34</v>
      </c>
      <c r="C823" s="13">
        <v>17503.199999999997</v>
      </c>
      <c r="D823" s="3">
        <v>9.0</v>
      </c>
      <c r="E823" s="11">
        <v>2012.0</v>
      </c>
      <c r="F823" s="3" t="s">
        <v>815</v>
      </c>
      <c r="G823" s="37" t="s">
        <v>821</v>
      </c>
      <c r="H823" s="37" t="s">
        <v>11</v>
      </c>
    </row>
    <row r="824" ht="15.75" customHeight="1">
      <c r="A824" s="3" t="s">
        <v>686</v>
      </c>
      <c r="B824" s="13">
        <v>1303293.2</v>
      </c>
      <c r="C824" s="13">
        <v>518306.47</v>
      </c>
      <c r="D824" s="3">
        <v>10.0</v>
      </c>
      <c r="E824" s="11">
        <v>2012.0</v>
      </c>
      <c r="F824" s="3" t="s">
        <v>815</v>
      </c>
      <c r="G824" s="37" t="s">
        <v>28</v>
      </c>
      <c r="H824" s="37" t="s">
        <v>12</v>
      </c>
    </row>
    <row r="825" ht="15.75" customHeight="1">
      <c r="A825" s="3" t="s">
        <v>97</v>
      </c>
      <c r="B825" s="13">
        <v>67754.17</v>
      </c>
      <c r="C825" s="13">
        <v>20774.739999999998</v>
      </c>
      <c r="D825" s="3">
        <v>7.0</v>
      </c>
      <c r="E825" s="11">
        <v>2013.0</v>
      </c>
      <c r="F825" s="3" t="s">
        <v>815</v>
      </c>
      <c r="G825" s="37" t="s">
        <v>28</v>
      </c>
      <c r="H825" s="37" t="s">
        <v>14</v>
      </c>
    </row>
    <row r="826" ht="15.75" customHeight="1">
      <c r="A826" s="3" t="s">
        <v>542</v>
      </c>
      <c r="B826" s="13">
        <v>43897.65</v>
      </c>
      <c r="C826" s="13">
        <v>11339.050000000003</v>
      </c>
      <c r="D826" s="3">
        <v>8.0</v>
      </c>
      <c r="E826" s="11">
        <v>2013.0</v>
      </c>
      <c r="F826" s="3" t="s">
        <v>818</v>
      </c>
      <c r="G826" s="37" t="s">
        <v>28</v>
      </c>
      <c r="H826" s="37" t="s">
        <v>8</v>
      </c>
    </row>
    <row r="827" ht="15.75" customHeight="1">
      <c r="A827" s="3" t="s">
        <v>650</v>
      </c>
      <c r="B827" s="13">
        <v>31933.850000000002</v>
      </c>
      <c r="C827" s="13">
        <v>10539.180000000004</v>
      </c>
      <c r="D827" s="3">
        <v>5.0</v>
      </c>
      <c r="E827" s="11">
        <v>2017.0</v>
      </c>
      <c r="F827" s="3" t="s">
        <v>815</v>
      </c>
      <c r="G827" s="37" t="s">
        <v>28</v>
      </c>
      <c r="H827" s="37" t="s">
        <v>6</v>
      </c>
    </row>
    <row r="828" ht="15.75" customHeight="1">
      <c r="A828" s="3" t="s">
        <v>123</v>
      </c>
      <c r="B828" s="13">
        <v>146047.0</v>
      </c>
      <c r="C828" s="13">
        <v>62898.899999999994</v>
      </c>
      <c r="D828" s="3">
        <v>3.0</v>
      </c>
      <c r="E828" s="11">
        <v>2011.0</v>
      </c>
      <c r="F828" s="3" t="s">
        <v>815</v>
      </c>
      <c r="G828" s="37" t="s">
        <v>28</v>
      </c>
      <c r="H828" s="37" t="s">
        <v>3</v>
      </c>
    </row>
    <row r="829" ht="15.75" customHeight="1">
      <c r="A829" s="3" t="s">
        <v>123</v>
      </c>
      <c r="B829" s="13">
        <v>1696846.16</v>
      </c>
      <c r="C829" s="13">
        <v>637181.4199999999</v>
      </c>
      <c r="D829" s="3">
        <v>4.0</v>
      </c>
      <c r="E829" s="11">
        <v>2015.0</v>
      </c>
      <c r="F829" s="3" t="s">
        <v>815</v>
      </c>
      <c r="G829" s="37" t="s">
        <v>28</v>
      </c>
      <c r="H829" s="37" t="s">
        <v>10</v>
      </c>
    </row>
    <row r="830" ht="15.75" customHeight="1">
      <c r="A830" s="3" t="s">
        <v>123</v>
      </c>
      <c r="B830" s="13">
        <v>3813485.7600000002</v>
      </c>
      <c r="C830" s="13">
        <v>739320.0</v>
      </c>
      <c r="D830" s="3">
        <v>10.0</v>
      </c>
      <c r="E830" s="11">
        <v>2015.0</v>
      </c>
      <c r="F830" s="3" t="s">
        <v>818</v>
      </c>
      <c r="G830" s="37" t="s">
        <v>28</v>
      </c>
      <c r="H830" s="37" t="s">
        <v>7</v>
      </c>
    </row>
    <row r="831" ht="15.75" customHeight="1">
      <c r="A831" s="3" t="s">
        <v>349</v>
      </c>
      <c r="B831" s="13">
        <v>1044.96</v>
      </c>
      <c r="C831" s="13">
        <v>269.9200000000001</v>
      </c>
      <c r="D831" s="3">
        <v>10.0</v>
      </c>
      <c r="E831" s="11">
        <v>2014.0</v>
      </c>
      <c r="F831" s="3" t="s">
        <v>815</v>
      </c>
      <c r="G831" s="37" t="s">
        <v>28</v>
      </c>
      <c r="H831" s="37" t="s">
        <v>8</v>
      </c>
    </row>
    <row r="832" ht="15.75" customHeight="1">
      <c r="A832" s="3" t="s">
        <v>142</v>
      </c>
      <c r="B832" s="13">
        <v>2635446.87</v>
      </c>
      <c r="C832" s="13">
        <v>510933.75</v>
      </c>
      <c r="D832" s="3">
        <v>11.0</v>
      </c>
      <c r="E832" s="11">
        <v>2015.0</v>
      </c>
      <c r="F832" s="3" t="s">
        <v>815</v>
      </c>
      <c r="G832" s="37" t="s">
        <v>28</v>
      </c>
      <c r="H832" s="37" t="s">
        <v>7</v>
      </c>
    </row>
    <row r="833" ht="15.75" customHeight="1">
      <c r="A833" s="3" t="s">
        <v>300</v>
      </c>
      <c r="B833" s="13">
        <v>356966.35000000003</v>
      </c>
      <c r="C833" s="13">
        <v>117810.18000000005</v>
      </c>
      <c r="D833" s="3">
        <v>5.0</v>
      </c>
      <c r="E833" s="11">
        <v>2011.0</v>
      </c>
      <c r="F833" s="3" t="s">
        <v>815</v>
      </c>
      <c r="G833" s="37" t="s">
        <v>28</v>
      </c>
      <c r="H833" s="37" t="s">
        <v>6</v>
      </c>
    </row>
    <row r="834" ht="15.75" customHeight="1">
      <c r="A834" s="3" t="s">
        <v>512</v>
      </c>
      <c r="B834" s="13">
        <v>148708.30000000002</v>
      </c>
      <c r="C834" s="13">
        <v>49078.44000000002</v>
      </c>
      <c r="D834" s="3">
        <v>10.0</v>
      </c>
      <c r="E834" s="11">
        <v>2015.0</v>
      </c>
      <c r="F834" s="3" t="s">
        <v>818</v>
      </c>
      <c r="G834" s="37" t="s">
        <v>28</v>
      </c>
      <c r="H834" s="37" t="s">
        <v>6</v>
      </c>
    </row>
    <row r="835" ht="15.75" customHeight="1">
      <c r="A835" s="3" t="s">
        <v>349</v>
      </c>
      <c r="B835" s="13">
        <v>2099746.53</v>
      </c>
      <c r="C835" s="13">
        <v>284684.3999999999</v>
      </c>
      <c r="D835" s="3">
        <v>5.0</v>
      </c>
      <c r="E835" s="11">
        <v>2011.0</v>
      </c>
      <c r="F835" s="3" t="s">
        <v>815</v>
      </c>
      <c r="G835" s="37" t="s">
        <v>28</v>
      </c>
      <c r="H835" s="37" t="s">
        <v>11</v>
      </c>
    </row>
    <row r="836" ht="15.75" customHeight="1">
      <c r="A836" s="3" t="s">
        <v>689</v>
      </c>
      <c r="B836" s="13">
        <v>1499818.95</v>
      </c>
      <c r="C836" s="13">
        <v>203346.0</v>
      </c>
      <c r="D836" s="3">
        <v>4.0</v>
      </c>
      <c r="E836" s="11">
        <v>2012.0</v>
      </c>
      <c r="F836" s="3" t="s">
        <v>818</v>
      </c>
      <c r="G836" s="37" t="s">
        <v>28</v>
      </c>
      <c r="H836" s="37" t="s">
        <v>11</v>
      </c>
    </row>
    <row r="837" ht="15.75" customHeight="1">
      <c r="A837" s="3" t="s">
        <v>300</v>
      </c>
      <c r="B837" s="13">
        <v>89194.8</v>
      </c>
      <c r="C837" s="13">
        <v>23039.600000000006</v>
      </c>
      <c r="D837" s="3">
        <v>7.0</v>
      </c>
      <c r="E837" s="11">
        <v>2017.0</v>
      </c>
      <c r="F837" s="3" t="s">
        <v>815</v>
      </c>
      <c r="G837" s="37" t="s">
        <v>28</v>
      </c>
      <c r="H837" s="37" t="s">
        <v>8</v>
      </c>
    </row>
    <row r="838" ht="15.75" customHeight="1">
      <c r="A838" s="3" t="s">
        <v>288</v>
      </c>
      <c r="B838" s="13">
        <v>403255.82</v>
      </c>
      <c r="C838" s="13">
        <v>123646.03999999998</v>
      </c>
      <c r="D838" s="3">
        <v>7.0</v>
      </c>
      <c r="E838" s="11">
        <v>2015.0</v>
      </c>
      <c r="F838" s="3" t="s">
        <v>818</v>
      </c>
      <c r="G838" s="37" t="s">
        <v>23</v>
      </c>
      <c r="H838" s="37" t="s">
        <v>14</v>
      </c>
    </row>
    <row r="839" ht="15.75" customHeight="1">
      <c r="A839" s="3" t="s">
        <v>97</v>
      </c>
      <c r="B839" s="13">
        <v>5294988.510000001</v>
      </c>
      <c r="C839" s="13">
        <v>1026538.75</v>
      </c>
      <c r="D839" s="3">
        <v>7.0</v>
      </c>
      <c r="E839" s="11">
        <v>2016.0</v>
      </c>
      <c r="F839" s="3" t="s">
        <v>818</v>
      </c>
      <c r="G839" s="37" t="s">
        <v>28</v>
      </c>
      <c r="H839" s="37" t="s">
        <v>7</v>
      </c>
    </row>
    <row r="840" ht="15.75" customHeight="1">
      <c r="A840" s="3" t="s">
        <v>300</v>
      </c>
      <c r="B840" s="13">
        <v>650976.27</v>
      </c>
      <c r="C840" s="13">
        <v>88259.59999999998</v>
      </c>
      <c r="D840" s="3">
        <v>9.0</v>
      </c>
      <c r="E840" s="11">
        <v>2016.0</v>
      </c>
      <c r="F840" s="3" t="s">
        <v>818</v>
      </c>
      <c r="G840" s="37" t="s">
        <v>28</v>
      </c>
      <c r="H840" s="37" t="s">
        <v>11</v>
      </c>
    </row>
    <row r="841" ht="15.75" customHeight="1">
      <c r="A841" s="3" t="s">
        <v>67</v>
      </c>
      <c r="B841" s="13">
        <v>144286.38</v>
      </c>
      <c r="C841" s="13">
        <v>19562.40000000001</v>
      </c>
      <c r="D841" s="3">
        <v>10.0</v>
      </c>
      <c r="E841" s="11">
        <v>2016.0</v>
      </c>
      <c r="F841" s="3" t="s">
        <v>818</v>
      </c>
      <c r="G841" s="37" t="s">
        <v>23</v>
      </c>
      <c r="H841" s="37" t="s">
        <v>11</v>
      </c>
    </row>
    <row r="842" ht="15.75" customHeight="1">
      <c r="A842" s="3" t="s">
        <v>542</v>
      </c>
      <c r="B842" s="13">
        <v>1319771.2</v>
      </c>
      <c r="C842" s="13">
        <v>568393.44</v>
      </c>
      <c r="D842" s="3">
        <v>6.0</v>
      </c>
      <c r="E842" s="11">
        <v>2013.0</v>
      </c>
      <c r="F842" s="3" t="s">
        <v>818</v>
      </c>
      <c r="G842" s="37" t="s">
        <v>28</v>
      </c>
      <c r="H842" s="37" t="s">
        <v>3</v>
      </c>
    </row>
    <row r="843" ht="15.75" customHeight="1">
      <c r="A843" s="3" t="s">
        <v>575</v>
      </c>
      <c r="B843" s="13">
        <v>440358.0</v>
      </c>
      <c r="C843" s="13">
        <v>165358.5</v>
      </c>
      <c r="D843" s="3">
        <v>2.0</v>
      </c>
      <c r="E843" s="11">
        <v>2016.0</v>
      </c>
      <c r="F843" s="3" t="s">
        <v>818</v>
      </c>
      <c r="G843" s="37" t="s">
        <v>28</v>
      </c>
      <c r="H843" s="37" t="s">
        <v>10</v>
      </c>
    </row>
    <row r="844" ht="15.75" customHeight="1">
      <c r="A844" s="3" t="s">
        <v>78</v>
      </c>
      <c r="B844" s="13">
        <v>439814.05000000005</v>
      </c>
      <c r="C844" s="13">
        <v>145152.54000000004</v>
      </c>
      <c r="D844" s="3">
        <v>11.0</v>
      </c>
      <c r="E844" s="11">
        <v>2016.0</v>
      </c>
      <c r="F844" s="3" t="s">
        <v>815</v>
      </c>
      <c r="G844" s="37" t="s">
        <v>28</v>
      </c>
      <c r="H844" s="37" t="s">
        <v>6</v>
      </c>
    </row>
    <row r="845" ht="15.75" customHeight="1">
      <c r="A845" s="3" t="s">
        <v>267</v>
      </c>
      <c r="B845" s="13">
        <v>1306523.04</v>
      </c>
      <c r="C845" s="13">
        <v>490611.4800000001</v>
      </c>
      <c r="D845" s="3">
        <v>10.0</v>
      </c>
      <c r="E845" s="11">
        <v>2010.0</v>
      </c>
      <c r="F845" s="3" t="s">
        <v>815</v>
      </c>
      <c r="G845" s="37" t="s">
        <v>28</v>
      </c>
      <c r="H845" s="37" t="s">
        <v>10</v>
      </c>
    </row>
    <row r="846" ht="15.75" customHeight="1">
      <c r="A846" s="3" t="s">
        <v>32</v>
      </c>
      <c r="B846" s="13">
        <v>1075643.04</v>
      </c>
      <c r="C846" s="13">
        <v>722869.9199999999</v>
      </c>
      <c r="D846" s="3">
        <v>4.0</v>
      </c>
      <c r="E846" s="11">
        <v>2011.0</v>
      </c>
      <c r="F846" s="3" t="s">
        <v>815</v>
      </c>
      <c r="G846" s="37" t="s">
        <v>28</v>
      </c>
      <c r="H846" s="37" t="s">
        <v>5</v>
      </c>
    </row>
    <row r="847" ht="15.75" customHeight="1">
      <c r="A847" s="3" t="s">
        <v>206</v>
      </c>
      <c r="B847" s="13">
        <v>991141.6200000001</v>
      </c>
      <c r="C847" s="13">
        <v>192152.5</v>
      </c>
      <c r="D847" s="3">
        <v>6.0</v>
      </c>
      <c r="E847" s="11">
        <v>2010.0</v>
      </c>
      <c r="F847" s="3" t="s">
        <v>815</v>
      </c>
      <c r="G847" s="37" t="s">
        <v>28</v>
      </c>
      <c r="H847" s="37" t="s">
        <v>7</v>
      </c>
    </row>
    <row r="848" ht="15.75" customHeight="1">
      <c r="A848" s="3" t="s">
        <v>248</v>
      </c>
      <c r="B848" s="13">
        <v>468568.75</v>
      </c>
      <c r="C848" s="13">
        <v>154642.5</v>
      </c>
      <c r="D848" s="3">
        <v>2.0</v>
      </c>
      <c r="E848" s="11">
        <v>2016.0</v>
      </c>
      <c r="F848" s="3" t="s">
        <v>815</v>
      </c>
      <c r="G848" s="37" t="s">
        <v>28</v>
      </c>
      <c r="H848" s="37" t="s">
        <v>6</v>
      </c>
    </row>
    <row r="849" ht="15.75" customHeight="1">
      <c r="A849" s="3" t="s">
        <v>142</v>
      </c>
      <c r="B849" s="13">
        <v>1149133.54</v>
      </c>
      <c r="C849" s="13">
        <v>470886.67000000004</v>
      </c>
      <c r="D849" s="3">
        <v>6.0</v>
      </c>
      <c r="E849" s="11">
        <v>2014.0</v>
      </c>
      <c r="F849" s="3" t="s">
        <v>818</v>
      </c>
      <c r="G849" s="37" t="s">
        <v>28</v>
      </c>
      <c r="H849" s="37" t="s">
        <v>9</v>
      </c>
    </row>
    <row r="850" ht="15.75" customHeight="1">
      <c r="A850" s="3" t="s">
        <v>428</v>
      </c>
      <c r="B850" s="13">
        <v>2354447.44</v>
      </c>
      <c r="C850" s="13">
        <v>884116.78</v>
      </c>
      <c r="D850" s="3">
        <v>10.0</v>
      </c>
      <c r="E850" s="11">
        <v>2012.0</v>
      </c>
      <c r="F850" s="3" t="s">
        <v>818</v>
      </c>
      <c r="G850" s="37" t="s">
        <v>28</v>
      </c>
      <c r="H850" s="37" t="s">
        <v>10</v>
      </c>
    </row>
    <row r="851" ht="15.75" customHeight="1">
      <c r="A851" s="3" t="s">
        <v>746</v>
      </c>
      <c r="B851" s="13">
        <v>732863.42</v>
      </c>
      <c r="C851" s="13">
        <v>300309.41000000003</v>
      </c>
      <c r="D851" s="3">
        <v>9.0</v>
      </c>
      <c r="E851" s="11">
        <v>2010.0</v>
      </c>
      <c r="F851" s="3" t="s">
        <v>815</v>
      </c>
      <c r="G851" s="37" t="s">
        <v>28</v>
      </c>
      <c r="H851" s="37" t="s">
        <v>9</v>
      </c>
    </row>
    <row r="852" ht="15.75" customHeight="1">
      <c r="A852" s="3" t="s">
        <v>653</v>
      </c>
      <c r="B852" s="13">
        <v>1783007.5999999999</v>
      </c>
      <c r="C852" s="13">
        <v>767898.1199999999</v>
      </c>
      <c r="D852" s="3">
        <v>2.0</v>
      </c>
      <c r="E852" s="11">
        <v>2012.0</v>
      </c>
      <c r="F852" s="3" t="s">
        <v>815</v>
      </c>
      <c r="G852" s="37" t="s">
        <v>28</v>
      </c>
      <c r="H852" s="37" t="s">
        <v>3</v>
      </c>
    </row>
    <row r="853" ht="15.75" customHeight="1">
      <c r="A853" s="3" t="s">
        <v>32</v>
      </c>
      <c r="B853" s="13">
        <v>288528.78</v>
      </c>
      <c r="C853" s="13">
        <v>104269.74000000002</v>
      </c>
      <c r="D853" s="3">
        <v>12.0</v>
      </c>
      <c r="E853" s="11">
        <v>2010.0</v>
      </c>
      <c r="F853" s="3" t="s">
        <v>815</v>
      </c>
      <c r="G853" s="37" t="s">
        <v>28</v>
      </c>
      <c r="H853" s="37" t="s">
        <v>13</v>
      </c>
    </row>
    <row r="854" ht="15.75" customHeight="1">
      <c r="A854" s="3" t="s">
        <v>536</v>
      </c>
      <c r="B854" s="13">
        <v>56655.3</v>
      </c>
      <c r="C854" s="13">
        <v>18698.04</v>
      </c>
      <c r="D854" s="3">
        <v>12.0</v>
      </c>
      <c r="E854" s="11">
        <v>2015.0</v>
      </c>
      <c r="F854" s="3" t="s">
        <v>818</v>
      </c>
      <c r="G854" s="37" t="s">
        <v>28</v>
      </c>
      <c r="H854" s="37" t="s">
        <v>6</v>
      </c>
    </row>
    <row r="855" ht="15.75" customHeight="1">
      <c r="A855" s="3" t="s">
        <v>248</v>
      </c>
      <c r="B855" s="13">
        <v>399149.4</v>
      </c>
      <c r="C855" s="13">
        <v>131731.92000000004</v>
      </c>
      <c r="D855" s="3">
        <v>2.0</v>
      </c>
      <c r="E855" s="11">
        <v>2017.0</v>
      </c>
      <c r="F855" s="3" t="s">
        <v>818</v>
      </c>
      <c r="G855" s="37" t="s">
        <v>28</v>
      </c>
      <c r="H855" s="37" t="s">
        <v>6</v>
      </c>
    </row>
    <row r="856" ht="15.75" customHeight="1">
      <c r="A856" s="3" t="s">
        <v>689</v>
      </c>
      <c r="B856" s="13">
        <v>241757.34000000003</v>
      </c>
      <c r="C856" s="13">
        <v>74127.48000000001</v>
      </c>
      <c r="D856" s="3">
        <v>4.0</v>
      </c>
      <c r="E856" s="11">
        <v>2014.0</v>
      </c>
      <c r="F856" s="3" t="s">
        <v>818</v>
      </c>
      <c r="G856" s="37" t="s">
        <v>28</v>
      </c>
      <c r="H856" s="37" t="s">
        <v>14</v>
      </c>
    </row>
    <row r="857" ht="15.75" customHeight="1">
      <c r="A857" s="3" t="s">
        <v>650</v>
      </c>
      <c r="B857" s="13">
        <v>3478763.8200000003</v>
      </c>
      <c r="C857" s="13">
        <v>674427.5</v>
      </c>
      <c r="D857" s="3">
        <v>3.0</v>
      </c>
      <c r="E857" s="11">
        <v>2016.0</v>
      </c>
      <c r="F857" s="3" t="s">
        <v>815</v>
      </c>
      <c r="G857" s="37" t="s">
        <v>28</v>
      </c>
      <c r="H857" s="37" t="s">
        <v>7</v>
      </c>
    </row>
    <row r="858" ht="15.75" customHeight="1">
      <c r="A858" s="3" t="s">
        <v>590</v>
      </c>
      <c r="B858" s="13">
        <v>1299523.86</v>
      </c>
      <c r="C858" s="13">
        <v>469627.3800000001</v>
      </c>
      <c r="D858" s="3">
        <v>1.0</v>
      </c>
      <c r="E858" s="11">
        <v>2010.0</v>
      </c>
      <c r="F858" s="3" t="s">
        <v>815</v>
      </c>
      <c r="G858" s="37" t="s">
        <v>28</v>
      </c>
      <c r="H858" s="37" t="s">
        <v>13</v>
      </c>
    </row>
    <row r="859" ht="15.75" customHeight="1">
      <c r="A859" s="3" t="s">
        <v>578</v>
      </c>
      <c r="B859" s="13">
        <v>1919939.71</v>
      </c>
      <c r="C859" s="13">
        <v>476142.2899999998</v>
      </c>
      <c r="D859" s="3">
        <v>2.0</v>
      </c>
      <c r="E859" s="11">
        <v>2015.0</v>
      </c>
      <c r="F859" s="3" t="s">
        <v>818</v>
      </c>
      <c r="G859" s="37" t="s">
        <v>28</v>
      </c>
      <c r="H859" s="37" t="s">
        <v>4</v>
      </c>
    </row>
    <row r="860" ht="15.75" customHeight="1">
      <c r="A860" s="3" t="s">
        <v>575</v>
      </c>
      <c r="B860" s="13">
        <v>1067788.7</v>
      </c>
      <c r="C860" s="13">
        <v>459870.68999999994</v>
      </c>
      <c r="D860" s="3">
        <v>2.0</v>
      </c>
      <c r="E860" s="11">
        <v>2014.0</v>
      </c>
      <c r="F860" s="3" t="s">
        <v>818</v>
      </c>
      <c r="G860" s="37" t="s">
        <v>28</v>
      </c>
      <c r="H860" s="37" t="s">
        <v>3</v>
      </c>
    </row>
    <row r="861" ht="15.75" customHeight="1">
      <c r="A861" s="3" t="s">
        <v>300</v>
      </c>
      <c r="B861" s="13">
        <v>57855.33</v>
      </c>
      <c r="C861" s="13">
        <v>14944.410000000003</v>
      </c>
      <c r="D861" s="3">
        <v>5.0</v>
      </c>
      <c r="E861" s="11">
        <v>2014.0</v>
      </c>
      <c r="F861" s="3" t="s">
        <v>818</v>
      </c>
      <c r="G861" s="37" t="s">
        <v>28</v>
      </c>
      <c r="H861" s="37" t="s">
        <v>8</v>
      </c>
    </row>
    <row r="862" ht="15.75" customHeight="1">
      <c r="A862" s="3" t="s">
        <v>686</v>
      </c>
      <c r="B862" s="13">
        <v>5191789.63</v>
      </c>
      <c r="C862" s="13">
        <v>1287556.3699999996</v>
      </c>
      <c r="D862" s="3">
        <v>6.0</v>
      </c>
      <c r="E862" s="11">
        <v>2011.0</v>
      </c>
      <c r="F862" s="3" t="s">
        <v>818</v>
      </c>
      <c r="G862" s="37" t="s">
        <v>28</v>
      </c>
      <c r="H862" s="37" t="s">
        <v>4</v>
      </c>
    </row>
    <row r="863" ht="15.75" customHeight="1">
      <c r="A863" s="3" t="s">
        <v>635</v>
      </c>
      <c r="B863" s="13">
        <v>5807490.78</v>
      </c>
      <c r="C863" s="13">
        <v>1125897.5</v>
      </c>
      <c r="D863" s="3">
        <v>5.0</v>
      </c>
      <c r="E863" s="11">
        <v>2015.0</v>
      </c>
      <c r="F863" s="3" t="s">
        <v>815</v>
      </c>
      <c r="G863" s="37" t="s">
        <v>28</v>
      </c>
      <c r="H863" s="37" t="s">
        <v>7</v>
      </c>
    </row>
    <row r="864" ht="15.75" customHeight="1">
      <c r="A864" s="3" t="s">
        <v>206</v>
      </c>
      <c r="B864" s="13">
        <v>6468853.6</v>
      </c>
      <c r="C864" s="13">
        <v>1604266.3999999994</v>
      </c>
      <c r="D864" s="3">
        <v>4.0</v>
      </c>
      <c r="E864" s="11">
        <v>2013.0</v>
      </c>
      <c r="F864" s="3" t="s">
        <v>815</v>
      </c>
      <c r="G864" s="37" t="s">
        <v>28</v>
      </c>
      <c r="H864" s="37" t="s">
        <v>4</v>
      </c>
    </row>
    <row r="865" ht="15.75" customHeight="1">
      <c r="A865" s="3" t="s">
        <v>593</v>
      </c>
      <c r="B865" s="13">
        <v>170945.19999999998</v>
      </c>
      <c r="C865" s="13">
        <v>67983.16999999998</v>
      </c>
      <c r="D865" s="3">
        <v>7.0</v>
      </c>
      <c r="E865" s="11">
        <v>2015.0</v>
      </c>
      <c r="F865" s="3" t="s">
        <v>818</v>
      </c>
      <c r="G865" s="37" t="s">
        <v>28</v>
      </c>
      <c r="H865" s="37" t="s">
        <v>12</v>
      </c>
    </row>
    <row r="866" ht="15.75" customHeight="1">
      <c r="A866" s="3" t="s">
        <v>248</v>
      </c>
      <c r="B866" s="13">
        <v>13441.44</v>
      </c>
      <c r="C866" s="13">
        <v>9033.119999999999</v>
      </c>
      <c r="D866" s="3">
        <v>12.0</v>
      </c>
      <c r="E866" s="11">
        <v>2016.0</v>
      </c>
      <c r="F866" s="3" t="s">
        <v>818</v>
      </c>
      <c r="G866" s="37" t="s">
        <v>28</v>
      </c>
      <c r="H866" s="37" t="s">
        <v>5</v>
      </c>
    </row>
    <row r="867" ht="15.75" customHeight="1">
      <c r="A867" s="3" t="s">
        <v>740</v>
      </c>
      <c r="B867" s="13">
        <v>21489.93</v>
      </c>
      <c r="C867" s="13">
        <v>4166.25</v>
      </c>
      <c r="D867" s="3">
        <v>3.0</v>
      </c>
      <c r="E867" s="11">
        <v>2016.0</v>
      </c>
      <c r="F867" s="3" t="s">
        <v>818</v>
      </c>
      <c r="G867" s="37" t="s">
        <v>28</v>
      </c>
      <c r="H867" s="37" t="s">
        <v>7</v>
      </c>
    </row>
    <row r="868" ht="15.75" customHeight="1">
      <c r="A868" s="3" t="s">
        <v>455</v>
      </c>
      <c r="B868" s="13">
        <v>1632714.3</v>
      </c>
      <c r="C868" s="13">
        <v>221364.0</v>
      </c>
      <c r="D868" s="3">
        <v>6.0</v>
      </c>
      <c r="E868" s="11">
        <v>2014.0</v>
      </c>
      <c r="F868" s="3" t="s">
        <v>818</v>
      </c>
      <c r="G868" s="37" t="s">
        <v>28</v>
      </c>
      <c r="H868" s="37" t="s">
        <v>11</v>
      </c>
    </row>
    <row r="869" ht="15.75" customHeight="1">
      <c r="A869" s="3" t="s">
        <v>578</v>
      </c>
      <c r="B869" s="13">
        <v>3794478.6599999997</v>
      </c>
      <c r="C869" s="13">
        <v>514456.7999999998</v>
      </c>
      <c r="D869" s="3">
        <v>11.0</v>
      </c>
      <c r="E869" s="11">
        <v>2011.0</v>
      </c>
      <c r="F869" s="3" t="s">
        <v>815</v>
      </c>
      <c r="G869" s="37" t="s">
        <v>28</v>
      </c>
      <c r="H869" s="37" t="s">
        <v>11</v>
      </c>
    </row>
    <row r="870" ht="15.75" customHeight="1">
      <c r="A870" s="3" t="s">
        <v>590</v>
      </c>
      <c r="B870" s="13">
        <v>92908.14</v>
      </c>
      <c r="C870" s="13">
        <v>23998.78</v>
      </c>
      <c r="D870" s="3">
        <v>7.0</v>
      </c>
      <c r="E870" s="11">
        <v>2010.0</v>
      </c>
      <c r="F870" s="3" t="s">
        <v>818</v>
      </c>
      <c r="G870" s="37" t="s">
        <v>28</v>
      </c>
      <c r="H870" s="37" t="s">
        <v>8</v>
      </c>
    </row>
    <row r="871" ht="15.75" customHeight="1">
      <c r="A871" s="3" t="s">
        <v>635</v>
      </c>
      <c r="B871" s="13">
        <v>84921.66</v>
      </c>
      <c r="C871" s="13">
        <v>21935.820000000007</v>
      </c>
      <c r="D871" s="3">
        <v>9.0</v>
      </c>
      <c r="E871" s="11">
        <v>2015.0</v>
      </c>
      <c r="F871" s="3" t="s">
        <v>815</v>
      </c>
      <c r="G871" s="37" t="s">
        <v>28</v>
      </c>
      <c r="H871" s="37" t="s">
        <v>8</v>
      </c>
    </row>
    <row r="872" ht="15.75" customHeight="1">
      <c r="A872" s="3" t="s">
        <v>536</v>
      </c>
      <c r="B872" s="13">
        <v>4142605.73</v>
      </c>
      <c r="C872" s="13">
        <v>1027360.27</v>
      </c>
      <c r="D872" s="3">
        <v>7.0</v>
      </c>
      <c r="E872" s="11">
        <v>2014.0</v>
      </c>
      <c r="F872" s="3" t="s">
        <v>815</v>
      </c>
      <c r="G872" s="37" t="s">
        <v>28</v>
      </c>
      <c r="H872" s="37" t="s">
        <v>4</v>
      </c>
    </row>
    <row r="873" ht="15.75" customHeight="1">
      <c r="A873" s="3" t="s">
        <v>221</v>
      </c>
      <c r="B873" s="13">
        <v>1179689.5</v>
      </c>
      <c r="C873" s="13">
        <v>508063.65</v>
      </c>
      <c r="D873" s="3">
        <v>9.0</v>
      </c>
      <c r="E873" s="11">
        <v>2014.0</v>
      </c>
      <c r="F873" s="3" t="s">
        <v>815</v>
      </c>
      <c r="G873" s="37" t="s">
        <v>28</v>
      </c>
      <c r="H873" s="37" t="s">
        <v>3</v>
      </c>
    </row>
    <row r="874" ht="15.75" customHeight="1">
      <c r="A874" s="3" t="s">
        <v>578</v>
      </c>
      <c r="B874" s="13">
        <v>417149.92000000004</v>
      </c>
      <c r="C874" s="13">
        <v>127906.24000000005</v>
      </c>
      <c r="D874" s="3">
        <v>2.0</v>
      </c>
      <c r="E874" s="11">
        <v>2015.0</v>
      </c>
      <c r="F874" s="3" t="s">
        <v>815</v>
      </c>
      <c r="G874" s="37" t="s">
        <v>28</v>
      </c>
      <c r="H874" s="37" t="s">
        <v>14</v>
      </c>
    </row>
    <row r="875" ht="15.75" customHeight="1">
      <c r="A875" s="3" t="s">
        <v>623</v>
      </c>
      <c r="B875" s="13">
        <v>1272570.8</v>
      </c>
      <c r="C875" s="13">
        <v>477862.1000000001</v>
      </c>
      <c r="D875" s="3">
        <v>10.0</v>
      </c>
      <c r="E875" s="11">
        <v>2012.0</v>
      </c>
      <c r="F875" s="3" t="s">
        <v>815</v>
      </c>
      <c r="G875" s="37" t="s">
        <v>28</v>
      </c>
      <c r="H875" s="37" t="s">
        <v>10</v>
      </c>
    </row>
    <row r="876" ht="15.75" customHeight="1">
      <c r="A876" s="3" t="s">
        <v>67</v>
      </c>
      <c r="B876" s="13">
        <v>290877.07</v>
      </c>
      <c r="C876" s="13">
        <v>89188.54000000001</v>
      </c>
      <c r="D876" s="3">
        <v>1.0</v>
      </c>
      <c r="E876" s="11">
        <v>2010.0</v>
      </c>
      <c r="F876" s="3" t="s">
        <v>815</v>
      </c>
      <c r="G876" s="37" t="s">
        <v>23</v>
      </c>
      <c r="H876" s="37" t="s">
        <v>14</v>
      </c>
    </row>
    <row r="877" ht="15.75" customHeight="1">
      <c r="A877" s="3" t="s">
        <v>578</v>
      </c>
      <c r="B877" s="13">
        <v>3346431.48</v>
      </c>
      <c r="C877" s="13">
        <v>453710.3999999999</v>
      </c>
      <c r="D877" s="3">
        <v>2.0</v>
      </c>
      <c r="E877" s="11">
        <v>2013.0</v>
      </c>
      <c r="F877" s="3" t="s">
        <v>815</v>
      </c>
      <c r="G877" s="37" t="s">
        <v>28</v>
      </c>
      <c r="H877" s="37" t="s">
        <v>11</v>
      </c>
    </row>
    <row r="878" ht="15.75" customHeight="1">
      <c r="A878" s="3" t="s">
        <v>97</v>
      </c>
      <c r="B878" s="13">
        <v>50587.26</v>
      </c>
      <c r="C878" s="13">
        <v>13067.020000000004</v>
      </c>
      <c r="D878" s="3">
        <v>6.0</v>
      </c>
      <c r="E878" s="11">
        <v>2014.0</v>
      </c>
      <c r="F878" s="3" t="s">
        <v>815</v>
      </c>
      <c r="G878" s="37" t="s">
        <v>28</v>
      </c>
      <c r="H878" s="37" t="s">
        <v>8</v>
      </c>
    </row>
    <row r="879" ht="15.75" customHeight="1">
      <c r="A879" s="3" t="s">
        <v>97</v>
      </c>
      <c r="B879" s="13">
        <v>1678848.0</v>
      </c>
      <c r="C879" s="13">
        <v>667660.8</v>
      </c>
      <c r="D879" s="3">
        <v>7.0</v>
      </c>
      <c r="E879" s="11">
        <v>2015.0</v>
      </c>
      <c r="F879" s="3" t="s">
        <v>818</v>
      </c>
      <c r="G879" s="37" t="s">
        <v>28</v>
      </c>
      <c r="H879" s="37" t="s">
        <v>12</v>
      </c>
    </row>
    <row r="880" ht="15.75" customHeight="1">
      <c r="A880" s="3" t="s">
        <v>689</v>
      </c>
      <c r="B880" s="13">
        <v>1245112.92</v>
      </c>
      <c r="C880" s="13">
        <v>510216.6599999999</v>
      </c>
      <c r="D880" s="3">
        <v>10.0</v>
      </c>
      <c r="E880" s="11">
        <v>2012.0</v>
      </c>
      <c r="F880" s="3" t="s">
        <v>815</v>
      </c>
      <c r="G880" s="37" t="s">
        <v>28</v>
      </c>
      <c r="H880" s="37" t="s">
        <v>9</v>
      </c>
    </row>
    <row r="881" ht="15.75" customHeight="1">
      <c r="A881" s="3" t="s">
        <v>482</v>
      </c>
      <c r="B881" s="13">
        <v>781392.3200000001</v>
      </c>
      <c r="C881" s="13">
        <v>320195.36000000004</v>
      </c>
      <c r="D881" s="3">
        <v>11.0</v>
      </c>
      <c r="E881" s="11">
        <v>2012.0</v>
      </c>
      <c r="F881" s="3" t="s">
        <v>818</v>
      </c>
      <c r="G881" s="37" t="s">
        <v>28</v>
      </c>
      <c r="H881" s="37" t="s">
        <v>9</v>
      </c>
    </row>
    <row r="882" ht="15.75" customHeight="1">
      <c r="A882" s="3" t="s">
        <v>142</v>
      </c>
      <c r="B882" s="13">
        <v>4080481.8600000003</v>
      </c>
      <c r="C882" s="13">
        <v>791082.5</v>
      </c>
      <c r="D882" s="3">
        <v>10.0</v>
      </c>
      <c r="E882" s="11">
        <v>2010.0</v>
      </c>
      <c r="F882" s="3" t="s">
        <v>815</v>
      </c>
      <c r="G882" s="37" t="s">
        <v>28</v>
      </c>
      <c r="H882" s="37" t="s">
        <v>7</v>
      </c>
    </row>
    <row r="883" ht="15.75" customHeight="1">
      <c r="A883" s="3" t="s">
        <v>821</v>
      </c>
      <c r="B883" s="13">
        <v>1397352.57</v>
      </c>
      <c r="C883" s="13">
        <v>346541.42999999993</v>
      </c>
      <c r="D883" s="3">
        <v>6.0</v>
      </c>
      <c r="E883" s="11">
        <v>2014.0</v>
      </c>
      <c r="F883" s="3" t="s">
        <v>815</v>
      </c>
      <c r="G883" s="37" t="s">
        <v>821</v>
      </c>
      <c r="H883" s="37" t="s">
        <v>4</v>
      </c>
    </row>
    <row r="884" ht="15.75" customHeight="1">
      <c r="A884" s="3" t="s">
        <v>97</v>
      </c>
      <c r="B884" s="13">
        <v>1710395.5</v>
      </c>
      <c r="C884" s="13">
        <v>736625.85</v>
      </c>
      <c r="D884" s="3">
        <v>12.0</v>
      </c>
      <c r="E884" s="11">
        <v>2012.0</v>
      </c>
      <c r="F884" s="3" t="s">
        <v>815</v>
      </c>
      <c r="G884" s="37" t="s">
        <v>28</v>
      </c>
      <c r="H884" s="37" t="s">
        <v>3</v>
      </c>
    </row>
    <row r="885" ht="15.75" customHeight="1">
      <c r="A885" s="3" t="s">
        <v>373</v>
      </c>
      <c r="B885" s="13">
        <v>132317.46</v>
      </c>
      <c r="C885" s="13">
        <v>32814.53999999999</v>
      </c>
      <c r="D885" s="3">
        <v>2.0</v>
      </c>
      <c r="E885" s="11">
        <v>2011.0</v>
      </c>
      <c r="F885" s="3" t="s">
        <v>818</v>
      </c>
      <c r="G885" s="37" t="s">
        <v>28</v>
      </c>
      <c r="H885" s="37" t="s">
        <v>4</v>
      </c>
    </row>
    <row r="886" ht="15.75" customHeight="1">
      <c r="A886" s="3" t="s">
        <v>686</v>
      </c>
      <c r="B886" s="13">
        <v>753295.6</v>
      </c>
      <c r="C886" s="13">
        <v>299578.01</v>
      </c>
      <c r="D886" s="3">
        <v>6.0</v>
      </c>
      <c r="E886" s="11">
        <v>2012.0</v>
      </c>
      <c r="F886" s="3" t="s">
        <v>818</v>
      </c>
      <c r="G886" s="37" t="s">
        <v>28</v>
      </c>
      <c r="H886" s="37" t="s">
        <v>12</v>
      </c>
    </row>
    <row r="887" ht="15.75" customHeight="1">
      <c r="A887" s="3" t="s">
        <v>428</v>
      </c>
      <c r="B887" s="13">
        <v>1449477.63</v>
      </c>
      <c r="C887" s="13">
        <v>359468.3699999999</v>
      </c>
      <c r="D887" s="3">
        <v>4.0</v>
      </c>
      <c r="E887" s="11">
        <v>2014.0</v>
      </c>
      <c r="F887" s="3" t="s">
        <v>815</v>
      </c>
      <c r="G887" s="37" t="s">
        <v>28</v>
      </c>
      <c r="H887" s="37" t="s">
        <v>4</v>
      </c>
    </row>
    <row r="888" ht="15.75" customHeight="1">
      <c r="A888" s="3" t="s">
        <v>267</v>
      </c>
      <c r="B888" s="13">
        <v>339394.18</v>
      </c>
      <c r="C888" s="13">
        <v>139075.38999999998</v>
      </c>
      <c r="D888" s="3">
        <v>6.0</v>
      </c>
      <c r="E888" s="11">
        <v>2017.0</v>
      </c>
      <c r="F888" s="3" t="s">
        <v>815</v>
      </c>
      <c r="G888" s="37" t="s">
        <v>28</v>
      </c>
      <c r="H888" s="37" t="s">
        <v>9</v>
      </c>
    </row>
    <row r="889" ht="15.75" customHeight="1">
      <c r="A889" s="3" t="s">
        <v>97</v>
      </c>
      <c r="B889" s="13">
        <v>137984.6</v>
      </c>
      <c r="C889" s="13">
        <v>45539.28000000001</v>
      </c>
      <c r="D889" s="3">
        <v>3.0</v>
      </c>
      <c r="E889" s="11">
        <v>2010.0</v>
      </c>
      <c r="F889" s="3" t="s">
        <v>815</v>
      </c>
      <c r="G889" s="37" t="s">
        <v>28</v>
      </c>
      <c r="H889" s="37" t="s">
        <v>6</v>
      </c>
    </row>
    <row r="890" ht="15.75" customHeight="1">
      <c r="A890" s="3" t="s">
        <v>101</v>
      </c>
      <c r="B890" s="13">
        <v>1144049.56</v>
      </c>
      <c r="C890" s="13">
        <v>468803.38</v>
      </c>
      <c r="D890" s="3">
        <v>5.0</v>
      </c>
      <c r="E890" s="11">
        <v>2013.0</v>
      </c>
      <c r="F890" s="3" t="s">
        <v>815</v>
      </c>
      <c r="G890" s="37" t="s">
        <v>28</v>
      </c>
      <c r="H890" s="37" t="s">
        <v>9</v>
      </c>
    </row>
    <row r="891" ht="15.75" customHeight="1">
      <c r="A891" s="3" t="s">
        <v>590</v>
      </c>
      <c r="B891" s="13">
        <v>2477759.9699999997</v>
      </c>
      <c r="C891" s="13">
        <v>335935.5999999996</v>
      </c>
      <c r="D891" s="3">
        <v>1.0</v>
      </c>
      <c r="E891" s="11">
        <v>2016.0</v>
      </c>
      <c r="F891" s="3" t="s">
        <v>818</v>
      </c>
      <c r="G891" s="37" t="s">
        <v>28</v>
      </c>
      <c r="H891" s="37" t="s">
        <v>11</v>
      </c>
    </row>
    <row r="892" ht="15.75" customHeight="1">
      <c r="A892" s="3" t="s">
        <v>291</v>
      </c>
      <c r="B892" s="13">
        <v>45362.200000000004</v>
      </c>
      <c r="C892" s="13">
        <v>14970.960000000006</v>
      </c>
      <c r="D892" s="3">
        <v>11.0</v>
      </c>
      <c r="E892" s="11">
        <v>2015.0</v>
      </c>
      <c r="F892" s="3" t="s">
        <v>818</v>
      </c>
      <c r="G892" s="37" t="s">
        <v>28</v>
      </c>
      <c r="H892" s="37" t="s">
        <v>6</v>
      </c>
    </row>
    <row r="893" ht="15.75" customHeight="1">
      <c r="A893" s="3" t="s">
        <v>686</v>
      </c>
      <c r="B893" s="13">
        <v>288989.2</v>
      </c>
      <c r="C893" s="13">
        <v>114928.07000000004</v>
      </c>
      <c r="D893" s="3">
        <v>8.0</v>
      </c>
      <c r="E893" s="11">
        <v>2013.0</v>
      </c>
      <c r="F893" s="3" t="s">
        <v>815</v>
      </c>
      <c r="G893" s="37" t="s">
        <v>28</v>
      </c>
      <c r="H893" s="37" t="s">
        <v>12</v>
      </c>
    </row>
    <row r="894" ht="15.75" customHeight="1">
      <c r="A894" s="3" t="s">
        <v>578</v>
      </c>
      <c r="B894" s="13">
        <v>247519.2</v>
      </c>
      <c r="C894" s="13">
        <v>166341.6</v>
      </c>
      <c r="D894" s="3">
        <v>2.0</v>
      </c>
      <c r="E894" s="11">
        <v>2012.0</v>
      </c>
      <c r="F894" s="3" t="s">
        <v>818</v>
      </c>
      <c r="G894" s="37" t="s">
        <v>28</v>
      </c>
      <c r="H894" s="37" t="s">
        <v>5</v>
      </c>
    </row>
    <row r="895" ht="15.75" customHeight="1">
      <c r="A895" s="3" t="s">
        <v>575</v>
      </c>
      <c r="B895" s="13">
        <v>1156163.12</v>
      </c>
      <c r="C895" s="13">
        <v>434149.9400000002</v>
      </c>
      <c r="D895" s="3">
        <v>9.0</v>
      </c>
      <c r="E895" s="11">
        <v>2011.0</v>
      </c>
      <c r="F895" s="3" t="s">
        <v>815</v>
      </c>
      <c r="G895" s="37" t="s">
        <v>28</v>
      </c>
      <c r="H895" s="37" t="s">
        <v>10</v>
      </c>
    </row>
    <row r="896" ht="15.75" customHeight="1">
      <c r="A896" s="3" t="s">
        <v>488</v>
      </c>
      <c r="B896" s="13">
        <v>242820.16</v>
      </c>
      <c r="C896" s="13">
        <v>163183.68</v>
      </c>
      <c r="D896" s="3">
        <v>4.0</v>
      </c>
      <c r="E896" s="11">
        <v>2016.0</v>
      </c>
      <c r="F896" s="3" t="s">
        <v>815</v>
      </c>
      <c r="G896" s="37" t="s">
        <v>28</v>
      </c>
      <c r="H896" s="37" t="s">
        <v>5</v>
      </c>
    </row>
    <row r="897" ht="15.75" customHeight="1">
      <c r="A897" s="3" t="s">
        <v>300</v>
      </c>
      <c r="B897" s="13">
        <v>1721091.9</v>
      </c>
      <c r="C897" s="13">
        <v>741232.5299999999</v>
      </c>
      <c r="D897" s="3">
        <v>1.0</v>
      </c>
      <c r="E897" s="11">
        <v>2010.0</v>
      </c>
      <c r="F897" s="3" t="s">
        <v>815</v>
      </c>
      <c r="G897" s="37" t="s">
        <v>28</v>
      </c>
      <c r="H897" s="37" t="s">
        <v>3</v>
      </c>
    </row>
    <row r="898" ht="15.75" customHeight="1">
      <c r="A898" s="3" t="s">
        <v>686</v>
      </c>
      <c r="B898" s="13">
        <v>3960168.02</v>
      </c>
      <c r="C898" s="13">
        <v>982115.98</v>
      </c>
      <c r="D898" s="3">
        <v>6.0</v>
      </c>
      <c r="E898" s="11">
        <v>2010.0</v>
      </c>
      <c r="F898" s="3" t="s">
        <v>818</v>
      </c>
      <c r="G898" s="37" t="s">
        <v>28</v>
      </c>
      <c r="H898" s="37" t="s">
        <v>4</v>
      </c>
    </row>
    <row r="899" ht="15.75" customHeight="1">
      <c r="A899" s="3" t="s">
        <v>512</v>
      </c>
      <c r="B899" s="13">
        <v>3389.32</v>
      </c>
      <c r="C899" s="13">
        <v>1388.8600000000001</v>
      </c>
      <c r="D899" s="3">
        <v>3.0</v>
      </c>
      <c r="E899" s="11">
        <v>2017.0</v>
      </c>
      <c r="F899" s="3" t="s">
        <v>818</v>
      </c>
      <c r="G899" s="37" t="s">
        <v>28</v>
      </c>
      <c r="H899" s="37" t="s">
        <v>9</v>
      </c>
    </row>
    <row r="900" ht="15.75" customHeight="1">
      <c r="A900" s="3" t="s">
        <v>142</v>
      </c>
      <c r="B900" s="13">
        <v>400962.0</v>
      </c>
      <c r="C900" s="13">
        <v>99438.0</v>
      </c>
      <c r="D900" s="3">
        <v>5.0</v>
      </c>
      <c r="E900" s="11">
        <v>2017.0</v>
      </c>
      <c r="F900" s="3" t="s">
        <v>815</v>
      </c>
      <c r="G900" s="37" t="s">
        <v>28</v>
      </c>
      <c r="H900" s="37" t="s">
        <v>4</v>
      </c>
    </row>
    <row r="901" ht="15.75" customHeight="1">
      <c r="A901" s="3" t="s">
        <v>346</v>
      </c>
      <c r="B901" s="13">
        <v>1113985.5999999999</v>
      </c>
      <c r="C901" s="13">
        <v>443020.7599999999</v>
      </c>
      <c r="D901" s="3">
        <v>6.0</v>
      </c>
      <c r="E901" s="11">
        <v>2013.0</v>
      </c>
      <c r="F901" s="3" t="s">
        <v>818</v>
      </c>
      <c r="G901" s="37" t="s">
        <v>28</v>
      </c>
      <c r="H901" s="37" t="s">
        <v>12</v>
      </c>
    </row>
    <row r="902" ht="15.75" customHeight="1">
      <c r="A902" s="3" t="s">
        <v>373</v>
      </c>
      <c r="B902" s="13">
        <v>438322.08</v>
      </c>
      <c r="C902" s="13">
        <v>294567.83999999997</v>
      </c>
      <c r="D902" s="3">
        <v>1.0</v>
      </c>
      <c r="E902" s="11">
        <v>2010.0</v>
      </c>
      <c r="F902" s="3" t="s">
        <v>815</v>
      </c>
      <c r="G902" s="37" t="s">
        <v>28</v>
      </c>
      <c r="H902" s="37" t="s">
        <v>5</v>
      </c>
    </row>
    <row r="903" ht="15.75" customHeight="1">
      <c r="A903" s="3" t="s">
        <v>512</v>
      </c>
      <c r="B903" s="13">
        <v>318764.79</v>
      </c>
      <c r="C903" s="13">
        <v>79053.20999999996</v>
      </c>
      <c r="D903" s="3">
        <v>11.0</v>
      </c>
      <c r="E903" s="11">
        <v>2016.0</v>
      </c>
      <c r="F903" s="3" t="s">
        <v>815</v>
      </c>
      <c r="G903" s="37" t="s">
        <v>28</v>
      </c>
      <c r="H903" s="37" t="s">
        <v>4</v>
      </c>
    </row>
    <row r="904" ht="15.75" customHeight="1">
      <c r="A904" s="3" t="s">
        <v>653</v>
      </c>
      <c r="B904" s="13">
        <v>714376.22</v>
      </c>
      <c r="C904" s="13">
        <v>292733.80999999994</v>
      </c>
      <c r="D904" s="3">
        <v>2.0</v>
      </c>
      <c r="E904" s="11">
        <v>2013.0</v>
      </c>
      <c r="F904" s="3" t="s">
        <v>818</v>
      </c>
      <c r="G904" s="37" t="s">
        <v>28</v>
      </c>
      <c r="H904" s="37" t="s">
        <v>9</v>
      </c>
    </row>
    <row r="905" ht="15.75" customHeight="1">
      <c r="A905" s="3" t="s">
        <v>97</v>
      </c>
      <c r="B905" s="13">
        <v>684748.48</v>
      </c>
      <c r="C905" s="13">
        <v>460175.0399999999</v>
      </c>
      <c r="D905" s="3">
        <v>12.0</v>
      </c>
      <c r="E905" s="11">
        <v>2016.0</v>
      </c>
      <c r="F905" s="3" t="s">
        <v>818</v>
      </c>
      <c r="G905" s="37" t="s">
        <v>28</v>
      </c>
      <c r="H905" s="37" t="s">
        <v>5</v>
      </c>
    </row>
    <row r="906" ht="15.75" customHeight="1">
      <c r="A906" s="3" t="s">
        <v>218</v>
      </c>
      <c r="B906" s="13">
        <v>563645.04</v>
      </c>
      <c r="C906" s="13">
        <v>76419.20000000001</v>
      </c>
      <c r="D906" s="3">
        <v>1.0</v>
      </c>
      <c r="E906" s="11">
        <v>2015.0</v>
      </c>
      <c r="F906" s="3" t="s">
        <v>815</v>
      </c>
      <c r="G906" s="37" t="s">
        <v>28</v>
      </c>
      <c r="H906" s="37" t="s">
        <v>11</v>
      </c>
    </row>
    <row r="907" ht="15.75" customHeight="1">
      <c r="A907" s="3" t="s">
        <v>373</v>
      </c>
      <c r="B907" s="13">
        <v>3780403.3899999997</v>
      </c>
      <c r="C907" s="13">
        <v>937534.6099999994</v>
      </c>
      <c r="D907" s="3">
        <v>12.0</v>
      </c>
      <c r="E907" s="11">
        <v>2016.0</v>
      </c>
      <c r="F907" s="3" t="s">
        <v>815</v>
      </c>
      <c r="G907" s="37" t="s">
        <v>28</v>
      </c>
      <c r="H907" s="37" t="s">
        <v>4</v>
      </c>
    </row>
    <row r="908" ht="15.75" customHeight="1">
      <c r="A908" s="3" t="s">
        <v>291</v>
      </c>
      <c r="B908" s="13">
        <v>485595.38999999996</v>
      </c>
      <c r="C908" s="13">
        <v>65837.19999999995</v>
      </c>
      <c r="D908" s="3">
        <v>5.0</v>
      </c>
      <c r="E908" s="11">
        <v>2017.0</v>
      </c>
      <c r="F908" s="3" t="s">
        <v>818</v>
      </c>
      <c r="G908" s="37" t="s">
        <v>28</v>
      </c>
      <c r="H908" s="37" t="s">
        <v>11</v>
      </c>
    </row>
    <row r="909" ht="15.75" customHeight="1">
      <c r="A909" s="3" t="s">
        <v>746</v>
      </c>
      <c r="B909" s="13">
        <v>3850420.4</v>
      </c>
      <c r="C909" s="13">
        <v>1531273.0899999999</v>
      </c>
      <c r="D909" s="3">
        <v>12.0</v>
      </c>
      <c r="E909" s="11">
        <v>2012.0</v>
      </c>
      <c r="F909" s="3" t="s">
        <v>815</v>
      </c>
      <c r="G909" s="37" t="s">
        <v>28</v>
      </c>
      <c r="H909" s="37" t="s">
        <v>12</v>
      </c>
    </row>
    <row r="910" ht="15.75" customHeight="1">
      <c r="A910" s="3" t="s">
        <v>67</v>
      </c>
      <c r="B910" s="13">
        <v>2218719.51</v>
      </c>
      <c r="C910" s="13">
        <v>300814.7999999998</v>
      </c>
      <c r="D910" s="3">
        <v>6.0</v>
      </c>
      <c r="E910" s="11">
        <v>2012.0</v>
      </c>
      <c r="F910" s="3" t="s">
        <v>815</v>
      </c>
      <c r="G910" s="37" t="s">
        <v>23</v>
      </c>
      <c r="H910" s="37" t="s">
        <v>11</v>
      </c>
    </row>
    <row r="911" ht="15.75" customHeight="1">
      <c r="A911" s="3" t="s">
        <v>218</v>
      </c>
      <c r="B911" s="13">
        <v>2423758.05</v>
      </c>
      <c r="C911" s="13">
        <v>328613.99999999977</v>
      </c>
      <c r="D911" s="3">
        <v>12.0</v>
      </c>
      <c r="E911" s="11">
        <v>2011.0</v>
      </c>
      <c r="F911" s="3" t="s">
        <v>818</v>
      </c>
      <c r="G911" s="37" t="s">
        <v>28</v>
      </c>
      <c r="H911" s="37" t="s">
        <v>11</v>
      </c>
    </row>
    <row r="912" ht="15.75" customHeight="1">
      <c r="A912" s="3" t="s">
        <v>590</v>
      </c>
      <c r="B912" s="13">
        <v>2270715.6</v>
      </c>
      <c r="C912" s="13">
        <v>852674.7000000002</v>
      </c>
      <c r="D912" s="3">
        <v>6.0</v>
      </c>
      <c r="E912" s="11">
        <v>2015.0</v>
      </c>
      <c r="F912" s="3" t="s">
        <v>818</v>
      </c>
      <c r="G912" s="37" t="s">
        <v>28</v>
      </c>
      <c r="H912" s="37" t="s">
        <v>10</v>
      </c>
    </row>
    <row r="913" ht="15.75" customHeight="1">
      <c r="A913" s="3" t="s">
        <v>512</v>
      </c>
      <c r="B913" s="13">
        <v>1855885.6</v>
      </c>
      <c r="C913" s="13">
        <v>696902.2000000002</v>
      </c>
      <c r="D913" s="3">
        <v>3.0</v>
      </c>
      <c r="E913" s="11">
        <v>2013.0</v>
      </c>
      <c r="F913" s="3" t="s">
        <v>818</v>
      </c>
      <c r="G913" s="37" t="s">
        <v>28</v>
      </c>
      <c r="H913" s="37" t="s">
        <v>10</v>
      </c>
    </row>
    <row r="914" ht="15.75" customHeight="1">
      <c r="A914" s="3" t="s">
        <v>32</v>
      </c>
      <c r="B914" s="13">
        <v>4179632.0</v>
      </c>
      <c r="C914" s="13">
        <v>1662197.2000000002</v>
      </c>
      <c r="D914" s="3">
        <v>8.0</v>
      </c>
      <c r="E914" s="11">
        <v>2010.0</v>
      </c>
      <c r="F914" s="3" t="s">
        <v>818</v>
      </c>
      <c r="G914" s="37" t="s">
        <v>28</v>
      </c>
      <c r="H914" s="37" t="s">
        <v>12</v>
      </c>
    </row>
    <row r="915" ht="15.75" customHeight="1">
      <c r="A915" s="3" t="s">
        <v>101</v>
      </c>
      <c r="B915" s="13">
        <v>1086442.0</v>
      </c>
      <c r="C915" s="13">
        <v>432066.95000000007</v>
      </c>
      <c r="D915" s="3">
        <v>5.0</v>
      </c>
      <c r="E915" s="11">
        <v>2011.0</v>
      </c>
      <c r="F915" s="3" t="s">
        <v>818</v>
      </c>
      <c r="G915" s="37" t="s">
        <v>28</v>
      </c>
      <c r="H915" s="37" t="s">
        <v>12</v>
      </c>
    </row>
    <row r="916" ht="15.75" customHeight="1">
      <c r="A916" s="3" t="s">
        <v>46</v>
      </c>
      <c r="B916" s="13">
        <v>1908484.5999999999</v>
      </c>
      <c r="C916" s="13">
        <v>821938.0199999998</v>
      </c>
      <c r="D916" s="3">
        <v>3.0</v>
      </c>
      <c r="E916" s="11">
        <v>2010.0</v>
      </c>
      <c r="F916" s="3" t="s">
        <v>815</v>
      </c>
      <c r="G916" s="37" t="s">
        <v>28</v>
      </c>
      <c r="H916" s="37" t="s">
        <v>3</v>
      </c>
    </row>
    <row r="917" ht="15.75" customHeight="1">
      <c r="A917" s="3" t="s">
        <v>536</v>
      </c>
      <c r="B917" s="13">
        <v>6032809.44</v>
      </c>
      <c r="C917" s="13">
        <v>1169580.0</v>
      </c>
      <c r="D917" s="3">
        <v>12.0</v>
      </c>
      <c r="E917" s="11">
        <v>2015.0</v>
      </c>
      <c r="F917" s="3" t="s">
        <v>818</v>
      </c>
      <c r="G917" s="37" t="s">
        <v>28</v>
      </c>
      <c r="H917" s="37" t="s">
        <v>7</v>
      </c>
    </row>
    <row r="918" ht="15.75" customHeight="1">
      <c r="A918" s="3" t="s">
        <v>542</v>
      </c>
      <c r="B918" s="13">
        <v>278869.29</v>
      </c>
      <c r="C918" s="13">
        <v>37809.19999999998</v>
      </c>
      <c r="D918" s="3">
        <v>3.0</v>
      </c>
      <c r="E918" s="11">
        <v>2017.0</v>
      </c>
      <c r="F918" s="3" t="s">
        <v>815</v>
      </c>
      <c r="G918" s="37" t="s">
        <v>28</v>
      </c>
      <c r="H918" s="37" t="s">
        <v>11</v>
      </c>
    </row>
    <row r="919" ht="15.75" customHeight="1">
      <c r="A919" s="3" t="s">
        <v>821</v>
      </c>
      <c r="B919" s="13">
        <v>3957750.09</v>
      </c>
      <c r="C919" s="13">
        <v>536593.1999999997</v>
      </c>
      <c r="D919" s="3">
        <v>6.0</v>
      </c>
      <c r="E919" s="11">
        <v>2012.0</v>
      </c>
      <c r="F919" s="3" t="s">
        <v>818</v>
      </c>
      <c r="G919" s="37" t="s">
        <v>821</v>
      </c>
      <c r="H919" s="37" t="s">
        <v>11</v>
      </c>
    </row>
    <row r="920" ht="15.75" customHeight="1">
      <c r="A920" s="3" t="s">
        <v>635</v>
      </c>
      <c r="B920" s="13">
        <v>882917.86</v>
      </c>
      <c r="C920" s="13">
        <v>361798.02999999997</v>
      </c>
      <c r="D920" s="3">
        <v>3.0</v>
      </c>
      <c r="E920" s="11">
        <v>2015.0</v>
      </c>
      <c r="F920" s="3" t="s">
        <v>818</v>
      </c>
      <c r="G920" s="37" t="s">
        <v>28</v>
      </c>
      <c r="H920" s="37" t="s">
        <v>9</v>
      </c>
    </row>
    <row r="921" ht="15.75" customHeight="1">
      <c r="A921" s="3" t="s">
        <v>821</v>
      </c>
      <c r="B921" s="13">
        <v>776000.22</v>
      </c>
      <c r="C921" s="13">
        <v>317985.80999999994</v>
      </c>
      <c r="D921" s="3">
        <v>1.0</v>
      </c>
      <c r="E921" s="11">
        <v>2016.0</v>
      </c>
      <c r="F921" s="3" t="s">
        <v>818</v>
      </c>
      <c r="G921" s="37" t="s">
        <v>821</v>
      </c>
      <c r="H921" s="37" t="s">
        <v>9</v>
      </c>
    </row>
    <row r="922" ht="15.75" customHeight="1">
      <c r="A922" s="3" t="s">
        <v>653</v>
      </c>
      <c r="B922" s="13">
        <v>357650.48000000004</v>
      </c>
      <c r="C922" s="13">
        <v>109662.56000000003</v>
      </c>
      <c r="D922" s="3">
        <v>11.0</v>
      </c>
      <c r="E922" s="11">
        <v>2014.0</v>
      </c>
      <c r="F922" s="3" t="s">
        <v>818</v>
      </c>
      <c r="G922" s="37" t="s">
        <v>28</v>
      </c>
      <c r="H922" s="37" t="s">
        <v>14</v>
      </c>
    </row>
    <row r="923" ht="15.75" customHeight="1">
      <c r="A923" s="3" t="s">
        <v>300</v>
      </c>
      <c r="B923" s="13">
        <v>705002.98</v>
      </c>
      <c r="C923" s="13">
        <v>216167.55999999994</v>
      </c>
      <c r="D923" s="3">
        <v>12.0</v>
      </c>
      <c r="E923" s="11">
        <v>2011.0</v>
      </c>
      <c r="F923" s="3" t="s">
        <v>818</v>
      </c>
      <c r="G923" s="37" t="s">
        <v>28</v>
      </c>
      <c r="H923" s="37" t="s">
        <v>14</v>
      </c>
    </row>
    <row r="924" ht="15.75" customHeight="1">
      <c r="A924" s="3" t="s">
        <v>364</v>
      </c>
      <c r="B924" s="13">
        <v>178089.67</v>
      </c>
      <c r="C924" s="13">
        <v>54605.740000000005</v>
      </c>
      <c r="D924" s="3">
        <v>1.0</v>
      </c>
      <c r="E924" s="11">
        <v>2014.0</v>
      </c>
      <c r="F924" s="3" t="s">
        <v>818</v>
      </c>
      <c r="G924" s="37" t="s">
        <v>28</v>
      </c>
      <c r="H924" s="37" t="s">
        <v>14</v>
      </c>
    </row>
    <row r="925" ht="15.75" customHeight="1">
      <c r="A925" s="3" t="s">
        <v>221</v>
      </c>
      <c r="B925" s="13">
        <v>5134986.68</v>
      </c>
      <c r="C925" s="13">
        <v>1273469.3199999994</v>
      </c>
      <c r="D925" s="3">
        <v>5.0</v>
      </c>
      <c r="E925" s="11">
        <v>2010.0</v>
      </c>
      <c r="F925" s="3" t="s">
        <v>815</v>
      </c>
      <c r="G925" s="37" t="s">
        <v>28</v>
      </c>
      <c r="H925" s="37" t="s">
        <v>4</v>
      </c>
    </row>
    <row r="926" ht="15.75" customHeight="1">
      <c r="A926" s="3" t="s">
        <v>635</v>
      </c>
      <c r="B926" s="13">
        <v>1264583.04</v>
      </c>
      <c r="C926" s="13">
        <v>457000.32000000007</v>
      </c>
      <c r="D926" s="3">
        <v>11.0</v>
      </c>
      <c r="E926" s="11">
        <v>2013.0</v>
      </c>
      <c r="F926" s="3" t="s">
        <v>818</v>
      </c>
      <c r="G926" s="37" t="s">
        <v>28</v>
      </c>
      <c r="H926" s="37" t="s">
        <v>13</v>
      </c>
    </row>
    <row r="927" ht="15.75" customHeight="1">
      <c r="A927" s="3" t="s">
        <v>536</v>
      </c>
      <c r="B927" s="13">
        <v>443183.0</v>
      </c>
      <c r="C927" s="13">
        <v>146264.40000000002</v>
      </c>
      <c r="D927" s="3">
        <v>7.0</v>
      </c>
      <c r="E927" s="11">
        <v>2017.0</v>
      </c>
      <c r="F927" s="3" t="s">
        <v>818</v>
      </c>
      <c r="G927" s="37" t="s">
        <v>28</v>
      </c>
      <c r="H927" s="37" t="s">
        <v>6</v>
      </c>
    </row>
    <row r="928" ht="15.75" customHeight="1">
      <c r="A928" s="3" t="s">
        <v>373</v>
      </c>
      <c r="B928" s="13">
        <v>66728.16</v>
      </c>
      <c r="C928" s="13">
        <v>17236.320000000007</v>
      </c>
      <c r="D928" s="3">
        <v>11.0</v>
      </c>
      <c r="E928" s="11">
        <v>2016.0</v>
      </c>
      <c r="F928" s="3" t="s">
        <v>818</v>
      </c>
      <c r="G928" s="37" t="s">
        <v>28</v>
      </c>
      <c r="H928" s="37" t="s">
        <v>8</v>
      </c>
    </row>
    <row r="929" ht="15.75" customHeight="1">
      <c r="A929" s="3" t="s">
        <v>650</v>
      </c>
      <c r="B929" s="13">
        <v>3424215.48</v>
      </c>
      <c r="C929" s="13">
        <v>849200.52</v>
      </c>
      <c r="D929" s="3">
        <v>1.0</v>
      </c>
      <c r="E929" s="11">
        <v>2016.0</v>
      </c>
      <c r="F929" s="3" t="s">
        <v>815</v>
      </c>
      <c r="G929" s="37" t="s">
        <v>28</v>
      </c>
      <c r="H929" s="37" t="s">
        <v>4</v>
      </c>
    </row>
    <row r="930" ht="15.75" customHeight="1">
      <c r="A930" s="3" t="s">
        <v>349</v>
      </c>
      <c r="B930" s="13">
        <v>337391.4</v>
      </c>
      <c r="C930" s="13">
        <v>138254.7</v>
      </c>
      <c r="D930" s="3">
        <v>2.0</v>
      </c>
      <c r="E930" s="11">
        <v>2015.0</v>
      </c>
      <c r="F930" s="3" t="s">
        <v>818</v>
      </c>
      <c r="G930" s="37" t="s">
        <v>28</v>
      </c>
      <c r="H930" s="37" t="s">
        <v>9</v>
      </c>
    </row>
    <row r="931" ht="15.75" customHeight="1">
      <c r="A931" s="3" t="s">
        <v>300</v>
      </c>
      <c r="B931" s="13">
        <v>6111997.42</v>
      </c>
      <c r="C931" s="13">
        <v>1515766.58</v>
      </c>
      <c r="D931" s="3">
        <v>1.0</v>
      </c>
      <c r="E931" s="11">
        <v>2012.0</v>
      </c>
      <c r="F931" s="3" t="s">
        <v>818</v>
      </c>
      <c r="G931" s="37" t="s">
        <v>28</v>
      </c>
      <c r="H931" s="37" t="s">
        <v>4</v>
      </c>
    </row>
    <row r="932" ht="15.75" customHeight="1">
      <c r="A932" s="3" t="s">
        <v>434</v>
      </c>
      <c r="B932" s="13">
        <v>16075.59</v>
      </c>
      <c r="C932" s="13">
        <v>4152.43</v>
      </c>
      <c r="D932" s="3">
        <v>12.0</v>
      </c>
      <c r="E932" s="11">
        <v>2016.0</v>
      </c>
      <c r="F932" s="3" t="s">
        <v>818</v>
      </c>
      <c r="G932" s="37" t="s">
        <v>28</v>
      </c>
      <c r="H932" s="37" t="s">
        <v>8</v>
      </c>
    </row>
    <row r="933" ht="15.75" customHeight="1">
      <c r="A933" s="3" t="s">
        <v>536</v>
      </c>
      <c r="B933" s="13">
        <v>80368.62</v>
      </c>
      <c r="C933" s="13">
        <v>20759.739999999998</v>
      </c>
      <c r="D933" s="3">
        <v>12.0</v>
      </c>
      <c r="E933" s="11">
        <v>2010.0</v>
      </c>
      <c r="F933" s="3" t="s">
        <v>815</v>
      </c>
      <c r="G933" s="37" t="s">
        <v>28</v>
      </c>
      <c r="H933" s="37" t="s">
        <v>8</v>
      </c>
    </row>
    <row r="934" ht="15.75" customHeight="1">
      <c r="A934" s="3" t="s">
        <v>623</v>
      </c>
      <c r="B934" s="13">
        <v>62156.46</v>
      </c>
      <c r="C934" s="13">
        <v>16055.419999999998</v>
      </c>
      <c r="D934" s="3">
        <v>9.0</v>
      </c>
      <c r="E934" s="11">
        <v>2016.0</v>
      </c>
      <c r="F934" s="3" t="s">
        <v>818</v>
      </c>
      <c r="G934" s="37" t="s">
        <v>28</v>
      </c>
      <c r="H934" s="37" t="s">
        <v>8</v>
      </c>
    </row>
    <row r="935" ht="15.75" customHeight="1">
      <c r="A935" s="3" t="s">
        <v>215</v>
      </c>
      <c r="B935" s="13">
        <v>5866074.06</v>
      </c>
      <c r="C935" s="13">
        <v>1454777.9399999995</v>
      </c>
      <c r="D935" s="3">
        <v>6.0</v>
      </c>
      <c r="E935" s="11">
        <v>2012.0</v>
      </c>
      <c r="F935" s="3" t="s">
        <v>815</v>
      </c>
      <c r="G935" s="37" t="s">
        <v>23</v>
      </c>
      <c r="H935" s="37" t="s">
        <v>4</v>
      </c>
    </row>
    <row r="936" ht="15.75" customHeight="1">
      <c r="A936" s="3" t="s">
        <v>542</v>
      </c>
      <c r="B936" s="13">
        <v>976744.64</v>
      </c>
      <c r="C936" s="13">
        <v>656406.72</v>
      </c>
      <c r="D936" s="3">
        <v>4.0</v>
      </c>
      <c r="E936" s="11">
        <v>2012.0</v>
      </c>
      <c r="F936" s="3" t="s">
        <v>815</v>
      </c>
      <c r="G936" s="37" t="s">
        <v>28</v>
      </c>
      <c r="H936" s="37" t="s">
        <v>5</v>
      </c>
    </row>
    <row r="937" ht="15.75" customHeight="1">
      <c r="A937" s="3" t="s">
        <v>590</v>
      </c>
      <c r="B937" s="13">
        <v>1050180.8</v>
      </c>
      <c r="C937" s="13">
        <v>705758.4</v>
      </c>
      <c r="D937" s="3">
        <v>1.0</v>
      </c>
      <c r="E937" s="11">
        <v>2017.0</v>
      </c>
      <c r="F937" s="3" t="s">
        <v>818</v>
      </c>
      <c r="G937" s="37" t="s">
        <v>28</v>
      </c>
      <c r="H937" s="37" t="s">
        <v>5</v>
      </c>
    </row>
    <row r="938" ht="15.75" customHeight="1">
      <c r="A938" s="3" t="s">
        <v>740</v>
      </c>
      <c r="B938" s="13">
        <v>85267.65000000001</v>
      </c>
      <c r="C938" s="13">
        <v>28141.02000000001</v>
      </c>
      <c r="D938" s="3">
        <v>3.0</v>
      </c>
      <c r="E938" s="11">
        <v>2015.0</v>
      </c>
      <c r="F938" s="3" t="s">
        <v>815</v>
      </c>
      <c r="G938" s="37" t="s">
        <v>28</v>
      </c>
      <c r="H938" s="37" t="s">
        <v>6</v>
      </c>
    </row>
    <row r="939" ht="15.75" customHeight="1">
      <c r="A939" s="3" t="s">
        <v>46</v>
      </c>
      <c r="B939" s="13">
        <v>2905637.96</v>
      </c>
      <c r="C939" s="13">
        <v>720594.04</v>
      </c>
      <c r="D939" s="3">
        <v>11.0</v>
      </c>
      <c r="E939" s="11">
        <v>2016.0</v>
      </c>
      <c r="F939" s="3" t="s">
        <v>815</v>
      </c>
      <c r="G939" s="37" t="s">
        <v>28</v>
      </c>
      <c r="H939" s="37" t="s">
        <v>4</v>
      </c>
    </row>
    <row r="940" ht="15.75" customHeight="1">
      <c r="A940" s="3" t="s">
        <v>221</v>
      </c>
      <c r="B940" s="13">
        <v>774576.64</v>
      </c>
      <c r="C940" s="13">
        <v>520542.72</v>
      </c>
      <c r="D940" s="3">
        <v>5.0</v>
      </c>
      <c r="E940" s="11">
        <v>2012.0</v>
      </c>
      <c r="F940" s="3" t="s">
        <v>818</v>
      </c>
      <c r="G940" s="37" t="s">
        <v>28</v>
      </c>
      <c r="H940" s="37" t="s">
        <v>5</v>
      </c>
    </row>
    <row r="941" ht="15.75" customHeight="1">
      <c r="A941" s="3" t="s">
        <v>575</v>
      </c>
      <c r="B941" s="13">
        <v>301212.60000000003</v>
      </c>
      <c r="C941" s="13">
        <v>99409.68000000005</v>
      </c>
      <c r="D941" s="3">
        <v>1.0</v>
      </c>
      <c r="E941" s="11">
        <v>2014.0</v>
      </c>
      <c r="F941" s="3" t="s">
        <v>818</v>
      </c>
      <c r="G941" s="37" t="s">
        <v>28</v>
      </c>
      <c r="H941" s="37" t="s">
        <v>6</v>
      </c>
    </row>
    <row r="942" ht="15.75" customHeight="1">
      <c r="A942" s="3" t="s">
        <v>373</v>
      </c>
      <c r="B942" s="13">
        <v>1012044.0</v>
      </c>
      <c r="C942" s="13">
        <v>435862.80000000005</v>
      </c>
      <c r="D942" s="3">
        <v>1.0</v>
      </c>
      <c r="E942" s="11">
        <v>2013.0</v>
      </c>
      <c r="F942" s="3" t="s">
        <v>815</v>
      </c>
      <c r="G942" s="37" t="s">
        <v>28</v>
      </c>
      <c r="H942" s="37" t="s">
        <v>3</v>
      </c>
    </row>
    <row r="943" ht="15.75" customHeight="1">
      <c r="A943" s="3" t="s">
        <v>686</v>
      </c>
      <c r="B943" s="13">
        <v>1366820.32</v>
      </c>
      <c r="C943" s="13">
        <v>560089.36</v>
      </c>
      <c r="D943" s="3">
        <v>1.0</v>
      </c>
      <c r="E943" s="11">
        <v>2012.0</v>
      </c>
      <c r="F943" s="3" t="s">
        <v>815</v>
      </c>
      <c r="G943" s="37" t="s">
        <v>28</v>
      </c>
      <c r="H943" s="37" t="s">
        <v>9</v>
      </c>
    </row>
    <row r="944" ht="15.75" customHeight="1">
      <c r="A944" s="3" t="s">
        <v>46</v>
      </c>
      <c r="B944" s="13">
        <v>49057.14</v>
      </c>
      <c r="C944" s="13">
        <v>12671.779999999999</v>
      </c>
      <c r="D944" s="3">
        <v>3.0</v>
      </c>
      <c r="E944" s="11">
        <v>2016.0</v>
      </c>
      <c r="F944" s="3" t="s">
        <v>818</v>
      </c>
      <c r="G944" s="37" t="s">
        <v>28</v>
      </c>
      <c r="H944" s="37" t="s">
        <v>8</v>
      </c>
    </row>
    <row r="945" ht="15.75" customHeight="1">
      <c r="A945" s="3" t="s">
        <v>413</v>
      </c>
      <c r="B945" s="13">
        <v>64730.16</v>
      </c>
      <c r="C945" s="13">
        <v>19847.520000000004</v>
      </c>
      <c r="D945" s="3">
        <v>1.0</v>
      </c>
      <c r="E945" s="11">
        <v>2014.0</v>
      </c>
      <c r="F945" s="3" t="s">
        <v>815</v>
      </c>
      <c r="G945" s="37" t="s">
        <v>28</v>
      </c>
      <c r="H945" s="37" t="s">
        <v>14</v>
      </c>
    </row>
    <row r="946" ht="15.75" customHeight="1">
      <c r="A946" s="3" t="s">
        <v>635</v>
      </c>
      <c r="B946" s="13">
        <v>255277.42</v>
      </c>
      <c r="C946" s="13">
        <v>104606.41</v>
      </c>
      <c r="D946" s="3">
        <v>3.0</v>
      </c>
      <c r="E946" s="11">
        <v>2014.0</v>
      </c>
      <c r="F946" s="3" t="s">
        <v>818</v>
      </c>
      <c r="G946" s="37" t="s">
        <v>28</v>
      </c>
      <c r="H946" s="37" t="s">
        <v>9</v>
      </c>
    </row>
    <row r="947" ht="15.75" customHeight="1">
      <c r="A947" s="3" t="s">
        <v>512</v>
      </c>
      <c r="B947" s="13">
        <v>2490227.04</v>
      </c>
      <c r="C947" s="13">
        <v>482780.0</v>
      </c>
      <c r="D947" s="3">
        <v>2.0</v>
      </c>
      <c r="E947" s="11">
        <v>2011.0</v>
      </c>
      <c r="F947" s="3" t="s">
        <v>818</v>
      </c>
      <c r="G947" s="37" t="s">
        <v>28</v>
      </c>
      <c r="H947" s="37" t="s">
        <v>7</v>
      </c>
    </row>
    <row r="948" ht="15.75" customHeight="1">
      <c r="A948" s="3" t="s">
        <v>267</v>
      </c>
      <c r="B948" s="13">
        <v>4290822.69</v>
      </c>
      <c r="C948" s="13">
        <v>831861.25</v>
      </c>
      <c r="D948" s="3">
        <v>12.0</v>
      </c>
      <c r="E948" s="11">
        <v>2011.0</v>
      </c>
      <c r="F948" s="3" t="s">
        <v>815</v>
      </c>
      <c r="G948" s="37" t="s">
        <v>28</v>
      </c>
      <c r="H948" s="37" t="s">
        <v>7</v>
      </c>
    </row>
    <row r="949" ht="15.75" customHeight="1">
      <c r="A949" s="3" t="s">
        <v>512</v>
      </c>
      <c r="B949" s="13">
        <v>325545.12</v>
      </c>
      <c r="C949" s="13">
        <v>218777.75999999998</v>
      </c>
      <c r="D949" s="3">
        <v>4.0</v>
      </c>
      <c r="E949" s="11">
        <v>2012.0</v>
      </c>
      <c r="F949" s="3" t="s">
        <v>818</v>
      </c>
      <c r="G949" s="37" t="s">
        <v>28</v>
      </c>
      <c r="H949" s="37" t="s">
        <v>5</v>
      </c>
    </row>
    <row r="950" ht="15.75" customHeight="1">
      <c r="A950" s="3" t="s">
        <v>821</v>
      </c>
      <c r="B950" s="13">
        <v>7491.99</v>
      </c>
      <c r="C950" s="13">
        <v>1935.2299999999996</v>
      </c>
      <c r="D950" s="3">
        <v>3.0</v>
      </c>
      <c r="E950" s="11">
        <v>2015.0</v>
      </c>
      <c r="F950" s="3" t="s">
        <v>815</v>
      </c>
      <c r="G950" s="37" t="s">
        <v>821</v>
      </c>
      <c r="H950" s="37" t="s">
        <v>8</v>
      </c>
    </row>
    <row r="951" ht="15.75" customHeight="1">
      <c r="A951" s="3" t="s">
        <v>428</v>
      </c>
      <c r="B951" s="13">
        <v>752565.4400000001</v>
      </c>
      <c r="C951" s="13">
        <v>282595.2800000001</v>
      </c>
      <c r="D951" s="3">
        <v>6.0</v>
      </c>
      <c r="E951" s="11">
        <v>2012.0</v>
      </c>
      <c r="F951" s="3" t="s">
        <v>815</v>
      </c>
      <c r="G951" s="37" t="s">
        <v>28</v>
      </c>
      <c r="H951" s="37" t="s">
        <v>10</v>
      </c>
    </row>
    <row r="952" ht="15.75" customHeight="1">
      <c r="A952" s="3" t="s">
        <v>349</v>
      </c>
      <c r="B952" s="13">
        <v>1287927.78</v>
      </c>
      <c r="C952" s="13">
        <v>465436.74</v>
      </c>
      <c r="D952" s="3">
        <v>10.0</v>
      </c>
      <c r="E952" s="11">
        <v>2012.0</v>
      </c>
      <c r="F952" s="3" t="s">
        <v>818</v>
      </c>
      <c r="G952" s="37" t="s">
        <v>28</v>
      </c>
      <c r="H952" s="37" t="s">
        <v>13</v>
      </c>
    </row>
    <row r="953" ht="15.75" customHeight="1">
      <c r="A953" s="3" t="s">
        <v>689</v>
      </c>
      <c r="B953" s="13">
        <v>29090.94</v>
      </c>
      <c r="C953" s="13">
        <v>7514.379999999997</v>
      </c>
      <c r="D953" s="3">
        <v>11.0</v>
      </c>
      <c r="E953" s="11">
        <v>2015.0</v>
      </c>
      <c r="F953" s="3" t="s">
        <v>818</v>
      </c>
      <c r="G953" s="37" t="s">
        <v>28</v>
      </c>
      <c r="H953" s="37" t="s">
        <v>8</v>
      </c>
    </row>
    <row r="954" ht="15.75" customHeight="1">
      <c r="A954" s="3" t="s">
        <v>671</v>
      </c>
      <c r="B954" s="13">
        <v>577262.8200000001</v>
      </c>
      <c r="C954" s="13">
        <v>236548.11000000004</v>
      </c>
      <c r="D954" s="3">
        <v>3.0</v>
      </c>
      <c r="E954" s="11">
        <v>2017.0</v>
      </c>
      <c r="F954" s="3" t="s">
        <v>815</v>
      </c>
      <c r="G954" s="37" t="s">
        <v>28</v>
      </c>
      <c r="H954" s="37" t="s">
        <v>9</v>
      </c>
    </row>
    <row r="955" ht="15.75" customHeight="1">
      <c r="A955" s="3" t="s">
        <v>689</v>
      </c>
      <c r="B955" s="13">
        <v>1269313.02</v>
      </c>
      <c r="C955" s="13">
        <v>458709.66000000003</v>
      </c>
      <c r="D955" s="3">
        <v>4.0</v>
      </c>
      <c r="E955" s="11">
        <v>2012.0</v>
      </c>
      <c r="F955" s="3" t="s">
        <v>815</v>
      </c>
      <c r="G955" s="37" t="s">
        <v>28</v>
      </c>
      <c r="H955" s="37" t="s">
        <v>13</v>
      </c>
    </row>
    <row r="956" ht="15.75" customHeight="1">
      <c r="A956" s="3" t="s">
        <v>123</v>
      </c>
      <c r="B956" s="13">
        <v>3404835.65</v>
      </c>
      <c r="C956" s="13">
        <v>844394.3499999996</v>
      </c>
      <c r="D956" s="3">
        <v>2.0</v>
      </c>
      <c r="E956" s="11">
        <v>2013.0</v>
      </c>
      <c r="F956" s="3" t="s">
        <v>815</v>
      </c>
      <c r="G956" s="37" t="s">
        <v>28</v>
      </c>
      <c r="H956" s="37" t="s">
        <v>4</v>
      </c>
    </row>
    <row r="957" ht="15.75" customHeight="1">
      <c r="A957" s="3" t="s">
        <v>288</v>
      </c>
      <c r="B957" s="13">
        <v>16187.55</v>
      </c>
      <c r="C957" s="13">
        <v>4181.3499999999985</v>
      </c>
      <c r="D957" s="3">
        <v>1.0</v>
      </c>
      <c r="E957" s="11">
        <v>2014.0</v>
      </c>
      <c r="F957" s="3" t="s">
        <v>818</v>
      </c>
      <c r="G957" s="37" t="s">
        <v>23</v>
      </c>
      <c r="H957" s="37" t="s">
        <v>8</v>
      </c>
    </row>
    <row r="958" ht="15.75" customHeight="1">
      <c r="A958" s="3" t="s">
        <v>689</v>
      </c>
      <c r="B958" s="13">
        <v>1130635.12</v>
      </c>
      <c r="C958" s="13">
        <v>424563.9400000002</v>
      </c>
      <c r="D958" s="3">
        <v>6.0</v>
      </c>
      <c r="E958" s="11">
        <v>2015.0</v>
      </c>
      <c r="F958" s="3" t="s">
        <v>818</v>
      </c>
      <c r="G958" s="37" t="s">
        <v>28</v>
      </c>
      <c r="H958" s="37" t="s">
        <v>10</v>
      </c>
    </row>
    <row r="959" ht="15.75" customHeight="1">
      <c r="A959" s="3" t="s">
        <v>373</v>
      </c>
      <c r="B959" s="13">
        <v>2683220.4</v>
      </c>
      <c r="C959" s="13">
        <v>363792.0</v>
      </c>
      <c r="D959" s="3">
        <v>7.0</v>
      </c>
      <c r="E959" s="11">
        <v>2013.0</v>
      </c>
      <c r="F959" s="3" t="s">
        <v>818</v>
      </c>
      <c r="G959" s="37" t="s">
        <v>28</v>
      </c>
      <c r="H959" s="37" t="s">
        <v>11</v>
      </c>
    </row>
    <row r="960" ht="15.75" customHeight="1">
      <c r="A960" s="3" t="s">
        <v>46</v>
      </c>
      <c r="B960" s="13">
        <v>100601.18000000001</v>
      </c>
      <c r="C960" s="13">
        <v>41223.89000000001</v>
      </c>
      <c r="D960" s="3">
        <v>12.0</v>
      </c>
      <c r="E960" s="11">
        <v>2013.0</v>
      </c>
      <c r="F960" s="3" t="s">
        <v>818</v>
      </c>
      <c r="G960" s="37" t="s">
        <v>28</v>
      </c>
      <c r="H960" s="37" t="s">
        <v>9</v>
      </c>
    </row>
    <row r="961" ht="15.75" customHeight="1">
      <c r="A961" s="3" t="s">
        <v>46</v>
      </c>
      <c r="B961" s="13">
        <v>3274190.8</v>
      </c>
      <c r="C961" s="13">
        <v>1302112.43</v>
      </c>
      <c r="D961" s="3">
        <v>2.0</v>
      </c>
      <c r="E961" s="11">
        <v>2016.0</v>
      </c>
      <c r="F961" s="3" t="s">
        <v>815</v>
      </c>
      <c r="G961" s="37" t="s">
        <v>28</v>
      </c>
      <c r="H961" s="37" t="s">
        <v>12</v>
      </c>
    </row>
    <row r="962" ht="15.75" customHeight="1">
      <c r="A962" s="3" t="s">
        <v>215</v>
      </c>
      <c r="B962" s="13">
        <v>1472505.48</v>
      </c>
      <c r="C962" s="13">
        <v>603396.5399999999</v>
      </c>
      <c r="D962" s="3">
        <v>7.0</v>
      </c>
      <c r="E962" s="11">
        <v>2014.0</v>
      </c>
      <c r="F962" s="3" t="s">
        <v>818</v>
      </c>
      <c r="G962" s="37" t="s">
        <v>23</v>
      </c>
      <c r="H962" s="37" t="s">
        <v>9</v>
      </c>
    </row>
    <row r="963" ht="15.75" customHeight="1">
      <c r="A963" s="3" t="s">
        <v>32</v>
      </c>
      <c r="B963" s="13">
        <v>2189934.8</v>
      </c>
      <c r="C963" s="13">
        <v>870914.8299999998</v>
      </c>
      <c r="D963" s="3">
        <v>6.0</v>
      </c>
      <c r="E963" s="11">
        <v>2011.0</v>
      </c>
      <c r="F963" s="3" t="s">
        <v>818</v>
      </c>
      <c r="G963" s="37" t="s">
        <v>28</v>
      </c>
      <c r="H963" s="37" t="s">
        <v>12</v>
      </c>
    </row>
    <row r="964" ht="15.75" customHeight="1">
      <c r="A964" s="3" t="s">
        <v>364</v>
      </c>
      <c r="B964" s="13">
        <v>4367665.470000001</v>
      </c>
      <c r="C964" s="13">
        <v>846758.7500000005</v>
      </c>
      <c r="D964" s="3">
        <v>6.0</v>
      </c>
      <c r="E964" s="11">
        <v>2014.0</v>
      </c>
      <c r="F964" s="3" t="s">
        <v>818</v>
      </c>
      <c r="G964" s="37" t="s">
        <v>28</v>
      </c>
      <c r="H964" s="37" t="s">
        <v>7</v>
      </c>
    </row>
    <row r="965" ht="15.75" customHeight="1">
      <c r="A965" s="3" t="s">
        <v>428</v>
      </c>
      <c r="B965" s="13">
        <v>3016935.39</v>
      </c>
      <c r="C965" s="13">
        <v>409037.2000000002</v>
      </c>
      <c r="D965" s="3">
        <v>7.0</v>
      </c>
      <c r="E965" s="11">
        <v>2010.0</v>
      </c>
      <c r="F965" s="3" t="s">
        <v>815</v>
      </c>
      <c r="G965" s="37" t="s">
        <v>28</v>
      </c>
      <c r="H965" s="37" t="s">
        <v>11</v>
      </c>
    </row>
    <row r="966" ht="15.75" customHeight="1">
      <c r="A966" s="3" t="s">
        <v>431</v>
      </c>
      <c r="B966" s="13">
        <v>98174.05</v>
      </c>
      <c r="C966" s="13">
        <v>32400.540000000008</v>
      </c>
      <c r="D966" s="3">
        <v>1.0</v>
      </c>
      <c r="E966" s="11">
        <v>2014.0</v>
      </c>
      <c r="F966" s="3" t="s">
        <v>815</v>
      </c>
      <c r="G966" s="37" t="s">
        <v>28</v>
      </c>
      <c r="H966" s="37" t="s">
        <v>6</v>
      </c>
    </row>
    <row r="967" ht="15.75" customHeight="1">
      <c r="A967" s="3" t="s">
        <v>740</v>
      </c>
      <c r="B967" s="13">
        <v>3495780.54</v>
      </c>
      <c r="C967" s="13">
        <v>473959.2000000002</v>
      </c>
      <c r="D967" s="3">
        <v>8.0</v>
      </c>
      <c r="E967" s="11">
        <v>2012.0</v>
      </c>
      <c r="F967" s="3" t="s">
        <v>815</v>
      </c>
      <c r="G967" s="37" t="s">
        <v>28</v>
      </c>
      <c r="H967" s="37" t="s">
        <v>11</v>
      </c>
    </row>
    <row r="968" ht="15.75" customHeight="1">
      <c r="A968" s="3" t="s">
        <v>434</v>
      </c>
      <c r="B968" s="13">
        <v>378899.39999999997</v>
      </c>
      <c r="C968" s="13">
        <v>163182.77999999997</v>
      </c>
      <c r="D968" s="3">
        <v>12.0</v>
      </c>
      <c r="E968" s="11">
        <v>2012.0</v>
      </c>
      <c r="F968" s="3" t="s">
        <v>815</v>
      </c>
      <c r="G968" s="37" t="s">
        <v>28</v>
      </c>
      <c r="H968" s="37" t="s">
        <v>3</v>
      </c>
    </row>
    <row r="969" ht="15.75" customHeight="1">
      <c r="A969" s="3" t="s">
        <v>291</v>
      </c>
      <c r="B969" s="13">
        <v>408108.8</v>
      </c>
      <c r="C969" s="13">
        <v>175762.56</v>
      </c>
      <c r="D969" s="3">
        <v>11.0</v>
      </c>
      <c r="E969" s="11">
        <v>2014.0</v>
      </c>
      <c r="F969" s="3" t="s">
        <v>815</v>
      </c>
      <c r="G969" s="37" t="s">
        <v>28</v>
      </c>
      <c r="H969" s="37" t="s">
        <v>3</v>
      </c>
    </row>
    <row r="970" ht="15.75" customHeight="1">
      <c r="A970" s="3" t="s">
        <v>578</v>
      </c>
      <c r="B970" s="13">
        <v>6483446.760000001</v>
      </c>
      <c r="C970" s="13">
        <v>1256945.0</v>
      </c>
      <c r="D970" s="3">
        <v>1.0</v>
      </c>
      <c r="E970" s="11">
        <v>2014.0</v>
      </c>
      <c r="F970" s="3" t="s">
        <v>815</v>
      </c>
      <c r="G970" s="37" t="s">
        <v>28</v>
      </c>
      <c r="H970" s="37" t="s">
        <v>7</v>
      </c>
    </row>
    <row r="971" ht="15.75" customHeight="1">
      <c r="A971" s="3" t="s">
        <v>575</v>
      </c>
      <c r="B971" s="13">
        <v>169586.30000000002</v>
      </c>
      <c r="C971" s="13">
        <v>55968.840000000026</v>
      </c>
      <c r="D971" s="3">
        <v>7.0</v>
      </c>
      <c r="E971" s="11">
        <v>2011.0</v>
      </c>
      <c r="F971" s="3" t="s">
        <v>818</v>
      </c>
      <c r="G971" s="37" t="s">
        <v>28</v>
      </c>
      <c r="H971" s="37" t="s">
        <v>6</v>
      </c>
    </row>
    <row r="972" ht="15.75" customHeight="1">
      <c r="A972" s="3" t="s">
        <v>653</v>
      </c>
      <c r="B972" s="13">
        <v>5776525.88</v>
      </c>
      <c r="C972" s="13">
        <v>1432570.12</v>
      </c>
      <c r="D972" s="3">
        <v>2.0</v>
      </c>
      <c r="E972" s="11">
        <v>2017.0</v>
      </c>
      <c r="F972" s="3" t="s">
        <v>818</v>
      </c>
      <c r="G972" s="37" t="s">
        <v>28</v>
      </c>
      <c r="H972" s="37" t="s">
        <v>4</v>
      </c>
    </row>
    <row r="973" ht="15.75" customHeight="1">
      <c r="A973" s="3" t="s">
        <v>67</v>
      </c>
      <c r="B973" s="13">
        <v>266557.26</v>
      </c>
      <c r="C973" s="13">
        <v>96329.58000000002</v>
      </c>
      <c r="D973" s="3">
        <v>7.0</v>
      </c>
      <c r="E973" s="11">
        <v>2013.0</v>
      </c>
      <c r="F973" s="3" t="s">
        <v>818</v>
      </c>
      <c r="G973" s="37" t="s">
        <v>23</v>
      </c>
      <c r="H973" s="37" t="s">
        <v>13</v>
      </c>
    </row>
    <row r="974" ht="15.75" customHeight="1">
      <c r="A974" s="3" t="s">
        <v>686</v>
      </c>
      <c r="B974" s="13">
        <v>278106.39999999997</v>
      </c>
      <c r="C974" s="13">
        <v>119773.67999999996</v>
      </c>
      <c r="D974" s="3">
        <v>10.0</v>
      </c>
      <c r="E974" s="11">
        <v>2012.0</v>
      </c>
      <c r="F974" s="3" t="s">
        <v>818</v>
      </c>
      <c r="G974" s="37" t="s">
        <v>28</v>
      </c>
      <c r="H974" s="37" t="s">
        <v>3</v>
      </c>
    </row>
    <row r="975" ht="15.75" customHeight="1">
      <c r="A975" s="3" t="s">
        <v>215</v>
      </c>
      <c r="B975" s="13">
        <v>39057.840000000004</v>
      </c>
      <c r="C975" s="13">
        <v>14666.580000000005</v>
      </c>
      <c r="D975" s="3">
        <v>3.0</v>
      </c>
      <c r="E975" s="11">
        <v>2016.0</v>
      </c>
      <c r="F975" s="3" t="s">
        <v>815</v>
      </c>
      <c r="G975" s="37" t="s">
        <v>23</v>
      </c>
      <c r="H975" s="37" t="s">
        <v>10</v>
      </c>
    </row>
    <row r="976" ht="15.75" customHeight="1">
      <c r="A976" s="3" t="s">
        <v>590</v>
      </c>
      <c r="B976" s="13">
        <v>630303.66</v>
      </c>
      <c r="C976" s="13">
        <v>85456.80000000005</v>
      </c>
      <c r="D976" s="3">
        <v>3.0</v>
      </c>
      <c r="E976" s="11">
        <v>2012.0</v>
      </c>
      <c r="F976" s="3" t="s">
        <v>818</v>
      </c>
      <c r="G976" s="37" t="s">
        <v>28</v>
      </c>
      <c r="H976" s="37" t="s">
        <v>11</v>
      </c>
    </row>
    <row r="977" ht="15.75" customHeight="1">
      <c r="A977" s="3" t="s">
        <v>740</v>
      </c>
      <c r="B977" s="13">
        <v>2380377.7399999998</v>
      </c>
      <c r="C977" s="13">
        <v>590330.2599999998</v>
      </c>
      <c r="D977" s="3">
        <v>7.0</v>
      </c>
      <c r="E977" s="11">
        <v>2010.0</v>
      </c>
      <c r="F977" s="3" t="s">
        <v>815</v>
      </c>
      <c r="G977" s="37" t="s">
        <v>28</v>
      </c>
      <c r="H977" s="37" t="s">
        <v>4</v>
      </c>
    </row>
    <row r="978" ht="15.75" customHeight="1">
      <c r="A978" s="3" t="s">
        <v>740</v>
      </c>
      <c r="B978" s="13">
        <v>569994.7</v>
      </c>
      <c r="C978" s="13">
        <v>245482.88999999996</v>
      </c>
      <c r="D978" s="3">
        <v>2.0</v>
      </c>
      <c r="E978" s="11">
        <v>2011.0</v>
      </c>
      <c r="F978" s="3" t="s">
        <v>818</v>
      </c>
      <c r="G978" s="37" t="s">
        <v>28</v>
      </c>
      <c r="H978" s="37" t="s">
        <v>3</v>
      </c>
    </row>
    <row r="979" ht="15.75" customHeight="1">
      <c r="A979" s="3" t="s">
        <v>623</v>
      </c>
      <c r="B979" s="13">
        <v>442787.16000000003</v>
      </c>
      <c r="C979" s="13">
        <v>160016.28000000003</v>
      </c>
      <c r="D979" s="3">
        <v>1.0</v>
      </c>
      <c r="E979" s="11">
        <v>2017.0</v>
      </c>
      <c r="F979" s="3" t="s">
        <v>818</v>
      </c>
      <c r="G979" s="37" t="s">
        <v>28</v>
      </c>
      <c r="H979" s="37" t="s">
        <v>13</v>
      </c>
    </row>
    <row r="980" ht="15.75" customHeight="1">
      <c r="A980" s="3" t="s">
        <v>434</v>
      </c>
      <c r="B980" s="13">
        <v>243568.86000000002</v>
      </c>
      <c r="C980" s="13">
        <v>99808.53</v>
      </c>
      <c r="D980" s="3">
        <v>9.0</v>
      </c>
      <c r="E980" s="11">
        <v>2014.0</v>
      </c>
      <c r="F980" s="3" t="s">
        <v>815</v>
      </c>
      <c r="G980" s="37" t="s">
        <v>28</v>
      </c>
      <c r="H980" s="37" t="s">
        <v>9</v>
      </c>
    </row>
    <row r="981" ht="15.75" customHeight="1">
      <c r="A981" s="3" t="s">
        <v>575</v>
      </c>
      <c r="B981" s="13">
        <v>135659.55000000002</v>
      </c>
      <c r="C981" s="13">
        <v>44771.94000000002</v>
      </c>
      <c r="D981" s="3">
        <v>8.0</v>
      </c>
      <c r="E981" s="11">
        <v>2013.0</v>
      </c>
      <c r="F981" s="3" t="s">
        <v>815</v>
      </c>
      <c r="G981" s="37" t="s">
        <v>28</v>
      </c>
      <c r="H981" s="37" t="s">
        <v>6</v>
      </c>
    </row>
    <row r="982" ht="15.75" customHeight="1">
      <c r="A982" s="3" t="s">
        <v>346</v>
      </c>
      <c r="B982" s="13">
        <v>1023485.2</v>
      </c>
      <c r="C982" s="13">
        <v>407029.67000000004</v>
      </c>
      <c r="D982" s="3">
        <v>5.0</v>
      </c>
      <c r="E982" s="11">
        <v>2014.0</v>
      </c>
      <c r="F982" s="3" t="s">
        <v>818</v>
      </c>
      <c r="G982" s="37" t="s">
        <v>28</v>
      </c>
      <c r="H982" s="37" t="s">
        <v>12</v>
      </c>
    </row>
    <row r="983" ht="15.75" customHeight="1">
      <c r="A983" s="3" t="s">
        <v>455</v>
      </c>
      <c r="B983" s="13">
        <v>1026347.72</v>
      </c>
      <c r="C983" s="13">
        <v>420572.05999999994</v>
      </c>
      <c r="D983" s="3">
        <v>5.0</v>
      </c>
      <c r="E983" s="11">
        <v>2016.0</v>
      </c>
      <c r="F983" s="3" t="s">
        <v>815</v>
      </c>
      <c r="G983" s="37" t="s">
        <v>28</v>
      </c>
      <c r="H983" s="37" t="s">
        <v>9</v>
      </c>
    </row>
    <row r="984" ht="15.75" customHeight="1">
      <c r="A984" s="3" t="s">
        <v>671</v>
      </c>
      <c r="B984" s="13">
        <v>841565.28</v>
      </c>
      <c r="C984" s="13">
        <v>565561.44</v>
      </c>
      <c r="D984" s="3">
        <v>8.0</v>
      </c>
      <c r="E984" s="11">
        <v>2010.0</v>
      </c>
      <c r="F984" s="3" t="s">
        <v>815</v>
      </c>
      <c r="G984" s="37" t="s">
        <v>28</v>
      </c>
      <c r="H984" s="37" t="s">
        <v>5</v>
      </c>
    </row>
    <row r="985" ht="15.75" customHeight="1">
      <c r="A985" s="3" t="s">
        <v>434</v>
      </c>
      <c r="B985" s="13">
        <v>1123251.46</v>
      </c>
      <c r="C985" s="13">
        <v>460280.82999999996</v>
      </c>
      <c r="D985" s="3">
        <v>2.0</v>
      </c>
      <c r="E985" s="11">
        <v>2010.0</v>
      </c>
      <c r="F985" s="3" t="s">
        <v>818</v>
      </c>
      <c r="G985" s="37" t="s">
        <v>28</v>
      </c>
      <c r="H985" s="37" t="s">
        <v>9</v>
      </c>
    </row>
    <row r="986" ht="15.75" customHeight="1">
      <c r="A986" s="3" t="s">
        <v>593</v>
      </c>
      <c r="B986" s="13">
        <v>1003846.08</v>
      </c>
      <c r="C986" s="13">
        <v>674619.8399999999</v>
      </c>
      <c r="D986" s="3">
        <v>5.0</v>
      </c>
      <c r="E986" s="11">
        <v>2014.0</v>
      </c>
      <c r="F986" s="3" t="s">
        <v>818</v>
      </c>
      <c r="G986" s="37" t="s">
        <v>28</v>
      </c>
      <c r="H986" s="37" t="s">
        <v>5</v>
      </c>
    </row>
    <row r="987" ht="15.75" customHeight="1">
      <c r="A987" s="3" t="s">
        <v>542</v>
      </c>
      <c r="B987" s="13">
        <v>1600589.2</v>
      </c>
      <c r="C987" s="13">
        <v>636538.0700000001</v>
      </c>
      <c r="D987" s="3">
        <v>3.0</v>
      </c>
      <c r="E987" s="11">
        <v>2014.0</v>
      </c>
      <c r="F987" s="3" t="s">
        <v>818</v>
      </c>
      <c r="G987" s="37" t="s">
        <v>28</v>
      </c>
      <c r="H987" s="37" t="s">
        <v>12</v>
      </c>
    </row>
    <row r="988" ht="15.75" customHeight="1">
      <c r="A988" s="3" t="s">
        <v>590</v>
      </c>
      <c r="B988" s="13">
        <v>1462784.4600000002</v>
      </c>
      <c r="C988" s="13">
        <v>528627.1800000002</v>
      </c>
      <c r="D988" s="3">
        <v>8.0</v>
      </c>
      <c r="E988" s="11">
        <v>2014.0</v>
      </c>
      <c r="F988" s="3" t="s">
        <v>815</v>
      </c>
      <c r="G988" s="37" t="s">
        <v>28</v>
      </c>
      <c r="H988" s="37" t="s">
        <v>13</v>
      </c>
    </row>
    <row r="989" ht="15.75" customHeight="1">
      <c r="A989" s="3" t="s">
        <v>512</v>
      </c>
      <c r="B989" s="13">
        <v>808341.24</v>
      </c>
      <c r="C989" s="13">
        <v>109595.19999999995</v>
      </c>
      <c r="D989" s="3">
        <v>3.0</v>
      </c>
      <c r="E989" s="11">
        <v>2017.0</v>
      </c>
      <c r="F989" s="3" t="s">
        <v>818</v>
      </c>
      <c r="G989" s="37" t="s">
        <v>28</v>
      </c>
      <c r="H989" s="37" t="s">
        <v>11</v>
      </c>
    </row>
    <row r="990" ht="15.75" customHeight="1">
      <c r="A990" s="3" t="s">
        <v>536</v>
      </c>
      <c r="B990" s="13">
        <v>4825466.100000001</v>
      </c>
      <c r="C990" s="13">
        <v>935512.5000000005</v>
      </c>
      <c r="D990" s="3">
        <v>7.0</v>
      </c>
      <c r="E990" s="11">
        <v>2017.0</v>
      </c>
      <c r="F990" s="3" t="s">
        <v>818</v>
      </c>
      <c r="G990" s="37" t="s">
        <v>28</v>
      </c>
      <c r="H990" s="37" t="s">
        <v>7</v>
      </c>
    </row>
    <row r="991" ht="15.75" customHeight="1">
      <c r="A991" s="3" t="s">
        <v>740</v>
      </c>
      <c r="B991" s="13">
        <v>588144.96</v>
      </c>
      <c r="C991" s="13">
        <v>395254.07999999996</v>
      </c>
      <c r="D991" s="3">
        <v>9.0</v>
      </c>
      <c r="E991" s="11">
        <v>2016.0</v>
      </c>
      <c r="F991" s="3" t="s">
        <v>818</v>
      </c>
      <c r="G991" s="37" t="s">
        <v>28</v>
      </c>
      <c r="H991" s="37" t="s">
        <v>5</v>
      </c>
    </row>
    <row r="992" ht="15.75" customHeight="1">
      <c r="A992" s="3" t="s">
        <v>373</v>
      </c>
      <c r="B992" s="13">
        <v>1117360.56</v>
      </c>
      <c r="C992" s="13">
        <v>419579.2200000001</v>
      </c>
      <c r="D992" s="3">
        <v>6.0</v>
      </c>
      <c r="E992" s="11">
        <v>2010.0</v>
      </c>
      <c r="F992" s="3" t="s">
        <v>818</v>
      </c>
      <c r="G992" s="37" t="s">
        <v>28</v>
      </c>
      <c r="H992" s="37" t="s">
        <v>10</v>
      </c>
    </row>
    <row r="993" ht="15.75" customHeight="1">
      <c r="A993" s="3" t="s">
        <v>78</v>
      </c>
      <c r="B993" s="13">
        <v>41863.71</v>
      </c>
      <c r="C993" s="13">
        <v>10813.669999999998</v>
      </c>
      <c r="D993" s="3">
        <v>7.0</v>
      </c>
      <c r="E993" s="11">
        <v>2012.0</v>
      </c>
      <c r="F993" s="3" t="s">
        <v>815</v>
      </c>
      <c r="G993" s="37" t="s">
        <v>28</v>
      </c>
      <c r="H993" s="37" t="s">
        <v>8</v>
      </c>
    </row>
    <row r="994" ht="15.75" customHeight="1">
      <c r="A994" s="3" t="s">
        <v>542</v>
      </c>
      <c r="B994" s="13">
        <v>85749.96</v>
      </c>
      <c r="C994" s="13">
        <v>30988.680000000008</v>
      </c>
      <c r="D994" s="3">
        <v>11.0</v>
      </c>
      <c r="E994" s="11">
        <v>2016.0</v>
      </c>
      <c r="F994" s="3" t="s">
        <v>815</v>
      </c>
      <c r="G994" s="37" t="s">
        <v>28</v>
      </c>
      <c r="H994" s="37" t="s">
        <v>13</v>
      </c>
    </row>
    <row r="995" ht="15.75" customHeight="1">
      <c r="A995" s="3" t="s">
        <v>488</v>
      </c>
      <c r="B995" s="13">
        <v>1111489.12</v>
      </c>
      <c r="C995" s="13">
        <v>417374.4400000002</v>
      </c>
      <c r="D995" s="3">
        <v>1.0</v>
      </c>
      <c r="E995" s="11">
        <v>2016.0</v>
      </c>
      <c r="F995" s="3" t="s">
        <v>815</v>
      </c>
      <c r="G995" s="37" t="s">
        <v>28</v>
      </c>
      <c r="H995" s="37" t="s">
        <v>10</v>
      </c>
    </row>
    <row r="996" ht="15.75" customHeight="1">
      <c r="A996" s="3" t="s">
        <v>542</v>
      </c>
      <c r="B996" s="13">
        <v>65384.64</v>
      </c>
      <c r="C996" s="13">
        <v>16889.28</v>
      </c>
      <c r="D996" s="3">
        <v>4.0</v>
      </c>
      <c r="E996" s="11">
        <v>2012.0</v>
      </c>
      <c r="F996" s="3" t="s">
        <v>818</v>
      </c>
      <c r="G996" s="37" t="s">
        <v>28</v>
      </c>
      <c r="H996" s="37" t="s">
        <v>8</v>
      </c>
    </row>
    <row r="997" ht="15.75" customHeight="1">
      <c r="A997" s="3" t="s">
        <v>671</v>
      </c>
      <c r="B997" s="13">
        <v>69928.35</v>
      </c>
      <c r="C997" s="13">
        <v>18062.950000000004</v>
      </c>
      <c r="D997" s="3">
        <v>10.0</v>
      </c>
      <c r="E997" s="11">
        <v>2011.0</v>
      </c>
      <c r="F997" s="3" t="s">
        <v>815</v>
      </c>
      <c r="G997" s="37" t="s">
        <v>28</v>
      </c>
      <c r="H997" s="37" t="s">
        <v>8</v>
      </c>
    </row>
    <row r="998" ht="15.75" customHeight="1">
      <c r="A998" s="3" t="s">
        <v>482</v>
      </c>
      <c r="B998" s="13">
        <v>930579.0900000001</v>
      </c>
      <c r="C998" s="13">
        <v>180411.25</v>
      </c>
      <c r="D998" s="3">
        <v>10.0</v>
      </c>
      <c r="E998" s="11">
        <v>2012.0</v>
      </c>
      <c r="F998" s="3" t="s">
        <v>815</v>
      </c>
      <c r="G998" s="37" t="s">
        <v>28</v>
      </c>
      <c r="H998" s="37" t="s">
        <v>7</v>
      </c>
    </row>
    <row r="999" ht="15.75" customHeight="1">
      <c r="A999" s="3" t="s">
        <v>46</v>
      </c>
      <c r="B999" s="13">
        <v>358794.7</v>
      </c>
      <c r="C999" s="13">
        <v>110013.4</v>
      </c>
      <c r="D999" s="3">
        <v>12.0</v>
      </c>
      <c r="E999" s="11">
        <v>2014.0</v>
      </c>
      <c r="F999" s="3" t="s">
        <v>818</v>
      </c>
      <c r="G999" s="37" t="s">
        <v>28</v>
      </c>
      <c r="H999" s="37" t="s">
        <v>14</v>
      </c>
    </row>
    <row r="1000" ht="15.75" customHeight="1">
      <c r="A1000" s="3" t="s">
        <v>373</v>
      </c>
      <c r="B1000" s="13">
        <v>492524.96</v>
      </c>
      <c r="C1000" s="13">
        <v>330994.08</v>
      </c>
      <c r="D1000" s="3">
        <v>6.0</v>
      </c>
      <c r="E1000" s="11">
        <v>2011.0</v>
      </c>
      <c r="F1000" s="3" t="s">
        <v>815</v>
      </c>
      <c r="G1000" s="37" t="s">
        <v>28</v>
      </c>
      <c r="H1000" s="37" t="s">
        <v>5</v>
      </c>
    </row>
    <row r="1001" ht="15.75" customHeight="1">
      <c r="A1001" s="3" t="s">
        <v>218</v>
      </c>
      <c r="B1001" s="13">
        <v>1425097.2000000002</v>
      </c>
      <c r="C1001" s="13">
        <v>515007.6000000002</v>
      </c>
      <c r="D1001" s="3">
        <v>8.0</v>
      </c>
      <c r="E1001" s="11">
        <v>2010.0</v>
      </c>
      <c r="F1001" s="3" t="s">
        <v>815</v>
      </c>
      <c r="G1001" s="37" t="s">
        <v>28</v>
      </c>
      <c r="H1001" s="37" t="s">
        <v>13</v>
      </c>
    </row>
    <row r="1002" ht="15.75" customHeight="1">
      <c r="A1002" s="3" t="s">
        <v>653</v>
      </c>
      <c r="B1002" s="13">
        <v>6745.59</v>
      </c>
      <c r="C1002" s="13">
        <v>1742.4300000000003</v>
      </c>
      <c r="D1002" s="3">
        <v>1.0</v>
      </c>
      <c r="E1002" s="11">
        <v>2010.0</v>
      </c>
      <c r="F1002" s="3" t="s">
        <v>815</v>
      </c>
      <c r="G1002" s="37" t="s">
        <v>28</v>
      </c>
      <c r="H1002" s="37" t="s">
        <v>8</v>
      </c>
    </row>
    <row r="1003" ht="15.75" customHeight="1">
      <c r="A1003" s="3" t="s">
        <v>218</v>
      </c>
      <c r="B1003" s="13">
        <v>1271154.57</v>
      </c>
      <c r="C1003" s="13">
        <v>172343.6000000001</v>
      </c>
      <c r="D1003" s="3">
        <v>1.0</v>
      </c>
      <c r="E1003" s="11">
        <v>2015.0</v>
      </c>
      <c r="F1003" s="3" t="s">
        <v>815</v>
      </c>
      <c r="G1003" s="37" t="s">
        <v>28</v>
      </c>
      <c r="H1003" s="37" t="s">
        <v>11</v>
      </c>
    </row>
    <row r="1004" ht="15.75" customHeight="1">
      <c r="A1004" s="3" t="s">
        <v>482</v>
      </c>
      <c r="B1004" s="13">
        <v>35919.65</v>
      </c>
      <c r="C1004" s="13">
        <v>11854.620000000003</v>
      </c>
      <c r="D1004" s="3">
        <v>3.0</v>
      </c>
      <c r="E1004" s="11">
        <v>2013.0</v>
      </c>
      <c r="F1004" s="3" t="s">
        <v>815</v>
      </c>
      <c r="G1004" s="37" t="s">
        <v>28</v>
      </c>
      <c r="H1004" s="37" t="s">
        <v>6</v>
      </c>
    </row>
    <row r="1005" ht="15.75" customHeight="1">
      <c r="A1005" s="3" t="s">
        <v>218</v>
      </c>
      <c r="B1005" s="13">
        <v>6285079.35</v>
      </c>
      <c r="C1005" s="13">
        <v>1558690.6499999994</v>
      </c>
      <c r="D1005" s="3">
        <v>2.0</v>
      </c>
      <c r="E1005" s="11">
        <v>2011.0</v>
      </c>
      <c r="F1005" s="3" t="s">
        <v>815</v>
      </c>
      <c r="G1005" s="37" t="s">
        <v>28</v>
      </c>
      <c r="H1005" s="37" t="s">
        <v>4</v>
      </c>
    </row>
    <row r="1006" ht="15.75" customHeight="1">
      <c r="A1006" s="3" t="s">
        <v>536</v>
      </c>
      <c r="B1006" s="13">
        <v>1485292.46</v>
      </c>
      <c r="C1006" s="13">
        <v>608636.3299999998</v>
      </c>
      <c r="D1006" s="3">
        <v>7.0</v>
      </c>
      <c r="E1006" s="11">
        <v>2017.0</v>
      </c>
      <c r="F1006" s="3" t="s">
        <v>818</v>
      </c>
      <c r="G1006" s="37" t="s">
        <v>28</v>
      </c>
      <c r="H1006" s="37" t="s">
        <v>9</v>
      </c>
    </row>
    <row r="1007" ht="15.75" customHeight="1">
      <c r="A1007" s="3" t="s">
        <v>821</v>
      </c>
      <c r="B1007" s="13">
        <v>1763476.6800000002</v>
      </c>
      <c r="C1007" s="13">
        <v>341885.0</v>
      </c>
      <c r="D1007" s="3">
        <v>8.0</v>
      </c>
      <c r="E1007" s="11">
        <v>2012.0</v>
      </c>
      <c r="F1007" s="3" t="s">
        <v>818</v>
      </c>
      <c r="G1007" s="37" t="s">
        <v>821</v>
      </c>
      <c r="H1007" s="37" t="s">
        <v>7</v>
      </c>
    </row>
    <row r="1008" ht="15.75" customHeight="1">
      <c r="A1008" s="3" t="s">
        <v>575</v>
      </c>
      <c r="B1008" s="13">
        <v>1598501.8399999999</v>
      </c>
      <c r="C1008" s="13">
        <v>396426.1599999999</v>
      </c>
      <c r="D1008" s="3">
        <v>7.0</v>
      </c>
      <c r="E1008" s="11">
        <v>2016.0</v>
      </c>
      <c r="F1008" s="3" t="s">
        <v>815</v>
      </c>
      <c r="G1008" s="37" t="s">
        <v>28</v>
      </c>
      <c r="H1008" s="37" t="s">
        <v>4</v>
      </c>
    </row>
    <row r="1009" ht="15.75" customHeight="1">
      <c r="A1009" s="3" t="s">
        <v>123</v>
      </c>
      <c r="B1009" s="13">
        <v>467572.10000000003</v>
      </c>
      <c r="C1009" s="13">
        <v>191599.55</v>
      </c>
      <c r="D1009" s="3">
        <v>3.0</v>
      </c>
      <c r="E1009" s="11">
        <v>2012.0</v>
      </c>
      <c r="F1009" s="3" t="s">
        <v>815</v>
      </c>
      <c r="G1009" s="37" t="s">
        <v>28</v>
      </c>
      <c r="H1009" s="37" t="s">
        <v>9</v>
      </c>
    </row>
    <row r="1010" ht="15.75" customHeight="1">
      <c r="A1010" s="3" t="s">
        <v>821</v>
      </c>
      <c r="B1010" s="13">
        <v>470846.35000000003</v>
      </c>
      <c r="C1010" s="13">
        <v>155394.18000000005</v>
      </c>
      <c r="D1010" s="3">
        <v>6.0</v>
      </c>
      <c r="E1010" s="11">
        <v>2015.0</v>
      </c>
      <c r="F1010" s="3" t="s">
        <v>815</v>
      </c>
      <c r="G1010" s="37" t="s">
        <v>821</v>
      </c>
      <c r="H1010" s="37" t="s">
        <v>6</v>
      </c>
    </row>
    <row r="1011" ht="15.75" customHeight="1">
      <c r="A1011" s="3" t="s">
        <v>101</v>
      </c>
      <c r="B1011" s="13">
        <v>894019.68</v>
      </c>
      <c r="C1011" s="13">
        <v>600812.64</v>
      </c>
      <c r="D1011" s="3">
        <v>9.0</v>
      </c>
      <c r="E1011" s="11">
        <v>2016.0</v>
      </c>
      <c r="F1011" s="3" t="s">
        <v>818</v>
      </c>
      <c r="G1011" s="37" t="s">
        <v>28</v>
      </c>
      <c r="H1011" s="37" t="s">
        <v>5</v>
      </c>
    </row>
    <row r="1012" ht="15.75" customHeight="1">
      <c r="A1012" s="3" t="s">
        <v>740</v>
      </c>
      <c r="B1012" s="13">
        <v>521273.94</v>
      </c>
      <c r="C1012" s="13">
        <v>159832.68</v>
      </c>
      <c r="D1012" s="3">
        <v>2.0</v>
      </c>
      <c r="E1012" s="11">
        <v>2011.0</v>
      </c>
      <c r="F1012" s="3" t="s">
        <v>815</v>
      </c>
      <c r="G1012" s="37" t="s">
        <v>28</v>
      </c>
      <c r="H1012" s="37" t="s">
        <v>14</v>
      </c>
    </row>
    <row r="1013" ht="15.75" customHeight="1">
      <c r="A1013" s="3" t="s">
        <v>270</v>
      </c>
      <c r="B1013" s="13">
        <v>449841.92000000004</v>
      </c>
      <c r="C1013" s="13">
        <v>137930.24000000005</v>
      </c>
      <c r="D1013" s="3">
        <v>10.0</v>
      </c>
      <c r="E1013" s="11">
        <v>2010.0</v>
      </c>
      <c r="F1013" s="3" t="s">
        <v>815</v>
      </c>
      <c r="G1013" s="37" t="s">
        <v>28</v>
      </c>
      <c r="H1013" s="37" t="s">
        <v>14</v>
      </c>
    </row>
    <row r="1014" ht="15.75" customHeight="1">
      <c r="A1014" s="3" t="s">
        <v>431</v>
      </c>
      <c r="B1014" s="13">
        <v>2691658.1999999997</v>
      </c>
      <c r="C1014" s="13">
        <v>364935.99999999953</v>
      </c>
      <c r="D1014" s="3">
        <v>7.0</v>
      </c>
      <c r="E1014" s="11">
        <v>2014.0</v>
      </c>
      <c r="F1014" s="3" t="s">
        <v>818</v>
      </c>
      <c r="G1014" s="37" t="s">
        <v>28</v>
      </c>
      <c r="H1014" s="37" t="s">
        <v>11</v>
      </c>
    </row>
    <row r="1015" ht="15.75" customHeight="1">
      <c r="A1015" s="3" t="s">
        <v>373</v>
      </c>
      <c r="B1015" s="13">
        <v>5707204.44</v>
      </c>
      <c r="C1015" s="13">
        <v>1106455.0</v>
      </c>
      <c r="D1015" s="3">
        <v>6.0</v>
      </c>
      <c r="E1015" s="11">
        <v>2016.0</v>
      </c>
      <c r="F1015" s="3" t="s">
        <v>818</v>
      </c>
      <c r="G1015" s="37" t="s">
        <v>28</v>
      </c>
      <c r="H1015" s="37" t="s">
        <v>7</v>
      </c>
    </row>
    <row r="1016" ht="15.75" customHeight="1">
      <c r="A1016" s="3" t="s">
        <v>270</v>
      </c>
      <c r="B1016" s="13">
        <v>726532.3999999999</v>
      </c>
      <c r="C1016" s="13">
        <v>312899.8799999999</v>
      </c>
      <c r="D1016" s="3">
        <v>9.0</v>
      </c>
      <c r="E1016" s="11">
        <v>2012.0</v>
      </c>
      <c r="F1016" s="3" t="s">
        <v>815</v>
      </c>
      <c r="G1016" s="37" t="s">
        <v>28</v>
      </c>
      <c r="H1016" s="37" t="s">
        <v>3</v>
      </c>
    </row>
    <row r="1017" ht="15.75" customHeight="1">
      <c r="A1017" s="3" t="s">
        <v>221</v>
      </c>
      <c r="B1017" s="13">
        <v>326503.12</v>
      </c>
      <c r="C1017" s="13">
        <v>122604.94</v>
      </c>
      <c r="D1017" s="3">
        <v>9.0</v>
      </c>
      <c r="E1017" s="11">
        <v>2016.0</v>
      </c>
      <c r="F1017" s="3" t="s">
        <v>815</v>
      </c>
      <c r="G1017" s="37" t="s">
        <v>28</v>
      </c>
      <c r="H1017" s="37" t="s">
        <v>10</v>
      </c>
    </row>
    <row r="1018" ht="15.75" customHeight="1">
      <c r="A1018" s="3" t="s">
        <v>413</v>
      </c>
      <c r="B1018" s="13">
        <v>4101810.4</v>
      </c>
      <c r="C1018" s="13">
        <v>1631248.3399999999</v>
      </c>
      <c r="D1018" s="3">
        <v>3.0</v>
      </c>
      <c r="E1018" s="11">
        <v>2014.0</v>
      </c>
      <c r="F1018" s="3" t="s">
        <v>815</v>
      </c>
      <c r="G1018" s="37" t="s">
        <v>28</v>
      </c>
      <c r="H1018" s="37" t="s">
        <v>12</v>
      </c>
    </row>
    <row r="1019" ht="15.75" customHeight="1">
      <c r="A1019" s="3" t="s">
        <v>650</v>
      </c>
      <c r="B1019" s="13">
        <v>416085.66000000003</v>
      </c>
      <c r="C1019" s="13">
        <v>150366.78000000003</v>
      </c>
      <c r="D1019" s="3">
        <v>6.0</v>
      </c>
      <c r="E1019" s="11">
        <v>2011.0</v>
      </c>
      <c r="F1019" s="3" t="s">
        <v>818</v>
      </c>
      <c r="G1019" s="37" t="s">
        <v>28</v>
      </c>
      <c r="H1019" s="37" t="s">
        <v>13</v>
      </c>
    </row>
    <row r="1020" ht="15.75" customHeight="1">
      <c r="A1020" s="3" t="s">
        <v>623</v>
      </c>
      <c r="B1020" s="13">
        <v>61335.42</v>
      </c>
      <c r="C1020" s="13">
        <v>15843.339999999997</v>
      </c>
      <c r="D1020" s="3">
        <v>7.0</v>
      </c>
      <c r="E1020" s="11">
        <v>2017.0</v>
      </c>
      <c r="F1020" s="3" t="s">
        <v>815</v>
      </c>
      <c r="G1020" s="37" t="s">
        <v>28</v>
      </c>
      <c r="H1020" s="37" t="s">
        <v>8</v>
      </c>
    </row>
    <row r="1021" ht="15.75" customHeight="1">
      <c r="A1021" s="3" t="s">
        <v>590</v>
      </c>
      <c r="B1021" s="13">
        <v>2358993.1</v>
      </c>
      <c r="C1021" s="13">
        <v>585026.8999999999</v>
      </c>
      <c r="D1021" s="3">
        <v>6.0</v>
      </c>
      <c r="E1021" s="11">
        <v>2014.0</v>
      </c>
      <c r="F1021" s="3" t="s">
        <v>818</v>
      </c>
      <c r="G1021" s="37" t="s">
        <v>28</v>
      </c>
      <c r="H1021" s="37" t="s">
        <v>4</v>
      </c>
    </row>
    <row r="1022" ht="15.75" customHeight="1">
      <c r="A1022" s="3" t="s">
        <v>686</v>
      </c>
      <c r="B1022" s="13">
        <v>157043.44999999998</v>
      </c>
      <c r="C1022" s="13">
        <v>38946.549999999974</v>
      </c>
      <c r="D1022" s="3">
        <v>10.0</v>
      </c>
      <c r="E1022" s="11">
        <v>2010.0</v>
      </c>
      <c r="F1022" s="3" t="s">
        <v>818</v>
      </c>
      <c r="G1022" s="37" t="s">
        <v>28</v>
      </c>
      <c r="H1022" s="37" t="s">
        <v>4</v>
      </c>
    </row>
    <row r="1023" ht="15.75" customHeight="1">
      <c r="A1023" s="3" t="s">
        <v>512</v>
      </c>
      <c r="B1023" s="13">
        <v>695895.04</v>
      </c>
      <c r="C1023" s="13">
        <v>467665.92000000004</v>
      </c>
      <c r="D1023" s="3">
        <v>1.0</v>
      </c>
      <c r="E1023" s="11">
        <v>2016.0</v>
      </c>
      <c r="F1023" s="3" t="s">
        <v>815</v>
      </c>
      <c r="G1023" s="37" t="s">
        <v>28</v>
      </c>
      <c r="H1023" s="37" t="s">
        <v>5</v>
      </c>
    </row>
    <row r="1024" ht="15.75" customHeight="1">
      <c r="A1024" s="3" t="s">
        <v>142</v>
      </c>
      <c r="B1024" s="13">
        <v>810199.8</v>
      </c>
      <c r="C1024" s="13">
        <v>292793.4000000001</v>
      </c>
      <c r="D1024" s="3">
        <v>5.0</v>
      </c>
      <c r="E1024" s="11">
        <v>2010.0</v>
      </c>
      <c r="F1024" s="3" t="s">
        <v>815</v>
      </c>
      <c r="G1024" s="37" t="s">
        <v>28</v>
      </c>
      <c r="H1024" s="37" t="s">
        <v>13</v>
      </c>
    </row>
    <row r="1025" ht="15.75" customHeight="1">
      <c r="A1025" s="3" t="s">
        <v>346</v>
      </c>
      <c r="B1025" s="13">
        <v>1118321.54</v>
      </c>
      <c r="C1025" s="13">
        <v>458260.67000000004</v>
      </c>
      <c r="D1025" s="3">
        <v>1.0</v>
      </c>
      <c r="E1025" s="11">
        <v>2014.0</v>
      </c>
      <c r="F1025" s="3" t="s">
        <v>818</v>
      </c>
      <c r="G1025" s="37" t="s">
        <v>28</v>
      </c>
      <c r="H1025" s="37" t="s">
        <v>9</v>
      </c>
    </row>
    <row r="1026" ht="15.75" customHeight="1">
      <c r="A1026" s="3" t="s">
        <v>821</v>
      </c>
      <c r="B1026" s="13">
        <v>1375355.52</v>
      </c>
      <c r="C1026" s="13">
        <v>266640.0</v>
      </c>
      <c r="D1026" s="3">
        <v>7.0</v>
      </c>
      <c r="E1026" s="11">
        <v>2014.0</v>
      </c>
      <c r="F1026" s="3" t="s">
        <v>818</v>
      </c>
      <c r="G1026" s="37" t="s">
        <v>821</v>
      </c>
      <c r="H1026" s="37" t="s">
        <v>7</v>
      </c>
    </row>
    <row r="1027" ht="15.75" customHeight="1">
      <c r="A1027" s="3" t="s">
        <v>267</v>
      </c>
      <c r="B1027" s="13">
        <v>686029.18</v>
      </c>
      <c r="C1027" s="13">
        <v>281117.89</v>
      </c>
      <c r="D1027" s="3">
        <v>2.0</v>
      </c>
      <c r="E1027" s="11">
        <v>2013.0</v>
      </c>
      <c r="F1027" s="3" t="s">
        <v>818</v>
      </c>
      <c r="G1027" s="37" t="s">
        <v>28</v>
      </c>
      <c r="H1027" s="37" t="s">
        <v>9</v>
      </c>
    </row>
    <row r="1028" ht="15.75" customHeight="1">
      <c r="A1028" s="3" t="s">
        <v>686</v>
      </c>
      <c r="B1028" s="13">
        <v>248897.0</v>
      </c>
      <c r="C1028" s="13">
        <v>107193.9</v>
      </c>
      <c r="D1028" s="3">
        <v>7.0</v>
      </c>
      <c r="E1028" s="11">
        <v>2010.0</v>
      </c>
      <c r="F1028" s="3" t="s">
        <v>815</v>
      </c>
      <c r="G1028" s="37" t="s">
        <v>28</v>
      </c>
      <c r="H1028" s="37" t="s">
        <v>3</v>
      </c>
    </row>
    <row r="1029" ht="15.75" customHeight="1">
      <c r="A1029" s="3" t="s">
        <v>623</v>
      </c>
      <c r="B1029" s="13">
        <v>243038.90000000002</v>
      </c>
      <c r="C1029" s="13">
        <v>80210.52000000002</v>
      </c>
      <c r="D1029" s="3">
        <v>1.0</v>
      </c>
      <c r="E1029" s="11">
        <v>2012.0</v>
      </c>
      <c r="F1029" s="3" t="s">
        <v>818</v>
      </c>
      <c r="G1029" s="37" t="s">
        <v>28</v>
      </c>
      <c r="H1029" s="37" t="s">
        <v>6</v>
      </c>
    </row>
    <row r="1030" ht="15.75" customHeight="1">
      <c r="A1030" s="3" t="s">
        <v>740</v>
      </c>
      <c r="B1030" s="13">
        <v>3442075.6</v>
      </c>
      <c r="C1030" s="13">
        <v>1368878.5100000002</v>
      </c>
      <c r="D1030" s="3">
        <v>1.0</v>
      </c>
      <c r="E1030" s="11">
        <v>2011.0</v>
      </c>
      <c r="F1030" s="3" t="s">
        <v>815</v>
      </c>
      <c r="G1030" s="37" t="s">
        <v>28</v>
      </c>
      <c r="H1030" s="37" t="s">
        <v>12</v>
      </c>
    </row>
    <row r="1031" ht="15.75" customHeight="1">
      <c r="A1031" s="3" t="s">
        <v>142</v>
      </c>
      <c r="B1031" s="13">
        <v>87646.02</v>
      </c>
      <c r="C1031" s="13">
        <v>22639.540000000008</v>
      </c>
      <c r="D1031" s="3">
        <v>3.0</v>
      </c>
      <c r="E1031" s="11">
        <v>2016.0</v>
      </c>
      <c r="F1031" s="3" t="s">
        <v>815</v>
      </c>
      <c r="G1031" s="37" t="s">
        <v>28</v>
      </c>
      <c r="H1031" s="37" t="s">
        <v>8</v>
      </c>
    </row>
    <row r="1032" ht="15.75" customHeight="1">
      <c r="A1032" s="3" t="s">
        <v>218</v>
      </c>
      <c r="B1032" s="13">
        <v>64899.48</v>
      </c>
      <c r="C1032" s="13">
        <v>16763.960000000006</v>
      </c>
      <c r="D1032" s="3">
        <v>11.0</v>
      </c>
      <c r="E1032" s="11">
        <v>2014.0</v>
      </c>
      <c r="F1032" s="3" t="s">
        <v>818</v>
      </c>
      <c r="G1032" s="37" t="s">
        <v>28</v>
      </c>
      <c r="H1032" s="37" t="s">
        <v>8</v>
      </c>
    </row>
    <row r="1033" ht="15.75" customHeight="1">
      <c r="A1033" s="3" t="s">
        <v>428</v>
      </c>
      <c r="B1033" s="13">
        <v>309399.36</v>
      </c>
      <c r="C1033" s="13">
        <v>116182.32</v>
      </c>
      <c r="D1033" s="3">
        <v>11.0</v>
      </c>
      <c r="E1033" s="11">
        <v>2013.0</v>
      </c>
      <c r="F1033" s="3" t="s">
        <v>815</v>
      </c>
      <c r="G1033" s="37" t="s">
        <v>28</v>
      </c>
      <c r="H1033" s="37" t="s">
        <v>10</v>
      </c>
    </row>
    <row r="1034" ht="15.75" customHeight="1">
      <c r="A1034" s="3" t="s">
        <v>206</v>
      </c>
      <c r="B1034" s="13">
        <v>392875.92</v>
      </c>
      <c r="C1034" s="13">
        <v>147528.54</v>
      </c>
      <c r="D1034" s="3">
        <v>6.0</v>
      </c>
      <c r="E1034" s="11">
        <v>2013.0</v>
      </c>
      <c r="F1034" s="3" t="s">
        <v>818</v>
      </c>
      <c r="G1034" s="37" t="s">
        <v>28</v>
      </c>
      <c r="H1034" s="37" t="s">
        <v>10</v>
      </c>
    </row>
    <row r="1035" ht="15.75" customHeight="1">
      <c r="A1035" s="3" t="s">
        <v>578</v>
      </c>
      <c r="B1035" s="13">
        <v>6510146.37</v>
      </c>
      <c r="C1035" s="13">
        <v>1262121.25</v>
      </c>
      <c r="D1035" s="3">
        <v>2.0</v>
      </c>
      <c r="E1035" s="11">
        <v>2012.0</v>
      </c>
      <c r="F1035" s="3" t="s">
        <v>818</v>
      </c>
      <c r="G1035" s="37" t="s">
        <v>28</v>
      </c>
      <c r="H1035" s="37" t="s">
        <v>7</v>
      </c>
    </row>
    <row r="1036" ht="15.75" customHeight="1">
      <c r="A1036" s="3" t="s">
        <v>575</v>
      </c>
      <c r="B1036" s="13">
        <v>914346.1</v>
      </c>
      <c r="C1036" s="13">
        <v>374676.54999999993</v>
      </c>
      <c r="D1036" s="3">
        <v>2.0</v>
      </c>
      <c r="E1036" s="11">
        <v>2016.0</v>
      </c>
      <c r="F1036" s="3" t="s">
        <v>815</v>
      </c>
      <c r="G1036" s="37" t="s">
        <v>28</v>
      </c>
      <c r="H1036" s="37" t="s">
        <v>9</v>
      </c>
    </row>
    <row r="1037" ht="15.75" customHeight="1">
      <c r="A1037" s="3" t="s">
        <v>142</v>
      </c>
      <c r="B1037" s="13">
        <v>1179604.44</v>
      </c>
      <c r="C1037" s="13">
        <v>159931.19999999995</v>
      </c>
      <c r="D1037" s="3">
        <v>9.0</v>
      </c>
      <c r="E1037" s="11">
        <v>2013.0</v>
      </c>
      <c r="F1037" s="3" t="s">
        <v>818</v>
      </c>
      <c r="G1037" s="37" t="s">
        <v>28</v>
      </c>
      <c r="H1037" s="37" t="s">
        <v>11</v>
      </c>
    </row>
    <row r="1038" ht="15.75" customHeight="1">
      <c r="A1038" s="3" t="s">
        <v>650</v>
      </c>
      <c r="B1038" s="13">
        <v>1850667.5999999999</v>
      </c>
      <c r="C1038" s="13">
        <v>735991.71</v>
      </c>
      <c r="D1038" s="3">
        <v>6.0</v>
      </c>
      <c r="E1038" s="11">
        <v>2012.0</v>
      </c>
      <c r="F1038" s="3" t="s">
        <v>818</v>
      </c>
      <c r="G1038" s="37" t="s">
        <v>28</v>
      </c>
      <c r="H1038" s="37" t="s">
        <v>12</v>
      </c>
    </row>
    <row r="1039" ht="15.75" customHeight="1">
      <c r="A1039" s="3" t="s">
        <v>206</v>
      </c>
      <c r="B1039" s="13">
        <v>966144.48</v>
      </c>
      <c r="C1039" s="13">
        <v>649283.04</v>
      </c>
      <c r="D1039" s="3">
        <v>6.0</v>
      </c>
      <c r="E1039" s="11">
        <v>2016.0</v>
      </c>
      <c r="F1039" s="3" t="s">
        <v>815</v>
      </c>
      <c r="G1039" s="37" t="s">
        <v>28</v>
      </c>
      <c r="H1039" s="37" t="s">
        <v>5</v>
      </c>
    </row>
    <row r="1040" ht="15.75" customHeight="1">
      <c r="A1040" s="3" t="s">
        <v>67</v>
      </c>
      <c r="B1040" s="13">
        <v>3117767.1</v>
      </c>
      <c r="C1040" s="13">
        <v>422708.0</v>
      </c>
      <c r="D1040" s="3">
        <v>11.0</v>
      </c>
      <c r="E1040" s="11">
        <v>2015.0</v>
      </c>
      <c r="F1040" s="3" t="s">
        <v>818</v>
      </c>
      <c r="G1040" s="37" t="s">
        <v>23</v>
      </c>
      <c r="H1040" s="37" t="s">
        <v>11</v>
      </c>
    </row>
    <row r="1041" ht="15.75" customHeight="1">
      <c r="A1041" s="3" t="s">
        <v>746</v>
      </c>
      <c r="B1041" s="13">
        <v>59885.44</v>
      </c>
      <c r="C1041" s="13">
        <v>40245.119999999995</v>
      </c>
      <c r="D1041" s="3">
        <v>2.0</v>
      </c>
      <c r="E1041" s="11">
        <v>2017.0</v>
      </c>
      <c r="F1041" s="3" t="s">
        <v>815</v>
      </c>
      <c r="G1041" s="37" t="s">
        <v>28</v>
      </c>
      <c r="H1041" s="37" t="s">
        <v>5</v>
      </c>
    </row>
    <row r="1042" ht="15.75" customHeight="1">
      <c r="A1042" s="3" t="s">
        <v>740</v>
      </c>
      <c r="B1042" s="13">
        <v>853061.58</v>
      </c>
      <c r="C1042" s="13">
        <v>115658.3999999999</v>
      </c>
      <c r="D1042" s="3">
        <v>4.0</v>
      </c>
      <c r="E1042" s="11">
        <v>2017.0</v>
      </c>
      <c r="F1042" s="3" t="s">
        <v>818</v>
      </c>
      <c r="G1042" s="37" t="s">
        <v>28</v>
      </c>
      <c r="H1042" s="37" t="s">
        <v>11</v>
      </c>
    </row>
    <row r="1043" ht="15.75" customHeight="1">
      <c r="A1043" s="3" t="s">
        <v>821</v>
      </c>
      <c r="B1043" s="13">
        <v>973460.4</v>
      </c>
      <c r="C1043" s="13">
        <v>351793.20000000007</v>
      </c>
      <c r="D1043" s="3">
        <v>2.0</v>
      </c>
      <c r="E1043" s="11">
        <v>2013.0</v>
      </c>
      <c r="F1043" s="3" t="s">
        <v>815</v>
      </c>
      <c r="G1043" s="37" t="s">
        <v>821</v>
      </c>
      <c r="H1043" s="37" t="s">
        <v>13</v>
      </c>
    </row>
    <row r="1044" ht="15.75" customHeight="1">
      <c r="A1044" s="3" t="s">
        <v>221</v>
      </c>
      <c r="B1044" s="13">
        <v>1469497.9800000002</v>
      </c>
      <c r="C1044" s="13">
        <v>531053.3400000002</v>
      </c>
      <c r="D1044" s="3">
        <v>6.0</v>
      </c>
      <c r="E1044" s="11">
        <v>2013.0</v>
      </c>
      <c r="F1044" s="3" t="s">
        <v>818</v>
      </c>
      <c r="G1044" s="37" t="s">
        <v>28</v>
      </c>
      <c r="H1044" s="37" t="s">
        <v>13</v>
      </c>
    </row>
    <row r="1045" ht="15.75" customHeight="1">
      <c r="A1045" s="3" t="s">
        <v>97</v>
      </c>
      <c r="B1045" s="13">
        <v>3845225.58</v>
      </c>
      <c r="C1045" s="13">
        <v>953610.4199999999</v>
      </c>
      <c r="D1045" s="3">
        <v>2.0</v>
      </c>
      <c r="E1045" s="11">
        <v>2015.0</v>
      </c>
      <c r="F1045" s="3" t="s">
        <v>818</v>
      </c>
      <c r="G1045" s="37" t="s">
        <v>28</v>
      </c>
      <c r="H1045" s="37" t="s">
        <v>4</v>
      </c>
    </row>
    <row r="1046" ht="15.75" customHeight="1">
      <c r="A1046" s="3" t="s">
        <v>512</v>
      </c>
      <c r="B1046" s="13">
        <v>376705.55000000005</v>
      </c>
      <c r="C1046" s="13">
        <v>124324.74000000005</v>
      </c>
      <c r="D1046" s="3">
        <v>7.0</v>
      </c>
      <c r="E1046" s="11">
        <v>2017.0</v>
      </c>
      <c r="F1046" s="3" t="s">
        <v>818</v>
      </c>
      <c r="G1046" s="37" t="s">
        <v>28</v>
      </c>
      <c r="H1046" s="37" t="s">
        <v>6</v>
      </c>
    </row>
    <row r="1047" ht="15.75" customHeight="1">
      <c r="A1047" s="3" t="s">
        <v>218</v>
      </c>
      <c r="B1047" s="13">
        <v>730705.6200000001</v>
      </c>
      <c r="C1047" s="13">
        <v>264065.46000000014</v>
      </c>
      <c r="D1047" s="3">
        <v>7.0</v>
      </c>
      <c r="E1047" s="11">
        <v>2011.0</v>
      </c>
      <c r="F1047" s="3" t="s">
        <v>815</v>
      </c>
      <c r="G1047" s="37" t="s">
        <v>28</v>
      </c>
      <c r="H1047" s="37" t="s">
        <v>13</v>
      </c>
    </row>
    <row r="1048" ht="15.75" customHeight="1">
      <c r="A1048" s="3" t="s">
        <v>67</v>
      </c>
      <c r="B1048" s="13">
        <v>526913.31</v>
      </c>
      <c r="C1048" s="13">
        <v>161561.82000000007</v>
      </c>
      <c r="D1048" s="3">
        <v>12.0</v>
      </c>
      <c r="E1048" s="11">
        <v>2016.0</v>
      </c>
      <c r="F1048" s="3" t="s">
        <v>815</v>
      </c>
      <c r="G1048" s="37" t="s">
        <v>23</v>
      </c>
      <c r="H1048" s="37" t="s">
        <v>14</v>
      </c>
    </row>
    <row r="1049" ht="15.75" customHeight="1">
      <c r="A1049" s="3" t="s">
        <v>248</v>
      </c>
      <c r="B1049" s="13">
        <v>657986.0</v>
      </c>
      <c r="C1049" s="13">
        <v>261674.35000000003</v>
      </c>
      <c r="D1049" s="3">
        <v>5.0</v>
      </c>
      <c r="E1049" s="11">
        <v>2011.0</v>
      </c>
      <c r="F1049" s="3" t="s">
        <v>815</v>
      </c>
      <c r="G1049" s="37" t="s">
        <v>28</v>
      </c>
      <c r="H1049" s="37" t="s">
        <v>12</v>
      </c>
    </row>
    <row r="1050" ht="15.75" customHeight="1">
      <c r="A1050" s="3" t="s">
        <v>101</v>
      </c>
      <c r="B1050" s="13">
        <v>77532.3</v>
      </c>
      <c r="C1050" s="13">
        <v>20027.100000000006</v>
      </c>
      <c r="D1050" s="3">
        <v>10.0</v>
      </c>
      <c r="E1050" s="11">
        <v>2013.0</v>
      </c>
      <c r="F1050" s="3" t="s">
        <v>815</v>
      </c>
      <c r="G1050" s="37" t="s">
        <v>28</v>
      </c>
      <c r="H1050" s="37" t="s">
        <v>8</v>
      </c>
    </row>
    <row r="1051" ht="15.75" customHeight="1">
      <c r="A1051" s="3" t="s">
        <v>101</v>
      </c>
      <c r="B1051" s="13">
        <v>1383949.5999999999</v>
      </c>
      <c r="C1051" s="13">
        <v>596033.5199999999</v>
      </c>
      <c r="D1051" s="3">
        <v>11.0</v>
      </c>
      <c r="E1051" s="11">
        <v>2014.0</v>
      </c>
      <c r="F1051" s="3" t="s">
        <v>818</v>
      </c>
      <c r="G1051" s="37" t="s">
        <v>28</v>
      </c>
      <c r="H1051" s="37" t="s">
        <v>3</v>
      </c>
    </row>
    <row r="1052" ht="15.75" customHeight="1">
      <c r="A1052" s="3" t="s">
        <v>482</v>
      </c>
      <c r="B1052" s="13">
        <v>451922.89999999997</v>
      </c>
      <c r="C1052" s="13">
        <v>194632.22999999995</v>
      </c>
      <c r="D1052" s="3">
        <v>6.0</v>
      </c>
      <c r="E1052" s="11">
        <v>2017.0</v>
      </c>
      <c r="F1052" s="3" t="s">
        <v>815</v>
      </c>
      <c r="G1052" s="37" t="s">
        <v>28</v>
      </c>
      <c r="H1052" s="37" t="s">
        <v>3</v>
      </c>
    </row>
    <row r="1053" ht="15.75" customHeight="1">
      <c r="A1053" s="3" t="s">
        <v>821</v>
      </c>
      <c r="B1053" s="13">
        <v>2540094.27</v>
      </c>
      <c r="C1053" s="13">
        <v>629939.73</v>
      </c>
      <c r="D1053" s="3">
        <v>11.0</v>
      </c>
      <c r="E1053" s="11">
        <v>2015.0</v>
      </c>
      <c r="F1053" s="3" t="s">
        <v>818</v>
      </c>
      <c r="G1053" s="37" t="s">
        <v>821</v>
      </c>
      <c r="H1053" s="37" t="s">
        <v>4</v>
      </c>
    </row>
    <row r="1054" ht="15.75" customHeight="1">
      <c r="A1054" s="3" t="s">
        <v>300</v>
      </c>
      <c r="B1054" s="13">
        <v>419932.5</v>
      </c>
      <c r="C1054" s="13">
        <v>138591.0</v>
      </c>
      <c r="D1054" s="3">
        <v>2.0</v>
      </c>
      <c r="E1054" s="11">
        <v>2010.0</v>
      </c>
      <c r="F1054" s="3" t="s">
        <v>818</v>
      </c>
      <c r="G1054" s="37" t="s">
        <v>28</v>
      </c>
      <c r="H1054" s="37" t="s">
        <v>6</v>
      </c>
    </row>
    <row r="1055" ht="15.75" customHeight="1">
      <c r="A1055" s="3" t="s">
        <v>536</v>
      </c>
      <c r="B1055" s="13">
        <v>2865054.9899999998</v>
      </c>
      <c r="C1055" s="13">
        <v>388445.1999999997</v>
      </c>
      <c r="D1055" s="3">
        <v>2.0</v>
      </c>
      <c r="E1055" s="11">
        <v>2017.0</v>
      </c>
      <c r="F1055" s="3" t="s">
        <v>815</v>
      </c>
      <c r="G1055" s="37" t="s">
        <v>28</v>
      </c>
      <c r="H1055" s="37" t="s">
        <v>11</v>
      </c>
    </row>
    <row r="1056" ht="15.75" customHeight="1">
      <c r="A1056" s="3" t="s">
        <v>593</v>
      </c>
      <c r="B1056" s="13">
        <v>412103.25</v>
      </c>
      <c r="C1056" s="13">
        <v>136007.10000000003</v>
      </c>
      <c r="D1056" s="3">
        <v>10.0</v>
      </c>
      <c r="E1056" s="11">
        <v>2013.0</v>
      </c>
      <c r="F1056" s="3" t="s">
        <v>815</v>
      </c>
      <c r="G1056" s="37" t="s">
        <v>28</v>
      </c>
      <c r="H1056" s="37" t="s">
        <v>6</v>
      </c>
    </row>
    <row r="1057" ht="15.75" customHeight="1">
      <c r="A1057" s="3" t="s">
        <v>635</v>
      </c>
      <c r="B1057" s="13">
        <v>117011.70000000001</v>
      </c>
      <c r="C1057" s="13">
        <v>38617.56000000001</v>
      </c>
      <c r="D1057" s="3">
        <v>11.0</v>
      </c>
      <c r="E1057" s="11">
        <v>2016.0</v>
      </c>
      <c r="F1057" s="3" t="s">
        <v>818</v>
      </c>
      <c r="G1057" s="37" t="s">
        <v>28</v>
      </c>
      <c r="H1057" s="37" t="s">
        <v>6</v>
      </c>
    </row>
    <row r="1058" ht="15.75" customHeight="1">
      <c r="A1058" s="3" t="s">
        <v>689</v>
      </c>
      <c r="B1058" s="13">
        <v>255802.95</v>
      </c>
      <c r="C1058" s="13">
        <v>84423.06000000003</v>
      </c>
      <c r="D1058" s="3">
        <v>1.0</v>
      </c>
      <c r="E1058" s="11">
        <v>2010.0</v>
      </c>
      <c r="F1058" s="3" t="s">
        <v>815</v>
      </c>
      <c r="G1058" s="37" t="s">
        <v>28</v>
      </c>
      <c r="H1058" s="37" t="s">
        <v>6</v>
      </c>
    </row>
    <row r="1059" ht="15.75" customHeight="1">
      <c r="A1059" s="3" t="s">
        <v>270</v>
      </c>
      <c r="B1059" s="13">
        <v>300733.39999999997</v>
      </c>
      <c r="C1059" s="13">
        <v>129518.57999999996</v>
      </c>
      <c r="D1059" s="3">
        <v>8.0</v>
      </c>
      <c r="E1059" s="11">
        <v>2010.0</v>
      </c>
      <c r="F1059" s="3" t="s">
        <v>818</v>
      </c>
      <c r="G1059" s="37" t="s">
        <v>28</v>
      </c>
      <c r="H1059" s="37" t="s">
        <v>3</v>
      </c>
    </row>
    <row r="1060" ht="15.75" customHeight="1">
      <c r="A1060" s="3" t="s">
        <v>821</v>
      </c>
      <c r="B1060" s="13">
        <v>1407916.02</v>
      </c>
      <c r="C1060" s="13">
        <v>272952.5</v>
      </c>
      <c r="D1060" s="3">
        <v>11.0</v>
      </c>
      <c r="E1060" s="11">
        <v>2016.0</v>
      </c>
      <c r="F1060" s="3" t="s">
        <v>815</v>
      </c>
      <c r="G1060" s="37" t="s">
        <v>821</v>
      </c>
      <c r="H1060" s="37" t="s">
        <v>7</v>
      </c>
    </row>
    <row r="1061" ht="15.75" customHeight="1">
      <c r="A1061" s="3" t="s">
        <v>536</v>
      </c>
      <c r="B1061" s="13">
        <v>347838.24</v>
      </c>
      <c r="C1061" s="13">
        <v>233759.51999999996</v>
      </c>
      <c r="D1061" s="3">
        <v>3.0</v>
      </c>
      <c r="E1061" s="11">
        <v>2013.0</v>
      </c>
      <c r="F1061" s="3" t="s">
        <v>815</v>
      </c>
      <c r="G1061" s="37" t="s">
        <v>28</v>
      </c>
      <c r="H1061" s="37" t="s">
        <v>5</v>
      </c>
    </row>
    <row r="1062" ht="15.75" customHeight="1">
      <c r="A1062" s="3" t="s">
        <v>300</v>
      </c>
      <c r="B1062" s="13">
        <v>1164794.6099999999</v>
      </c>
      <c r="C1062" s="13">
        <v>288867.3899999998</v>
      </c>
      <c r="D1062" s="3">
        <v>3.0</v>
      </c>
      <c r="E1062" s="11">
        <v>2016.0</v>
      </c>
      <c r="F1062" s="3" t="s">
        <v>818</v>
      </c>
      <c r="G1062" s="37" t="s">
        <v>28</v>
      </c>
      <c r="H1062" s="37" t="s">
        <v>4</v>
      </c>
    </row>
    <row r="1063" ht="15.75" customHeight="1">
      <c r="A1063" s="3" t="s">
        <v>300</v>
      </c>
      <c r="B1063" s="13">
        <v>13158.53</v>
      </c>
      <c r="C1063" s="13">
        <v>4034.66</v>
      </c>
      <c r="D1063" s="3">
        <v>4.0</v>
      </c>
      <c r="E1063" s="11">
        <v>2017.0</v>
      </c>
      <c r="F1063" s="3" t="s">
        <v>815</v>
      </c>
      <c r="G1063" s="37" t="s">
        <v>28</v>
      </c>
      <c r="H1063" s="37" t="s">
        <v>14</v>
      </c>
    </row>
    <row r="1064" ht="15.75" customHeight="1">
      <c r="A1064" s="3" t="s">
        <v>267</v>
      </c>
      <c r="B1064" s="13">
        <v>148359.78</v>
      </c>
      <c r="C1064" s="13">
        <v>60794.18999999999</v>
      </c>
      <c r="D1064" s="3">
        <v>9.0</v>
      </c>
      <c r="E1064" s="11">
        <v>2012.0</v>
      </c>
      <c r="F1064" s="3" t="s">
        <v>815</v>
      </c>
      <c r="G1064" s="37" t="s">
        <v>28</v>
      </c>
      <c r="H1064" s="37" t="s">
        <v>9</v>
      </c>
    </row>
    <row r="1065" ht="15.75" customHeight="1">
      <c r="A1065" s="3" t="s">
        <v>746</v>
      </c>
      <c r="B1065" s="13">
        <v>3000940.8</v>
      </c>
      <c r="C1065" s="13">
        <v>1193443.68</v>
      </c>
      <c r="D1065" s="3">
        <v>5.0</v>
      </c>
      <c r="E1065" s="11">
        <v>2015.0</v>
      </c>
      <c r="F1065" s="3" t="s">
        <v>818</v>
      </c>
      <c r="G1065" s="37" t="s">
        <v>28</v>
      </c>
      <c r="H1065" s="37" t="s">
        <v>12</v>
      </c>
    </row>
    <row r="1066" ht="15.75" customHeight="1">
      <c r="A1066" s="3" t="s">
        <v>428</v>
      </c>
      <c r="B1066" s="13">
        <v>1006165.86</v>
      </c>
      <c r="C1066" s="13">
        <v>412302.0299999999</v>
      </c>
      <c r="D1066" s="3">
        <v>10.0</v>
      </c>
      <c r="E1066" s="11">
        <v>2013.0</v>
      </c>
      <c r="F1066" s="3" t="s">
        <v>818</v>
      </c>
      <c r="G1066" s="37" t="s">
        <v>28</v>
      </c>
      <c r="H1066" s="37" t="s">
        <v>9</v>
      </c>
    </row>
    <row r="1067" ht="15.75" customHeight="1">
      <c r="A1067" s="3" t="s">
        <v>821</v>
      </c>
      <c r="B1067" s="13">
        <v>677247.76</v>
      </c>
      <c r="C1067" s="13">
        <v>277519.48</v>
      </c>
      <c r="D1067" s="3">
        <v>1.0</v>
      </c>
      <c r="E1067" s="11">
        <v>2010.0</v>
      </c>
      <c r="F1067" s="3" t="s">
        <v>815</v>
      </c>
      <c r="G1067" s="37" t="s">
        <v>821</v>
      </c>
      <c r="H1067" s="37" t="s">
        <v>9</v>
      </c>
    </row>
    <row r="1068" ht="15.75" customHeight="1">
      <c r="A1068" s="3" t="s">
        <v>221</v>
      </c>
      <c r="B1068" s="13">
        <v>1960404.8</v>
      </c>
      <c r="C1068" s="13">
        <v>779633.0800000001</v>
      </c>
      <c r="D1068" s="3">
        <v>7.0</v>
      </c>
      <c r="E1068" s="11">
        <v>2012.0</v>
      </c>
      <c r="F1068" s="3" t="s">
        <v>818</v>
      </c>
      <c r="G1068" s="37" t="s">
        <v>28</v>
      </c>
      <c r="H1068" s="37" t="s">
        <v>12</v>
      </c>
    </row>
    <row r="1069" ht="15.75" customHeight="1">
      <c r="A1069" s="3" t="s">
        <v>215</v>
      </c>
      <c r="B1069" s="13">
        <v>165676.72</v>
      </c>
      <c r="C1069" s="13">
        <v>62213.140000000014</v>
      </c>
      <c r="D1069" s="3">
        <v>1.0</v>
      </c>
      <c r="E1069" s="11">
        <v>2010.0</v>
      </c>
      <c r="F1069" s="3" t="s">
        <v>815</v>
      </c>
      <c r="G1069" s="37" t="s">
        <v>23</v>
      </c>
      <c r="H1069" s="37" t="s">
        <v>10</v>
      </c>
    </row>
    <row r="1070" ht="15.75" customHeight="1">
      <c r="A1070" s="3" t="s">
        <v>671</v>
      </c>
      <c r="B1070" s="13">
        <v>1683860.2</v>
      </c>
      <c r="C1070" s="13">
        <v>725197.74</v>
      </c>
      <c r="D1070" s="3">
        <v>12.0</v>
      </c>
      <c r="E1070" s="11">
        <v>2010.0</v>
      </c>
      <c r="F1070" s="3" t="s">
        <v>818</v>
      </c>
      <c r="G1070" s="37" t="s">
        <v>28</v>
      </c>
      <c r="H1070" s="37" t="s">
        <v>3</v>
      </c>
    </row>
    <row r="1071" ht="15.75" customHeight="1">
      <c r="A1071" s="3" t="s">
        <v>821</v>
      </c>
      <c r="B1071" s="13">
        <v>1303039.48</v>
      </c>
      <c r="C1071" s="13">
        <v>533953.5399999999</v>
      </c>
      <c r="D1071" s="3">
        <v>3.0</v>
      </c>
      <c r="E1071" s="11">
        <v>2016.0</v>
      </c>
      <c r="F1071" s="3" t="s">
        <v>815</v>
      </c>
      <c r="G1071" s="37" t="s">
        <v>821</v>
      </c>
      <c r="H1071" s="37" t="s">
        <v>9</v>
      </c>
    </row>
    <row r="1072" ht="15.75" customHeight="1">
      <c r="A1072" s="3" t="s">
        <v>689</v>
      </c>
      <c r="B1072" s="13">
        <v>395666.0</v>
      </c>
      <c r="C1072" s="13">
        <v>157352.35</v>
      </c>
      <c r="D1072" s="3">
        <v>4.0</v>
      </c>
      <c r="E1072" s="11">
        <v>2015.0</v>
      </c>
      <c r="F1072" s="3" t="s">
        <v>815</v>
      </c>
      <c r="G1072" s="37" t="s">
        <v>28</v>
      </c>
      <c r="H1072" s="37" t="s">
        <v>12</v>
      </c>
    </row>
    <row r="1073" ht="15.75" customHeight="1">
      <c r="A1073" s="3" t="s">
        <v>590</v>
      </c>
      <c r="B1073" s="13">
        <v>993119.6</v>
      </c>
      <c r="C1073" s="13">
        <v>427712.52</v>
      </c>
      <c r="D1073" s="3">
        <v>9.0</v>
      </c>
      <c r="E1073" s="11">
        <v>2012.0</v>
      </c>
      <c r="F1073" s="3" t="s">
        <v>818</v>
      </c>
      <c r="G1073" s="37" t="s">
        <v>28</v>
      </c>
      <c r="H1073" s="37" t="s">
        <v>3</v>
      </c>
    </row>
    <row r="1074" ht="15.75" customHeight="1">
      <c r="A1074" s="3" t="s">
        <v>653</v>
      </c>
      <c r="B1074" s="13">
        <v>58079.25</v>
      </c>
      <c r="C1074" s="13">
        <v>15002.25</v>
      </c>
      <c r="D1074" s="3">
        <v>12.0</v>
      </c>
      <c r="E1074" s="11">
        <v>2013.0</v>
      </c>
      <c r="F1074" s="3" t="s">
        <v>818</v>
      </c>
      <c r="G1074" s="37" t="s">
        <v>28</v>
      </c>
      <c r="H1074" s="37" t="s">
        <v>8</v>
      </c>
    </row>
    <row r="1075" ht="15.75" customHeight="1">
      <c r="A1075" s="3" t="s">
        <v>821</v>
      </c>
      <c r="B1075" s="13">
        <v>794829.6</v>
      </c>
      <c r="C1075" s="13">
        <v>316095.66000000003</v>
      </c>
      <c r="D1075" s="3">
        <v>11.0</v>
      </c>
      <c r="E1075" s="11">
        <v>2012.0</v>
      </c>
      <c r="F1075" s="3" t="s">
        <v>818</v>
      </c>
      <c r="G1075" s="37" t="s">
        <v>821</v>
      </c>
      <c r="H1075" s="37" t="s">
        <v>12</v>
      </c>
    </row>
    <row r="1076" ht="15.75" customHeight="1">
      <c r="A1076" s="3" t="s">
        <v>821</v>
      </c>
      <c r="B1076" s="13">
        <v>3787728.42</v>
      </c>
      <c r="C1076" s="13">
        <v>513541.6000000001</v>
      </c>
      <c r="D1076" s="3">
        <v>5.0</v>
      </c>
      <c r="E1076" s="11">
        <v>2016.0</v>
      </c>
      <c r="F1076" s="3" t="s">
        <v>818</v>
      </c>
      <c r="G1076" s="37" t="s">
        <v>821</v>
      </c>
      <c r="H1076" s="37" t="s">
        <v>11</v>
      </c>
    </row>
    <row r="1077" ht="15.75" customHeight="1">
      <c r="A1077" s="3" t="s">
        <v>364</v>
      </c>
      <c r="B1077" s="13">
        <v>2997443.1999999997</v>
      </c>
      <c r="C1077" s="13">
        <v>1192052.7199999997</v>
      </c>
      <c r="D1077" s="3">
        <v>1.0</v>
      </c>
      <c r="E1077" s="11">
        <v>2011.0</v>
      </c>
      <c r="F1077" s="3" t="s">
        <v>815</v>
      </c>
      <c r="G1077" s="37" t="s">
        <v>28</v>
      </c>
      <c r="H1077" s="37" t="s">
        <v>12</v>
      </c>
    </row>
    <row r="1078" ht="15.75" customHeight="1">
      <c r="A1078" s="3" t="s">
        <v>671</v>
      </c>
      <c r="B1078" s="13">
        <v>85574.76</v>
      </c>
      <c r="C1078" s="13">
        <v>22104.519999999997</v>
      </c>
      <c r="D1078" s="3">
        <v>10.0</v>
      </c>
      <c r="E1078" s="11">
        <v>2011.0</v>
      </c>
      <c r="F1078" s="3" t="s">
        <v>815</v>
      </c>
      <c r="G1078" s="37" t="s">
        <v>28</v>
      </c>
      <c r="H1078" s="37" t="s">
        <v>8</v>
      </c>
    </row>
    <row r="1079" ht="15.75" customHeight="1">
      <c r="A1079" s="3" t="s">
        <v>142</v>
      </c>
      <c r="B1079" s="13">
        <v>836083.62</v>
      </c>
      <c r="C1079" s="13">
        <v>342606.50999999995</v>
      </c>
      <c r="D1079" s="3">
        <v>1.0</v>
      </c>
      <c r="E1079" s="11">
        <v>2010.0</v>
      </c>
      <c r="F1079" s="3" t="s">
        <v>818</v>
      </c>
      <c r="G1079" s="37" t="s">
        <v>28</v>
      </c>
      <c r="H1079" s="37" t="s">
        <v>9</v>
      </c>
    </row>
    <row r="1080" ht="15.75" customHeight="1">
      <c r="A1080" s="3" t="s">
        <v>821</v>
      </c>
      <c r="B1080" s="13">
        <v>360038.22000000003</v>
      </c>
      <c r="C1080" s="13">
        <v>147534.81000000003</v>
      </c>
      <c r="D1080" s="3">
        <v>12.0</v>
      </c>
      <c r="E1080" s="11">
        <v>2012.0</v>
      </c>
      <c r="F1080" s="3" t="s">
        <v>818</v>
      </c>
      <c r="G1080" s="37" t="s">
        <v>821</v>
      </c>
      <c r="H1080" s="37" t="s">
        <v>9</v>
      </c>
    </row>
    <row r="1081" ht="15.75" customHeight="1">
      <c r="A1081" s="3" t="s">
        <v>689</v>
      </c>
      <c r="B1081" s="13">
        <v>37590.64</v>
      </c>
      <c r="C1081" s="13">
        <v>15403.719999999998</v>
      </c>
      <c r="D1081" s="3">
        <v>10.0</v>
      </c>
      <c r="E1081" s="11">
        <v>2016.0</v>
      </c>
      <c r="F1081" s="3" t="s">
        <v>815</v>
      </c>
      <c r="G1081" s="37" t="s">
        <v>28</v>
      </c>
      <c r="H1081" s="37" t="s">
        <v>9</v>
      </c>
    </row>
    <row r="1082" ht="15.75" customHeight="1">
      <c r="A1082" s="3" t="s">
        <v>488</v>
      </c>
      <c r="B1082" s="13">
        <v>2869231.2600000002</v>
      </c>
      <c r="C1082" s="13">
        <v>556257.5</v>
      </c>
      <c r="D1082" s="3">
        <v>4.0</v>
      </c>
      <c r="E1082" s="11">
        <v>2011.0</v>
      </c>
      <c r="F1082" s="3" t="s">
        <v>818</v>
      </c>
      <c r="G1082" s="37" t="s">
        <v>28</v>
      </c>
      <c r="H1082" s="37" t="s">
        <v>7</v>
      </c>
    </row>
    <row r="1083" ht="15.75" customHeight="1">
      <c r="A1083" s="3" t="s">
        <v>455</v>
      </c>
      <c r="B1083" s="13">
        <v>917245.6</v>
      </c>
      <c r="C1083" s="13">
        <v>364779.26</v>
      </c>
      <c r="D1083" s="3">
        <v>11.0</v>
      </c>
      <c r="E1083" s="11">
        <v>2015.0</v>
      </c>
      <c r="F1083" s="3" t="s">
        <v>818</v>
      </c>
      <c r="G1083" s="37" t="s">
        <v>28</v>
      </c>
      <c r="H1083" s="37" t="s">
        <v>12</v>
      </c>
    </row>
    <row r="1084" ht="15.75" customHeight="1">
      <c r="A1084" s="3" t="s">
        <v>821</v>
      </c>
      <c r="B1084" s="13">
        <v>458655.48000000004</v>
      </c>
      <c r="C1084" s="13">
        <v>165750.84000000003</v>
      </c>
      <c r="D1084" s="3">
        <v>11.0</v>
      </c>
      <c r="E1084" s="11">
        <v>2011.0</v>
      </c>
      <c r="F1084" s="3" t="s">
        <v>818</v>
      </c>
      <c r="G1084" s="37" t="s">
        <v>821</v>
      </c>
      <c r="H1084" s="37" t="s">
        <v>13</v>
      </c>
    </row>
    <row r="1085" ht="15.75" customHeight="1">
      <c r="A1085" s="3" t="s">
        <v>291</v>
      </c>
      <c r="B1085" s="13">
        <v>1900614.45</v>
      </c>
      <c r="C1085" s="13">
        <v>257686.0</v>
      </c>
      <c r="D1085" s="3">
        <v>5.0</v>
      </c>
      <c r="E1085" s="11">
        <v>2017.0</v>
      </c>
      <c r="F1085" s="3" t="s">
        <v>815</v>
      </c>
      <c r="G1085" s="37" t="s">
        <v>28</v>
      </c>
      <c r="H1085" s="37" t="s">
        <v>11</v>
      </c>
    </row>
    <row r="1086" ht="15.75" customHeight="1">
      <c r="A1086" s="3" t="s">
        <v>623</v>
      </c>
      <c r="B1086" s="13">
        <v>6672675.95</v>
      </c>
      <c r="C1086" s="13">
        <v>1654814.0499999998</v>
      </c>
      <c r="D1086" s="3">
        <v>12.0</v>
      </c>
      <c r="E1086" s="11">
        <v>2015.0</v>
      </c>
      <c r="F1086" s="3" t="s">
        <v>818</v>
      </c>
      <c r="G1086" s="37" t="s">
        <v>28</v>
      </c>
      <c r="H1086" s="37" t="s">
        <v>4</v>
      </c>
    </row>
    <row r="1087" ht="15.75" customHeight="1">
      <c r="A1087" s="3" t="s">
        <v>542</v>
      </c>
      <c r="B1087" s="13">
        <v>988072.0</v>
      </c>
      <c r="C1087" s="13">
        <v>392946.20000000007</v>
      </c>
      <c r="D1087" s="3">
        <v>7.0</v>
      </c>
      <c r="E1087" s="11">
        <v>2011.0</v>
      </c>
      <c r="F1087" s="3" t="s">
        <v>815</v>
      </c>
      <c r="G1087" s="37" t="s">
        <v>28</v>
      </c>
      <c r="H1087" s="37" t="s">
        <v>12</v>
      </c>
    </row>
    <row r="1088" ht="15.75" customHeight="1">
      <c r="A1088" s="3" t="s">
        <v>536</v>
      </c>
      <c r="B1088" s="13">
        <v>1888509.0</v>
      </c>
      <c r="C1088" s="13">
        <v>366125.0</v>
      </c>
      <c r="D1088" s="3">
        <v>6.0</v>
      </c>
      <c r="E1088" s="11">
        <v>2016.0</v>
      </c>
      <c r="F1088" s="3" t="s">
        <v>815</v>
      </c>
      <c r="G1088" s="37" t="s">
        <v>28</v>
      </c>
      <c r="H1088" s="37" t="s">
        <v>7</v>
      </c>
    </row>
    <row r="1089" ht="15.75" customHeight="1">
      <c r="A1089" s="3" t="s">
        <v>740</v>
      </c>
      <c r="B1089" s="13">
        <v>262272.0</v>
      </c>
      <c r="C1089" s="13">
        <v>176256.0</v>
      </c>
      <c r="D1089" s="3">
        <v>3.0</v>
      </c>
      <c r="E1089" s="11">
        <v>2015.0</v>
      </c>
      <c r="F1089" s="3" t="s">
        <v>815</v>
      </c>
      <c r="G1089" s="37" t="s">
        <v>28</v>
      </c>
      <c r="H1089" s="37" t="s">
        <v>5</v>
      </c>
    </row>
    <row r="1090" ht="15.75" customHeight="1">
      <c r="A1090" s="3" t="s">
        <v>413</v>
      </c>
      <c r="B1090" s="13">
        <v>1753796.73</v>
      </c>
      <c r="C1090" s="13">
        <v>237780.3999999999</v>
      </c>
      <c r="D1090" s="3">
        <v>7.0</v>
      </c>
      <c r="E1090" s="11">
        <v>2011.0</v>
      </c>
      <c r="F1090" s="3" t="s">
        <v>818</v>
      </c>
      <c r="G1090" s="37" t="s">
        <v>28</v>
      </c>
      <c r="H1090" s="37" t="s">
        <v>11</v>
      </c>
    </row>
    <row r="1091" ht="15.75" customHeight="1">
      <c r="A1091" s="3" t="s">
        <v>248</v>
      </c>
      <c r="B1091" s="13">
        <v>48731.15</v>
      </c>
      <c r="C1091" s="13">
        <v>16082.820000000003</v>
      </c>
      <c r="D1091" s="3">
        <v>11.0</v>
      </c>
      <c r="E1091" s="11">
        <v>2016.0</v>
      </c>
      <c r="F1091" s="3" t="s">
        <v>815</v>
      </c>
      <c r="G1091" s="37" t="s">
        <v>28</v>
      </c>
      <c r="H1091" s="37" t="s">
        <v>6</v>
      </c>
    </row>
    <row r="1092" ht="15.75" customHeight="1">
      <c r="A1092" s="3" t="s">
        <v>349</v>
      </c>
      <c r="B1092" s="13">
        <v>1974080.24</v>
      </c>
      <c r="C1092" s="13">
        <v>741285.3800000001</v>
      </c>
      <c r="D1092" s="3">
        <v>3.0</v>
      </c>
      <c r="E1092" s="11">
        <v>2013.0</v>
      </c>
      <c r="F1092" s="3" t="s">
        <v>815</v>
      </c>
      <c r="G1092" s="37" t="s">
        <v>28</v>
      </c>
      <c r="H1092" s="37" t="s">
        <v>10</v>
      </c>
    </row>
    <row r="1093" ht="15.75" customHeight="1">
      <c r="A1093" s="3" t="s">
        <v>142</v>
      </c>
      <c r="B1093" s="13">
        <v>3173197.6</v>
      </c>
      <c r="C1093" s="13">
        <v>1261948.4600000002</v>
      </c>
      <c r="D1093" s="3">
        <v>5.0</v>
      </c>
      <c r="E1093" s="11">
        <v>2017.0</v>
      </c>
      <c r="F1093" s="3" t="s">
        <v>818</v>
      </c>
      <c r="G1093" s="37" t="s">
        <v>28</v>
      </c>
      <c r="H1093" s="37" t="s">
        <v>12</v>
      </c>
    </row>
    <row r="1094" ht="15.75" customHeight="1">
      <c r="A1094" s="3" t="s">
        <v>349</v>
      </c>
      <c r="B1094" s="13">
        <v>1672594.56</v>
      </c>
      <c r="C1094" s="13">
        <v>628074.7200000001</v>
      </c>
      <c r="D1094" s="3">
        <v>8.0</v>
      </c>
      <c r="E1094" s="11">
        <v>2014.0</v>
      </c>
      <c r="F1094" s="3" t="s">
        <v>818</v>
      </c>
      <c r="G1094" s="37" t="s">
        <v>28</v>
      </c>
      <c r="H1094" s="37" t="s">
        <v>10</v>
      </c>
    </row>
    <row r="1095" ht="15.75" customHeight="1">
      <c r="A1095" s="3" t="s">
        <v>488</v>
      </c>
      <c r="B1095" s="13">
        <v>2582195.28</v>
      </c>
      <c r="C1095" s="13">
        <v>640380.7199999997</v>
      </c>
      <c r="D1095" s="3">
        <v>8.0</v>
      </c>
      <c r="E1095" s="11">
        <v>2012.0</v>
      </c>
      <c r="F1095" s="3" t="s">
        <v>815</v>
      </c>
      <c r="G1095" s="37" t="s">
        <v>28</v>
      </c>
      <c r="H1095" s="37" t="s">
        <v>4</v>
      </c>
    </row>
    <row r="1096" ht="15.75" customHeight="1">
      <c r="A1096" s="3" t="s">
        <v>821</v>
      </c>
      <c r="B1096" s="13">
        <v>2309727.6</v>
      </c>
      <c r="C1096" s="13">
        <v>918555.2100000002</v>
      </c>
      <c r="D1096" s="3">
        <v>6.0</v>
      </c>
      <c r="E1096" s="11">
        <v>2013.0</v>
      </c>
      <c r="F1096" s="3" t="s">
        <v>815</v>
      </c>
      <c r="G1096" s="37" t="s">
        <v>821</v>
      </c>
      <c r="H1096" s="37" t="s">
        <v>12</v>
      </c>
    </row>
    <row r="1097" ht="15.75" customHeight="1">
      <c r="A1097" s="3" t="s">
        <v>455</v>
      </c>
      <c r="B1097" s="13">
        <v>26142.66</v>
      </c>
      <c r="C1097" s="13">
        <v>6752.82</v>
      </c>
      <c r="D1097" s="3">
        <v>5.0</v>
      </c>
      <c r="E1097" s="11">
        <v>2016.0</v>
      </c>
      <c r="F1097" s="3" t="s">
        <v>815</v>
      </c>
      <c r="G1097" s="37" t="s">
        <v>28</v>
      </c>
      <c r="H1097" s="37" t="s">
        <v>8</v>
      </c>
    </row>
    <row r="1098" ht="15.75" customHeight="1">
      <c r="A1098" s="3" t="s">
        <v>671</v>
      </c>
      <c r="B1098" s="13">
        <v>1333460.0</v>
      </c>
      <c r="C1098" s="13">
        <v>530303.5</v>
      </c>
      <c r="D1098" s="3">
        <v>3.0</v>
      </c>
      <c r="E1098" s="11">
        <v>2011.0</v>
      </c>
      <c r="F1098" s="3" t="s">
        <v>815</v>
      </c>
      <c r="G1098" s="37" t="s">
        <v>28</v>
      </c>
      <c r="H1098" s="37" t="s">
        <v>12</v>
      </c>
    </row>
    <row r="1099" ht="15.75" customHeight="1">
      <c r="A1099" s="3" t="s">
        <v>32</v>
      </c>
      <c r="B1099" s="13">
        <v>107426.8</v>
      </c>
      <c r="C1099" s="13">
        <v>35454.240000000005</v>
      </c>
      <c r="D1099" s="3">
        <v>4.0</v>
      </c>
      <c r="E1099" s="11">
        <v>2013.0</v>
      </c>
      <c r="F1099" s="3" t="s">
        <v>818</v>
      </c>
      <c r="G1099" s="37" t="s">
        <v>28</v>
      </c>
      <c r="H1099" s="37" t="s">
        <v>6</v>
      </c>
    </row>
    <row r="1100" ht="15.75" customHeight="1">
      <c r="A1100" s="3" t="s">
        <v>215</v>
      </c>
      <c r="B1100" s="13">
        <v>251571.09999999998</v>
      </c>
      <c r="C1100" s="13">
        <v>108345.56999999998</v>
      </c>
      <c r="D1100" s="3">
        <v>3.0</v>
      </c>
      <c r="E1100" s="11">
        <v>2013.0</v>
      </c>
      <c r="F1100" s="3" t="s">
        <v>815</v>
      </c>
      <c r="G1100" s="37" t="s">
        <v>23</v>
      </c>
      <c r="H1100" s="37" t="s">
        <v>3</v>
      </c>
    </row>
    <row r="1101" ht="15.75" customHeight="1">
      <c r="A1101" s="3" t="s">
        <v>46</v>
      </c>
      <c r="B1101" s="13">
        <v>5024053.859999999</v>
      </c>
      <c r="C1101" s="13">
        <v>1245958.1399999992</v>
      </c>
      <c r="D1101" s="3">
        <v>8.0</v>
      </c>
      <c r="E1101" s="11">
        <v>2016.0</v>
      </c>
      <c r="F1101" s="3" t="s">
        <v>818</v>
      </c>
      <c r="G1101" s="37" t="s">
        <v>28</v>
      </c>
      <c r="H1101" s="37" t="s">
        <v>4</v>
      </c>
    </row>
    <row r="1102" ht="15.75" customHeight="1">
      <c r="A1102" s="3" t="s">
        <v>291</v>
      </c>
      <c r="B1102" s="13">
        <v>126436.31000000001</v>
      </c>
      <c r="C1102" s="13">
        <v>38767.82000000001</v>
      </c>
      <c r="D1102" s="3">
        <v>7.0</v>
      </c>
      <c r="E1102" s="11">
        <v>2014.0</v>
      </c>
      <c r="F1102" s="3" t="s">
        <v>818</v>
      </c>
      <c r="G1102" s="37" t="s">
        <v>28</v>
      </c>
      <c r="H1102" s="37" t="s">
        <v>14</v>
      </c>
    </row>
    <row r="1103" ht="15.75" customHeight="1">
      <c r="A1103" s="3" t="s">
        <v>78</v>
      </c>
      <c r="B1103" s="13">
        <v>1736833.73</v>
      </c>
      <c r="C1103" s="13">
        <v>430732.27</v>
      </c>
      <c r="D1103" s="3">
        <v>8.0</v>
      </c>
      <c r="E1103" s="11">
        <v>2010.0</v>
      </c>
      <c r="F1103" s="3" t="s">
        <v>818</v>
      </c>
      <c r="G1103" s="37" t="s">
        <v>28</v>
      </c>
      <c r="H1103" s="37" t="s">
        <v>4</v>
      </c>
    </row>
    <row r="1104" ht="15.75" customHeight="1">
      <c r="A1104" s="3" t="s">
        <v>434</v>
      </c>
      <c r="B1104" s="13">
        <v>2219664.4</v>
      </c>
      <c r="C1104" s="13">
        <v>882737.99</v>
      </c>
      <c r="D1104" s="3">
        <v>1.0</v>
      </c>
      <c r="E1104" s="11">
        <v>2017.0</v>
      </c>
      <c r="F1104" s="3" t="s">
        <v>815</v>
      </c>
      <c r="G1104" s="37" t="s">
        <v>28</v>
      </c>
      <c r="H1104" s="37" t="s">
        <v>12</v>
      </c>
    </row>
    <row r="1105" ht="15.75" customHeight="1">
      <c r="A1105" s="3" t="s">
        <v>142</v>
      </c>
      <c r="B1105" s="13">
        <v>3923413.17</v>
      </c>
      <c r="C1105" s="13">
        <v>973000.8299999996</v>
      </c>
      <c r="D1105" s="3">
        <v>4.0</v>
      </c>
      <c r="E1105" s="11">
        <v>2012.0</v>
      </c>
      <c r="F1105" s="3" t="s">
        <v>815</v>
      </c>
      <c r="G1105" s="37" t="s">
        <v>28</v>
      </c>
      <c r="H1105" s="37" t="s">
        <v>4</v>
      </c>
    </row>
    <row r="1106" ht="15.75" customHeight="1">
      <c r="A1106" s="3" t="s">
        <v>689</v>
      </c>
      <c r="B1106" s="13">
        <v>196110.85</v>
      </c>
      <c r="C1106" s="13">
        <v>64722.78</v>
      </c>
      <c r="D1106" s="3">
        <v>4.0</v>
      </c>
      <c r="E1106" s="11">
        <v>2017.0</v>
      </c>
      <c r="F1106" s="3" t="s">
        <v>815</v>
      </c>
      <c r="G1106" s="37" t="s">
        <v>28</v>
      </c>
      <c r="H1106" s="37" t="s">
        <v>6</v>
      </c>
    </row>
    <row r="1107" ht="15.75" customHeight="1">
      <c r="A1107" s="3" t="s">
        <v>67</v>
      </c>
      <c r="B1107" s="13">
        <v>1272060.24</v>
      </c>
      <c r="C1107" s="13">
        <v>477670.38</v>
      </c>
      <c r="D1107" s="3">
        <v>2.0</v>
      </c>
      <c r="E1107" s="11">
        <v>2010.0</v>
      </c>
      <c r="F1107" s="3" t="s">
        <v>818</v>
      </c>
      <c r="G1107" s="37" t="s">
        <v>23</v>
      </c>
      <c r="H1107" s="37" t="s">
        <v>10</v>
      </c>
    </row>
    <row r="1108" ht="15.75" customHeight="1">
      <c r="A1108" s="3" t="s">
        <v>821</v>
      </c>
      <c r="B1108" s="13">
        <v>539826.65</v>
      </c>
      <c r="C1108" s="13">
        <v>165521.3</v>
      </c>
      <c r="D1108" s="3">
        <v>2.0</v>
      </c>
      <c r="E1108" s="11">
        <v>2014.0</v>
      </c>
      <c r="F1108" s="3" t="s">
        <v>818</v>
      </c>
      <c r="G1108" s="37" t="s">
        <v>821</v>
      </c>
      <c r="H1108" s="37" t="s">
        <v>14</v>
      </c>
    </row>
    <row r="1109" ht="15.75" customHeight="1">
      <c r="A1109" s="3" t="s">
        <v>97</v>
      </c>
      <c r="B1109" s="13">
        <v>778947.84</v>
      </c>
      <c r="C1109" s="13">
        <v>523480.31999999995</v>
      </c>
      <c r="D1109" s="3">
        <v>12.0</v>
      </c>
      <c r="E1109" s="11">
        <v>2014.0</v>
      </c>
      <c r="F1109" s="3" t="s">
        <v>818</v>
      </c>
      <c r="G1109" s="37" t="s">
        <v>28</v>
      </c>
      <c r="H1109" s="37" t="s">
        <v>5</v>
      </c>
    </row>
    <row r="1110" ht="15.75" customHeight="1">
      <c r="A1110" s="3" t="s">
        <v>67</v>
      </c>
      <c r="B1110" s="13">
        <v>375385.89</v>
      </c>
      <c r="C1110" s="13">
        <v>115100.58000000002</v>
      </c>
      <c r="D1110" s="3">
        <v>12.0</v>
      </c>
      <c r="E1110" s="11">
        <v>2010.0</v>
      </c>
      <c r="F1110" s="3" t="s">
        <v>815</v>
      </c>
      <c r="G1110" s="37" t="s">
        <v>23</v>
      </c>
      <c r="H1110" s="37" t="s">
        <v>14</v>
      </c>
    </row>
    <row r="1111" ht="15.75" customHeight="1">
      <c r="A1111" s="3" t="s">
        <v>434</v>
      </c>
      <c r="B1111" s="13">
        <v>3175619.04</v>
      </c>
      <c r="C1111" s="13">
        <v>787548.96</v>
      </c>
      <c r="D1111" s="3">
        <v>10.0</v>
      </c>
      <c r="E1111" s="11">
        <v>2010.0</v>
      </c>
      <c r="F1111" s="3" t="s">
        <v>815</v>
      </c>
      <c r="G1111" s="37" t="s">
        <v>28</v>
      </c>
      <c r="H1111" s="37" t="s">
        <v>4</v>
      </c>
    </row>
    <row r="1112" ht="15.75" customHeight="1">
      <c r="A1112" s="3" t="s">
        <v>488</v>
      </c>
      <c r="B1112" s="13">
        <v>1366358.1400000001</v>
      </c>
      <c r="C1112" s="13">
        <v>559899.9700000001</v>
      </c>
      <c r="D1112" s="3">
        <v>4.0</v>
      </c>
      <c r="E1112" s="11">
        <v>2011.0</v>
      </c>
      <c r="F1112" s="3" t="s">
        <v>818</v>
      </c>
      <c r="G1112" s="37" t="s">
        <v>28</v>
      </c>
      <c r="H1112" s="37" t="s">
        <v>9</v>
      </c>
    </row>
    <row r="1113" ht="15.75" customHeight="1">
      <c r="A1113" s="3" t="s">
        <v>215</v>
      </c>
      <c r="B1113" s="13">
        <v>26091.180000000004</v>
      </c>
      <c r="C1113" s="13">
        <v>9428.940000000006</v>
      </c>
      <c r="D1113" s="3">
        <v>7.0</v>
      </c>
      <c r="E1113" s="11">
        <v>2015.0</v>
      </c>
      <c r="F1113" s="3" t="s">
        <v>818</v>
      </c>
      <c r="G1113" s="37" t="s">
        <v>23</v>
      </c>
      <c r="H1113" s="37" t="s">
        <v>13</v>
      </c>
    </row>
    <row r="1114" ht="15.75" customHeight="1">
      <c r="A1114" s="3" t="s">
        <v>653</v>
      </c>
      <c r="B1114" s="13">
        <v>395590.65</v>
      </c>
      <c r="C1114" s="13">
        <v>130557.42000000004</v>
      </c>
      <c r="D1114" s="3">
        <v>3.0</v>
      </c>
      <c r="E1114" s="11">
        <v>2010.0</v>
      </c>
      <c r="F1114" s="3" t="s">
        <v>818</v>
      </c>
      <c r="G1114" s="37" t="s">
        <v>28</v>
      </c>
      <c r="H1114" s="37" t="s">
        <v>6</v>
      </c>
    </row>
    <row r="1115" ht="15.75" customHeight="1">
      <c r="A1115" s="3" t="s">
        <v>746</v>
      </c>
      <c r="B1115" s="13">
        <v>2081042.56</v>
      </c>
      <c r="C1115" s="13">
        <v>781450.7200000002</v>
      </c>
      <c r="D1115" s="3">
        <v>7.0</v>
      </c>
      <c r="E1115" s="11">
        <v>2012.0</v>
      </c>
      <c r="F1115" s="3" t="s">
        <v>815</v>
      </c>
      <c r="G1115" s="37" t="s">
        <v>28</v>
      </c>
      <c r="H1115" s="37" t="s">
        <v>10</v>
      </c>
    </row>
    <row r="1116" ht="15.75" customHeight="1">
      <c r="A1116" s="3" t="s">
        <v>267</v>
      </c>
      <c r="B1116" s="13">
        <v>3120720.33</v>
      </c>
      <c r="C1116" s="13">
        <v>423108.3999999999</v>
      </c>
      <c r="D1116" s="3">
        <v>6.0</v>
      </c>
      <c r="E1116" s="11">
        <v>2014.0</v>
      </c>
      <c r="F1116" s="3" t="s">
        <v>815</v>
      </c>
      <c r="G1116" s="37" t="s">
        <v>28</v>
      </c>
      <c r="H1116" s="37" t="s">
        <v>11</v>
      </c>
    </row>
    <row r="1117" ht="15.75" customHeight="1">
      <c r="A1117" s="3" t="s">
        <v>455</v>
      </c>
      <c r="B1117" s="13">
        <v>2046242.74</v>
      </c>
      <c r="C1117" s="13">
        <v>507465.26</v>
      </c>
      <c r="D1117" s="3">
        <v>9.0</v>
      </c>
      <c r="E1117" s="11">
        <v>2010.0</v>
      </c>
      <c r="F1117" s="3" t="s">
        <v>815</v>
      </c>
      <c r="G1117" s="37" t="s">
        <v>28</v>
      </c>
      <c r="H1117" s="37" t="s">
        <v>4</v>
      </c>
    </row>
    <row r="1118" ht="15.75" customHeight="1">
      <c r="A1118" s="3" t="s">
        <v>821</v>
      </c>
      <c r="B1118" s="13">
        <v>680720.4</v>
      </c>
      <c r="C1118" s="13">
        <v>270715.59</v>
      </c>
      <c r="D1118" s="3">
        <v>9.0</v>
      </c>
      <c r="E1118" s="11">
        <v>2010.0</v>
      </c>
      <c r="F1118" s="3" t="s">
        <v>815</v>
      </c>
      <c r="G1118" s="37" t="s">
        <v>821</v>
      </c>
      <c r="H1118" s="37" t="s">
        <v>12</v>
      </c>
    </row>
    <row r="1119" ht="15.75" customHeight="1">
      <c r="A1119" s="3" t="s">
        <v>364</v>
      </c>
      <c r="B1119" s="13">
        <v>220935.84000000003</v>
      </c>
      <c r="C1119" s="13">
        <v>79842.72000000003</v>
      </c>
      <c r="D1119" s="3">
        <v>12.0</v>
      </c>
      <c r="E1119" s="11">
        <v>2011.0</v>
      </c>
      <c r="F1119" s="3" t="s">
        <v>815</v>
      </c>
      <c r="G1119" s="37" t="s">
        <v>28</v>
      </c>
      <c r="H1119" s="37" t="s">
        <v>13</v>
      </c>
    </row>
    <row r="1120" ht="15.75" customHeight="1">
      <c r="A1120" s="3" t="s">
        <v>413</v>
      </c>
      <c r="B1120" s="13">
        <v>3755664.78</v>
      </c>
      <c r="C1120" s="13">
        <v>509194.3999999999</v>
      </c>
      <c r="D1120" s="3">
        <v>12.0</v>
      </c>
      <c r="E1120" s="11">
        <v>2011.0</v>
      </c>
      <c r="F1120" s="3" t="s">
        <v>818</v>
      </c>
      <c r="G1120" s="37" t="s">
        <v>28</v>
      </c>
      <c r="H1120" s="37" t="s">
        <v>11</v>
      </c>
    </row>
    <row r="1121" ht="15.75" customHeight="1">
      <c r="A1121" s="3" t="s">
        <v>67</v>
      </c>
      <c r="B1121" s="13">
        <v>1406875.92</v>
      </c>
      <c r="C1121" s="13">
        <v>576503.1599999999</v>
      </c>
      <c r="D1121" s="3">
        <v>5.0</v>
      </c>
      <c r="E1121" s="11">
        <v>2016.0</v>
      </c>
      <c r="F1121" s="3" t="s">
        <v>815</v>
      </c>
      <c r="G1121" s="37" t="s">
        <v>23</v>
      </c>
      <c r="H1121" s="37" t="s">
        <v>9</v>
      </c>
    </row>
    <row r="1122" ht="15.75" customHeight="1">
      <c r="A1122" s="3" t="s">
        <v>413</v>
      </c>
      <c r="B1122" s="13">
        <v>1945334.79</v>
      </c>
      <c r="C1122" s="13">
        <v>263749.19999999995</v>
      </c>
      <c r="D1122" s="3">
        <v>11.0</v>
      </c>
      <c r="E1122" s="11">
        <v>2014.0</v>
      </c>
      <c r="F1122" s="3" t="s">
        <v>815</v>
      </c>
      <c r="G1122" s="37" t="s">
        <v>28</v>
      </c>
      <c r="H1122" s="37" t="s">
        <v>11</v>
      </c>
    </row>
    <row r="1123" ht="15.75" customHeight="1">
      <c r="A1123" s="3" t="s">
        <v>32</v>
      </c>
      <c r="B1123" s="13">
        <v>873923.8200000001</v>
      </c>
      <c r="C1123" s="13">
        <v>169427.5</v>
      </c>
      <c r="D1123" s="3">
        <v>8.0</v>
      </c>
      <c r="E1123" s="11">
        <v>2016.0</v>
      </c>
      <c r="F1123" s="3" t="s">
        <v>815</v>
      </c>
      <c r="G1123" s="37" t="s">
        <v>28</v>
      </c>
      <c r="H1123" s="37" t="s">
        <v>7</v>
      </c>
    </row>
    <row r="1124" ht="15.75" customHeight="1">
      <c r="A1124" s="3" t="s">
        <v>215</v>
      </c>
      <c r="B1124" s="13">
        <v>51837.48</v>
      </c>
      <c r="C1124" s="13">
        <v>13389.960000000006</v>
      </c>
      <c r="D1124" s="3">
        <v>3.0</v>
      </c>
      <c r="E1124" s="11">
        <v>2012.0</v>
      </c>
      <c r="F1124" s="3" t="s">
        <v>818</v>
      </c>
      <c r="G1124" s="37" t="s">
        <v>23</v>
      </c>
      <c r="H1124" s="37" t="s">
        <v>8</v>
      </c>
    </row>
    <row r="1125" ht="15.75" customHeight="1">
      <c r="A1125" s="3" t="s">
        <v>689</v>
      </c>
      <c r="B1125" s="13">
        <v>2360318.88</v>
      </c>
      <c r="C1125" s="13">
        <v>886321.56</v>
      </c>
      <c r="D1125" s="3">
        <v>8.0</v>
      </c>
      <c r="E1125" s="11">
        <v>2014.0</v>
      </c>
      <c r="F1125" s="3" t="s">
        <v>818</v>
      </c>
      <c r="G1125" s="37" t="s">
        <v>28</v>
      </c>
      <c r="H1125" s="37" t="s">
        <v>10</v>
      </c>
    </row>
    <row r="1126" ht="15.75" customHeight="1">
      <c r="A1126" s="3" t="s">
        <v>218</v>
      </c>
      <c r="B1126" s="13">
        <v>206776.8</v>
      </c>
      <c r="C1126" s="13">
        <v>77646.59999999999</v>
      </c>
      <c r="D1126" s="3">
        <v>7.0</v>
      </c>
      <c r="E1126" s="11">
        <v>2015.0</v>
      </c>
      <c r="F1126" s="3" t="s">
        <v>818</v>
      </c>
      <c r="G1126" s="37" t="s">
        <v>28</v>
      </c>
      <c r="H1126" s="37" t="s">
        <v>10</v>
      </c>
    </row>
    <row r="1127" ht="15.75" customHeight="1">
      <c r="A1127" s="3" t="s">
        <v>431</v>
      </c>
      <c r="B1127" s="13">
        <v>386484.8</v>
      </c>
      <c r="C1127" s="13">
        <v>153701.08000000002</v>
      </c>
      <c r="D1127" s="3">
        <v>3.0</v>
      </c>
      <c r="E1127" s="11">
        <v>2016.0</v>
      </c>
      <c r="F1127" s="3" t="s">
        <v>815</v>
      </c>
      <c r="G1127" s="37" t="s">
        <v>28</v>
      </c>
      <c r="H1127" s="37" t="s">
        <v>12</v>
      </c>
    </row>
    <row r="1128" ht="15.75" customHeight="1">
      <c r="A1128" s="3" t="s">
        <v>590</v>
      </c>
      <c r="B1128" s="13">
        <v>102244.23000000001</v>
      </c>
      <c r="C1128" s="13">
        <v>31350.060000000012</v>
      </c>
      <c r="D1128" s="3">
        <v>5.0</v>
      </c>
      <c r="E1128" s="11">
        <v>2013.0</v>
      </c>
      <c r="F1128" s="3" t="s">
        <v>818</v>
      </c>
      <c r="G1128" s="37" t="s">
        <v>28</v>
      </c>
      <c r="H1128" s="37" t="s">
        <v>14</v>
      </c>
    </row>
    <row r="1129" ht="15.75" customHeight="1">
      <c r="A1129" s="3" t="s">
        <v>428</v>
      </c>
      <c r="B1129" s="13">
        <v>10285.0</v>
      </c>
      <c r="C1129" s="13">
        <v>4429.5</v>
      </c>
      <c r="D1129" s="3">
        <v>12.0</v>
      </c>
      <c r="E1129" s="11">
        <v>2010.0</v>
      </c>
      <c r="F1129" s="3" t="s">
        <v>815</v>
      </c>
      <c r="G1129" s="37" t="s">
        <v>28</v>
      </c>
      <c r="H1129" s="37" t="s">
        <v>3</v>
      </c>
    </row>
    <row r="1130" ht="15.75" customHeight="1">
      <c r="A1130" s="3" t="s">
        <v>512</v>
      </c>
      <c r="B1130" s="13">
        <v>6310876.11</v>
      </c>
      <c r="C1130" s="13">
        <v>1223488.75</v>
      </c>
      <c r="D1130" s="3">
        <v>7.0</v>
      </c>
      <c r="E1130" s="11">
        <v>2011.0</v>
      </c>
      <c r="F1130" s="3" t="s">
        <v>815</v>
      </c>
      <c r="G1130" s="37" t="s">
        <v>28</v>
      </c>
      <c r="H1130" s="37" t="s">
        <v>7</v>
      </c>
    </row>
    <row r="1131" ht="15.75" customHeight="1">
      <c r="A1131" s="3" t="s">
        <v>623</v>
      </c>
      <c r="B1131" s="13">
        <v>4391760.24</v>
      </c>
      <c r="C1131" s="13">
        <v>851430.0</v>
      </c>
      <c r="D1131" s="3">
        <v>5.0</v>
      </c>
      <c r="E1131" s="11">
        <v>2016.0</v>
      </c>
      <c r="F1131" s="3" t="s">
        <v>818</v>
      </c>
      <c r="G1131" s="37" t="s">
        <v>28</v>
      </c>
      <c r="H1131" s="37" t="s">
        <v>7</v>
      </c>
    </row>
    <row r="1132" ht="15.75" customHeight="1">
      <c r="A1132" s="3" t="s">
        <v>221</v>
      </c>
      <c r="B1132" s="13">
        <v>1201862.8</v>
      </c>
      <c r="C1132" s="13">
        <v>477968.6300000001</v>
      </c>
      <c r="D1132" s="3">
        <v>12.0</v>
      </c>
      <c r="E1132" s="11">
        <v>2013.0</v>
      </c>
      <c r="F1132" s="3" t="s">
        <v>818</v>
      </c>
      <c r="G1132" s="37" t="s">
        <v>28</v>
      </c>
      <c r="H1132" s="37" t="s">
        <v>12</v>
      </c>
    </row>
    <row r="1133" ht="15.75" customHeight="1">
      <c r="A1133" s="3" t="s">
        <v>46</v>
      </c>
      <c r="B1133" s="13">
        <v>59549.75</v>
      </c>
      <c r="C1133" s="13">
        <v>19653.300000000003</v>
      </c>
      <c r="D1133" s="3">
        <v>1.0</v>
      </c>
      <c r="E1133" s="11">
        <v>2010.0</v>
      </c>
      <c r="F1133" s="3" t="s">
        <v>818</v>
      </c>
      <c r="G1133" s="37" t="s">
        <v>28</v>
      </c>
      <c r="H1133" s="37" t="s">
        <v>6</v>
      </c>
    </row>
    <row r="1134" ht="15.75" customHeight="1">
      <c r="A1134" s="3" t="s">
        <v>78</v>
      </c>
      <c r="B1134" s="13">
        <v>1769337.57</v>
      </c>
      <c r="C1134" s="13">
        <v>343021.25</v>
      </c>
      <c r="D1134" s="3">
        <v>3.0</v>
      </c>
      <c r="E1134" s="11">
        <v>2014.0</v>
      </c>
      <c r="F1134" s="3" t="s">
        <v>815</v>
      </c>
      <c r="G1134" s="37" t="s">
        <v>28</v>
      </c>
      <c r="H1134" s="37" t="s">
        <v>7</v>
      </c>
    </row>
    <row r="1135" ht="15.75" customHeight="1">
      <c r="A1135" s="3" t="s">
        <v>686</v>
      </c>
      <c r="B1135" s="13">
        <v>568840.8</v>
      </c>
      <c r="C1135" s="13">
        <v>174417.60000000003</v>
      </c>
      <c r="D1135" s="3">
        <v>5.0</v>
      </c>
      <c r="E1135" s="11">
        <v>2011.0</v>
      </c>
      <c r="F1135" s="3" t="s">
        <v>818</v>
      </c>
      <c r="G1135" s="37" t="s">
        <v>28</v>
      </c>
      <c r="H1135" s="37" t="s">
        <v>14</v>
      </c>
    </row>
    <row r="1136" ht="15.75" customHeight="1">
      <c r="A1136" s="3" t="s">
        <v>542</v>
      </c>
      <c r="B1136" s="13">
        <v>1333244.04</v>
      </c>
      <c r="C1136" s="13">
        <v>481813.32000000007</v>
      </c>
      <c r="D1136" s="3">
        <v>7.0</v>
      </c>
      <c r="E1136" s="11">
        <v>2011.0</v>
      </c>
      <c r="F1136" s="3" t="s">
        <v>818</v>
      </c>
      <c r="G1136" s="37" t="s">
        <v>28</v>
      </c>
      <c r="H1136" s="37" t="s">
        <v>13</v>
      </c>
    </row>
    <row r="1137" ht="15.75" customHeight="1">
      <c r="A1137" s="3" t="s">
        <v>413</v>
      </c>
      <c r="B1137" s="13">
        <v>21874.45</v>
      </c>
      <c r="C1137" s="13">
        <v>7219.26</v>
      </c>
      <c r="D1137" s="3">
        <v>5.0</v>
      </c>
      <c r="E1137" s="11">
        <v>2012.0</v>
      </c>
      <c r="F1137" s="3" t="s">
        <v>815</v>
      </c>
      <c r="G1137" s="37" t="s">
        <v>28</v>
      </c>
      <c r="H1137" s="37" t="s">
        <v>6</v>
      </c>
    </row>
    <row r="1138" ht="15.75" customHeight="1">
      <c r="A1138" s="3" t="s">
        <v>740</v>
      </c>
      <c r="B1138" s="13">
        <v>4934218.17</v>
      </c>
      <c r="C1138" s="13">
        <v>956596.2499999995</v>
      </c>
      <c r="D1138" s="3">
        <v>9.0</v>
      </c>
      <c r="E1138" s="11">
        <v>2016.0</v>
      </c>
      <c r="F1138" s="3" t="s">
        <v>818</v>
      </c>
      <c r="G1138" s="37" t="s">
        <v>28</v>
      </c>
      <c r="H1138" s="37" t="s">
        <v>7</v>
      </c>
    </row>
    <row r="1139" ht="15.75" customHeight="1">
      <c r="A1139" s="3" t="s">
        <v>32</v>
      </c>
      <c r="B1139" s="13">
        <v>364934.85</v>
      </c>
      <c r="C1139" s="13">
        <v>49478.0</v>
      </c>
      <c r="D1139" s="3">
        <v>11.0</v>
      </c>
      <c r="E1139" s="11">
        <v>2010.0</v>
      </c>
      <c r="F1139" s="3" t="s">
        <v>815</v>
      </c>
      <c r="G1139" s="37" t="s">
        <v>28</v>
      </c>
      <c r="H1139" s="37" t="s">
        <v>11</v>
      </c>
    </row>
    <row r="1140" ht="15.75" customHeight="1">
      <c r="A1140" s="3" t="s">
        <v>686</v>
      </c>
      <c r="B1140" s="13">
        <v>4129037.4299999997</v>
      </c>
      <c r="C1140" s="13">
        <v>559816.3999999999</v>
      </c>
      <c r="D1140" s="3">
        <v>12.0</v>
      </c>
      <c r="E1140" s="11">
        <v>2016.0</v>
      </c>
      <c r="F1140" s="3" t="s">
        <v>818</v>
      </c>
      <c r="G1140" s="37" t="s">
        <v>28</v>
      </c>
      <c r="H1140" s="37" t="s">
        <v>11</v>
      </c>
    </row>
    <row r="1141" ht="15.75" customHeight="1">
      <c r="A1141" s="3" t="s">
        <v>413</v>
      </c>
      <c r="B1141" s="13">
        <v>2161853.4499999997</v>
      </c>
      <c r="C1141" s="13">
        <v>536136.5499999996</v>
      </c>
      <c r="D1141" s="3">
        <v>12.0</v>
      </c>
      <c r="E1141" s="11">
        <v>2010.0</v>
      </c>
      <c r="F1141" s="3" t="s">
        <v>818</v>
      </c>
      <c r="G1141" s="37" t="s">
        <v>28</v>
      </c>
      <c r="H1141" s="37" t="s">
        <v>4</v>
      </c>
    </row>
    <row r="1142" ht="15.75" customHeight="1">
      <c r="A1142" s="3" t="s">
        <v>590</v>
      </c>
      <c r="B1142" s="13">
        <v>317915.0</v>
      </c>
      <c r="C1142" s="13">
        <v>104922.0</v>
      </c>
      <c r="D1142" s="3">
        <v>7.0</v>
      </c>
      <c r="E1142" s="11">
        <v>2010.0</v>
      </c>
      <c r="F1142" s="3" t="s">
        <v>815</v>
      </c>
      <c r="G1142" s="37" t="s">
        <v>28</v>
      </c>
      <c r="H1142" s="37" t="s">
        <v>6</v>
      </c>
    </row>
    <row r="1143" ht="15.75" customHeight="1">
      <c r="A1143" s="3" t="s">
        <v>218</v>
      </c>
      <c r="B1143" s="13">
        <v>3567979.5900000003</v>
      </c>
      <c r="C1143" s="13">
        <v>691723.75</v>
      </c>
      <c r="D1143" s="3">
        <v>5.0</v>
      </c>
      <c r="E1143" s="11">
        <v>2014.0</v>
      </c>
      <c r="F1143" s="3" t="s">
        <v>815</v>
      </c>
      <c r="G1143" s="37" t="s">
        <v>28</v>
      </c>
      <c r="H1143" s="37" t="s">
        <v>7</v>
      </c>
    </row>
    <row r="1144" ht="15.75" customHeight="1">
      <c r="A1144" s="3" t="s">
        <v>78</v>
      </c>
      <c r="B1144" s="13">
        <v>2010305.8499999999</v>
      </c>
      <c r="C1144" s="13">
        <v>272557.99999999977</v>
      </c>
      <c r="D1144" s="3">
        <v>11.0</v>
      </c>
      <c r="E1144" s="11">
        <v>2013.0</v>
      </c>
      <c r="F1144" s="3" t="s">
        <v>815</v>
      </c>
      <c r="G1144" s="37" t="s">
        <v>28</v>
      </c>
      <c r="H1144" s="37" t="s">
        <v>11</v>
      </c>
    </row>
    <row r="1145" ht="15.75" customHeight="1">
      <c r="A1145" s="3" t="s">
        <v>270</v>
      </c>
      <c r="B1145" s="13">
        <v>2826902.6100000003</v>
      </c>
      <c r="C1145" s="13">
        <v>548051.25</v>
      </c>
      <c r="D1145" s="3">
        <v>7.0</v>
      </c>
      <c r="E1145" s="11">
        <v>2011.0</v>
      </c>
      <c r="F1145" s="3" t="s">
        <v>818</v>
      </c>
      <c r="G1145" s="37" t="s">
        <v>28</v>
      </c>
      <c r="H1145" s="37" t="s">
        <v>7</v>
      </c>
    </row>
    <row r="1146" ht="15.75" customHeight="1">
      <c r="A1146" s="3" t="s">
        <v>689</v>
      </c>
      <c r="B1146" s="13">
        <v>1073909.89</v>
      </c>
      <c r="C1146" s="13">
        <v>266328.10999999987</v>
      </c>
      <c r="D1146" s="3">
        <v>7.0</v>
      </c>
      <c r="E1146" s="11">
        <v>2015.0</v>
      </c>
      <c r="F1146" s="3" t="s">
        <v>818</v>
      </c>
      <c r="G1146" s="37" t="s">
        <v>28</v>
      </c>
      <c r="H1146" s="37" t="s">
        <v>4</v>
      </c>
    </row>
    <row r="1147" ht="15.75" customHeight="1">
      <c r="A1147" s="3" t="s">
        <v>78</v>
      </c>
      <c r="B1147" s="13">
        <v>268500.96</v>
      </c>
      <c r="C1147" s="13">
        <v>180442.08000000002</v>
      </c>
      <c r="D1147" s="3">
        <v>12.0</v>
      </c>
      <c r="E1147" s="11">
        <v>2015.0</v>
      </c>
      <c r="F1147" s="3" t="s">
        <v>815</v>
      </c>
      <c r="G1147" s="37" t="s">
        <v>28</v>
      </c>
      <c r="H1147" s="37" t="s">
        <v>5</v>
      </c>
    </row>
    <row r="1148" ht="15.75" customHeight="1">
      <c r="A1148" s="3" t="s">
        <v>413</v>
      </c>
      <c r="B1148" s="13">
        <v>54039.36</v>
      </c>
      <c r="C1148" s="13">
        <v>13958.720000000001</v>
      </c>
      <c r="D1148" s="3">
        <v>3.0</v>
      </c>
      <c r="E1148" s="11">
        <v>2017.0</v>
      </c>
      <c r="F1148" s="3" t="s">
        <v>818</v>
      </c>
      <c r="G1148" s="37" t="s">
        <v>28</v>
      </c>
      <c r="H1148" s="37" t="s">
        <v>8</v>
      </c>
    </row>
    <row r="1149" ht="15.75" customHeight="1">
      <c r="A1149" s="3" t="s">
        <v>623</v>
      </c>
      <c r="B1149" s="13">
        <v>408312.97</v>
      </c>
      <c r="C1149" s="13">
        <v>101261.02999999997</v>
      </c>
      <c r="D1149" s="3">
        <v>8.0</v>
      </c>
      <c r="E1149" s="11">
        <v>2014.0</v>
      </c>
      <c r="F1149" s="3" t="s">
        <v>815</v>
      </c>
      <c r="G1149" s="37" t="s">
        <v>28</v>
      </c>
      <c r="H1149" s="37" t="s">
        <v>4</v>
      </c>
    </row>
    <row r="1150" ht="15.75" customHeight="1">
      <c r="A1150" s="3" t="s">
        <v>123</v>
      </c>
      <c r="B1150" s="13">
        <v>121002.72</v>
      </c>
      <c r="C1150" s="13">
        <v>45437.640000000014</v>
      </c>
      <c r="D1150" s="3">
        <v>4.0</v>
      </c>
      <c r="E1150" s="11">
        <v>2014.0</v>
      </c>
      <c r="F1150" s="3" t="s">
        <v>815</v>
      </c>
      <c r="G1150" s="37" t="s">
        <v>28</v>
      </c>
      <c r="H1150" s="37" t="s">
        <v>10</v>
      </c>
    </row>
    <row r="1151" ht="15.75" customHeight="1">
      <c r="A1151" s="3" t="s">
        <v>653</v>
      </c>
      <c r="B1151" s="13">
        <v>4672543.84</v>
      </c>
      <c r="C1151" s="13">
        <v>1158784.1599999997</v>
      </c>
      <c r="D1151" s="3">
        <v>9.0</v>
      </c>
      <c r="E1151" s="11">
        <v>2014.0</v>
      </c>
      <c r="F1151" s="3" t="s">
        <v>815</v>
      </c>
      <c r="G1151" s="37" t="s">
        <v>28</v>
      </c>
      <c r="H1151" s="37" t="s">
        <v>4</v>
      </c>
    </row>
    <row r="1152" ht="15.75" customHeight="1">
      <c r="A1152" s="3" t="s">
        <v>291</v>
      </c>
      <c r="B1152" s="13">
        <v>3964845.9099999997</v>
      </c>
      <c r="C1152" s="13">
        <v>983276.0899999994</v>
      </c>
      <c r="D1152" s="3">
        <v>8.0</v>
      </c>
      <c r="E1152" s="11">
        <v>2016.0</v>
      </c>
      <c r="F1152" s="3" t="s">
        <v>818</v>
      </c>
      <c r="G1152" s="37" t="s">
        <v>28</v>
      </c>
      <c r="H1152" s="37" t="s">
        <v>4</v>
      </c>
    </row>
    <row r="1153" ht="15.75" customHeight="1">
      <c r="A1153" s="3" t="s">
        <v>215</v>
      </c>
      <c r="B1153" s="13">
        <v>397773.35000000003</v>
      </c>
      <c r="C1153" s="13">
        <v>131277.78000000003</v>
      </c>
      <c r="D1153" s="3">
        <v>12.0</v>
      </c>
      <c r="E1153" s="11">
        <v>2013.0</v>
      </c>
      <c r="F1153" s="3" t="s">
        <v>815</v>
      </c>
      <c r="G1153" s="37" t="s">
        <v>23</v>
      </c>
      <c r="H1153" s="37" t="s">
        <v>6</v>
      </c>
    </row>
    <row r="1154" ht="15.75" customHeight="1">
      <c r="A1154" s="3" t="s">
        <v>623</v>
      </c>
      <c r="B1154" s="13">
        <v>55326.9</v>
      </c>
      <c r="C1154" s="13">
        <v>14291.300000000003</v>
      </c>
      <c r="D1154" s="3">
        <v>10.0</v>
      </c>
      <c r="E1154" s="11">
        <v>2010.0</v>
      </c>
      <c r="F1154" s="3" t="s">
        <v>815</v>
      </c>
      <c r="G1154" s="37" t="s">
        <v>28</v>
      </c>
      <c r="H1154" s="37" t="s">
        <v>8</v>
      </c>
    </row>
    <row r="1155" ht="15.75" customHeight="1">
      <c r="A1155" s="3" t="s">
        <v>650</v>
      </c>
      <c r="B1155" s="13">
        <v>70033.73999999999</v>
      </c>
      <c r="C1155" s="13">
        <v>9495.19999999999</v>
      </c>
      <c r="D1155" s="3">
        <v>8.0</v>
      </c>
      <c r="E1155" s="11">
        <v>2013.0</v>
      </c>
      <c r="F1155" s="3" t="s">
        <v>818</v>
      </c>
      <c r="G1155" s="37" t="s">
        <v>28</v>
      </c>
      <c r="H1155" s="37" t="s">
        <v>11</v>
      </c>
    </row>
    <row r="1156" ht="15.75" customHeight="1">
      <c r="A1156" s="3" t="s">
        <v>32</v>
      </c>
      <c r="B1156" s="13">
        <v>53333.8</v>
      </c>
      <c r="C1156" s="13">
        <v>17601.840000000004</v>
      </c>
      <c r="D1156" s="3">
        <v>10.0</v>
      </c>
      <c r="E1156" s="11">
        <v>2012.0</v>
      </c>
      <c r="F1156" s="3" t="s">
        <v>815</v>
      </c>
      <c r="G1156" s="37" t="s">
        <v>28</v>
      </c>
      <c r="H1156" s="37" t="s">
        <v>6</v>
      </c>
    </row>
    <row r="1157" ht="15.75" customHeight="1">
      <c r="A1157" s="3" t="s">
        <v>689</v>
      </c>
      <c r="B1157" s="13">
        <v>3260365.92</v>
      </c>
      <c r="C1157" s="13">
        <v>442041.6000000001</v>
      </c>
      <c r="D1157" s="3">
        <v>4.0</v>
      </c>
      <c r="E1157" s="11">
        <v>2012.0</v>
      </c>
      <c r="F1157" s="3" t="s">
        <v>815</v>
      </c>
      <c r="G1157" s="37" t="s">
        <v>28</v>
      </c>
      <c r="H1157" s="37" t="s">
        <v>11</v>
      </c>
    </row>
    <row r="1158" ht="15.75" customHeight="1">
      <c r="A1158" s="3" t="s">
        <v>650</v>
      </c>
      <c r="B1158" s="13">
        <v>503293.34</v>
      </c>
      <c r="C1158" s="13">
        <v>154319.48000000004</v>
      </c>
      <c r="D1158" s="3">
        <v>12.0</v>
      </c>
      <c r="E1158" s="11">
        <v>2016.0</v>
      </c>
      <c r="F1158" s="3" t="s">
        <v>818</v>
      </c>
      <c r="G1158" s="37" t="s">
        <v>28</v>
      </c>
      <c r="H1158" s="37" t="s">
        <v>14</v>
      </c>
    </row>
    <row r="1159" ht="15.75" customHeight="1">
      <c r="A1159" s="3" t="s">
        <v>349</v>
      </c>
      <c r="B1159" s="13">
        <v>149522.4</v>
      </c>
      <c r="C1159" s="13">
        <v>59463.53999999999</v>
      </c>
      <c r="D1159" s="3">
        <v>1.0</v>
      </c>
      <c r="E1159" s="11">
        <v>2011.0</v>
      </c>
      <c r="F1159" s="3" t="s">
        <v>815</v>
      </c>
      <c r="G1159" s="37" t="s">
        <v>28</v>
      </c>
      <c r="H1159" s="37" t="s">
        <v>12</v>
      </c>
    </row>
    <row r="1160" ht="15.75" customHeight="1">
      <c r="A1160" s="3" t="s">
        <v>97</v>
      </c>
      <c r="B1160" s="13">
        <v>208590.2</v>
      </c>
      <c r="C1160" s="13">
        <v>68841.36000000002</v>
      </c>
      <c r="D1160" s="3">
        <v>6.0</v>
      </c>
      <c r="E1160" s="11">
        <v>2014.0</v>
      </c>
      <c r="F1160" s="3" t="s">
        <v>815</v>
      </c>
      <c r="G1160" s="37" t="s">
        <v>28</v>
      </c>
      <c r="H1160" s="37" t="s">
        <v>6</v>
      </c>
    </row>
    <row r="1161" ht="15.75" customHeight="1">
      <c r="A1161" s="3" t="s">
        <v>431</v>
      </c>
      <c r="B1161" s="13">
        <v>42610.11</v>
      </c>
      <c r="C1161" s="13">
        <v>11006.470000000001</v>
      </c>
      <c r="D1161" s="3">
        <v>4.0</v>
      </c>
      <c r="E1161" s="11">
        <v>2010.0</v>
      </c>
      <c r="F1161" s="3" t="s">
        <v>818</v>
      </c>
      <c r="G1161" s="37" t="s">
        <v>28</v>
      </c>
      <c r="H1161" s="37" t="s">
        <v>8</v>
      </c>
    </row>
    <row r="1162" ht="15.75" customHeight="1">
      <c r="A1162" s="3" t="s">
        <v>346</v>
      </c>
      <c r="B1162" s="13">
        <v>1992970.96</v>
      </c>
      <c r="C1162" s="13">
        <v>748379.02</v>
      </c>
      <c r="D1162" s="3">
        <v>8.0</v>
      </c>
      <c r="E1162" s="11">
        <v>2014.0</v>
      </c>
      <c r="F1162" s="3" t="s">
        <v>815</v>
      </c>
      <c r="G1162" s="37" t="s">
        <v>28</v>
      </c>
      <c r="H1162" s="37" t="s">
        <v>10</v>
      </c>
    </row>
    <row r="1163" ht="15.75" customHeight="1">
      <c r="A1163" s="3" t="s">
        <v>575</v>
      </c>
      <c r="B1163" s="13">
        <v>298880.8</v>
      </c>
      <c r="C1163" s="13">
        <v>200858.39999999997</v>
      </c>
      <c r="D1163" s="3">
        <v>10.0</v>
      </c>
      <c r="E1163" s="11">
        <v>2010.0</v>
      </c>
      <c r="F1163" s="3" t="s">
        <v>815</v>
      </c>
      <c r="G1163" s="37" t="s">
        <v>28</v>
      </c>
      <c r="H1163" s="37" t="s">
        <v>5</v>
      </c>
    </row>
    <row r="1164" ht="15.75" customHeight="1">
      <c r="A1164" s="3" t="s">
        <v>623</v>
      </c>
      <c r="B1164" s="13">
        <v>2584652.49</v>
      </c>
      <c r="C1164" s="13">
        <v>501086.25</v>
      </c>
      <c r="D1164" s="3">
        <v>11.0</v>
      </c>
      <c r="E1164" s="11">
        <v>2013.0</v>
      </c>
      <c r="F1164" s="3" t="s">
        <v>818</v>
      </c>
      <c r="G1164" s="37" t="s">
        <v>28</v>
      </c>
      <c r="H1164" s="37" t="s">
        <v>7</v>
      </c>
    </row>
    <row r="1165" ht="15.75" customHeight="1">
      <c r="A1165" s="3" t="s">
        <v>101</v>
      </c>
      <c r="B1165" s="13">
        <v>1300591.9200000002</v>
      </c>
      <c r="C1165" s="13">
        <v>470013.3600000002</v>
      </c>
      <c r="D1165" s="3">
        <v>11.0</v>
      </c>
      <c r="E1165" s="11">
        <v>2010.0</v>
      </c>
      <c r="F1165" s="3" t="s">
        <v>815</v>
      </c>
      <c r="G1165" s="37" t="s">
        <v>28</v>
      </c>
      <c r="H1165" s="37" t="s">
        <v>13</v>
      </c>
    </row>
    <row r="1166" ht="15.75" customHeight="1">
      <c r="A1166" s="3" t="s">
        <v>67</v>
      </c>
      <c r="B1166" s="13">
        <v>4859329.0200000005</v>
      </c>
      <c r="C1166" s="13">
        <v>942077.5</v>
      </c>
      <c r="D1166" s="3">
        <v>8.0</v>
      </c>
      <c r="E1166" s="11">
        <v>2014.0</v>
      </c>
      <c r="F1166" s="3" t="s">
        <v>818</v>
      </c>
      <c r="G1166" s="37" t="s">
        <v>23</v>
      </c>
      <c r="H1166" s="37" t="s">
        <v>7</v>
      </c>
    </row>
    <row r="1167" ht="15.75" customHeight="1">
      <c r="A1167" s="3" t="s">
        <v>267</v>
      </c>
      <c r="B1167" s="13">
        <v>371486.05000000005</v>
      </c>
      <c r="C1167" s="13">
        <v>122602.14000000004</v>
      </c>
      <c r="D1167" s="3">
        <v>9.0</v>
      </c>
      <c r="E1167" s="11">
        <v>2011.0</v>
      </c>
      <c r="F1167" s="3" t="s">
        <v>815</v>
      </c>
      <c r="G1167" s="37" t="s">
        <v>28</v>
      </c>
      <c r="H1167" s="37" t="s">
        <v>6</v>
      </c>
    </row>
    <row r="1168" ht="15.75" customHeight="1">
      <c r="A1168" s="3" t="s">
        <v>542</v>
      </c>
      <c r="B1168" s="13">
        <v>758008.4400000001</v>
      </c>
      <c r="C1168" s="13">
        <v>146955.0</v>
      </c>
      <c r="D1168" s="3">
        <v>12.0</v>
      </c>
      <c r="E1168" s="11">
        <v>2012.0</v>
      </c>
      <c r="F1168" s="3" t="s">
        <v>818</v>
      </c>
      <c r="G1168" s="37" t="s">
        <v>28</v>
      </c>
      <c r="H1168" s="37" t="s">
        <v>7</v>
      </c>
    </row>
    <row r="1169" ht="15.75" customHeight="1">
      <c r="A1169" s="3" t="s">
        <v>590</v>
      </c>
      <c r="B1169" s="13">
        <v>159293.52000000002</v>
      </c>
      <c r="C1169" s="13">
        <v>57566.16000000002</v>
      </c>
      <c r="D1169" s="3">
        <v>8.0</v>
      </c>
      <c r="E1169" s="11">
        <v>2010.0</v>
      </c>
      <c r="F1169" s="3" t="s">
        <v>818</v>
      </c>
      <c r="G1169" s="37" t="s">
        <v>28</v>
      </c>
      <c r="H1169" s="37" t="s">
        <v>13</v>
      </c>
    </row>
    <row r="1170" ht="15.75" customHeight="1">
      <c r="A1170" s="3" t="s">
        <v>218</v>
      </c>
      <c r="B1170" s="13">
        <v>2530602.06</v>
      </c>
      <c r="C1170" s="13">
        <v>490607.5</v>
      </c>
      <c r="D1170" s="3">
        <v>6.0</v>
      </c>
      <c r="E1170" s="11">
        <v>2010.0</v>
      </c>
      <c r="F1170" s="3" t="s">
        <v>818</v>
      </c>
      <c r="G1170" s="37" t="s">
        <v>28</v>
      </c>
      <c r="H1170" s="37" t="s">
        <v>7</v>
      </c>
    </row>
    <row r="1171" ht="15.75" customHeight="1">
      <c r="A1171" s="3" t="s">
        <v>653</v>
      </c>
      <c r="B1171" s="13">
        <v>3224083.38</v>
      </c>
      <c r="C1171" s="13">
        <v>437122.3999999999</v>
      </c>
      <c r="D1171" s="3">
        <v>10.0</v>
      </c>
      <c r="E1171" s="11">
        <v>2015.0</v>
      </c>
      <c r="F1171" s="3" t="s">
        <v>815</v>
      </c>
      <c r="G1171" s="37" t="s">
        <v>28</v>
      </c>
      <c r="H1171" s="37" t="s">
        <v>11</v>
      </c>
    </row>
    <row r="1172" ht="15.75" customHeight="1">
      <c r="A1172" s="3" t="s">
        <v>67</v>
      </c>
      <c r="B1172" s="13">
        <v>594046.08</v>
      </c>
      <c r="C1172" s="13">
        <v>399219.83999999997</v>
      </c>
      <c r="D1172" s="3">
        <v>2.0</v>
      </c>
      <c r="E1172" s="11">
        <v>2017.0</v>
      </c>
      <c r="F1172" s="3" t="s">
        <v>818</v>
      </c>
      <c r="G1172" s="37" t="s">
        <v>23</v>
      </c>
      <c r="H1172" s="37" t="s">
        <v>5</v>
      </c>
    </row>
    <row r="1173" ht="15.75" customHeight="1">
      <c r="A1173" s="3" t="s">
        <v>373</v>
      </c>
      <c r="B1173" s="13">
        <v>6155888.13</v>
      </c>
      <c r="C1173" s="13">
        <v>1193441.25</v>
      </c>
      <c r="D1173" s="3">
        <v>7.0</v>
      </c>
      <c r="E1173" s="11">
        <v>2011.0</v>
      </c>
      <c r="F1173" s="3" t="s">
        <v>818</v>
      </c>
      <c r="G1173" s="37" t="s">
        <v>28</v>
      </c>
      <c r="H1173" s="37" t="s">
        <v>7</v>
      </c>
    </row>
    <row r="1174" ht="15.75" customHeight="1">
      <c r="A1174" s="3" t="s">
        <v>653</v>
      </c>
      <c r="B1174" s="13">
        <v>307657.82</v>
      </c>
      <c r="C1174" s="13">
        <v>126070.60999999999</v>
      </c>
      <c r="D1174" s="3">
        <v>4.0</v>
      </c>
      <c r="E1174" s="11">
        <v>2013.0</v>
      </c>
      <c r="F1174" s="3" t="s">
        <v>818</v>
      </c>
      <c r="G1174" s="37" t="s">
        <v>28</v>
      </c>
      <c r="H1174" s="37" t="s">
        <v>9</v>
      </c>
    </row>
    <row r="1175" ht="15.75" customHeight="1">
      <c r="A1175" s="3" t="s">
        <v>746</v>
      </c>
      <c r="B1175" s="13">
        <v>76947.2</v>
      </c>
      <c r="C1175" s="13">
        <v>30601.120000000003</v>
      </c>
      <c r="D1175" s="3">
        <v>5.0</v>
      </c>
      <c r="E1175" s="11">
        <v>2017.0</v>
      </c>
      <c r="F1175" s="3" t="s">
        <v>815</v>
      </c>
      <c r="G1175" s="37" t="s">
        <v>28</v>
      </c>
      <c r="H1175" s="37" t="s">
        <v>12</v>
      </c>
    </row>
    <row r="1176" ht="15.75" customHeight="1">
      <c r="A1176" s="3" t="s">
        <v>267</v>
      </c>
      <c r="B1176" s="13">
        <v>299910.6</v>
      </c>
      <c r="C1176" s="13">
        <v>129164.21999999997</v>
      </c>
      <c r="D1176" s="3">
        <v>4.0</v>
      </c>
      <c r="E1176" s="11">
        <v>2010.0</v>
      </c>
      <c r="F1176" s="3" t="s">
        <v>818</v>
      </c>
      <c r="G1176" s="37" t="s">
        <v>28</v>
      </c>
      <c r="H1176" s="37" t="s">
        <v>3</v>
      </c>
    </row>
    <row r="1177" ht="15.75" customHeight="1">
      <c r="A1177" s="3" t="s">
        <v>46</v>
      </c>
      <c r="B1177" s="13">
        <v>9171.39</v>
      </c>
      <c r="C1177" s="13">
        <v>2369.0299999999997</v>
      </c>
      <c r="D1177" s="3">
        <v>5.0</v>
      </c>
      <c r="E1177" s="11">
        <v>2014.0</v>
      </c>
      <c r="F1177" s="3" t="s">
        <v>818</v>
      </c>
      <c r="G1177" s="37" t="s">
        <v>28</v>
      </c>
      <c r="H1177" s="37" t="s">
        <v>8</v>
      </c>
    </row>
    <row r="1178" ht="15.75" customHeight="1">
      <c r="A1178" s="3" t="s">
        <v>123</v>
      </c>
      <c r="B1178" s="13">
        <v>4841616.149999999</v>
      </c>
      <c r="C1178" s="13">
        <v>1200713.8499999992</v>
      </c>
      <c r="D1178" s="3">
        <v>3.0</v>
      </c>
      <c r="E1178" s="11">
        <v>2012.0</v>
      </c>
      <c r="F1178" s="3" t="s">
        <v>818</v>
      </c>
      <c r="G1178" s="37" t="s">
        <v>28</v>
      </c>
      <c r="H1178" s="37" t="s">
        <v>4</v>
      </c>
    </row>
    <row r="1179" ht="15.75" customHeight="1">
      <c r="A1179" s="3" t="s">
        <v>650</v>
      </c>
      <c r="B1179" s="13">
        <v>1234278.8</v>
      </c>
      <c r="C1179" s="13">
        <v>463483.1000000001</v>
      </c>
      <c r="D1179" s="3">
        <v>5.0</v>
      </c>
      <c r="E1179" s="11">
        <v>2012.0</v>
      </c>
      <c r="F1179" s="3" t="s">
        <v>818</v>
      </c>
      <c r="G1179" s="37" t="s">
        <v>28</v>
      </c>
      <c r="H1179" s="37" t="s">
        <v>10</v>
      </c>
    </row>
    <row r="1180" ht="15.75" customHeight="1">
      <c r="A1180" s="3" t="s">
        <v>575</v>
      </c>
      <c r="B1180" s="13">
        <v>1825310.0</v>
      </c>
      <c r="C1180" s="13">
        <v>725907.25</v>
      </c>
      <c r="D1180" s="3">
        <v>4.0</v>
      </c>
      <c r="E1180" s="11">
        <v>2011.0</v>
      </c>
      <c r="F1180" s="3" t="s">
        <v>818</v>
      </c>
      <c r="G1180" s="37" t="s">
        <v>28</v>
      </c>
      <c r="H1180" s="37" t="s">
        <v>12</v>
      </c>
    </row>
    <row r="1181" ht="15.75" customHeight="1">
      <c r="A1181" s="3" t="s">
        <v>455</v>
      </c>
      <c r="B1181" s="13">
        <v>1177480.58</v>
      </c>
      <c r="C1181" s="13">
        <v>482502.58999999997</v>
      </c>
      <c r="D1181" s="3">
        <v>3.0</v>
      </c>
      <c r="E1181" s="11">
        <v>2014.0</v>
      </c>
      <c r="F1181" s="3" t="s">
        <v>815</v>
      </c>
      <c r="G1181" s="37" t="s">
        <v>28</v>
      </c>
      <c r="H1181" s="37" t="s">
        <v>9</v>
      </c>
    </row>
    <row r="1182" ht="15.75" customHeight="1">
      <c r="A1182" s="3" t="s">
        <v>373</v>
      </c>
      <c r="B1182" s="13">
        <v>235209.65000000002</v>
      </c>
      <c r="C1182" s="13">
        <v>77626.62000000002</v>
      </c>
      <c r="D1182" s="3">
        <v>8.0</v>
      </c>
      <c r="E1182" s="11">
        <v>2015.0</v>
      </c>
      <c r="F1182" s="3" t="s">
        <v>815</v>
      </c>
      <c r="G1182" s="37" t="s">
        <v>28</v>
      </c>
      <c r="H1182" s="37" t="s">
        <v>6</v>
      </c>
    </row>
    <row r="1183" ht="15.75" customHeight="1">
      <c r="A1183" s="3" t="s">
        <v>578</v>
      </c>
      <c r="B1183" s="13">
        <v>2046715.0</v>
      </c>
      <c r="C1183" s="13">
        <v>881470.5</v>
      </c>
      <c r="D1183" s="3">
        <v>9.0</v>
      </c>
      <c r="E1183" s="11">
        <v>2014.0</v>
      </c>
      <c r="F1183" s="3" t="s">
        <v>818</v>
      </c>
      <c r="G1183" s="37" t="s">
        <v>28</v>
      </c>
      <c r="H1183" s="37" t="s">
        <v>3</v>
      </c>
    </row>
    <row r="1184" ht="15.75" customHeight="1">
      <c r="A1184" s="3" t="s">
        <v>215</v>
      </c>
      <c r="B1184" s="13">
        <v>2367799.56</v>
      </c>
      <c r="C1184" s="13">
        <v>459045.0</v>
      </c>
      <c r="D1184" s="3">
        <v>5.0</v>
      </c>
      <c r="E1184" s="11">
        <v>2013.0</v>
      </c>
      <c r="F1184" s="3" t="s">
        <v>818</v>
      </c>
      <c r="G1184" s="37" t="s">
        <v>23</v>
      </c>
      <c r="H1184" s="37" t="s">
        <v>7</v>
      </c>
    </row>
    <row r="1185" ht="15.75" customHeight="1">
      <c r="A1185" s="3" t="s">
        <v>248</v>
      </c>
      <c r="B1185" s="13">
        <v>89717.28</v>
      </c>
      <c r="C1185" s="13">
        <v>23174.559999999998</v>
      </c>
      <c r="D1185" s="3">
        <v>2.0</v>
      </c>
      <c r="E1185" s="11">
        <v>2013.0</v>
      </c>
      <c r="F1185" s="3" t="s">
        <v>818</v>
      </c>
      <c r="G1185" s="37" t="s">
        <v>28</v>
      </c>
      <c r="H1185" s="37" t="s">
        <v>8</v>
      </c>
    </row>
    <row r="1186" ht="15.75" customHeight="1">
      <c r="A1186" s="3" t="s">
        <v>821</v>
      </c>
      <c r="B1186" s="13">
        <v>91629.93000000001</v>
      </c>
      <c r="C1186" s="13">
        <v>23668.610000000015</v>
      </c>
      <c r="D1186" s="3">
        <v>3.0</v>
      </c>
      <c r="E1186" s="11">
        <v>2012.0</v>
      </c>
      <c r="F1186" s="3" t="s">
        <v>815</v>
      </c>
      <c r="G1186" s="37" t="s">
        <v>821</v>
      </c>
      <c r="H1186" s="37" t="s">
        <v>8</v>
      </c>
    </row>
    <row r="1187" ht="15.75" customHeight="1">
      <c r="A1187" s="3" t="s">
        <v>300</v>
      </c>
      <c r="B1187" s="13">
        <v>3583291.1999999997</v>
      </c>
      <c r="C1187" s="13">
        <v>1425038.52</v>
      </c>
      <c r="D1187" s="3">
        <v>6.0</v>
      </c>
      <c r="E1187" s="11">
        <v>2017.0</v>
      </c>
      <c r="F1187" s="3" t="s">
        <v>815</v>
      </c>
      <c r="G1187" s="37" t="s">
        <v>28</v>
      </c>
      <c r="H1187" s="37" t="s">
        <v>12</v>
      </c>
    </row>
    <row r="1188" ht="15.75" customHeight="1">
      <c r="A1188" s="3" t="s">
        <v>364</v>
      </c>
      <c r="B1188" s="13">
        <v>513173.86</v>
      </c>
      <c r="C1188" s="13">
        <v>210286.02999999997</v>
      </c>
      <c r="D1188" s="3">
        <v>11.0</v>
      </c>
      <c r="E1188" s="11">
        <v>2010.0</v>
      </c>
      <c r="F1188" s="3" t="s">
        <v>818</v>
      </c>
      <c r="G1188" s="37" t="s">
        <v>28</v>
      </c>
      <c r="H1188" s="37" t="s">
        <v>9</v>
      </c>
    </row>
    <row r="1189" ht="15.75" customHeight="1">
      <c r="A1189" s="3" t="s">
        <v>455</v>
      </c>
      <c r="B1189" s="13">
        <v>3589862.01</v>
      </c>
      <c r="C1189" s="13">
        <v>486714.7999999998</v>
      </c>
      <c r="D1189" s="3">
        <v>3.0</v>
      </c>
      <c r="E1189" s="11">
        <v>2015.0</v>
      </c>
      <c r="F1189" s="3" t="s">
        <v>815</v>
      </c>
      <c r="G1189" s="37" t="s">
        <v>28</v>
      </c>
      <c r="H1189" s="37" t="s">
        <v>11</v>
      </c>
    </row>
    <row r="1190" ht="15.75" customHeight="1">
      <c r="A1190" s="3" t="s">
        <v>623</v>
      </c>
      <c r="B1190" s="13">
        <v>4496605.05</v>
      </c>
      <c r="C1190" s="13">
        <v>871756.2499999995</v>
      </c>
      <c r="D1190" s="3">
        <v>4.0</v>
      </c>
      <c r="E1190" s="11">
        <v>2014.0</v>
      </c>
      <c r="F1190" s="3" t="s">
        <v>815</v>
      </c>
      <c r="G1190" s="37" t="s">
        <v>28</v>
      </c>
      <c r="H1190" s="37" t="s">
        <v>7</v>
      </c>
    </row>
    <row r="1191" ht="15.75" customHeight="1">
      <c r="A1191" s="3" t="s">
        <v>590</v>
      </c>
      <c r="B1191" s="13">
        <v>28633.77</v>
      </c>
      <c r="C1191" s="13">
        <v>7396.290000000001</v>
      </c>
      <c r="D1191" s="3">
        <v>10.0</v>
      </c>
      <c r="E1191" s="11">
        <v>2011.0</v>
      </c>
      <c r="F1191" s="3" t="s">
        <v>818</v>
      </c>
      <c r="G1191" s="37" t="s">
        <v>28</v>
      </c>
      <c r="H1191" s="37" t="s">
        <v>8</v>
      </c>
    </row>
    <row r="1192" ht="15.75" customHeight="1">
      <c r="A1192" s="3" t="s">
        <v>575</v>
      </c>
      <c r="B1192" s="13">
        <v>1899433.7999999998</v>
      </c>
      <c r="C1192" s="13">
        <v>818040.0599999998</v>
      </c>
      <c r="D1192" s="3">
        <v>11.0</v>
      </c>
      <c r="E1192" s="11">
        <v>2016.0</v>
      </c>
      <c r="F1192" s="3" t="s">
        <v>815</v>
      </c>
      <c r="G1192" s="37" t="s">
        <v>28</v>
      </c>
      <c r="H1192" s="37" t="s">
        <v>3</v>
      </c>
    </row>
    <row r="1193" ht="15.75" customHeight="1">
      <c r="A1193" s="3" t="s">
        <v>536</v>
      </c>
      <c r="B1193" s="13">
        <v>6222261.97</v>
      </c>
      <c r="C1193" s="13">
        <v>1543112.0299999993</v>
      </c>
      <c r="D1193" s="3">
        <v>10.0</v>
      </c>
      <c r="E1193" s="11">
        <v>2015.0</v>
      </c>
      <c r="F1193" s="3" t="s">
        <v>818</v>
      </c>
      <c r="G1193" s="37" t="s">
        <v>28</v>
      </c>
      <c r="H1193" s="37" t="s">
        <v>4</v>
      </c>
    </row>
    <row r="1194" ht="15.75" customHeight="1">
      <c r="A1194" s="3" t="s">
        <v>221</v>
      </c>
      <c r="B1194" s="13">
        <v>1819827.9</v>
      </c>
      <c r="C1194" s="13">
        <v>783755.7299999999</v>
      </c>
      <c r="D1194" s="3">
        <v>11.0</v>
      </c>
      <c r="E1194" s="11">
        <v>2015.0</v>
      </c>
      <c r="F1194" s="3" t="s">
        <v>815</v>
      </c>
      <c r="G1194" s="37" t="s">
        <v>28</v>
      </c>
      <c r="H1194" s="37" t="s">
        <v>3</v>
      </c>
    </row>
    <row r="1195" ht="15.75" customHeight="1">
      <c r="A1195" s="3" t="s">
        <v>512</v>
      </c>
      <c r="B1195" s="13">
        <v>317867.55000000005</v>
      </c>
      <c r="C1195" s="13">
        <v>104906.34000000005</v>
      </c>
      <c r="D1195" s="3">
        <v>10.0</v>
      </c>
      <c r="E1195" s="11">
        <v>2012.0</v>
      </c>
      <c r="F1195" s="3" t="s">
        <v>818</v>
      </c>
      <c r="G1195" s="37" t="s">
        <v>28</v>
      </c>
      <c r="H1195" s="37" t="s">
        <v>6</v>
      </c>
    </row>
    <row r="1196" ht="15.75" customHeight="1">
      <c r="A1196" s="3" t="s">
        <v>206</v>
      </c>
      <c r="B1196" s="13">
        <v>541810.24</v>
      </c>
      <c r="C1196" s="13">
        <v>364115.51999999996</v>
      </c>
      <c r="D1196" s="3">
        <v>1.0</v>
      </c>
      <c r="E1196" s="11">
        <v>2014.0</v>
      </c>
      <c r="F1196" s="3" t="s">
        <v>815</v>
      </c>
      <c r="G1196" s="37" t="s">
        <v>28</v>
      </c>
      <c r="H1196" s="37" t="s">
        <v>5</v>
      </c>
    </row>
    <row r="1197" ht="15.75" customHeight="1">
      <c r="A1197" s="3" t="s">
        <v>267</v>
      </c>
      <c r="B1197" s="13">
        <v>1028324.8</v>
      </c>
      <c r="C1197" s="13">
        <v>691070.4</v>
      </c>
      <c r="D1197" s="3">
        <v>4.0</v>
      </c>
      <c r="E1197" s="11">
        <v>2014.0</v>
      </c>
      <c r="F1197" s="3" t="s">
        <v>815</v>
      </c>
      <c r="G1197" s="37" t="s">
        <v>28</v>
      </c>
      <c r="H1197" s="37" t="s">
        <v>5</v>
      </c>
    </row>
    <row r="1198" ht="15.75" customHeight="1">
      <c r="A1198" s="3" t="s">
        <v>821</v>
      </c>
      <c r="B1198" s="13">
        <v>1830158.8199999998</v>
      </c>
      <c r="C1198" s="13">
        <v>248133.59999999986</v>
      </c>
      <c r="D1198" s="3">
        <v>6.0</v>
      </c>
      <c r="E1198" s="11">
        <v>2010.0</v>
      </c>
      <c r="F1198" s="3" t="s">
        <v>815</v>
      </c>
      <c r="G1198" s="37" t="s">
        <v>821</v>
      </c>
      <c r="H1198" s="37" t="s">
        <v>11</v>
      </c>
    </row>
    <row r="1199" ht="15.75" customHeight="1">
      <c r="A1199" s="3" t="s">
        <v>349</v>
      </c>
      <c r="B1199" s="13">
        <v>1636439.5999999999</v>
      </c>
      <c r="C1199" s="13">
        <v>650795.4099999999</v>
      </c>
      <c r="D1199" s="3">
        <v>4.0</v>
      </c>
      <c r="E1199" s="11">
        <v>2012.0</v>
      </c>
      <c r="F1199" s="3" t="s">
        <v>815</v>
      </c>
      <c r="G1199" s="37" t="s">
        <v>28</v>
      </c>
      <c r="H1199" s="37" t="s">
        <v>12</v>
      </c>
    </row>
    <row r="1200" ht="15.75" customHeight="1">
      <c r="A1200" s="3" t="s">
        <v>431</v>
      </c>
      <c r="B1200" s="13">
        <v>1046190.2</v>
      </c>
      <c r="C1200" s="13">
        <v>450568.74</v>
      </c>
      <c r="D1200" s="3">
        <v>2.0</v>
      </c>
      <c r="E1200" s="11">
        <v>2014.0</v>
      </c>
      <c r="F1200" s="3" t="s">
        <v>818</v>
      </c>
      <c r="G1200" s="37" t="s">
        <v>28</v>
      </c>
      <c r="H1200" s="37" t="s">
        <v>3</v>
      </c>
    </row>
    <row r="1201" ht="15.75" customHeight="1">
      <c r="A1201" s="3" t="s">
        <v>686</v>
      </c>
      <c r="B1201" s="13">
        <v>3785714.8</v>
      </c>
      <c r="C1201" s="13">
        <v>1505540.33</v>
      </c>
      <c r="D1201" s="3">
        <v>7.0</v>
      </c>
      <c r="E1201" s="11">
        <v>2017.0</v>
      </c>
      <c r="F1201" s="3" t="s">
        <v>815</v>
      </c>
      <c r="G1201" s="37" t="s">
        <v>28</v>
      </c>
      <c r="H1201" s="37" t="s">
        <v>12</v>
      </c>
    </row>
    <row r="1202" ht="15.75" customHeight="1">
      <c r="A1202" s="3" t="s">
        <v>590</v>
      </c>
      <c r="B1202" s="13">
        <v>15041.650000000001</v>
      </c>
      <c r="C1202" s="13">
        <v>4964.220000000001</v>
      </c>
      <c r="D1202" s="3">
        <v>5.0</v>
      </c>
      <c r="E1202" s="11">
        <v>2015.0</v>
      </c>
      <c r="F1202" s="3" t="s">
        <v>815</v>
      </c>
      <c r="G1202" s="37" t="s">
        <v>28</v>
      </c>
      <c r="H1202" s="37" t="s">
        <v>6</v>
      </c>
    </row>
    <row r="1203" ht="15.75" customHeight="1">
      <c r="A1203" s="3" t="s">
        <v>142</v>
      </c>
      <c r="B1203" s="13">
        <v>72232.86</v>
      </c>
      <c r="C1203" s="13">
        <v>18658.22</v>
      </c>
      <c r="D1203" s="3">
        <v>10.0</v>
      </c>
      <c r="E1203" s="11">
        <v>2013.0</v>
      </c>
      <c r="F1203" s="3" t="s">
        <v>818</v>
      </c>
      <c r="G1203" s="37" t="s">
        <v>28</v>
      </c>
      <c r="H1203" s="37" t="s">
        <v>8</v>
      </c>
    </row>
    <row r="1204" ht="15.75" customHeight="1">
      <c r="A1204" s="3" t="s">
        <v>413</v>
      </c>
      <c r="B1204" s="13">
        <v>643215.1</v>
      </c>
      <c r="C1204" s="13">
        <v>197222.19999999995</v>
      </c>
      <c r="D1204" s="3">
        <v>11.0</v>
      </c>
      <c r="E1204" s="11">
        <v>2013.0</v>
      </c>
      <c r="F1204" s="3" t="s">
        <v>818</v>
      </c>
      <c r="G1204" s="37" t="s">
        <v>28</v>
      </c>
      <c r="H1204" s="37" t="s">
        <v>14</v>
      </c>
    </row>
    <row r="1205" ht="15.75" customHeight="1">
      <c r="A1205" s="3" t="s">
        <v>288</v>
      </c>
      <c r="B1205" s="13">
        <v>756448.77</v>
      </c>
      <c r="C1205" s="13">
        <v>102559.59999999998</v>
      </c>
      <c r="D1205" s="3">
        <v>4.0</v>
      </c>
      <c r="E1205" s="11">
        <v>2011.0</v>
      </c>
      <c r="F1205" s="3" t="s">
        <v>815</v>
      </c>
      <c r="G1205" s="37" t="s">
        <v>23</v>
      </c>
      <c r="H1205" s="37" t="s">
        <v>11</v>
      </c>
    </row>
    <row r="1206" ht="15.75" customHeight="1">
      <c r="A1206" s="3" t="s">
        <v>101</v>
      </c>
      <c r="B1206" s="13">
        <v>7432.4</v>
      </c>
      <c r="C1206" s="13">
        <v>2955.79</v>
      </c>
      <c r="D1206" s="3">
        <v>6.0</v>
      </c>
      <c r="E1206" s="11">
        <v>2014.0</v>
      </c>
      <c r="F1206" s="3" t="s">
        <v>818</v>
      </c>
      <c r="G1206" s="37" t="s">
        <v>28</v>
      </c>
      <c r="H1206" s="37" t="s">
        <v>12</v>
      </c>
    </row>
    <row r="1207" ht="15.75" customHeight="1">
      <c r="A1207" s="3" t="s">
        <v>413</v>
      </c>
      <c r="B1207" s="13">
        <v>800558.08</v>
      </c>
      <c r="C1207" s="13">
        <v>300616.96</v>
      </c>
      <c r="D1207" s="3">
        <v>9.0</v>
      </c>
      <c r="E1207" s="11">
        <v>2010.0</v>
      </c>
      <c r="F1207" s="3" t="s">
        <v>815</v>
      </c>
      <c r="G1207" s="37" t="s">
        <v>28</v>
      </c>
      <c r="H1207" s="37" t="s">
        <v>10</v>
      </c>
    </row>
    <row r="1208" ht="15.75" customHeight="1">
      <c r="A1208" s="3" t="s">
        <v>635</v>
      </c>
      <c r="B1208" s="13">
        <v>1364047.24</v>
      </c>
      <c r="C1208" s="13">
        <v>558953.0199999999</v>
      </c>
      <c r="D1208" s="3">
        <v>10.0</v>
      </c>
      <c r="E1208" s="11">
        <v>2013.0</v>
      </c>
      <c r="F1208" s="3" t="s">
        <v>815</v>
      </c>
      <c r="G1208" s="37" t="s">
        <v>28</v>
      </c>
      <c r="H1208" s="37" t="s">
        <v>9</v>
      </c>
    </row>
    <row r="1209" ht="15.75" customHeight="1">
      <c r="A1209" s="3" t="s">
        <v>349</v>
      </c>
      <c r="B1209" s="13">
        <v>430344.64</v>
      </c>
      <c r="C1209" s="13">
        <v>289206.72</v>
      </c>
      <c r="D1209" s="3">
        <v>9.0</v>
      </c>
      <c r="E1209" s="11">
        <v>2013.0</v>
      </c>
      <c r="F1209" s="3" t="s">
        <v>815</v>
      </c>
      <c r="G1209" s="37" t="s">
        <v>28</v>
      </c>
      <c r="H1209" s="37" t="s">
        <v>5</v>
      </c>
    </row>
    <row r="1210" ht="15.75" customHeight="1">
      <c r="A1210" s="3" t="s">
        <v>78</v>
      </c>
      <c r="B1210" s="13">
        <v>1022496.22</v>
      </c>
      <c r="C1210" s="13">
        <v>418993.80999999994</v>
      </c>
      <c r="D1210" s="3">
        <v>8.0</v>
      </c>
      <c r="E1210" s="11">
        <v>2011.0</v>
      </c>
      <c r="F1210" s="3" t="s">
        <v>818</v>
      </c>
      <c r="G1210" s="37" t="s">
        <v>28</v>
      </c>
      <c r="H1210" s="37" t="s">
        <v>9</v>
      </c>
    </row>
    <row r="1211" ht="15.75" customHeight="1">
      <c r="A1211" s="3" t="s">
        <v>542</v>
      </c>
      <c r="B1211" s="13">
        <v>3456966.6599999997</v>
      </c>
      <c r="C1211" s="13">
        <v>468696.7999999998</v>
      </c>
      <c r="D1211" s="3">
        <v>9.0</v>
      </c>
      <c r="E1211" s="11">
        <v>2012.0</v>
      </c>
      <c r="F1211" s="3" t="s">
        <v>818</v>
      </c>
      <c r="G1211" s="37" t="s">
        <v>28</v>
      </c>
      <c r="H1211" s="37" t="s">
        <v>11</v>
      </c>
    </row>
    <row r="1212" ht="15.75" customHeight="1">
      <c r="A1212" s="3" t="s">
        <v>590</v>
      </c>
      <c r="B1212" s="13">
        <v>599734.74</v>
      </c>
      <c r="C1212" s="13">
        <v>183890.27999999997</v>
      </c>
      <c r="D1212" s="3">
        <v>4.0</v>
      </c>
      <c r="E1212" s="11">
        <v>2010.0</v>
      </c>
      <c r="F1212" s="3" t="s">
        <v>815</v>
      </c>
      <c r="G1212" s="37" t="s">
        <v>28</v>
      </c>
      <c r="H1212" s="37" t="s">
        <v>14</v>
      </c>
    </row>
    <row r="1213" ht="15.75" customHeight="1">
      <c r="A1213" s="3" t="s">
        <v>267</v>
      </c>
      <c r="B1213" s="13">
        <v>491765.34</v>
      </c>
      <c r="C1213" s="13">
        <v>177716.22000000003</v>
      </c>
      <c r="D1213" s="3">
        <v>3.0</v>
      </c>
      <c r="E1213" s="11">
        <v>2013.0</v>
      </c>
      <c r="F1213" s="3" t="s">
        <v>818</v>
      </c>
      <c r="G1213" s="37" t="s">
        <v>28</v>
      </c>
      <c r="H1213" s="37" t="s">
        <v>13</v>
      </c>
    </row>
    <row r="1214" ht="15.75" customHeight="1">
      <c r="A1214" s="3" t="s">
        <v>123</v>
      </c>
      <c r="B1214" s="13">
        <v>101302.56</v>
      </c>
      <c r="C1214" s="13">
        <v>68078.88</v>
      </c>
      <c r="D1214" s="3">
        <v>10.0</v>
      </c>
      <c r="E1214" s="11">
        <v>2013.0</v>
      </c>
      <c r="F1214" s="3" t="s">
        <v>815</v>
      </c>
      <c r="G1214" s="37" t="s">
        <v>28</v>
      </c>
      <c r="H1214" s="37" t="s">
        <v>5</v>
      </c>
    </row>
    <row r="1215" ht="15.75" customHeight="1">
      <c r="A1215" s="3" t="s">
        <v>821</v>
      </c>
      <c r="B1215" s="13">
        <v>39363.27</v>
      </c>
      <c r="C1215" s="13">
        <v>10167.789999999997</v>
      </c>
      <c r="D1215" s="3">
        <v>8.0</v>
      </c>
      <c r="E1215" s="11">
        <v>2011.0</v>
      </c>
      <c r="F1215" s="3" t="s">
        <v>815</v>
      </c>
      <c r="G1215" s="37" t="s">
        <v>821</v>
      </c>
      <c r="H1215" s="37" t="s">
        <v>8</v>
      </c>
    </row>
    <row r="1216" ht="15.75" customHeight="1">
      <c r="A1216" s="3" t="s">
        <v>218</v>
      </c>
      <c r="B1216" s="13">
        <v>267478.26</v>
      </c>
      <c r="C1216" s="13">
        <v>36264.80000000002</v>
      </c>
      <c r="D1216" s="3">
        <v>5.0</v>
      </c>
      <c r="E1216" s="11">
        <v>2017.0</v>
      </c>
      <c r="F1216" s="3" t="s">
        <v>818</v>
      </c>
      <c r="G1216" s="37" t="s">
        <v>28</v>
      </c>
      <c r="H1216" s="37" t="s">
        <v>11</v>
      </c>
    </row>
    <row r="1217" ht="15.75" customHeight="1">
      <c r="A1217" s="3" t="s">
        <v>740</v>
      </c>
      <c r="B1217" s="13">
        <v>296380.08</v>
      </c>
      <c r="C1217" s="13">
        <v>111293.46000000002</v>
      </c>
      <c r="D1217" s="3">
        <v>5.0</v>
      </c>
      <c r="E1217" s="11">
        <v>2014.0</v>
      </c>
      <c r="F1217" s="3" t="s">
        <v>818</v>
      </c>
      <c r="G1217" s="37" t="s">
        <v>28</v>
      </c>
      <c r="H1217" s="37" t="s">
        <v>10</v>
      </c>
    </row>
    <row r="1218" ht="15.75" customHeight="1">
      <c r="A1218" s="3" t="s">
        <v>101</v>
      </c>
      <c r="B1218" s="13">
        <v>435768.48000000004</v>
      </c>
      <c r="C1218" s="13">
        <v>157479.84000000003</v>
      </c>
      <c r="D1218" s="3">
        <v>8.0</v>
      </c>
      <c r="E1218" s="11">
        <v>2013.0</v>
      </c>
      <c r="F1218" s="3" t="s">
        <v>815</v>
      </c>
      <c r="G1218" s="37" t="s">
        <v>28</v>
      </c>
      <c r="H1218" s="37" t="s">
        <v>13</v>
      </c>
    </row>
    <row r="1219" ht="15.75" customHeight="1">
      <c r="A1219" s="3" t="s">
        <v>578</v>
      </c>
      <c r="B1219" s="13">
        <v>332629.84</v>
      </c>
      <c r="C1219" s="13">
        <v>124905.58000000005</v>
      </c>
      <c r="D1219" s="3">
        <v>3.0</v>
      </c>
      <c r="E1219" s="11">
        <v>2016.0</v>
      </c>
      <c r="F1219" s="3" t="s">
        <v>818</v>
      </c>
      <c r="G1219" s="37" t="s">
        <v>28</v>
      </c>
      <c r="H1219" s="37" t="s">
        <v>10</v>
      </c>
    </row>
    <row r="1220" ht="15.75" customHeight="1">
      <c r="A1220" s="3" t="s">
        <v>300</v>
      </c>
      <c r="B1220" s="13">
        <v>1322759.16</v>
      </c>
      <c r="C1220" s="13">
        <v>542034.1799999998</v>
      </c>
      <c r="D1220" s="3">
        <v>10.0</v>
      </c>
      <c r="E1220" s="11">
        <v>2012.0</v>
      </c>
      <c r="F1220" s="3" t="s">
        <v>815</v>
      </c>
      <c r="G1220" s="37" t="s">
        <v>28</v>
      </c>
      <c r="H1220" s="37" t="s">
        <v>9</v>
      </c>
    </row>
    <row r="1221" ht="15.75" customHeight="1">
      <c r="A1221" s="3" t="s">
        <v>434</v>
      </c>
      <c r="B1221" s="13">
        <v>732176.0</v>
      </c>
      <c r="C1221" s="13">
        <v>492048.0</v>
      </c>
      <c r="D1221" s="3">
        <v>11.0</v>
      </c>
      <c r="E1221" s="11">
        <v>2013.0</v>
      </c>
      <c r="F1221" s="3" t="s">
        <v>815</v>
      </c>
      <c r="G1221" s="37" t="s">
        <v>28</v>
      </c>
      <c r="H1221" s="37" t="s">
        <v>5</v>
      </c>
    </row>
    <row r="1222" ht="15.75" customHeight="1">
      <c r="A1222" s="3" t="s">
        <v>821</v>
      </c>
      <c r="B1222" s="13">
        <v>4099168.1799999997</v>
      </c>
      <c r="C1222" s="13">
        <v>1016587.8199999994</v>
      </c>
      <c r="D1222" s="3">
        <v>3.0</v>
      </c>
      <c r="E1222" s="11">
        <v>2017.0</v>
      </c>
      <c r="F1222" s="3" t="s">
        <v>818</v>
      </c>
      <c r="G1222" s="37" t="s">
        <v>821</v>
      </c>
      <c r="H1222" s="37" t="s">
        <v>4</v>
      </c>
    </row>
    <row r="1223" ht="15.75" customHeight="1">
      <c r="A1223" s="3" t="s">
        <v>46</v>
      </c>
      <c r="B1223" s="13">
        <v>276587.68</v>
      </c>
      <c r="C1223" s="13">
        <v>185876.63999999998</v>
      </c>
      <c r="D1223" s="3">
        <v>5.0</v>
      </c>
      <c r="E1223" s="11">
        <v>2017.0</v>
      </c>
      <c r="F1223" s="3" t="s">
        <v>818</v>
      </c>
      <c r="G1223" s="37" t="s">
        <v>28</v>
      </c>
      <c r="H1223" s="37" t="s">
        <v>5</v>
      </c>
    </row>
    <row r="1224" ht="15.75" customHeight="1">
      <c r="A1224" s="3" t="s">
        <v>364</v>
      </c>
      <c r="B1224" s="13">
        <v>1244188.56</v>
      </c>
      <c r="C1224" s="13">
        <v>509837.88</v>
      </c>
      <c r="D1224" s="3">
        <v>4.0</v>
      </c>
      <c r="E1224" s="11">
        <v>2011.0</v>
      </c>
      <c r="F1224" s="3" t="s">
        <v>818</v>
      </c>
      <c r="G1224" s="37" t="s">
        <v>28</v>
      </c>
      <c r="H1224" s="37" t="s">
        <v>9</v>
      </c>
    </row>
    <row r="1225" ht="15.75" customHeight="1">
      <c r="A1225" s="3" t="s">
        <v>78</v>
      </c>
      <c r="B1225" s="13">
        <v>1245764.73</v>
      </c>
      <c r="C1225" s="13">
        <v>241516.24999999988</v>
      </c>
      <c r="D1225" s="3">
        <v>2.0</v>
      </c>
      <c r="E1225" s="11">
        <v>2017.0</v>
      </c>
      <c r="F1225" s="3" t="s">
        <v>815</v>
      </c>
      <c r="G1225" s="37" t="s">
        <v>28</v>
      </c>
      <c r="H1225" s="37" t="s">
        <v>7</v>
      </c>
    </row>
    <row r="1226" ht="15.75" customHeight="1">
      <c r="A1226" s="3" t="s">
        <v>431</v>
      </c>
      <c r="B1226" s="13">
        <v>280856.55</v>
      </c>
      <c r="C1226" s="13">
        <v>92691.53999999998</v>
      </c>
      <c r="D1226" s="3">
        <v>7.0</v>
      </c>
      <c r="E1226" s="11">
        <v>2015.0</v>
      </c>
      <c r="F1226" s="3" t="s">
        <v>818</v>
      </c>
      <c r="G1226" s="37" t="s">
        <v>28</v>
      </c>
      <c r="H1226" s="37" t="s">
        <v>6</v>
      </c>
    </row>
    <row r="1227" ht="15.75" customHeight="1">
      <c r="A1227" s="3" t="s">
        <v>482</v>
      </c>
      <c r="B1227" s="13">
        <v>960571.2</v>
      </c>
      <c r="C1227" s="13">
        <v>645537.5999999999</v>
      </c>
      <c r="D1227" s="3">
        <v>11.0</v>
      </c>
      <c r="E1227" s="11">
        <v>2016.0</v>
      </c>
      <c r="F1227" s="3" t="s">
        <v>818</v>
      </c>
      <c r="G1227" s="37" t="s">
        <v>28</v>
      </c>
      <c r="H1227" s="37" t="s">
        <v>5</v>
      </c>
    </row>
    <row r="1228" ht="15.75" customHeight="1">
      <c r="A1228" s="3" t="s">
        <v>373</v>
      </c>
      <c r="B1228" s="13">
        <v>1903878.24</v>
      </c>
      <c r="C1228" s="13">
        <v>714923.8800000001</v>
      </c>
      <c r="D1228" s="3">
        <v>1.0</v>
      </c>
      <c r="E1228" s="11">
        <v>2011.0</v>
      </c>
      <c r="F1228" s="3" t="s">
        <v>815</v>
      </c>
      <c r="G1228" s="37" t="s">
        <v>28</v>
      </c>
      <c r="H1228" s="37" t="s">
        <v>10</v>
      </c>
    </row>
    <row r="1229" ht="15.75" customHeight="1">
      <c r="A1229" s="3" t="s">
        <v>428</v>
      </c>
      <c r="B1229" s="13">
        <v>407796.82</v>
      </c>
      <c r="C1229" s="13">
        <v>167105.11</v>
      </c>
      <c r="D1229" s="3">
        <v>5.0</v>
      </c>
      <c r="E1229" s="11">
        <v>2011.0</v>
      </c>
      <c r="F1229" s="3" t="s">
        <v>818</v>
      </c>
      <c r="G1229" s="37" t="s">
        <v>28</v>
      </c>
      <c r="H1229" s="37" t="s">
        <v>9</v>
      </c>
    </row>
    <row r="1230" ht="15.75" customHeight="1">
      <c r="A1230" s="3" t="s">
        <v>142</v>
      </c>
      <c r="B1230" s="13">
        <v>914953.6</v>
      </c>
      <c r="C1230" s="13">
        <v>394048.32</v>
      </c>
      <c r="D1230" s="3">
        <v>2.0</v>
      </c>
      <c r="E1230" s="11">
        <v>2011.0</v>
      </c>
      <c r="F1230" s="3" t="s">
        <v>818</v>
      </c>
      <c r="G1230" s="37" t="s">
        <v>28</v>
      </c>
      <c r="H1230" s="37" t="s">
        <v>3</v>
      </c>
    </row>
    <row r="1231" ht="15.75" customHeight="1">
      <c r="A1231" s="3" t="s">
        <v>590</v>
      </c>
      <c r="B1231" s="13">
        <v>462813.32999999996</v>
      </c>
      <c r="C1231" s="13">
        <v>62748.399999999965</v>
      </c>
      <c r="D1231" s="3">
        <v>5.0</v>
      </c>
      <c r="E1231" s="11">
        <v>2017.0</v>
      </c>
      <c r="F1231" s="3" t="s">
        <v>815</v>
      </c>
      <c r="G1231" s="37" t="s">
        <v>28</v>
      </c>
      <c r="H1231" s="37" t="s">
        <v>11</v>
      </c>
    </row>
    <row r="1232" ht="15.75" customHeight="1">
      <c r="A1232" s="3" t="s">
        <v>346</v>
      </c>
      <c r="B1232" s="13">
        <v>325127.4</v>
      </c>
      <c r="C1232" s="13">
        <v>107302.32000000004</v>
      </c>
      <c r="D1232" s="3">
        <v>5.0</v>
      </c>
      <c r="E1232" s="11">
        <v>2014.0</v>
      </c>
      <c r="F1232" s="3" t="s">
        <v>815</v>
      </c>
      <c r="G1232" s="37" t="s">
        <v>28</v>
      </c>
      <c r="H1232" s="37" t="s">
        <v>6</v>
      </c>
    </row>
    <row r="1233" ht="15.75" customHeight="1">
      <c r="A1233" s="3" t="s">
        <v>431</v>
      </c>
      <c r="B1233" s="13">
        <v>1834377.72</v>
      </c>
      <c r="C1233" s="13">
        <v>248705.6000000001</v>
      </c>
      <c r="D1233" s="3">
        <v>2.0</v>
      </c>
      <c r="E1233" s="11">
        <v>2010.0</v>
      </c>
      <c r="F1233" s="3" t="s">
        <v>818</v>
      </c>
      <c r="G1233" s="37" t="s">
        <v>28</v>
      </c>
      <c r="H1233" s="37" t="s">
        <v>11</v>
      </c>
    </row>
    <row r="1234" ht="15.75" customHeight="1">
      <c r="A1234" s="3" t="s">
        <v>488</v>
      </c>
      <c r="B1234" s="13">
        <v>379516.5</v>
      </c>
      <c r="C1234" s="13">
        <v>163448.55</v>
      </c>
      <c r="D1234" s="3">
        <v>6.0</v>
      </c>
      <c r="E1234" s="11">
        <v>2013.0</v>
      </c>
      <c r="F1234" s="3" t="s">
        <v>818</v>
      </c>
      <c r="G1234" s="37" t="s">
        <v>28</v>
      </c>
      <c r="H1234" s="37" t="s">
        <v>3</v>
      </c>
    </row>
    <row r="1235" ht="15.75" customHeight="1">
      <c r="A1235" s="3" t="s">
        <v>542</v>
      </c>
      <c r="B1235" s="13">
        <v>2039838.15</v>
      </c>
      <c r="C1235" s="13">
        <v>276562.0</v>
      </c>
      <c r="D1235" s="3">
        <v>2.0</v>
      </c>
      <c r="E1235" s="11">
        <v>2017.0</v>
      </c>
      <c r="F1235" s="3" t="s">
        <v>815</v>
      </c>
      <c r="G1235" s="37" t="s">
        <v>28</v>
      </c>
      <c r="H1235" s="37" t="s">
        <v>11</v>
      </c>
    </row>
    <row r="1236" ht="15.75" customHeight="1">
      <c r="A1236" s="3" t="s">
        <v>101</v>
      </c>
      <c r="B1236" s="13">
        <v>182255.45</v>
      </c>
      <c r="C1236" s="13">
        <v>60150.06000000001</v>
      </c>
      <c r="D1236" s="3">
        <v>6.0</v>
      </c>
      <c r="E1236" s="11">
        <v>2014.0</v>
      </c>
      <c r="F1236" s="3" t="s">
        <v>815</v>
      </c>
      <c r="G1236" s="37" t="s">
        <v>28</v>
      </c>
      <c r="H1236" s="37" t="s">
        <v>6</v>
      </c>
    </row>
    <row r="1237" ht="15.75" customHeight="1">
      <c r="A1237" s="3" t="s">
        <v>346</v>
      </c>
      <c r="B1237" s="13">
        <v>884949.4400000001</v>
      </c>
      <c r="C1237" s="13">
        <v>594717.1200000001</v>
      </c>
      <c r="D1237" s="3">
        <v>6.0</v>
      </c>
      <c r="E1237" s="11">
        <v>2013.0</v>
      </c>
      <c r="F1237" s="3" t="s">
        <v>818</v>
      </c>
      <c r="G1237" s="37" t="s">
        <v>28</v>
      </c>
      <c r="H1237" s="37" t="s">
        <v>5</v>
      </c>
    </row>
    <row r="1238" ht="15.75" customHeight="1">
      <c r="A1238" s="3" t="s">
        <v>46</v>
      </c>
      <c r="B1238" s="13">
        <v>432127.15</v>
      </c>
      <c r="C1238" s="13">
        <v>142615.62000000005</v>
      </c>
      <c r="D1238" s="3">
        <v>10.0</v>
      </c>
      <c r="E1238" s="11">
        <v>2013.0</v>
      </c>
      <c r="F1238" s="3" t="s">
        <v>818</v>
      </c>
      <c r="G1238" s="37" t="s">
        <v>28</v>
      </c>
      <c r="H1238" s="37" t="s">
        <v>6</v>
      </c>
    </row>
    <row r="1239" ht="15.75" customHeight="1">
      <c r="A1239" s="3" t="s">
        <v>488</v>
      </c>
      <c r="B1239" s="13">
        <v>349967.86000000004</v>
      </c>
      <c r="C1239" s="13">
        <v>107306.92000000004</v>
      </c>
      <c r="D1239" s="3">
        <v>4.0</v>
      </c>
      <c r="E1239" s="11">
        <v>2012.0</v>
      </c>
      <c r="F1239" s="3" t="s">
        <v>815</v>
      </c>
      <c r="G1239" s="37" t="s">
        <v>28</v>
      </c>
      <c r="H1239" s="37" t="s">
        <v>14</v>
      </c>
    </row>
    <row r="1240" ht="15.75" customHeight="1">
      <c r="A1240" s="3" t="s">
        <v>512</v>
      </c>
      <c r="B1240" s="13">
        <v>95869.29000000001</v>
      </c>
      <c r="C1240" s="13">
        <v>29395.380000000005</v>
      </c>
      <c r="D1240" s="3">
        <v>11.0</v>
      </c>
      <c r="E1240" s="11">
        <v>2013.0</v>
      </c>
      <c r="F1240" s="3" t="s">
        <v>818</v>
      </c>
      <c r="G1240" s="37" t="s">
        <v>28</v>
      </c>
      <c r="H1240" s="37" t="s">
        <v>14</v>
      </c>
    </row>
    <row r="1241" ht="15.75" customHeight="1">
      <c r="A1241" s="3" t="s">
        <v>428</v>
      </c>
      <c r="B1241" s="13">
        <v>1158993.3800000001</v>
      </c>
      <c r="C1241" s="13">
        <v>474926.9900000001</v>
      </c>
      <c r="D1241" s="3">
        <v>8.0</v>
      </c>
      <c r="E1241" s="11">
        <v>2016.0</v>
      </c>
      <c r="F1241" s="3" t="s">
        <v>818</v>
      </c>
      <c r="G1241" s="37" t="s">
        <v>28</v>
      </c>
      <c r="H1241" s="37" t="s">
        <v>9</v>
      </c>
    </row>
    <row r="1242" ht="15.75" customHeight="1">
      <c r="A1242" s="3" t="s">
        <v>689</v>
      </c>
      <c r="B1242" s="13">
        <v>1013572.0</v>
      </c>
      <c r="C1242" s="13">
        <v>681156.0</v>
      </c>
      <c r="D1242" s="3">
        <v>5.0</v>
      </c>
      <c r="E1242" s="11">
        <v>2011.0</v>
      </c>
      <c r="F1242" s="3" t="s">
        <v>818</v>
      </c>
      <c r="G1242" s="37" t="s">
        <v>28</v>
      </c>
      <c r="H1242" s="37" t="s">
        <v>5</v>
      </c>
    </row>
    <row r="1243" ht="15.75" customHeight="1">
      <c r="A1243" s="3" t="s">
        <v>364</v>
      </c>
      <c r="B1243" s="13">
        <v>429673.34</v>
      </c>
      <c r="C1243" s="13">
        <v>176069.57</v>
      </c>
      <c r="D1243" s="3">
        <v>12.0</v>
      </c>
      <c r="E1243" s="11">
        <v>2015.0</v>
      </c>
      <c r="F1243" s="3" t="s">
        <v>815</v>
      </c>
      <c r="G1243" s="37" t="s">
        <v>28</v>
      </c>
      <c r="H1243" s="37" t="s">
        <v>9</v>
      </c>
    </row>
    <row r="1244" ht="15.75" customHeight="1">
      <c r="A1244" s="3" t="s">
        <v>97</v>
      </c>
      <c r="B1244" s="13">
        <v>469660.10000000003</v>
      </c>
      <c r="C1244" s="13">
        <v>155002.68000000005</v>
      </c>
      <c r="D1244" s="3">
        <v>10.0</v>
      </c>
      <c r="E1244" s="11">
        <v>2010.0</v>
      </c>
      <c r="F1244" s="3" t="s">
        <v>815</v>
      </c>
      <c r="G1244" s="37" t="s">
        <v>28</v>
      </c>
      <c r="H1244" s="37" t="s">
        <v>6</v>
      </c>
    </row>
    <row r="1245" ht="15.75" customHeight="1">
      <c r="A1245" s="3" t="s">
        <v>536</v>
      </c>
      <c r="B1245" s="13">
        <v>222777.75</v>
      </c>
      <c r="C1245" s="13">
        <v>73523.70000000001</v>
      </c>
      <c r="D1245" s="3">
        <v>2.0</v>
      </c>
      <c r="E1245" s="11">
        <v>2016.0</v>
      </c>
      <c r="F1245" s="3" t="s">
        <v>818</v>
      </c>
      <c r="G1245" s="37" t="s">
        <v>28</v>
      </c>
      <c r="H1245" s="37" t="s">
        <v>6</v>
      </c>
    </row>
    <row r="1246" ht="15.75" customHeight="1">
      <c r="A1246" s="3" t="s">
        <v>413</v>
      </c>
      <c r="B1246" s="13">
        <v>319972.95</v>
      </c>
      <c r="C1246" s="13">
        <v>98109.9</v>
      </c>
      <c r="D1246" s="3">
        <v>9.0</v>
      </c>
      <c r="E1246" s="11">
        <v>2012.0</v>
      </c>
      <c r="F1246" s="3" t="s">
        <v>818</v>
      </c>
      <c r="G1246" s="37" t="s">
        <v>28</v>
      </c>
      <c r="H1246" s="37" t="s">
        <v>14</v>
      </c>
    </row>
    <row r="1247" ht="15.75" customHeight="1">
      <c r="A1247" s="3" t="s">
        <v>300</v>
      </c>
      <c r="B1247" s="13">
        <v>623326.76</v>
      </c>
      <c r="C1247" s="13">
        <v>255423.97999999998</v>
      </c>
      <c r="D1247" s="3">
        <v>1.0</v>
      </c>
      <c r="E1247" s="11">
        <v>2011.0</v>
      </c>
      <c r="F1247" s="3" t="s">
        <v>818</v>
      </c>
      <c r="G1247" s="37" t="s">
        <v>28</v>
      </c>
      <c r="H1247" s="37" t="s">
        <v>9</v>
      </c>
    </row>
    <row r="1248" ht="15.75" customHeight="1">
      <c r="A1248" s="3" t="s">
        <v>650</v>
      </c>
      <c r="B1248" s="13">
        <v>1362352.58</v>
      </c>
      <c r="C1248" s="13">
        <v>558258.59</v>
      </c>
      <c r="D1248" s="3">
        <v>6.0</v>
      </c>
      <c r="E1248" s="11">
        <v>2016.0</v>
      </c>
      <c r="F1248" s="3" t="s">
        <v>818</v>
      </c>
      <c r="G1248" s="37" t="s">
        <v>28</v>
      </c>
      <c r="H1248" s="37" t="s">
        <v>9</v>
      </c>
    </row>
    <row r="1249" ht="15.75" customHeight="1">
      <c r="A1249" s="3" t="s">
        <v>623</v>
      </c>
      <c r="B1249" s="13">
        <v>775669.4400000001</v>
      </c>
      <c r="C1249" s="13">
        <v>521277.12</v>
      </c>
      <c r="D1249" s="3">
        <v>10.0</v>
      </c>
      <c r="E1249" s="11">
        <v>2011.0</v>
      </c>
      <c r="F1249" s="3" t="s">
        <v>815</v>
      </c>
      <c r="G1249" s="37" t="s">
        <v>28</v>
      </c>
      <c r="H1249" s="37" t="s">
        <v>5</v>
      </c>
    </row>
    <row r="1250" ht="15.75" customHeight="1">
      <c r="A1250" s="3" t="s">
        <v>291</v>
      </c>
      <c r="B1250" s="13">
        <v>492668.44</v>
      </c>
      <c r="C1250" s="13">
        <v>151061.68</v>
      </c>
      <c r="D1250" s="3">
        <v>3.0</v>
      </c>
      <c r="E1250" s="11">
        <v>2010.0</v>
      </c>
      <c r="F1250" s="3" t="s">
        <v>818</v>
      </c>
      <c r="G1250" s="37" t="s">
        <v>28</v>
      </c>
      <c r="H1250" s="37" t="s">
        <v>14</v>
      </c>
    </row>
    <row r="1251" ht="15.75" customHeight="1">
      <c r="A1251" s="3" t="s">
        <v>428</v>
      </c>
      <c r="B1251" s="13">
        <v>1574016.4</v>
      </c>
      <c r="C1251" s="13">
        <v>677890.6799999999</v>
      </c>
      <c r="D1251" s="3">
        <v>1.0</v>
      </c>
      <c r="E1251" s="11">
        <v>2010.0</v>
      </c>
      <c r="F1251" s="3" t="s">
        <v>815</v>
      </c>
      <c r="G1251" s="37" t="s">
        <v>28</v>
      </c>
      <c r="H1251" s="37" t="s">
        <v>3</v>
      </c>
    </row>
    <row r="1252" ht="15.75" customHeight="1">
      <c r="A1252" s="3" t="s">
        <v>821</v>
      </c>
      <c r="B1252" s="13">
        <v>1527813.02</v>
      </c>
      <c r="C1252" s="13">
        <v>626060.21</v>
      </c>
      <c r="D1252" s="3">
        <v>3.0</v>
      </c>
      <c r="E1252" s="11">
        <v>2017.0</v>
      </c>
      <c r="F1252" s="3" t="s">
        <v>818</v>
      </c>
      <c r="G1252" s="37" t="s">
        <v>821</v>
      </c>
      <c r="H1252" s="37" t="s">
        <v>9</v>
      </c>
    </row>
    <row r="1253" ht="15.75" customHeight="1">
      <c r="A1253" s="3" t="s">
        <v>364</v>
      </c>
      <c r="B1253" s="13">
        <v>557316.87</v>
      </c>
      <c r="C1253" s="13">
        <v>170884.13999999996</v>
      </c>
      <c r="D1253" s="3">
        <v>10.0</v>
      </c>
      <c r="E1253" s="11">
        <v>2014.0</v>
      </c>
      <c r="F1253" s="3" t="s">
        <v>815</v>
      </c>
      <c r="G1253" s="37" t="s">
        <v>28</v>
      </c>
      <c r="H1253" s="37" t="s">
        <v>14</v>
      </c>
    </row>
    <row r="1254" ht="15.75" customHeight="1">
      <c r="A1254" s="3" t="s">
        <v>593</v>
      </c>
      <c r="B1254" s="13">
        <v>1197142.6800000002</v>
      </c>
      <c r="C1254" s="13">
        <v>432628.4400000002</v>
      </c>
      <c r="D1254" s="3">
        <v>1.0</v>
      </c>
      <c r="E1254" s="11">
        <v>2013.0</v>
      </c>
      <c r="F1254" s="3" t="s">
        <v>815</v>
      </c>
      <c r="G1254" s="37" t="s">
        <v>28</v>
      </c>
      <c r="H1254" s="37" t="s">
        <v>13</v>
      </c>
    </row>
    <row r="1255" ht="15.75" customHeight="1">
      <c r="A1255" s="3" t="s">
        <v>123</v>
      </c>
      <c r="B1255" s="13">
        <v>1195967.78</v>
      </c>
      <c r="C1255" s="13">
        <v>490078.18999999994</v>
      </c>
      <c r="D1255" s="3">
        <v>2.0</v>
      </c>
      <c r="E1255" s="11">
        <v>2012.0</v>
      </c>
      <c r="F1255" s="3" t="s">
        <v>818</v>
      </c>
      <c r="G1255" s="37" t="s">
        <v>28</v>
      </c>
      <c r="H1255" s="37" t="s">
        <v>9</v>
      </c>
    </row>
    <row r="1256" ht="15.75" customHeight="1">
      <c r="A1256" s="3" t="s">
        <v>349</v>
      </c>
      <c r="B1256" s="13">
        <v>882706.7999999999</v>
      </c>
      <c r="C1256" s="13">
        <v>351043.5299999999</v>
      </c>
      <c r="D1256" s="3">
        <v>2.0</v>
      </c>
      <c r="E1256" s="11">
        <v>2011.0</v>
      </c>
      <c r="F1256" s="3" t="s">
        <v>815</v>
      </c>
      <c r="G1256" s="37" t="s">
        <v>28</v>
      </c>
      <c r="H1256" s="37" t="s">
        <v>12</v>
      </c>
    </row>
    <row r="1257" ht="15.75" customHeight="1">
      <c r="A1257" s="3" t="s">
        <v>413</v>
      </c>
      <c r="B1257" s="13">
        <v>737876.88</v>
      </c>
      <c r="C1257" s="13">
        <v>266657.04000000004</v>
      </c>
      <c r="D1257" s="3">
        <v>2.0</v>
      </c>
      <c r="E1257" s="11">
        <v>2013.0</v>
      </c>
      <c r="F1257" s="3" t="s">
        <v>815</v>
      </c>
      <c r="G1257" s="37" t="s">
        <v>28</v>
      </c>
      <c r="H1257" s="37" t="s">
        <v>13</v>
      </c>
    </row>
    <row r="1258" ht="15.75" customHeight="1">
      <c r="A1258" s="3" t="s">
        <v>142</v>
      </c>
      <c r="B1258" s="13">
        <v>698446.08</v>
      </c>
      <c r="C1258" s="13">
        <v>262272.96</v>
      </c>
      <c r="D1258" s="3">
        <v>12.0</v>
      </c>
      <c r="E1258" s="11">
        <v>2014.0</v>
      </c>
      <c r="F1258" s="3" t="s">
        <v>815</v>
      </c>
      <c r="G1258" s="37" t="s">
        <v>28</v>
      </c>
      <c r="H1258" s="37" t="s">
        <v>10</v>
      </c>
    </row>
    <row r="1259" ht="15.75" customHeight="1">
      <c r="A1259" s="3" t="s">
        <v>578</v>
      </c>
      <c r="B1259" s="13">
        <v>4077988.7399999998</v>
      </c>
      <c r="C1259" s="13">
        <v>552895.1999999997</v>
      </c>
      <c r="D1259" s="3">
        <v>1.0</v>
      </c>
      <c r="E1259" s="11">
        <v>2014.0</v>
      </c>
      <c r="F1259" s="3" t="s">
        <v>815</v>
      </c>
      <c r="G1259" s="37" t="s">
        <v>28</v>
      </c>
      <c r="H1259" s="37" t="s">
        <v>11</v>
      </c>
    </row>
    <row r="1260" ht="15.75" customHeight="1">
      <c r="A1260" s="3" t="s">
        <v>740</v>
      </c>
      <c r="B1260" s="13">
        <v>283323.95</v>
      </c>
      <c r="C1260" s="13">
        <v>93505.86000000002</v>
      </c>
      <c r="D1260" s="3">
        <v>3.0</v>
      </c>
      <c r="E1260" s="11">
        <v>2015.0</v>
      </c>
      <c r="F1260" s="3" t="s">
        <v>818</v>
      </c>
      <c r="G1260" s="37" t="s">
        <v>28</v>
      </c>
      <c r="H1260" s="37" t="s">
        <v>6</v>
      </c>
    </row>
    <row r="1261" ht="15.75" customHeight="1">
      <c r="A1261" s="3" t="s">
        <v>364</v>
      </c>
      <c r="B1261" s="13">
        <v>1021506.2</v>
      </c>
      <c r="C1261" s="13">
        <v>439937.93999999994</v>
      </c>
      <c r="D1261" s="3">
        <v>7.0</v>
      </c>
      <c r="E1261" s="11">
        <v>2016.0</v>
      </c>
      <c r="F1261" s="3" t="s">
        <v>815</v>
      </c>
      <c r="G1261" s="37" t="s">
        <v>28</v>
      </c>
      <c r="H1261" s="37" t="s">
        <v>3</v>
      </c>
    </row>
    <row r="1262" ht="15.75" customHeight="1">
      <c r="A1262" s="3" t="s">
        <v>288</v>
      </c>
      <c r="B1262" s="13">
        <v>1354605.2400000002</v>
      </c>
      <c r="C1262" s="13">
        <v>489532.9200000003</v>
      </c>
      <c r="D1262" s="3">
        <v>5.0</v>
      </c>
      <c r="E1262" s="11">
        <v>2010.0</v>
      </c>
      <c r="F1262" s="3" t="s">
        <v>815</v>
      </c>
      <c r="G1262" s="37" t="s">
        <v>23</v>
      </c>
      <c r="H1262" s="37" t="s">
        <v>13</v>
      </c>
    </row>
    <row r="1263" ht="15.75" customHeight="1">
      <c r="A1263" s="3" t="s">
        <v>740</v>
      </c>
      <c r="B1263" s="13">
        <v>345008.95</v>
      </c>
      <c r="C1263" s="13">
        <v>113863.86000000002</v>
      </c>
      <c r="D1263" s="3">
        <v>9.0</v>
      </c>
      <c r="E1263" s="11">
        <v>2013.0</v>
      </c>
      <c r="F1263" s="3" t="s">
        <v>818</v>
      </c>
      <c r="G1263" s="37" t="s">
        <v>28</v>
      </c>
      <c r="H1263" s="37" t="s">
        <v>6</v>
      </c>
    </row>
    <row r="1264" ht="15.75" customHeight="1">
      <c r="A1264" s="3" t="s">
        <v>346</v>
      </c>
      <c r="B1264" s="13">
        <v>262873.0</v>
      </c>
      <c r="C1264" s="13">
        <v>86756.4</v>
      </c>
      <c r="D1264" s="3">
        <v>12.0</v>
      </c>
      <c r="E1264" s="11">
        <v>2010.0</v>
      </c>
      <c r="F1264" s="3" t="s">
        <v>818</v>
      </c>
      <c r="G1264" s="37" t="s">
        <v>28</v>
      </c>
      <c r="H1264" s="37" t="s">
        <v>6</v>
      </c>
    </row>
    <row r="1265" ht="15.75" customHeight="1">
      <c r="A1265" s="3" t="s">
        <v>142</v>
      </c>
      <c r="B1265" s="13">
        <v>2730893.9699999997</v>
      </c>
      <c r="C1265" s="13">
        <v>370255.5999999996</v>
      </c>
      <c r="D1265" s="3">
        <v>4.0</v>
      </c>
      <c r="E1265" s="11">
        <v>2012.0</v>
      </c>
      <c r="F1265" s="3" t="s">
        <v>818</v>
      </c>
      <c r="G1265" s="37" t="s">
        <v>28</v>
      </c>
      <c r="H1265" s="37" t="s">
        <v>11</v>
      </c>
    </row>
    <row r="1266" ht="15.75" customHeight="1">
      <c r="A1266" s="3" t="s">
        <v>593</v>
      </c>
      <c r="B1266" s="13">
        <v>613524.18</v>
      </c>
      <c r="C1266" s="13">
        <v>221717.94000000006</v>
      </c>
      <c r="D1266" s="3">
        <v>9.0</v>
      </c>
      <c r="E1266" s="11">
        <v>2016.0</v>
      </c>
      <c r="F1266" s="3" t="s">
        <v>815</v>
      </c>
      <c r="G1266" s="37" t="s">
        <v>28</v>
      </c>
      <c r="H1266" s="37" t="s">
        <v>13</v>
      </c>
    </row>
    <row r="1267" ht="15.75" customHeight="1">
      <c r="A1267" s="3" t="s">
        <v>536</v>
      </c>
      <c r="B1267" s="13">
        <v>272600.25</v>
      </c>
      <c r="C1267" s="13">
        <v>89966.70000000001</v>
      </c>
      <c r="D1267" s="3">
        <v>7.0</v>
      </c>
      <c r="E1267" s="11">
        <v>2017.0</v>
      </c>
      <c r="F1267" s="3" t="s">
        <v>818</v>
      </c>
      <c r="G1267" s="37" t="s">
        <v>28</v>
      </c>
      <c r="H1267" s="37" t="s">
        <v>6</v>
      </c>
    </row>
    <row r="1268" ht="15.75" customHeight="1">
      <c r="A1268" s="3" t="s">
        <v>653</v>
      </c>
      <c r="B1268" s="13">
        <v>4026612.0</v>
      </c>
      <c r="C1268" s="13">
        <v>1601342.7000000002</v>
      </c>
      <c r="D1268" s="3">
        <v>1.0</v>
      </c>
      <c r="E1268" s="11">
        <v>2017.0</v>
      </c>
      <c r="F1268" s="3" t="s">
        <v>815</v>
      </c>
      <c r="G1268" s="37" t="s">
        <v>28</v>
      </c>
      <c r="H1268" s="37" t="s">
        <v>12</v>
      </c>
    </row>
    <row r="1269" ht="15.75" customHeight="1">
      <c r="A1269" s="3" t="s">
        <v>67</v>
      </c>
      <c r="B1269" s="13">
        <v>1146486.12</v>
      </c>
      <c r="C1269" s="13">
        <v>414321.9600000001</v>
      </c>
      <c r="D1269" s="3">
        <v>6.0</v>
      </c>
      <c r="E1269" s="11">
        <v>2017.0</v>
      </c>
      <c r="F1269" s="3" t="s">
        <v>815</v>
      </c>
      <c r="G1269" s="37" t="s">
        <v>23</v>
      </c>
      <c r="H1269" s="37" t="s">
        <v>13</v>
      </c>
    </row>
    <row r="1270" ht="15.75" customHeight="1">
      <c r="A1270" s="3" t="s">
        <v>123</v>
      </c>
      <c r="B1270" s="13">
        <v>119775.3</v>
      </c>
      <c r="C1270" s="13">
        <v>43284.90000000001</v>
      </c>
      <c r="D1270" s="3">
        <v>7.0</v>
      </c>
      <c r="E1270" s="11">
        <v>2011.0</v>
      </c>
      <c r="F1270" s="3" t="s">
        <v>818</v>
      </c>
      <c r="G1270" s="37" t="s">
        <v>28</v>
      </c>
      <c r="H1270" s="37" t="s">
        <v>13</v>
      </c>
    </row>
    <row r="1271" ht="15.75" customHeight="1">
      <c r="A1271" s="3" t="s">
        <v>346</v>
      </c>
      <c r="B1271" s="13">
        <v>5447068.77</v>
      </c>
      <c r="C1271" s="13">
        <v>1350865.2299999995</v>
      </c>
      <c r="D1271" s="3">
        <v>7.0</v>
      </c>
      <c r="E1271" s="11">
        <v>2016.0</v>
      </c>
      <c r="F1271" s="3" t="s">
        <v>818</v>
      </c>
      <c r="G1271" s="37" t="s">
        <v>28</v>
      </c>
      <c r="H1271" s="37" t="s">
        <v>4</v>
      </c>
    </row>
    <row r="1272" ht="15.75" customHeight="1">
      <c r="A1272" s="3" t="s">
        <v>221</v>
      </c>
      <c r="B1272" s="13">
        <v>1511174.54</v>
      </c>
      <c r="C1272" s="13">
        <v>619242.1699999999</v>
      </c>
      <c r="D1272" s="3">
        <v>5.0</v>
      </c>
      <c r="E1272" s="11">
        <v>2014.0</v>
      </c>
      <c r="F1272" s="3" t="s">
        <v>818</v>
      </c>
      <c r="G1272" s="37" t="s">
        <v>28</v>
      </c>
      <c r="H1272" s="37" t="s">
        <v>9</v>
      </c>
    </row>
    <row r="1273" ht="15.75" customHeight="1">
      <c r="A1273" s="3" t="s">
        <v>671</v>
      </c>
      <c r="B1273" s="13">
        <v>217892.18000000002</v>
      </c>
      <c r="C1273" s="13">
        <v>66809.96000000002</v>
      </c>
      <c r="D1273" s="3">
        <v>12.0</v>
      </c>
      <c r="E1273" s="11">
        <v>2013.0</v>
      </c>
      <c r="F1273" s="3" t="s">
        <v>815</v>
      </c>
      <c r="G1273" s="37" t="s">
        <v>28</v>
      </c>
      <c r="H1273" s="37" t="s">
        <v>14</v>
      </c>
    </row>
    <row r="1274" ht="15.75" customHeight="1">
      <c r="A1274" s="3" t="s">
        <v>671</v>
      </c>
      <c r="B1274" s="13">
        <v>1604434.8</v>
      </c>
      <c r="C1274" s="13">
        <v>602480.1000000001</v>
      </c>
      <c r="D1274" s="3">
        <v>5.0</v>
      </c>
      <c r="E1274" s="11">
        <v>2011.0</v>
      </c>
      <c r="F1274" s="3" t="s">
        <v>818</v>
      </c>
      <c r="G1274" s="37" t="s">
        <v>28</v>
      </c>
      <c r="H1274" s="37" t="s">
        <v>10</v>
      </c>
    </row>
    <row r="1275" ht="15.75" customHeight="1">
      <c r="A1275" s="3" t="s">
        <v>364</v>
      </c>
      <c r="B1275" s="13">
        <v>1160533.98</v>
      </c>
      <c r="C1275" s="13">
        <v>475558.2899999999</v>
      </c>
      <c r="D1275" s="3">
        <v>4.0</v>
      </c>
      <c r="E1275" s="11">
        <v>2016.0</v>
      </c>
      <c r="F1275" s="3" t="s">
        <v>815</v>
      </c>
      <c r="G1275" s="37" t="s">
        <v>28</v>
      </c>
      <c r="H1275" s="37" t="s">
        <v>9</v>
      </c>
    </row>
    <row r="1276" ht="15.75" customHeight="1">
      <c r="A1276" s="3" t="s">
        <v>300</v>
      </c>
      <c r="B1276" s="13">
        <v>73238.40000000001</v>
      </c>
      <c r="C1276" s="13">
        <v>26467.20000000001</v>
      </c>
      <c r="D1276" s="3">
        <v>8.0</v>
      </c>
      <c r="E1276" s="11">
        <v>2016.0</v>
      </c>
      <c r="F1276" s="3" t="s">
        <v>815</v>
      </c>
      <c r="G1276" s="37" t="s">
        <v>28</v>
      </c>
      <c r="H1276" s="37" t="s">
        <v>13</v>
      </c>
    </row>
    <row r="1277" ht="15.75" customHeight="1">
      <c r="A1277" s="3" t="s">
        <v>593</v>
      </c>
      <c r="B1277" s="13">
        <v>133910.69999999998</v>
      </c>
      <c r="C1277" s="13">
        <v>57672.08999999998</v>
      </c>
      <c r="D1277" s="3">
        <v>6.0</v>
      </c>
      <c r="E1277" s="11">
        <v>2012.0</v>
      </c>
      <c r="F1277" s="3" t="s">
        <v>818</v>
      </c>
      <c r="G1277" s="37" t="s">
        <v>28</v>
      </c>
      <c r="H1277" s="37" t="s">
        <v>3</v>
      </c>
    </row>
    <row r="1278" ht="15.75" customHeight="1">
      <c r="A1278" s="3" t="s">
        <v>101</v>
      </c>
      <c r="B1278" s="13">
        <v>343632.9</v>
      </c>
      <c r="C1278" s="13">
        <v>113409.72000000003</v>
      </c>
      <c r="D1278" s="3">
        <v>8.0</v>
      </c>
      <c r="E1278" s="11">
        <v>2015.0</v>
      </c>
      <c r="F1278" s="3" t="s">
        <v>815</v>
      </c>
      <c r="G1278" s="37" t="s">
        <v>28</v>
      </c>
      <c r="H1278" s="37" t="s">
        <v>6</v>
      </c>
    </row>
    <row r="1279" ht="15.75" customHeight="1">
      <c r="A1279" s="3" t="s">
        <v>288</v>
      </c>
      <c r="B1279" s="13">
        <v>393092.69999999995</v>
      </c>
      <c r="C1279" s="13">
        <v>169295.48999999996</v>
      </c>
      <c r="D1279" s="3">
        <v>12.0</v>
      </c>
      <c r="E1279" s="11">
        <v>2010.0</v>
      </c>
      <c r="F1279" s="3" t="s">
        <v>818</v>
      </c>
      <c r="G1279" s="37" t="s">
        <v>23</v>
      </c>
      <c r="H1279" s="37" t="s">
        <v>3</v>
      </c>
    </row>
    <row r="1280" ht="15.75" customHeight="1">
      <c r="A1280" s="3" t="s">
        <v>536</v>
      </c>
      <c r="B1280" s="13">
        <v>1409045.0</v>
      </c>
      <c r="C1280" s="13">
        <v>606841.5</v>
      </c>
      <c r="D1280" s="3">
        <v>9.0</v>
      </c>
      <c r="E1280" s="11">
        <v>2010.0</v>
      </c>
      <c r="F1280" s="3" t="s">
        <v>815</v>
      </c>
      <c r="G1280" s="37" t="s">
        <v>28</v>
      </c>
      <c r="H1280" s="37" t="s">
        <v>3</v>
      </c>
    </row>
    <row r="1281" ht="15.75" customHeight="1">
      <c r="A1281" s="3" t="s">
        <v>431</v>
      </c>
      <c r="B1281" s="13">
        <v>88271.13</v>
      </c>
      <c r="C1281" s="13">
        <v>22801.010000000002</v>
      </c>
      <c r="D1281" s="3">
        <v>3.0</v>
      </c>
      <c r="E1281" s="11">
        <v>2011.0</v>
      </c>
      <c r="F1281" s="3" t="s">
        <v>815</v>
      </c>
      <c r="G1281" s="37" t="s">
        <v>28</v>
      </c>
      <c r="H1281" s="37" t="s">
        <v>8</v>
      </c>
    </row>
    <row r="1282" ht="15.75" customHeight="1">
      <c r="A1282" s="3" t="s">
        <v>248</v>
      </c>
      <c r="B1282" s="13">
        <v>2744394.4499999997</v>
      </c>
      <c r="C1282" s="13">
        <v>372085.99999999953</v>
      </c>
      <c r="D1282" s="3">
        <v>8.0</v>
      </c>
      <c r="E1282" s="11">
        <v>2010.0</v>
      </c>
      <c r="F1282" s="3" t="s">
        <v>818</v>
      </c>
      <c r="G1282" s="37" t="s">
        <v>28</v>
      </c>
      <c r="H1282" s="37" t="s">
        <v>11</v>
      </c>
    </row>
    <row r="1283" ht="15.75" customHeight="1">
      <c r="A1283" s="3" t="s">
        <v>78</v>
      </c>
      <c r="B1283" s="13">
        <v>164195.57</v>
      </c>
      <c r="C1283" s="13">
        <v>50345.54000000001</v>
      </c>
      <c r="D1283" s="3">
        <v>7.0</v>
      </c>
      <c r="E1283" s="11">
        <v>2014.0</v>
      </c>
      <c r="F1283" s="3" t="s">
        <v>815</v>
      </c>
      <c r="G1283" s="37" t="s">
        <v>28</v>
      </c>
      <c r="H1283" s="37" t="s">
        <v>14</v>
      </c>
    </row>
    <row r="1284" ht="15.75" customHeight="1">
      <c r="A1284" s="3" t="s">
        <v>46</v>
      </c>
      <c r="B1284" s="13">
        <v>1015563.52</v>
      </c>
      <c r="C1284" s="13">
        <v>416152.95999999996</v>
      </c>
      <c r="D1284" s="3">
        <v>3.0</v>
      </c>
      <c r="E1284" s="11">
        <v>2013.0</v>
      </c>
      <c r="F1284" s="3" t="s">
        <v>815</v>
      </c>
      <c r="G1284" s="37" t="s">
        <v>28</v>
      </c>
      <c r="H1284" s="37" t="s">
        <v>9</v>
      </c>
    </row>
    <row r="1285" ht="15.75" customHeight="1">
      <c r="A1285" s="3" t="s">
        <v>575</v>
      </c>
      <c r="B1285" s="13">
        <v>983835.8400000001</v>
      </c>
      <c r="C1285" s="13">
        <v>355542.7200000001</v>
      </c>
      <c r="D1285" s="3">
        <v>1.0</v>
      </c>
      <c r="E1285" s="11">
        <v>2013.0</v>
      </c>
      <c r="F1285" s="3" t="s">
        <v>815</v>
      </c>
      <c r="G1285" s="37" t="s">
        <v>28</v>
      </c>
      <c r="H1285" s="37" t="s">
        <v>13</v>
      </c>
    </row>
    <row r="1286" ht="15.75" customHeight="1">
      <c r="A1286" s="3" t="s">
        <v>221</v>
      </c>
      <c r="B1286" s="13">
        <v>811742.14</v>
      </c>
      <c r="C1286" s="13">
        <v>332631.97</v>
      </c>
      <c r="D1286" s="3">
        <v>8.0</v>
      </c>
      <c r="E1286" s="11">
        <v>2012.0</v>
      </c>
      <c r="F1286" s="3" t="s">
        <v>815</v>
      </c>
      <c r="G1286" s="37" t="s">
        <v>28</v>
      </c>
      <c r="H1286" s="37" t="s">
        <v>9</v>
      </c>
    </row>
    <row r="1287" ht="15.75" customHeight="1">
      <c r="A1287" s="3" t="s">
        <v>300</v>
      </c>
      <c r="B1287" s="13">
        <v>2812318.7399999998</v>
      </c>
      <c r="C1287" s="13">
        <v>381295.1999999997</v>
      </c>
      <c r="D1287" s="3">
        <v>11.0</v>
      </c>
      <c r="E1287" s="11">
        <v>2013.0</v>
      </c>
      <c r="F1287" s="3" t="s">
        <v>815</v>
      </c>
      <c r="G1287" s="37" t="s">
        <v>28</v>
      </c>
      <c r="H1287" s="37" t="s">
        <v>11</v>
      </c>
    </row>
    <row r="1288" ht="15.75" customHeight="1">
      <c r="A1288" s="3" t="s">
        <v>123</v>
      </c>
      <c r="B1288" s="13">
        <v>2059608.14</v>
      </c>
      <c r="C1288" s="13">
        <v>510779.85999999987</v>
      </c>
      <c r="D1288" s="3">
        <v>12.0</v>
      </c>
      <c r="E1288" s="11">
        <v>2011.0</v>
      </c>
      <c r="F1288" s="3" t="s">
        <v>815</v>
      </c>
      <c r="G1288" s="37" t="s">
        <v>28</v>
      </c>
      <c r="H1288" s="37" t="s">
        <v>4</v>
      </c>
    </row>
    <row r="1289" ht="15.75" customHeight="1">
      <c r="A1289" s="3" t="s">
        <v>67</v>
      </c>
      <c r="B1289" s="13">
        <v>4166163.75</v>
      </c>
      <c r="C1289" s="13">
        <v>564850.0</v>
      </c>
      <c r="D1289" s="3">
        <v>10.0</v>
      </c>
      <c r="E1289" s="11">
        <v>2010.0</v>
      </c>
      <c r="F1289" s="3" t="s">
        <v>818</v>
      </c>
      <c r="G1289" s="37" t="s">
        <v>23</v>
      </c>
      <c r="H1289" s="37" t="s">
        <v>11</v>
      </c>
    </row>
    <row r="1290" ht="15.75" customHeight="1">
      <c r="A1290" s="3" t="s">
        <v>482</v>
      </c>
      <c r="B1290" s="13">
        <v>319433.06</v>
      </c>
      <c r="C1290" s="13">
        <v>79218.94</v>
      </c>
      <c r="D1290" s="3">
        <v>4.0</v>
      </c>
      <c r="E1290" s="11">
        <v>2014.0</v>
      </c>
      <c r="F1290" s="3" t="s">
        <v>815</v>
      </c>
      <c r="G1290" s="37" t="s">
        <v>28</v>
      </c>
      <c r="H1290" s="37" t="s">
        <v>4</v>
      </c>
    </row>
    <row r="1291" ht="15.75" customHeight="1">
      <c r="A1291" s="3" t="s">
        <v>686</v>
      </c>
      <c r="B1291" s="13">
        <v>834765.18</v>
      </c>
      <c r="C1291" s="13">
        <v>301670.94000000006</v>
      </c>
      <c r="D1291" s="3">
        <v>6.0</v>
      </c>
      <c r="E1291" s="11">
        <v>2013.0</v>
      </c>
      <c r="F1291" s="3" t="s">
        <v>815</v>
      </c>
      <c r="G1291" s="37" t="s">
        <v>28</v>
      </c>
      <c r="H1291" s="37" t="s">
        <v>13</v>
      </c>
    </row>
    <row r="1292" ht="15.75" customHeight="1">
      <c r="A1292" s="3" t="s">
        <v>653</v>
      </c>
      <c r="B1292" s="13">
        <v>1905604.7999999998</v>
      </c>
      <c r="C1292" s="13">
        <v>820697.7599999998</v>
      </c>
      <c r="D1292" s="3">
        <v>7.0</v>
      </c>
      <c r="E1292" s="11">
        <v>2012.0</v>
      </c>
      <c r="F1292" s="3" t="s">
        <v>815</v>
      </c>
      <c r="G1292" s="37" t="s">
        <v>28</v>
      </c>
      <c r="H1292" s="37" t="s">
        <v>3</v>
      </c>
    </row>
    <row r="1293" ht="15.75" customHeight="1">
      <c r="A1293" s="3" t="s">
        <v>267</v>
      </c>
      <c r="B1293" s="13">
        <v>1412576.1400000001</v>
      </c>
      <c r="C1293" s="13">
        <v>578838.9700000001</v>
      </c>
      <c r="D1293" s="3">
        <v>8.0</v>
      </c>
      <c r="E1293" s="11">
        <v>2015.0</v>
      </c>
      <c r="F1293" s="3" t="s">
        <v>815</v>
      </c>
      <c r="G1293" s="37" t="s">
        <v>28</v>
      </c>
      <c r="H1293" s="37" t="s">
        <v>9</v>
      </c>
    </row>
    <row r="1294" ht="15.75" customHeight="1">
      <c r="A1294" s="3" t="s">
        <v>413</v>
      </c>
      <c r="B1294" s="13">
        <v>878097.9</v>
      </c>
      <c r="C1294" s="13">
        <v>317330.70000000007</v>
      </c>
      <c r="D1294" s="3">
        <v>3.0</v>
      </c>
      <c r="E1294" s="11">
        <v>2017.0</v>
      </c>
      <c r="F1294" s="3" t="s">
        <v>815</v>
      </c>
      <c r="G1294" s="37" t="s">
        <v>28</v>
      </c>
      <c r="H1294" s="37" t="s">
        <v>13</v>
      </c>
    </row>
    <row r="1295" ht="15.75" customHeight="1">
      <c r="A1295" s="3" t="s">
        <v>221</v>
      </c>
      <c r="B1295" s="13">
        <v>27948.050000000003</v>
      </c>
      <c r="C1295" s="13">
        <v>9223.740000000002</v>
      </c>
      <c r="D1295" s="3">
        <v>6.0</v>
      </c>
      <c r="E1295" s="11">
        <v>2016.0</v>
      </c>
      <c r="F1295" s="3" t="s">
        <v>815</v>
      </c>
      <c r="G1295" s="37" t="s">
        <v>28</v>
      </c>
      <c r="H1295" s="37" t="s">
        <v>6</v>
      </c>
    </row>
    <row r="1296" ht="15.75" customHeight="1">
      <c r="A1296" s="3" t="s">
        <v>46</v>
      </c>
      <c r="B1296" s="13">
        <v>73982.56</v>
      </c>
      <c r="C1296" s="13">
        <v>49718.87999999999</v>
      </c>
      <c r="D1296" s="3">
        <v>5.0</v>
      </c>
      <c r="E1296" s="11">
        <v>2011.0</v>
      </c>
      <c r="F1296" s="3" t="s">
        <v>818</v>
      </c>
      <c r="G1296" s="37" t="s">
        <v>28</v>
      </c>
      <c r="H1296" s="37" t="s">
        <v>5</v>
      </c>
    </row>
    <row r="1297" ht="15.75" customHeight="1">
      <c r="A1297" s="3" t="s">
        <v>428</v>
      </c>
      <c r="B1297" s="13">
        <v>14676.09</v>
      </c>
      <c r="C1297" s="13">
        <v>3790.9300000000003</v>
      </c>
      <c r="D1297" s="3">
        <v>4.0</v>
      </c>
      <c r="E1297" s="11">
        <v>2011.0</v>
      </c>
      <c r="F1297" s="3" t="s">
        <v>818</v>
      </c>
      <c r="G1297" s="37" t="s">
        <v>28</v>
      </c>
      <c r="H1297" s="37" t="s">
        <v>8</v>
      </c>
    </row>
    <row r="1298" ht="15.75" customHeight="1">
      <c r="A1298" s="3" t="s">
        <v>821</v>
      </c>
      <c r="B1298" s="13">
        <v>1061935.58</v>
      </c>
      <c r="C1298" s="13">
        <v>435155.0900000001</v>
      </c>
      <c r="D1298" s="3">
        <v>7.0</v>
      </c>
      <c r="E1298" s="11">
        <v>2017.0</v>
      </c>
      <c r="F1298" s="3" t="s">
        <v>818</v>
      </c>
      <c r="G1298" s="37" t="s">
        <v>821</v>
      </c>
      <c r="H1298" s="37" t="s">
        <v>9</v>
      </c>
    </row>
    <row r="1299" ht="15.75" customHeight="1">
      <c r="A1299" s="3" t="s">
        <v>300</v>
      </c>
      <c r="B1299" s="13">
        <v>4460788.5</v>
      </c>
      <c r="C1299" s="13">
        <v>864812.4999999995</v>
      </c>
      <c r="D1299" s="3">
        <v>3.0</v>
      </c>
      <c r="E1299" s="11">
        <v>2014.0</v>
      </c>
      <c r="F1299" s="3" t="s">
        <v>815</v>
      </c>
      <c r="G1299" s="37" t="s">
        <v>28</v>
      </c>
      <c r="H1299" s="37" t="s">
        <v>7</v>
      </c>
    </row>
    <row r="1300" ht="15.75" customHeight="1">
      <c r="A1300" s="3" t="s">
        <v>206</v>
      </c>
      <c r="B1300" s="13">
        <v>221781.30000000002</v>
      </c>
      <c r="C1300" s="13">
        <v>73194.84000000003</v>
      </c>
      <c r="D1300" s="3">
        <v>2.0</v>
      </c>
      <c r="E1300" s="11">
        <v>2017.0</v>
      </c>
      <c r="F1300" s="3" t="s">
        <v>815</v>
      </c>
      <c r="G1300" s="37" t="s">
        <v>28</v>
      </c>
      <c r="H1300" s="37" t="s">
        <v>6</v>
      </c>
    </row>
    <row r="1301" ht="15.75" customHeight="1">
      <c r="A1301" s="3" t="s">
        <v>434</v>
      </c>
      <c r="B1301" s="13">
        <v>145713.90000000002</v>
      </c>
      <c r="C1301" s="13">
        <v>52658.700000000026</v>
      </c>
      <c r="D1301" s="3">
        <v>2.0</v>
      </c>
      <c r="E1301" s="11">
        <v>2011.0</v>
      </c>
      <c r="F1301" s="3" t="s">
        <v>815</v>
      </c>
      <c r="G1301" s="37" t="s">
        <v>28</v>
      </c>
      <c r="H1301" s="37" t="s">
        <v>13</v>
      </c>
    </row>
    <row r="1302" ht="15.75" customHeight="1">
      <c r="A1302" s="3" t="s">
        <v>689</v>
      </c>
      <c r="B1302" s="13">
        <v>2193110.48</v>
      </c>
      <c r="C1302" s="13">
        <v>823533.26</v>
      </c>
      <c r="D1302" s="3">
        <v>6.0</v>
      </c>
      <c r="E1302" s="11">
        <v>2010.0</v>
      </c>
      <c r="F1302" s="3" t="s">
        <v>815</v>
      </c>
      <c r="G1302" s="37" t="s">
        <v>28</v>
      </c>
      <c r="H1302" s="37" t="s">
        <v>10</v>
      </c>
    </row>
    <row r="1303" ht="15.75" customHeight="1">
      <c r="A1303" s="3" t="s">
        <v>536</v>
      </c>
      <c r="B1303" s="13">
        <v>2500963.92</v>
      </c>
      <c r="C1303" s="13">
        <v>339081.6000000001</v>
      </c>
      <c r="D1303" s="3">
        <v>12.0</v>
      </c>
      <c r="E1303" s="11">
        <v>2013.0</v>
      </c>
      <c r="F1303" s="3" t="s">
        <v>815</v>
      </c>
      <c r="G1303" s="37" t="s">
        <v>28</v>
      </c>
      <c r="H1303" s="37" t="s">
        <v>11</v>
      </c>
    </row>
    <row r="1304" ht="15.75" customHeight="1">
      <c r="A1304" s="3" t="s">
        <v>142</v>
      </c>
      <c r="B1304" s="13">
        <v>1383872.8800000001</v>
      </c>
      <c r="C1304" s="13">
        <v>519657.0600000002</v>
      </c>
      <c r="D1304" s="3">
        <v>9.0</v>
      </c>
      <c r="E1304" s="11">
        <v>2010.0</v>
      </c>
      <c r="F1304" s="3" t="s">
        <v>818</v>
      </c>
      <c r="G1304" s="37" t="s">
        <v>28</v>
      </c>
      <c r="H1304" s="37" t="s">
        <v>10</v>
      </c>
    </row>
    <row r="1305" ht="15.75" customHeight="1">
      <c r="A1305" s="3" t="s">
        <v>270</v>
      </c>
      <c r="B1305" s="13">
        <v>801607.8400000001</v>
      </c>
      <c r="C1305" s="13">
        <v>245788.4800000001</v>
      </c>
      <c r="D1305" s="3">
        <v>8.0</v>
      </c>
      <c r="E1305" s="11">
        <v>2015.0</v>
      </c>
      <c r="F1305" s="3" t="s">
        <v>818</v>
      </c>
      <c r="G1305" s="37" t="s">
        <v>28</v>
      </c>
      <c r="H1305" s="37" t="s">
        <v>14</v>
      </c>
    </row>
    <row r="1306" ht="15.75" customHeight="1">
      <c r="A1306" s="3" t="s">
        <v>434</v>
      </c>
      <c r="B1306" s="13">
        <v>3112864.0</v>
      </c>
      <c r="C1306" s="13">
        <v>1237954.4000000001</v>
      </c>
      <c r="D1306" s="3">
        <v>9.0</v>
      </c>
      <c r="E1306" s="11">
        <v>2013.0</v>
      </c>
      <c r="F1306" s="3" t="s">
        <v>815</v>
      </c>
      <c r="G1306" s="37" t="s">
        <v>28</v>
      </c>
      <c r="H1306" s="37" t="s">
        <v>12</v>
      </c>
    </row>
    <row r="1307" ht="15.75" customHeight="1">
      <c r="A1307" s="3" t="s">
        <v>373</v>
      </c>
      <c r="B1307" s="13">
        <v>196490.45</v>
      </c>
      <c r="C1307" s="13">
        <v>64848.06000000003</v>
      </c>
      <c r="D1307" s="3">
        <v>7.0</v>
      </c>
      <c r="E1307" s="11">
        <v>2013.0</v>
      </c>
      <c r="F1307" s="3" t="s">
        <v>818</v>
      </c>
      <c r="G1307" s="37" t="s">
        <v>28</v>
      </c>
      <c r="H1307" s="37" t="s">
        <v>6</v>
      </c>
    </row>
    <row r="1308" ht="15.75" customHeight="1">
      <c r="A1308" s="3" t="s">
        <v>455</v>
      </c>
      <c r="B1308" s="13">
        <v>1172272.1400000001</v>
      </c>
      <c r="C1308" s="13">
        <v>423640.6200000001</v>
      </c>
      <c r="D1308" s="3">
        <v>1.0</v>
      </c>
      <c r="E1308" s="11">
        <v>2012.0</v>
      </c>
      <c r="F1308" s="3" t="s">
        <v>815</v>
      </c>
      <c r="G1308" s="37" t="s">
        <v>28</v>
      </c>
      <c r="H1308" s="37" t="s">
        <v>13</v>
      </c>
    </row>
    <row r="1309" ht="15.75" customHeight="1">
      <c r="A1309" s="3" t="s">
        <v>431</v>
      </c>
      <c r="B1309" s="13">
        <v>1440476.52</v>
      </c>
      <c r="C1309" s="13">
        <v>279265.0</v>
      </c>
      <c r="D1309" s="3">
        <v>4.0</v>
      </c>
      <c r="E1309" s="11">
        <v>2011.0</v>
      </c>
      <c r="F1309" s="3" t="s">
        <v>815</v>
      </c>
      <c r="G1309" s="37" t="s">
        <v>28</v>
      </c>
      <c r="H1309" s="37" t="s">
        <v>7</v>
      </c>
    </row>
    <row r="1310" ht="15.75" customHeight="1">
      <c r="A1310" s="3" t="s">
        <v>512</v>
      </c>
      <c r="B1310" s="13">
        <v>182018.2</v>
      </c>
      <c r="C1310" s="13">
        <v>60071.76000000001</v>
      </c>
      <c r="D1310" s="3">
        <v>2.0</v>
      </c>
      <c r="E1310" s="11">
        <v>2011.0</v>
      </c>
      <c r="F1310" s="3" t="s">
        <v>815</v>
      </c>
      <c r="G1310" s="37" t="s">
        <v>28</v>
      </c>
      <c r="H1310" s="37" t="s">
        <v>6</v>
      </c>
    </row>
    <row r="1311" ht="15.75" customHeight="1">
      <c r="A1311" s="3" t="s">
        <v>746</v>
      </c>
      <c r="B1311" s="13">
        <v>1176604.0</v>
      </c>
      <c r="C1311" s="13">
        <v>506734.80000000005</v>
      </c>
      <c r="D1311" s="3">
        <v>10.0</v>
      </c>
      <c r="E1311" s="11">
        <v>2011.0</v>
      </c>
      <c r="F1311" s="3" t="s">
        <v>815</v>
      </c>
      <c r="G1311" s="37" t="s">
        <v>28</v>
      </c>
      <c r="H1311" s="37" t="s">
        <v>3</v>
      </c>
    </row>
    <row r="1312" ht="15.75" customHeight="1">
      <c r="A1312" s="3" t="s">
        <v>32</v>
      </c>
      <c r="B1312" s="13">
        <v>536644.08</v>
      </c>
      <c r="C1312" s="13">
        <v>72758.39999999997</v>
      </c>
      <c r="D1312" s="3">
        <v>1.0</v>
      </c>
      <c r="E1312" s="11">
        <v>2013.0</v>
      </c>
      <c r="F1312" s="3" t="s">
        <v>818</v>
      </c>
      <c r="G1312" s="37" t="s">
        <v>28</v>
      </c>
      <c r="H1312" s="37" t="s">
        <v>11</v>
      </c>
    </row>
    <row r="1313" ht="15.75" customHeight="1">
      <c r="A1313" s="3" t="s">
        <v>536</v>
      </c>
      <c r="B1313" s="13">
        <v>1377296.4</v>
      </c>
      <c r="C1313" s="13">
        <v>564382.1999999998</v>
      </c>
      <c r="D1313" s="3">
        <v>4.0</v>
      </c>
      <c r="E1313" s="11">
        <v>2012.0</v>
      </c>
      <c r="F1313" s="3" t="s">
        <v>815</v>
      </c>
      <c r="G1313" s="37" t="s">
        <v>28</v>
      </c>
      <c r="H1313" s="37" t="s">
        <v>9</v>
      </c>
    </row>
    <row r="1314" ht="15.75" customHeight="1">
      <c r="A1314" s="3" t="s">
        <v>78</v>
      </c>
      <c r="B1314" s="13">
        <v>1155211.2</v>
      </c>
      <c r="C1314" s="13">
        <v>497521.43999999994</v>
      </c>
      <c r="D1314" s="3">
        <v>8.0</v>
      </c>
      <c r="E1314" s="11">
        <v>2014.0</v>
      </c>
      <c r="F1314" s="3" t="s">
        <v>818</v>
      </c>
      <c r="G1314" s="37" t="s">
        <v>28</v>
      </c>
      <c r="H1314" s="37" t="s">
        <v>3</v>
      </c>
    </row>
    <row r="1315" ht="15.75" customHeight="1">
      <c r="A1315" s="3" t="s">
        <v>740</v>
      </c>
      <c r="B1315" s="13">
        <v>814602.91</v>
      </c>
      <c r="C1315" s="13">
        <v>249773.02000000002</v>
      </c>
      <c r="D1315" s="3">
        <v>7.0</v>
      </c>
      <c r="E1315" s="11">
        <v>2010.0</v>
      </c>
      <c r="F1315" s="3" t="s">
        <v>815</v>
      </c>
      <c r="G1315" s="37" t="s">
        <v>28</v>
      </c>
      <c r="H1315" s="37" t="s">
        <v>14</v>
      </c>
    </row>
    <row r="1316" ht="15.75" customHeight="1">
      <c r="A1316" s="3" t="s">
        <v>431</v>
      </c>
      <c r="B1316" s="13">
        <v>748891.5</v>
      </c>
      <c r="C1316" s="13">
        <v>145187.5</v>
      </c>
      <c r="D1316" s="3">
        <v>7.0</v>
      </c>
      <c r="E1316" s="11">
        <v>2012.0</v>
      </c>
      <c r="F1316" s="3" t="s">
        <v>815</v>
      </c>
      <c r="G1316" s="37" t="s">
        <v>28</v>
      </c>
      <c r="H1316" s="37" t="s">
        <v>7</v>
      </c>
    </row>
    <row r="1317" ht="15.75" customHeight="1">
      <c r="A1317" s="3" t="s">
        <v>218</v>
      </c>
      <c r="B1317" s="13">
        <v>5026726.9399999995</v>
      </c>
      <c r="C1317" s="13">
        <v>1246621.0599999991</v>
      </c>
      <c r="D1317" s="3">
        <v>11.0</v>
      </c>
      <c r="E1317" s="11">
        <v>2014.0</v>
      </c>
      <c r="F1317" s="3" t="s">
        <v>818</v>
      </c>
      <c r="G1317" s="37" t="s">
        <v>28</v>
      </c>
      <c r="H1317" s="37" t="s">
        <v>4</v>
      </c>
    </row>
    <row r="1318" ht="15.75" customHeight="1">
      <c r="A1318" s="3" t="s">
        <v>536</v>
      </c>
      <c r="B1318" s="13">
        <v>352364.1</v>
      </c>
      <c r="C1318" s="13">
        <v>151754.66999999998</v>
      </c>
      <c r="D1318" s="3">
        <v>11.0</v>
      </c>
      <c r="E1318" s="11">
        <v>2010.0</v>
      </c>
      <c r="F1318" s="3" t="s">
        <v>818</v>
      </c>
      <c r="G1318" s="37" t="s">
        <v>28</v>
      </c>
      <c r="H1318" s="37" t="s">
        <v>3</v>
      </c>
    </row>
    <row r="1319" ht="15.75" customHeight="1">
      <c r="A1319" s="3" t="s">
        <v>821</v>
      </c>
      <c r="B1319" s="13">
        <v>59357.46</v>
      </c>
      <c r="C1319" s="13">
        <v>15332.419999999998</v>
      </c>
      <c r="D1319" s="3">
        <v>6.0</v>
      </c>
      <c r="E1319" s="11">
        <v>2012.0</v>
      </c>
      <c r="F1319" s="3" t="s">
        <v>815</v>
      </c>
      <c r="G1319" s="37" t="s">
        <v>821</v>
      </c>
      <c r="H1319" s="37" t="s">
        <v>8</v>
      </c>
    </row>
    <row r="1320" ht="15.75" customHeight="1">
      <c r="A1320" s="3" t="s">
        <v>536</v>
      </c>
      <c r="B1320" s="13">
        <v>588582.08</v>
      </c>
      <c r="C1320" s="13">
        <v>395547.83999999997</v>
      </c>
      <c r="D1320" s="3">
        <v>4.0</v>
      </c>
      <c r="E1320" s="11">
        <v>2015.0</v>
      </c>
      <c r="F1320" s="3" t="s">
        <v>815</v>
      </c>
      <c r="G1320" s="37" t="s">
        <v>28</v>
      </c>
      <c r="H1320" s="37" t="s">
        <v>5</v>
      </c>
    </row>
    <row r="1321" ht="15.75" customHeight="1">
      <c r="A1321" s="3" t="s">
        <v>97</v>
      </c>
      <c r="B1321" s="13">
        <v>4361130.02</v>
      </c>
      <c r="C1321" s="13">
        <v>1081553.9799999995</v>
      </c>
      <c r="D1321" s="3">
        <v>11.0</v>
      </c>
      <c r="E1321" s="11">
        <v>2013.0</v>
      </c>
      <c r="F1321" s="3" t="s">
        <v>815</v>
      </c>
      <c r="G1321" s="37" t="s">
        <v>28</v>
      </c>
      <c r="H1321" s="37" t="s">
        <v>4</v>
      </c>
    </row>
    <row r="1322" ht="15.75" customHeight="1">
      <c r="A1322" s="3" t="s">
        <v>512</v>
      </c>
      <c r="B1322" s="13">
        <v>760491.26</v>
      </c>
      <c r="C1322" s="13">
        <v>188600.74</v>
      </c>
      <c r="D1322" s="3">
        <v>1.0</v>
      </c>
      <c r="E1322" s="11">
        <v>2014.0</v>
      </c>
      <c r="F1322" s="3" t="s">
        <v>818</v>
      </c>
      <c r="G1322" s="37" t="s">
        <v>28</v>
      </c>
      <c r="H1322" s="37" t="s">
        <v>4</v>
      </c>
    </row>
    <row r="1323" ht="15.75" customHeight="1">
      <c r="A1323" s="3" t="s">
        <v>542</v>
      </c>
      <c r="B1323" s="13">
        <v>30126.57</v>
      </c>
      <c r="C1323" s="13">
        <v>7781.889999999999</v>
      </c>
      <c r="D1323" s="3">
        <v>12.0</v>
      </c>
      <c r="E1323" s="11">
        <v>2011.0</v>
      </c>
      <c r="F1323" s="3" t="s">
        <v>818</v>
      </c>
      <c r="G1323" s="37" t="s">
        <v>28</v>
      </c>
      <c r="H1323" s="37" t="s">
        <v>8</v>
      </c>
    </row>
    <row r="1324" ht="15.75" customHeight="1">
      <c r="A1324" s="3" t="s">
        <v>635</v>
      </c>
      <c r="B1324" s="13">
        <v>1148363.24</v>
      </c>
      <c r="C1324" s="13">
        <v>470571.0199999999</v>
      </c>
      <c r="D1324" s="3">
        <v>3.0</v>
      </c>
      <c r="E1324" s="11">
        <v>2011.0</v>
      </c>
      <c r="F1324" s="3" t="s">
        <v>818</v>
      </c>
      <c r="G1324" s="37" t="s">
        <v>28</v>
      </c>
      <c r="H1324" s="37" t="s">
        <v>9</v>
      </c>
    </row>
    <row r="1325" ht="15.75" customHeight="1">
      <c r="A1325" s="3" t="s">
        <v>291</v>
      </c>
      <c r="B1325" s="13">
        <v>711214.4600000001</v>
      </c>
      <c r="C1325" s="13">
        <v>218072.12000000005</v>
      </c>
      <c r="D1325" s="3">
        <v>2.0</v>
      </c>
      <c r="E1325" s="11">
        <v>2016.0</v>
      </c>
      <c r="F1325" s="3" t="s">
        <v>818</v>
      </c>
      <c r="G1325" s="37" t="s">
        <v>28</v>
      </c>
      <c r="H1325" s="37" t="s">
        <v>14</v>
      </c>
    </row>
    <row r="1326" ht="15.75" customHeight="1">
      <c r="A1326" s="3" t="s">
        <v>455</v>
      </c>
      <c r="B1326" s="13">
        <v>280239.7</v>
      </c>
      <c r="C1326" s="13">
        <v>92487.96000000002</v>
      </c>
      <c r="D1326" s="3">
        <v>6.0</v>
      </c>
      <c r="E1326" s="11">
        <v>2015.0</v>
      </c>
      <c r="F1326" s="3" t="s">
        <v>815</v>
      </c>
      <c r="G1326" s="37" t="s">
        <v>28</v>
      </c>
      <c r="H1326" s="37" t="s">
        <v>6</v>
      </c>
    </row>
    <row r="1327" ht="15.75" customHeight="1">
      <c r="A1327" s="3" t="s">
        <v>686</v>
      </c>
      <c r="B1327" s="13">
        <v>44168.22</v>
      </c>
      <c r="C1327" s="13">
        <v>11408.940000000002</v>
      </c>
      <c r="D1327" s="3">
        <v>1.0</v>
      </c>
      <c r="E1327" s="11">
        <v>2017.0</v>
      </c>
      <c r="F1327" s="3" t="s">
        <v>815</v>
      </c>
      <c r="G1327" s="37" t="s">
        <v>28</v>
      </c>
      <c r="H1327" s="37" t="s">
        <v>8</v>
      </c>
    </row>
    <row r="1328" ht="15.75" customHeight="1">
      <c r="A1328" s="3" t="s">
        <v>373</v>
      </c>
      <c r="B1328" s="13">
        <v>246360.40000000002</v>
      </c>
      <c r="C1328" s="13">
        <v>81306.72000000003</v>
      </c>
      <c r="D1328" s="3">
        <v>12.0</v>
      </c>
      <c r="E1328" s="11">
        <v>2014.0</v>
      </c>
      <c r="F1328" s="3" t="s">
        <v>818</v>
      </c>
      <c r="G1328" s="37" t="s">
        <v>28</v>
      </c>
      <c r="H1328" s="37" t="s">
        <v>6</v>
      </c>
    </row>
    <row r="1329" ht="15.75" customHeight="1">
      <c r="A1329" s="3" t="s">
        <v>593</v>
      </c>
      <c r="B1329" s="13">
        <v>146530.72</v>
      </c>
      <c r="C1329" s="13">
        <v>55023.640000000014</v>
      </c>
      <c r="D1329" s="3">
        <v>9.0</v>
      </c>
      <c r="E1329" s="11">
        <v>2010.0</v>
      </c>
      <c r="F1329" s="3" t="s">
        <v>818</v>
      </c>
      <c r="G1329" s="37" t="s">
        <v>28</v>
      </c>
      <c r="H1329" s="37" t="s">
        <v>10</v>
      </c>
    </row>
    <row r="1330" ht="15.75" customHeight="1">
      <c r="A1330" s="3" t="s">
        <v>455</v>
      </c>
      <c r="B1330" s="13">
        <v>905004.0</v>
      </c>
      <c r="C1330" s="13">
        <v>359910.9</v>
      </c>
      <c r="D1330" s="3">
        <v>6.0</v>
      </c>
      <c r="E1330" s="11">
        <v>2010.0</v>
      </c>
      <c r="F1330" s="3" t="s">
        <v>815</v>
      </c>
      <c r="G1330" s="37" t="s">
        <v>28</v>
      </c>
      <c r="H1330" s="37" t="s">
        <v>12</v>
      </c>
    </row>
    <row r="1331" ht="15.75" customHeight="1">
      <c r="A1331" s="3" t="s">
        <v>32</v>
      </c>
      <c r="B1331" s="13">
        <v>3666129.2199999997</v>
      </c>
      <c r="C1331" s="13">
        <v>909194.7799999998</v>
      </c>
      <c r="D1331" s="3">
        <v>3.0</v>
      </c>
      <c r="E1331" s="11">
        <v>2012.0</v>
      </c>
      <c r="F1331" s="3" t="s">
        <v>818</v>
      </c>
      <c r="G1331" s="37" t="s">
        <v>28</v>
      </c>
      <c r="H1331" s="37" t="s">
        <v>4</v>
      </c>
    </row>
    <row r="1332" ht="15.75" customHeight="1">
      <c r="A1332" s="3"/>
      <c r="B1332" s="13"/>
      <c r="C1332" s="13">
        <v>5.014344589999997E8</v>
      </c>
      <c r="D1332" s="3"/>
      <c r="E1332" s="11"/>
      <c r="F1332" s="3"/>
    </row>
    <row r="1333" ht="15.75" customHeight="1">
      <c r="A1333" s="3"/>
      <c r="B1333" s="13"/>
      <c r="C1333" s="38"/>
      <c r="D1333" s="3"/>
      <c r="E1333" s="11"/>
      <c r="F1333" s="3"/>
    </row>
    <row r="1334" ht="15.75" customHeight="1">
      <c r="A1334" s="3"/>
      <c r="B1334" s="13"/>
      <c r="C1334" s="38"/>
      <c r="D1334" s="3"/>
      <c r="E1334" s="11"/>
      <c r="F1334" s="3"/>
    </row>
    <row r="1335" ht="15.75" customHeight="1">
      <c r="A1335" s="3"/>
      <c r="B1335" s="13"/>
      <c r="C1335" s="38"/>
      <c r="D1335" s="3"/>
      <c r="E1335" s="11"/>
      <c r="F1335" s="3"/>
    </row>
    <row r="1336" ht="15.75" customHeight="1">
      <c r="A1336" s="3"/>
      <c r="B1336" s="13"/>
      <c r="C1336" s="38"/>
      <c r="D1336" s="3"/>
      <c r="E1336" s="11"/>
      <c r="F1336" s="3"/>
    </row>
    <row r="1337" ht="15.75" customHeight="1">
      <c r="A1337" s="3"/>
      <c r="B1337" s="13"/>
      <c r="C1337" s="38"/>
      <c r="D1337" s="3"/>
      <c r="E1337" s="11"/>
      <c r="F1337" s="3"/>
    </row>
    <row r="1338" ht="15.75" customHeight="1">
      <c r="A1338" s="3"/>
      <c r="B1338" s="13"/>
      <c r="C1338" s="38"/>
      <c r="D1338" s="3"/>
      <c r="E1338" s="11"/>
      <c r="F1338" s="3"/>
    </row>
    <row r="1339" ht="15.75" customHeight="1">
      <c r="A1339" s="3"/>
      <c r="B1339" s="13"/>
      <c r="C1339" s="38"/>
      <c r="D1339" s="3"/>
      <c r="E1339" s="11"/>
      <c r="F1339" s="3"/>
    </row>
    <row r="1340" ht="15.75" customHeight="1">
      <c r="A1340" s="3"/>
      <c r="B1340" s="13"/>
      <c r="C1340" s="38"/>
      <c r="D1340" s="3"/>
      <c r="E1340" s="11"/>
      <c r="F1340" s="3"/>
    </row>
    <row r="1341" ht="15.75" customHeight="1">
      <c r="A1341" s="3"/>
      <c r="B1341" s="13"/>
      <c r="C1341" s="38"/>
      <c r="D1341" s="3"/>
      <c r="E1341" s="11"/>
      <c r="F1341" s="3"/>
    </row>
    <row r="1342" ht="15.75" customHeight="1">
      <c r="A1342" s="3"/>
      <c r="B1342" s="13"/>
      <c r="C1342" s="38"/>
      <c r="D1342" s="3"/>
      <c r="E1342" s="11"/>
      <c r="F1342" s="3"/>
    </row>
    <row r="1343" ht="15.75" customHeight="1">
      <c r="A1343" s="3"/>
      <c r="B1343" s="13"/>
      <c r="C1343" s="38"/>
      <c r="D1343" s="3"/>
      <c r="E1343" s="11"/>
      <c r="F1343" s="3"/>
    </row>
    <row r="1344" ht="15.75" customHeight="1">
      <c r="A1344" s="3"/>
      <c r="B1344" s="13"/>
      <c r="C1344" s="38"/>
      <c r="D1344" s="3"/>
      <c r="E1344" s="11"/>
      <c r="F1344" s="3"/>
    </row>
    <row r="1345" ht="15.75" customHeight="1">
      <c r="A1345" s="3"/>
      <c r="B1345" s="13"/>
      <c r="C1345" s="38"/>
      <c r="D1345" s="3"/>
      <c r="E1345" s="11"/>
      <c r="F1345" s="3"/>
    </row>
    <row r="1346" ht="15.75" customHeight="1">
      <c r="A1346" s="3"/>
      <c r="B1346" s="13"/>
      <c r="C1346" s="38"/>
      <c r="D1346" s="3"/>
      <c r="E1346" s="11"/>
      <c r="F1346" s="3"/>
    </row>
    <row r="1347" ht="15.75" customHeight="1">
      <c r="A1347" s="3"/>
      <c r="B1347" s="13"/>
      <c r="C1347" s="38"/>
      <c r="D1347" s="3"/>
      <c r="E1347" s="11"/>
      <c r="F1347" s="3"/>
    </row>
    <row r="1348" ht="15.75" customHeight="1">
      <c r="A1348" s="3"/>
      <c r="B1348" s="13"/>
      <c r="C1348" s="38"/>
      <c r="D1348" s="3"/>
      <c r="E1348" s="11"/>
      <c r="F1348" s="3"/>
    </row>
    <row r="1349" ht="15.75" customHeight="1">
      <c r="A1349" s="3"/>
      <c r="B1349" s="13"/>
      <c r="C1349" s="38"/>
      <c r="D1349" s="3"/>
      <c r="E1349" s="11"/>
      <c r="F1349" s="3"/>
    </row>
    <row r="1350" ht="15.75" customHeight="1">
      <c r="A1350" s="3"/>
      <c r="B1350" s="13"/>
      <c r="C1350" s="38"/>
      <c r="D1350" s="3"/>
      <c r="E1350" s="11"/>
      <c r="F1350" s="3"/>
    </row>
    <row r="1351" ht="15.75" customHeight="1">
      <c r="A1351" s="3"/>
      <c r="B1351" s="13"/>
      <c r="C1351" s="38"/>
      <c r="D1351" s="3"/>
      <c r="E1351" s="11"/>
      <c r="F1351" s="3"/>
    </row>
    <row r="1352" ht="15.75" customHeight="1">
      <c r="A1352" s="3"/>
      <c r="B1352" s="13"/>
      <c r="C1352" s="38"/>
      <c r="D1352" s="3"/>
      <c r="E1352" s="11"/>
      <c r="F1352" s="3"/>
    </row>
    <row r="1353" ht="15.75" customHeight="1">
      <c r="A1353" s="3"/>
      <c r="B1353" s="13"/>
      <c r="C1353" s="38"/>
      <c r="D1353" s="3"/>
      <c r="E1353" s="11"/>
      <c r="F1353" s="3"/>
    </row>
    <row r="1354" ht="15.75" customHeight="1">
      <c r="A1354" s="3"/>
      <c r="B1354" s="13"/>
      <c r="C1354" s="38"/>
      <c r="D1354" s="3"/>
      <c r="E1354" s="11"/>
      <c r="F1354" s="3"/>
    </row>
    <row r="1355" ht="15.75" customHeight="1">
      <c r="A1355" s="3"/>
      <c r="B1355" s="13"/>
      <c r="C1355" s="38"/>
      <c r="D1355" s="3"/>
      <c r="E1355" s="11"/>
      <c r="F1355" s="3"/>
    </row>
    <row r="1356" ht="15.75" customHeight="1">
      <c r="A1356" s="3"/>
      <c r="B1356" s="13"/>
      <c r="C1356" s="38"/>
      <c r="D1356" s="3"/>
      <c r="E1356" s="11"/>
      <c r="F1356" s="3"/>
    </row>
    <row r="1357" ht="15.75" customHeight="1">
      <c r="A1357" s="3"/>
      <c r="B1357" s="13"/>
      <c r="C1357" s="38"/>
      <c r="D1357" s="3"/>
      <c r="E1357" s="11"/>
      <c r="F1357" s="3"/>
    </row>
    <row r="1358" ht="15.75" customHeight="1">
      <c r="A1358" s="3"/>
      <c r="B1358" s="13"/>
      <c r="C1358" s="38"/>
      <c r="D1358" s="3"/>
      <c r="E1358" s="11"/>
      <c r="F1358" s="3"/>
    </row>
    <row r="1359" ht="15.75" customHeight="1">
      <c r="A1359" s="3"/>
      <c r="B1359" s="13"/>
      <c r="C1359" s="38"/>
      <c r="D1359" s="3"/>
      <c r="E1359" s="11"/>
      <c r="F1359" s="3"/>
    </row>
    <row r="1360" ht="15.75" customHeight="1">
      <c r="A1360" s="3"/>
      <c r="B1360" s="13"/>
      <c r="C1360" s="38"/>
      <c r="D1360" s="3"/>
      <c r="E1360" s="11"/>
      <c r="F1360" s="3"/>
    </row>
    <row r="1361" ht="15.75" customHeight="1">
      <c r="A1361" s="3"/>
      <c r="B1361" s="13"/>
      <c r="C1361" s="38"/>
      <c r="D1361" s="3"/>
      <c r="E1361" s="11"/>
      <c r="F1361" s="3"/>
    </row>
    <row r="1362" ht="15.75" customHeight="1">
      <c r="A1362" s="3"/>
      <c r="B1362" s="13"/>
      <c r="C1362" s="38"/>
      <c r="D1362" s="3"/>
      <c r="E1362" s="11"/>
      <c r="F1362" s="3"/>
    </row>
    <row r="1363" ht="15.75" customHeight="1">
      <c r="A1363" s="3"/>
      <c r="B1363" s="13"/>
      <c r="C1363" s="38"/>
      <c r="D1363" s="3"/>
      <c r="E1363" s="11"/>
      <c r="F1363" s="3"/>
    </row>
    <row r="1364" ht="15.75" customHeight="1">
      <c r="A1364" s="3"/>
      <c r="B1364" s="13"/>
      <c r="C1364" s="38"/>
      <c r="D1364" s="3"/>
      <c r="E1364" s="11"/>
      <c r="F1364" s="3"/>
    </row>
    <row r="1365" ht="15.75" customHeight="1">
      <c r="A1365" s="3"/>
      <c r="B1365" s="13"/>
      <c r="C1365" s="38"/>
      <c r="D1365" s="3"/>
      <c r="E1365" s="11"/>
      <c r="F1365" s="3"/>
    </row>
    <row r="1366" ht="15.75" customHeight="1">
      <c r="A1366" s="3"/>
      <c r="B1366" s="13"/>
      <c r="C1366" s="38"/>
      <c r="D1366" s="3"/>
      <c r="E1366" s="11"/>
      <c r="F1366" s="3"/>
    </row>
    <row r="1367" ht="15.75" customHeight="1">
      <c r="A1367" s="3"/>
      <c r="B1367" s="13"/>
      <c r="C1367" s="38"/>
      <c r="D1367" s="3"/>
      <c r="E1367" s="11"/>
      <c r="F1367" s="3"/>
    </row>
    <row r="1368" ht="15.75" customHeight="1">
      <c r="A1368" s="3"/>
      <c r="B1368" s="13"/>
      <c r="C1368" s="38"/>
      <c r="D1368" s="3"/>
      <c r="E1368" s="11"/>
      <c r="F1368" s="3"/>
    </row>
    <row r="1369" ht="15.75" customHeight="1">
      <c r="A1369" s="3"/>
      <c r="B1369" s="13"/>
      <c r="C1369" s="38"/>
      <c r="D1369" s="3"/>
      <c r="E1369" s="11"/>
      <c r="F1369" s="3"/>
    </row>
    <row r="1370" ht="15.75" customHeight="1">
      <c r="A1370" s="3"/>
      <c r="B1370" s="13"/>
      <c r="C1370" s="38"/>
      <c r="D1370" s="3"/>
      <c r="E1370" s="11"/>
      <c r="F1370" s="3"/>
    </row>
    <row r="1371" ht="15.75" customHeight="1">
      <c r="A1371" s="3"/>
      <c r="B1371" s="13"/>
      <c r="C1371" s="38"/>
      <c r="D1371" s="3"/>
      <c r="E1371" s="11"/>
      <c r="F1371" s="3"/>
    </row>
    <row r="1372" ht="15.75" customHeight="1">
      <c r="A1372" s="3"/>
      <c r="B1372" s="13"/>
      <c r="C1372" s="38"/>
      <c r="D1372" s="3"/>
      <c r="E1372" s="11"/>
      <c r="F1372" s="3"/>
    </row>
    <row r="1373" ht="15.75" customHeight="1">
      <c r="A1373" s="3"/>
      <c r="B1373" s="13"/>
      <c r="C1373" s="38"/>
      <c r="D1373" s="3"/>
      <c r="E1373" s="11"/>
      <c r="F1373" s="3"/>
    </row>
    <row r="1374" ht="15.75" customHeight="1">
      <c r="A1374" s="3"/>
      <c r="B1374" s="13"/>
      <c r="C1374" s="38"/>
      <c r="D1374" s="3"/>
      <c r="E1374" s="11"/>
      <c r="F1374" s="3"/>
    </row>
    <row r="1375" ht="15.75" customHeight="1">
      <c r="A1375" s="3"/>
      <c r="B1375" s="13"/>
      <c r="C1375" s="38"/>
      <c r="D1375" s="3"/>
      <c r="E1375" s="11"/>
      <c r="F1375" s="3"/>
    </row>
    <row r="1376" ht="15.75" customHeight="1">
      <c r="A1376" s="3"/>
      <c r="B1376" s="13"/>
      <c r="C1376" s="38"/>
      <c r="D1376" s="3"/>
      <c r="E1376" s="11"/>
      <c r="F1376" s="3"/>
    </row>
    <row r="1377" ht="15.75" customHeight="1">
      <c r="A1377" s="3"/>
      <c r="B1377" s="13"/>
      <c r="C1377" s="38"/>
      <c r="D1377" s="3"/>
      <c r="E1377" s="11"/>
      <c r="F1377" s="3"/>
    </row>
    <row r="1378" ht="15.75" customHeight="1">
      <c r="A1378" s="3"/>
      <c r="B1378" s="13"/>
      <c r="C1378" s="38"/>
      <c r="D1378" s="3"/>
      <c r="E1378" s="11"/>
      <c r="F1378" s="3"/>
    </row>
    <row r="1379" ht="15.75" customHeight="1">
      <c r="A1379" s="3"/>
      <c r="B1379" s="13"/>
      <c r="C1379" s="38"/>
      <c r="D1379" s="3"/>
      <c r="E1379" s="11"/>
      <c r="F1379" s="3"/>
    </row>
    <row r="1380" ht="15.75" customHeight="1">
      <c r="A1380" s="3"/>
      <c r="B1380" s="13"/>
      <c r="C1380" s="38"/>
      <c r="D1380" s="3"/>
      <c r="E1380" s="11"/>
      <c r="F1380" s="3"/>
    </row>
    <row r="1381" ht="15.75" customHeight="1">
      <c r="A1381" s="3"/>
      <c r="B1381" s="13"/>
      <c r="C1381" s="38"/>
      <c r="D1381" s="3"/>
      <c r="E1381" s="11"/>
      <c r="F1381" s="3"/>
    </row>
    <row r="1382" ht="15.75" customHeight="1">
      <c r="A1382" s="3"/>
      <c r="B1382" s="13"/>
      <c r="C1382" s="38"/>
      <c r="D1382" s="3"/>
      <c r="E1382" s="11"/>
      <c r="F1382" s="3"/>
    </row>
    <row r="1383" ht="15.75" customHeight="1">
      <c r="A1383" s="3"/>
      <c r="B1383" s="13"/>
      <c r="C1383" s="38"/>
      <c r="D1383" s="3"/>
      <c r="E1383" s="11"/>
      <c r="F1383" s="3"/>
    </row>
    <row r="1384" ht="15.75" customHeight="1">
      <c r="A1384" s="3"/>
      <c r="B1384" s="13"/>
      <c r="C1384" s="38"/>
      <c r="D1384" s="3"/>
      <c r="E1384" s="11"/>
      <c r="F1384" s="3"/>
    </row>
    <row r="1385" ht="15.75" customHeight="1">
      <c r="A1385" s="3"/>
      <c r="B1385" s="13"/>
      <c r="C1385" s="38"/>
      <c r="D1385" s="3"/>
      <c r="E1385" s="11"/>
      <c r="F1385" s="3"/>
    </row>
    <row r="1386" ht="15.75" customHeight="1">
      <c r="A1386" s="3"/>
      <c r="B1386" s="13"/>
      <c r="C1386" s="38"/>
      <c r="D1386" s="3"/>
      <c r="E1386" s="11"/>
      <c r="F1386" s="3"/>
    </row>
    <row r="1387" ht="15.75" customHeight="1">
      <c r="A1387" s="3"/>
      <c r="B1387" s="13"/>
      <c r="C1387" s="38"/>
      <c r="D1387" s="3"/>
      <c r="E1387" s="11"/>
      <c r="F1387" s="3"/>
    </row>
    <row r="1388" ht="15.75" customHeight="1">
      <c r="A1388" s="3"/>
      <c r="B1388" s="13"/>
      <c r="C1388" s="38"/>
      <c r="D1388" s="3"/>
      <c r="E1388" s="11"/>
      <c r="F1388" s="3"/>
    </row>
    <row r="1389" ht="15.75" customHeight="1">
      <c r="A1389" s="3"/>
      <c r="B1389" s="13"/>
      <c r="C1389" s="38"/>
      <c r="D1389" s="3"/>
      <c r="E1389" s="11"/>
      <c r="F1389" s="3"/>
    </row>
    <row r="1390" ht="15.75" customHeight="1">
      <c r="A1390" s="3"/>
      <c r="B1390" s="13"/>
      <c r="C1390" s="38"/>
      <c r="D1390" s="3"/>
      <c r="E1390" s="11"/>
      <c r="F1390" s="3"/>
    </row>
    <row r="1391" ht="15.75" customHeight="1">
      <c r="A1391" s="3"/>
      <c r="B1391" s="13"/>
      <c r="C1391" s="38"/>
      <c r="D1391" s="3"/>
      <c r="E1391" s="11"/>
      <c r="F1391" s="3"/>
    </row>
    <row r="1392" ht="15.75" customHeight="1">
      <c r="A1392" s="3"/>
      <c r="B1392" s="13"/>
      <c r="C1392" s="38"/>
      <c r="D1392" s="3"/>
      <c r="E1392" s="11"/>
      <c r="F1392" s="3"/>
    </row>
    <row r="1393" ht="15.75" customHeight="1">
      <c r="A1393" s="3"/>
      <c r="B1393" s="13"/>
      <c r="C1393" s="38"/>
      <c r="D1393" s="3"/>
      <c r="E1393" s="11"/>
      <c r="F1393" s="3"/>
    </row>
    <row r="1394" ht="15.75" customHeight="1">
      <c r="A1394" s="3"/>
      <c r="B1394" s="13"/>
      <c r="C1394" s="38"/>
      <c r="D1394" s="3"/>
      <c r="E1394" s="11"/>
      <c r="F1394" s="3"/>
    </row>
    <row r="1395" ht="15.75" customHeight="1">
      <c r="A1395" s="3"/>
      <c r="B1395" s="13"/>
      <c r="C1395" s="38"/>
      <c r="D1395" s="3"/>
      <c r="E1395" s="11"/>
      <c r="F1395" s="3"/>
    </row>
    <row r="1396" ht="15.75" customHeight="1">
      <c r="A1396" s="3"/>
      <c r="B1396" s="13"/>
      <c r="C1396" s="38"/>
      <c r="D1396" s="3"/>
      <c r="E1396" s="11"/>
      <c r="F1396" s="3"/>
    </row>
    <row r="1397" ht="15.75" customHeight="1">
      <c r="A1397" s="3"/>
      <c r="B1397" s="13"/>
      <c r="C1397" s="38"/>
      <c r="D1397" s="3"/>
      <c r="E1397" s="11"/>
      <c r="F1397" s="3"/>
    </row>
    <row r="1398" ht="15.75" customHeight="1">
      <c r="A1398" s="3"/>
      <c r="B1398" s="13"/>
      <c r="C1398" s="38"/>
      <c r="D1398" s="3"/>
      <c r="E1398" s="11"/>
      <c r="F1398" s="3"/>
    </row>
    <row r="1399" ht="15.75" customHeight="1">
      <c r="A1399" s="3"/>
      <c r="B1399" s="13"/>
      <c r="C1399" s="38"/>
      <c r="D1399" s="3"/>
      <c r="E1399" s="11"/>
      <c r="F1399" s="3"/>
    </row>
    <row r="1400" ht="15.75" customHeight="1">
      <c r="A1400" s="3"/>
      <c r="B1400" s="13"/>
      <c r="C1400" s="38"/>
      <c r="D1400" s="3"/>
      <c r="E1400" s="11"/>
      <c r="F1400" s="3"/>
    </row>
    <row r="1401" ht="15.75" customHeight="1">
      <c r="A1401" s="3"/>
      <c r="B1401" s="13"/>
      <c r="C1401" s="38"/>
      <c r="D1401" s="3"/>
      <c r="E1401" s="11"/>
      <c r="F1401" s="3"/>
    </row>
    <row r="1402" ht="15.75" customHeight="1">
      <c r="A1402" s="3"/>
      <c r="B1402" s="13"/>
      <c r="C1402" s="38"/>
      <c r="D1402" s="3"/>
      <c r="E1402" s="11"/>
      <c r="F1402" s="3"/>
    </row>
    <row r="1403" ht="15.75" customHeight="1">
      <c r="A1403" s="3"/>
      <c r="B1403" s="13"/>
      <c r="C1403" s="38"/>
      <c r="D1403" s="3"/>
      <c r="E1403" s="11"/>
      <c r="F1403" s="3"/>
    </row>
    <row r="1404" ht="15.75" customHeight="1">
      <c r="A1404" s="3"/>
      <c r="B1404" s="13"/>
      <c r="C1404" s="38"/>
      <c r="D1404" s="3"/>
      <c r="E1404" s="11"/>
      <c r="F1404" s="3"/>
    </row>
    <row r="1405" ht="15.75" customHeight="1">
      <c r="A1405" s="3"/>
      <c r="B1405" s="13"/>
      <c r="C1405" s="38"/>
      <c r="D1405" s="3"/>
      <c r="E1405" s="11"/>
      <c r="F1405" s="3"/>
    </row>
    <row r="1406" ht="15.75" customHeight="1">
      <c r="A1406" s="3"/>
      <c r="B1406" s="13"/>
      <c r="C1406" s="38"/>
      <c r="D1406" s="3"/>
      <c r="E1406" s="11"/>
      <c r="F1406" s="3"/>
    </row>
    <row r="1407" ht="15.75" customHeight="1">
      <c r="A1407" s="3"/>
      <c r="B1407" s="13"/>
      <c r="C1407" s="38"/>
      <c r="D1407" s="3"/>
      <c r="E1407" s="11"/>
      <c r="F1407" s="3"/>
    </row>
    <row r="1408" ht="15.75" customHeight="1">
      <c r="A1408" s="3"/>
      <c r="B1408" s="13"/>
      <c r="C1408" s="38"/>
      <c r="D1408" s="3"/>
      <c r="E1408" s="11"/>
      <c r="F1408" s="3"/>
    </row>
    <row r="1409" ht="15.75" customHeight="1">
      <c r="A1409" s="3"/>
      <c r="B1409" s="13"/>
      <c r="C1409" s="38"/>
      <c r="D1409" s="3"/>
      <c r="E1409" s="11"/>
      <c r="F1409" s="3"/>
    </row>
    <row r="1410" ht="15.75" customHeight="1">
      <c r="A1410" s="3"/>
      <c r="B1410" s="13"/>
      <c r="C1410" s="38"/>
      <c r="D1410" s="3"/>
      <c r="E1410" s="11"/>
      <c r="F1410" s="3"/>
    </row>
    <row r="1411" ht="15.75" customHeight="1">
      <c r="A1411" s="3"/>
      <c r="B1411" s="13"/>
      <c r="C1411" s="38"/>
      <c r="D1411" s="3"/>
      <c r="E1411" s="11"/>
      <c r="F1411" s="3"/>
    </row>
    <row r="1412" ht="15.75" customHeight="1">
      <c r="A1412" s="3"/>
      <c r="B1412" s="13"/>
      <c r="C1412" s="38"/>
      <c r="D1412" s="3"/>
      <c r="E1412" s="11"/>
      <c r="F1412" s="3"/>
    </row>
    <row r="1413" ht="15.75" customHeight="1">
      <c r="A1413" s="3"/>
      <c r="B1413" s="13"/>
      <c r="C1413" s="38"/>
      <c r="D1413" s="3"/>
      <c r="E1413" s="11"/>
      <c r="F1413" s="3"/>
    </row>
    <row r="1414" ht="15.75" customHeight="1">
      <c r="A1414" s="3"/>
      <c r="B1414" s="13"/>
      <c r="C1414" s="38"/>
      <c r="D1414" s="3"/>
      <c r="E1414" s="11"/>
      <c r="F1414" s="3"/>
    </row>
    <row r="1415" ht="15.75" customHeight="1">
      <c r="A1415" s="3"/>
      <c r="B1415" s="13"/>
      <c r="C1415" s="38"/>
      <c r="D1415" s="3"/>
      <c r="E1415" s="11"/>
      <c r="F1415" s="3"/>
    </row>
    <row r="1416" ht="15.75" customHeight="1">
      <c r="A1416" s="3"/>
      <c r="B1416" s="13"/>
      <c r="C1416" s="38"/>
      <c r="D1416" s="3"/>
      <c r="E1416" s="11"/>
      <c r="F1416" s="3"/>
    </row>
    <row r="1417" ht="15.75" customHeight="1">
      <c r="A1417" s="3"/>
      <c r="B1417" s="13"/>
      <c r="C1417" s="38"/>
      <c r="D1417" s="3"/>
      <c r="E1417" s="11"/>
      <c r="F1417" s="3"/>
    </row>
    <row r="1418" ht="15.75" customHeight="1">
      <c r="A1418" s="3"/>
      <c r="B1418" s="13"/>
      <c r="C1418" s="38"/>
      <c r="D1418" s="3"/>
      <c r="E1418" s="11"/>
      <c r="F1418" s="3"/>
    </row>
    <row r="1419" ht="15.75" customHeight="1">
      <c r="A1419" s="3"/>
      <c r="B1419" s="13"/>
      <c r="C1419" s="38"/>
      <c r="D1419" s="3"/>
      <c r="E1419" s="11"/>
      <c r="F1419" s="3"/>
    </row>
    <row r="1420" ht="15.75" customHeight="1">
      <c r="A1420" s="3"/>
      <c r="B1420" s="13"/>
      <c r="C1420" s="38"/>
      <c r="D1420" s="3"/>
      <c r="E1420" s="11"/>
      <c r="F1420" s="3"/>
    </row>
    <row r="1421" ht="15.75" customHeight="1">
      <c r="A1421" s="3"/>
      <c r="B1421" s="13"/>
      <c r="C1421" s="38"/>
      <c r="D1421" s="3"/>
      <c r="E1421" s="11"/>
      <c r="F1421" s="3"/>
    </row>
    <row r="1422" ht="15.75" customHeight="1">
      <c r="A1422" s="3"/>
      <c r="B1422" s="13"/>
      <c r="C1422" s="38"/>
      <c r="D1422" s="3"/>
      <c r="E1422" s="11"/>
      <c r="F1422" s="3"/>
    </row>
    <row r="1423" ht="15.75" customHeight="1">
      <c r="A1423" s="3"/>
      <c r="B1423" s="13"/>
      <c r="C1423" s="38"/>
      <c r="D1423" s="3"/>
      <c r="E1423" s="11"/>
      <c r="F1423" s="3"/>
    </row>
    <row r="1424" ht="15.75" customHeight="1">
      <c r="A1424" s="3"/>
      <c r="B1424" s="13"/>
      <c r="C1424" s="38"/>
      <c r="D1424" s="3"/>
      <c r="E1424" s="11"/>
      <c r="F1424" s="3"/>
    </row>
    <row r="1425" ht="15.75" customHeight="1">
      <c r="A1425" s="3"/>
      <c r="B1425" s="13"/>
      <c r="C1425" s="38"/>
      <c r="D1425" s="3"/>
      <c r="E1425" s="11"/>
      <c r="F1425" s="3"/>
    </row>
    <row r="1426" ht="15.75" customHeight="1">
      <c r="A1426" s="3"/>
      <c r="B1426" s="13"/>
      <c r="C1426" s="38"/>
      <c r="D1426" s="3"/>
      <c r="E1426" s="11"/>
      <c r="F1426" s="3"/>
    </row>
    <row r="1427" ht="15.75" customHeight="1">
      <c r="A1427" s="3"/>
      <c r="B1427" s="13"/>
      <c r="C1427" s="38"/>
      <c r="D1427" s="3"/>
      <c r="E1427" s="11"/>
      <c r="F1427" s="3"/>
    </row>
    <row r="1428" ht="15.75" customHeight="1">
      <c r="A1428" s="3"/>
      <c r="B1428" s="13"/>
      <c r="C1428" s="38"/>
      <c r="D1428" s="3"/>
      <c r="E1428" s="11"/>
      <c r="F1428" s="3"/>
    </row>
    <row r="1429" ht="15.75" customHeight="1">
      <c r="A1429" s="3"/>
      <c r="B1429" s="13"/>
      <c r="C1429" s="38"/>
      <c r="D1429" s="3"/>
      <c r="E1429" s="11"/>
      <c r="F1429" s="3"/>
    </row>
    <row r="1430" ht="15.75" customHeight="1">
      <c r="A1430" s="3"/>
      <c r="B1430" s="13"/>
      <c r="C1430" s="38"/>
      <c r="D1430" s="3"/>
      <c r="E1430" s="11"/>
      <c r="F1430" s="3"/>
    </row>
    <row r="1431" ht="15.75" customHeight="1">
      <c r="A1431" s="3"/>
      <c r="B1431" s="13"/>
      <c r="C1431" s="38"/>
      <c r="D1431" s="3"/>
      <c r="E1431" s="11"/>
      <c r="F1431" s="3"/>
    </row>
    <row r="1432" ht="15.75" customHeight="1">
      <c r="A1432" s="3"/>
      <c r="B1432" s="13"/>
      <c r="C1432" s="38"/>
      <c r="D1432" s="3"/>
      <c r="E1432" s="11"/>
      <c r="F1432" s="3"/>
    </row>
    <row r="1433" ht="15.75" customHeight="1">
      <c r="A1433" s="3"/>
      <c r="B1433" s="13"/>
      <c r="C1433" s="38"/>
      <c r="D1433" s="3"/>
      <c r="E1433" s="11"/>
      <c r="F1433" s="3"/>
    </row>
    <row r="1434" ht="15.75" customHeight="1">
      <c r="A1434" s="3"/>
      <c r="B1434" s="13"/>
      <c r="C1434" s="38"/>
      <c r="D1434" s="3"/>
      <c r="E1434" s="11"/>
      <c r="F1434" s="3"/>
    </row>
    <row r="1435" ht="15.75" customHeight="1">
      <c r="A1435" s="3"/>
      <c r="B1435" s="13"/>
      <c r="C1435" s="38"/>
      <c r="D1435" s="3"/>
      <c r="E1435" s="11"/>
      <c r="F1435" s="3"/>
    </row>
    <row r="1436" ht="15.75" customHeight="1">
      <c r="A1436" s="3"/>
      <c r="B1436" s="13"/>
      <c r="C1436" s="38"/>
      <c r="D1436" s="3"/>
      <c r="E1436" s="11"/>
      <c r="F1436" s="3"/>
    </row>
    <row r="1437" ht="15.75" customHeight="1">
      <c r="A1437" s="3"/>
      <c r="B1437" s="13"/>
      <c r="C1437" s="38"/>
      <c r="D1437" s="3"/>
      <c r="E1437" s="11"/>
      <c r="F1437" s="3"/>
    </row>
    <row r="1438" ht="15.75" customHeight="1">
      <c r="A1438" s="3"/>
      <c r="B1438" s="13"/>
      <c r="C1438" s="38"/>
      <c r="D1438" s="3"/>
      <c r="E1438" s="11"/>
      <c r="F1438" s="3"/>
    </row>
    <row r="1439" ht="15.75" customHeight="1">
      <c r="A1439" s="3"/>
      <c r="B1439" s="13"/>
      <c r="C1439" s="38"/>
      <c r="D1439" s="3"/>
      <c r="E1439" s="11"/>
      <c r="F1439" s="3"/>
    </row>
    <row r="1440" ht="15.75" customHeight="1">
      <c r="A1440" s="3"/>
      <c r="B1440" s="13"/>
      <c r="C1440" s="38"/>
      <c r="D1440" s="3"/>
      <c r="E1440" s="11"/>
      <c r="F1440" s="3"/>
    </row>
    <row r="1441" ht="15.75" customHeight="1">
      <c r="A1441" s="3"/>
      <c r="B1441" s="13"/>
      <c r="C1441" s="38"/>
      <c r="D1441" s="3"/>
      <c r="E1441" s="11"/>
      <c r="F1441" s="3"/>
    </row>
    <row r="1442" ht="15.75" customHeight="1">
      <c r="A1442" s="3"/>
      <c r="B1442" s="13"/>
      <c r="C1442" s="38"/>
      <c r="D1442" s="3"/>
      <c r="E1442" s="11"/>
      <c r="F1442" s="3"/>
    </row>
    <row r="1443" ht="15.75" customHeight="1">
      <c r="A1443" s="3"/>
      <c r="B1443" s="13"/>
      <c r="C1443" s="38"/>
      <c r="D1443" s="3"/>
      <c r="E1443" s="11"/>
      <c r="F1443" s="3"/>
    </row>
    <row r="1444" ht="15.75" customHeight="1">
      <c r="A1444" s="3"/>
      <c r="B1444" s="13"/>
      <c r="C1444" s="38"/>
      <c r="D1444" s="3"/>
      <c r="E1444" s="11"/>
      <c r="F1444" s="3"/>
    </row>
    <row r="1445" ht="15.75" customHeight="1">
      <c r="A1445" s="3"/>
      <c r="B1445" s="13"/>
      <c r="C1445" s="38"/>
      <c r="D1445" s="3"/>
      <c r="E1445" s="11"/>
      <c r="F1445" s="3"/>
    </row>
    <row r="1446" ht="15.75" customHeight="1">
      <c r="A1446" s="3"/>
      <c r="B1446" s="13"/>
      <c r="C1446" s="38"/>
      <c r="D1446" s="3"/>
      <c r="E1446" s="11"/>
      <c r="F1446" s="3"/>
    </row>
    <row r="1447" ht="15.75" customHeight="1">
      <c r="A1447" s="3"/>
      <c r="B1447" s="13"/>
      <c r="C1447" s="38"/>
      <c r="D1447" s="3"/>
      <c r="E1447" s="11"/>
      <c r="F1447" s="3"/>
    </row>
    <row r="1448" ht="15.75" customHeight="1">
      <c r="A1448" s="3"/>
      <c r="B1448" s="13"/>
      <c r="C1448" s="38"/>
      <c r="D1448" s="3"/>
      <c r="E1448" s="11"/>
      <c r="F1448" s="3"/>
    </row>
    <row r="1449" ht="15.75" customHeight="1">
      <c r="A1449" s="3"/>
      <c r="B1449" s="13"/>
      <c r="C1449" s="38"/>
      <c r="D1449" s="3"/>
      <c r="E1449" s="11"/>
      <c r="F1449" s="3"/>
    </row>
    <row r="1450" ht="15.75" customHeight="1">
      <c r="A1450" s="3"/>
      <c r="B1450" s="13"/>
      <c r="C1450" s="38"/>
      <c r="D1450" s="3"/>
      <c r="E1450" s="11"/>
      <c r="F1450" s="3"/>
    </row>
    <row r="1451" ht="15.75" customHeight="1">
      <c r="A1451" s="3"/>
      <c r="B1451" s="13"/>
      <c r="C1451" s="38"/>
      <c r="D1451" s="3"/>
      <c r="E1451" s="11"/>
      <c r="F1451" s="3"/>
    </row>
    <row r="1452" ht="15.75" customHeight="1">
      <c r="A1452" s="3"/>
      <c r="B1452" s="13"/>
      <c r="C1452" s="38"/>
      <c r="D1452" s="3"/>
      <c r="E1452" s="11"/>
      <c r="F1452" s="3"/>
    </row>
    <row r="1453" ht="15.75" customHeight="1">
      <c r="A1453" s="3"/>
      <c r="B1453" s="13"/>
      <c r="C1453" s="38"/>
      <c r="D1453" s="3"/>
      <c r="E1453" s="11"/>
      <c r="F1453" s="3"/>
    </row>
    <row r="1454" ht="15.75" customHeight="1">
      <c r="A1454" s="3"/>
      <c r="B1454" s="13"/>
      <c r="C1454" s="38"/>
      <c r="D1454" s="3"/>
      <c r="E1454" s="11"/>
      <c r="F1454" s="3"/>
    </row>
    <row r="1455" ht="15.75" customHeight="1">
      <c r="A1455" s="3"/>
      <c r="B1455" s="13"/>
      <c r="C1455" s="38"/>
      <c r="D1455" s="3"/>
      <c r="E1455" s="11"/>
      <c r="F1455" s="3"/>
    </row>
    <row r="1456" ht="15.75" customHeight="1">
      <c r="A1456" s="3"/>
      <c r="B1456" s="13"/>
      <c r="C1456" s="38"/>
      <c r="D1456" s="3"/>
      <c r="E1456" s="11"/>
      <c r="F1456" s="3"/>
    </row>
    <row r="1457" ht="15.75" customHeight="1">
      <c r="A1457" s="3"/>
      <c r="B1457" s="13"/>
      <c r="C1457" s="38"/>
      <c r="D1457" s="3"/>
      <c r="E1457" s="11"/>
      <c r="F1457" s="3"/>
    </row>
    <row r="1458" ht="15.75" customHeight="1">
      <c r="A1458" s="3"/>
      <c r="B1458" s="13"/>
      <c r="C1458" s="38"/>
      <c r="D1458" s="3"/>
      <c r="E1458" s="11"/>
      <c r="F1458" s="3"/>
    </row>
    <row r="1459" ht="15.75" customHeight="1">
      <c r="A1459" s="3"/>
      <c r="B1459" s="13"/>
      <c r="C1459" s="38"/>
      <c r="D1459" s="3"/>
      <c r="E1459" s="11"/>
      <c r="F1459" s="3"/>
    </row>
    <row r="1460" ht="15.75" customHeight="1">
      <c r="A1460" s="3"/>
      <c r="B1460" s="13"/>
      <c r="C1460" s="38"/>
      <c r="D1460" s="3"/>
      <c r="E1460" s="11"/>
      <c r="F1460" s="3"/>
    </row>
    <row r="1461" ht="15.75" customHeight="1">
      <c r="A1461" s="3"/>
      <c r="B1461" s="13"/>
      <c r="C1461" s="38"/>
      <c r="D1461" s="3"/>
      <c r="E1461" s="11"/>
      <c r="F1461" s="3"/>
    </row>
    <row r="1462" ht="15.75" customHeight="1">
      <c r="A1462" s="3"/>
      <c r="B1462" s="13"/>
      <c r="C1462" s="38"/>
      <c r="D1462" s="3"/>
      <c r="E1462" s="11"/>
      <c r="F1462" s="3"/>
    </row>
    <row r="1463" ht="15.75" customHeight="1">
      <c r="A1463" s="3"/>
      <c r="B1463" s="13"/>
      <c r="C1463" s="38"/>
      <c r="D1463" s="3"/>
      <c r="E1463" s="11"/>
      <c r="F1463" s="3"/>
    </row>
    <row r="1464" ht="15.75" customHeight="1">
      <c r="A1464" s="3"/>
      <c r="B1464" s="13"/>
      <c r="C1464" s="38"/>
      <c r="D1464" s="3"/>
      <c r="E1464" s="11"/>
      <c r="F1464" s="3"/>
    </row>
    <row r="1465" ht="15.75" customHeight="1">
      <c r="A1465" s="3"/>
      <c r="B1465" s="13"/>
      <c r="C1465" s="38"/>
      <c r="D1465" s="3"/>
      <c r="E1465" s="11"/>
      <c r="F1465" s="3"/>
    </row>
    <row r="1466" ht="15.75" customHeight="1">
      <c r="A1466" s="3"/>
      <c r="B1466" s="13"/>
      <c r="C1466" s="38"/>
      <c r="D1466" s="3"/>
      <c r="E1466" s="11"/>
      <c r="F1466" s="3"/>
    </row>
    <row r="1467" ht="15.75" customHeight="1">
      <c r="A1467" s="3"/>
      <c r="B1467" s="13"/>
      <c r="C1467" s="38"/>
      <c r="D1467" s="3"/>
      <c r="E1467" s="11"/>
      <c r="F1467" s="3"/>
    </row>
    <row r="1468" ht="15.75" customHeight="1">
      <c r="A1468" s="3"/>
      <c r="B1468" s="13"/>
      <c r="C1468" s="38"/>
      <c r="D1468" s="3"/>
      <c r="E1468" s="11"/>
      <c r="F1468" s="3"/>
    </row>
    <row r="1469" ht="15.75" customHeight="1">
      <c r="A1469" s="3"/>
      <c r="B1469" s="13"/>
      <c r="C1469" s="38"/>
      <c r="D1469" s="3"/>
      <c r="E1469" s="11"/>
      <c r="F1469" s="3"/>
    </row>
    <row r="1470" ht="15.75" customHeight="1">
      <c r="A1470" s="3"/>
      <c r="B1470" s="13"/>
      <c r="C1470" s="38"/>
      <c r="D1470" s="3"/>
      <c r="E1470" s="11"/>
      <c r="F1470" s="3"/>
    </row>
    <row r="1471" ht="15.75" customHeight="1">
      <c r="A1471" s="3"/>
      <c r="B1471" s="13"/>
      <c r="C1471" s="38"/>
      <c r="D1471" s="3"/>
      <c r="E1471" s="11"/>
      <c r="F1471" s="3"/>
    </row>
    <row r="1472" ht="15.75" customHeight="1">
      <c r="A1472" s="3"/>
      <c r="B1472" s="13"/>
      <c r="C1472" s="38"/>
      <c r="D1472" s="3"/>
      <c r="E1472" s="11"/>
      <c r="F1472" s="3"/>
    </row>
    <row r="1473" ht="15.75" customHeight="1">
      <c r="A1473" s="3"/>
      <c r="B1473" s="13"/>
      <c r="C1473" s="38"/>
      <c r="D1473" s="3"/>
      <c r="E1473" s="11"/>
      <c r="F1473" s="3"/>
    </row>
    <row r="1474" ht="15.75" customHeight="1">
      <c r="A1474" s="3"/>
      <c r="B1474" s="13"/>
      <c r="C1474" s="38"/>
      <c r="D1474" s="3"/>
      <c r="E1474" s="11"/>
      <c r="F1474" s="3"/>
    </row>
    <row r="1475" ht="15.75" customHeight="1">
      <c r="A1475" s="3"/>
      <c r="B1475" s="13"/>
      <c r="C1475" s="38"/>
      <c r="D1475" s="3"/>
      <c r="E1475" s="11"/>
      <c r="F1475" s="3"/>
    </row>
    <row r="1476" ht="15.75" customHeight="1">
      <c r="A1476" s="3"/>
      <c r="B1476" s="13"/>
      <c r="C1476" s="38"/>
      <c r="D1476" s="3"/>
      <c r="E1476" s="11"/>
      <c r="F1476" s="3"/>
    </row>
    <row r="1477" ht="15.75" customHeight="1">
      <c r="A1477" s="3"/>
      <c r="B1477" s="13"/>
      <c r="C1477" s="38"/>
      <c r="D1477" s="3"/>
      <c r="E1477" s="11"/>
      <c r="F1477" s="3"/>
    </row>
    <row r="1478" ht="15.75" customHeight="1">
      <c r="A1478" s="3"/>
      <c r="B1478" s="13"/>
      <c r="C1478" s="38"/>
      <c r="D1478" s="3"/>
      <c r="E1478" s="11"/>
      <c r="F1478" s="3"/>
    </row>
    <row r="1479" ht="15.75" customHeight="1">
      <c r="A1479" s="3"/>
      <c r="B1479" s="13"/>
      <c r="C1479" s="38"/>
      <c r="D1479" s="3"/>
      <c r="E1479" s="11"/>
      <c r="F1479" s="3"/>
    </row>
    <row r="1480" ht="15.75" customHeight="1">
      <c r="A1480" s="3"/>
      <c r="B1480" s="13"/>
      <c r="C1480" s="38"/>
      <c r="D1480" s="3"/>
      <c r="E1480" s="11"/>
      <c r="F1480" s="3"/>
    </row>
    <row r="1481" ht="15.75" customHeight="1">
      <c r="A1481" s="3"/>
      <c r="B1481" s="13"/>
      <c r="C1481" s="38"/>
      <c r="D1481" s="3"/>
      <c r="E1481" s="11"/>
      <c r="F1481" s="3"/>
    </row>
    <row r="1482" ht="15.75" customHeight="1">
      <c r="A1482" s="3"/>
      <c r="B1482" s="13"/>
      <c r="C1482" s="38"/>
      <c r="D1482" s="3"/>
      <c r="E1482" s="11"/>
      <c r="F1482" s="3"/>
    </row>
    <row r="1483" ht="15.75" customHeight="1">
      <c r="A1483" s="3"/>
      <c r="B1483" s="13"/>
      <c r="C1483" s="38"/>
      <c r="D1483" s="3"/>
      <c r="E1483" s="11"/>
      <c r="F1483" s="3"/>
    </row>
    <row r="1484" ht="15.75" customHeight="1">
      <c r="A1484" s="3"/>
      <c r="B1484" s="13"/>
      <c r="C1484" s="38"/>
      <c r="D1484" s="3"/>
      <c r="E1484" s="11"/>
      <c r="F1484" s="3"/>
    </row>
    <row r="1485" ht="15.75" customHeight="1">
      <c r="A1485" s="3"/>
      <c r="B1485" s="13"/>
      <c r="C1485" s="38"/>
      <c r="D1485" s="3"/>
      <c r="E1485" s="11"/>
      <c r="F1485" s="3"/>
    </row>
    <row r="1486" ht="15.75" customHeight="1">
      <c r="A1486" s="3"/>
      <c r="B1486" s="13"/>
      <c r="C1486" s="38"/>
      <c r="D1486" s="3"/>
      <c r="E1486" s="11"/>
      <c r="F1486" s="3"/>
    </row>
    <row r="1487" ht="15.75" customHeight="1">
      <c r="A1487" s="3"/>
      <c r="B1487" s="13"/>
      <c r="C1487" s="38"/>
      <c r="D1487" s="3"/>
      <c r="E1487" s="11"/>
      <c r="F1487" s="3"/>
    </row>
    <row r="1488" ht="15.75" customHeight="1">
      <c r="A1488" s="3"/>
      <c r="B1488" s="13"/>
      <c r="C1488" s="38"/>
      <c r="D1488" s="3"/>
      <c r="E1488" s="11"/>
      <c r="F1488" s="3"/>
    </row>
    <row r="1489" ht="15.75" customHeight="1">
      <c r="A1489" s="3"/>
      <c r="B1489" s="13"/>
      <c r="C1489" s="38"/>
      <c r="D1489" s="3"/>
      <c r="E1489" s="11"/>
      <c r="F1489" s="3"/>
    </row>
    <row r="1490" ht="15.75" customHeight="1">
      <c r="A1490" s="3"/>
      <c r="B1490" s="13"/>
      <c r="C1490" s="38"/>
      <c r="D1490" s="3"/>
      <c r="E1490" s="11"/>
      <c r="F1490" s="3"/>
    </row>
    <row r="1491" ht="15.75" customHeight="1">
      <c r="A1491" s="3"/>
      <c r="B1491" s="13"/>
      <c r="C1491" s="38"/>
      <c r="D1491" s="3"/>
      <c r="E1491" s="11"/>
      <c r="F1491" s="3"/>
    </row>
    <row r="1492" ht="15.75" customHeight="1">
      <c r="A1492" s="3"/>
      <c r="B1492" s="13"/>
      <c r="C1492" s="38"/>
      <c r="D1492" s="3"/>
      <c r="E1492" s="11"/>
      <c r="F1492" s="3"/>
    </row>
    <row r="1493" ht="15.75" customHeight="1">
      <c r="A1493" s="3"/>
      <c r="B1493" s="13"/>
      <c r="C1493" s="38"/>
      <c r="D1493" s="3"/>
      <c r="E1493" s="11"/>
      <c r="F1493" s="3"/>
    </row>
    <row r="1494" ht="15.75" customHeight="1">
      <c r="A1494" s="3"/>
      <c r="B1494" s="13"/>
      <c r="C1494" s="38"/>
      <c r="D1494" s="3"/>
      <c r="E1494" s="11"/>
      <c r="F1494" s="3"/>
    </row>
    <row r="1495" ht="15.75" customHeight="1">
      <c r="A1495" s="3"/>
      <c r="B1495" s="13"/>
      <c r="C1495" s="38"/>
      <c r="D1495" s="3"/>
      <c r="E1495" s="11"/>
      <c r="F1495" s="3"/>
    </row>
    <row r="1496" ht="15.75" customHeight="1">
      <c r="A1496" s="3"/>
      <c r="B1496" s="13"/>
      <c r="C1496" s="38"/>
      <c r="D1496" s="3"/>
      <c r="E1496" s="11"/>
      <c r="F1496" s="3"/>
    </row>
    <row r="1497" ht="15.75" customHeight="1">
      <c r="A1497" s="3"/>
      <c r="B1497" s="13"/>
      <c r="C1497" s="38"/>
      <c r="D1497" s="3"/>
      <c r="E1497" s="11"/>
      <c r="F1497" s="3"/>
    </row>
    <row r="1498" ht="15.75" customHeight="1">
      <c r="A1498" s="3"/>
      <c r="B1498" s="13"/>
      <c r="C1498" s="38"/>
      <c r="D1498" s="3"/>
      <c r="E1498" s="11"/>
      <c r="F1498" s="3"/>
    </row>
    <row r="1499" ht="15.75" customHeight="1">
      <c r="A1499" s="3"/>
      <c r="B1499" s="13"/>
      <c r="C1499" s="38"/>
      <c r="D1499" s="3"/>
      <c r="E1499" s="11"/>
      <c r="F1499" s="3"/>
    </row>
    <row r="1500" ht="15.75" customHeight="1">
      <c r="A1500" s="3"/>
      <c r="B1500" s="13"/>
      <c r="C1500" s="38"/>
      <c r="D1500" s="3"/>
      <c r="E1500" s="11"/>
      <c r="F1500" s="3"/>
    </row>
    <row r="1501" ht="15.75" customHeight="1">
      <c r="A1501" s="3"/>
      <c r="B1501" s="13"/>
      <c r="C1501" s="38"/>
      <c r="D1501" s="3"/>
      <c r="E1501" s="11"/>
      <c r="F1501" s="3"/>
    </row>
    <row r="1502" ht="15.75" customHeight="1">
      <c r="A1502" s="3"/>
      <c r="B1502" s="13"/>
      <c r="C1502" s="38"/>
      <c r="D1502" s="3"/>
      <c r="E1502" s="11"/>
      <c r="F1502" s="3"/>
    </row>
    <row r="1503" ht="15.75" customHeight="1">
      <c r="A1503" s="3"/>
      <c r="B1503" s="13"/>
      <c r="C1503" s="38"/>
      <c r="D1503" s="3"/>
      <c r="E1503" s="11"/>
      <c r="F1503" s="3"/>
    </row>
    <row r="1504" ht="15.75" customHeight="1">
      <c r="A1504" s="3"/>
      <c r="B1504" s="13"/>
      <c r="C1504" s="38"/>
      <c r="D1504" s="3"/>
      <c r="E1504" s="11"/>
      <c r="F1504" s="3"/>
    </row>
    <row r="1505" ht="15.75" customHeight="1">
      <c r="A1505" s="3"/>
      <c r="B1505" s="13"/>
      <c r="C1505" s="38"/>
      <c r="D1505" s="3"/>
      <c r="E1505" s="11"/>
      <c r="F1505" s="3"/>
    </row>
    <row r="1506" ht="15.75" customHeight="1">
      <c r="A1506" s="3"/>
      <c r="B1506" s="13"/>
      <c r="C1506" s="38"/>
      <c r="D1506" s="3"/>
      <c r="E1506" s="11"/>
      <c r="F1506" s="3"/>
    </row>
    <row r="1507" ht="15.75" customHeight="1">
      <c r="A1507" s="3"/>
      <c r="B1507" s="13"/>
      <c r="C1507" s="38"/>
      <c r="D1507" s="3"/>
      <c r="E1507" s="11"/>
      <c r="F1507" s="3"/>
    </row>
    <row r="1508" ht="15.75" customHeight="1">
      <c r="A1508" s="3"/>
      <c r="B1508" s="13"/>
      <c r="C1508" s="38"/>
      <c r="D1508" s="3"/>
      <c r="E1508" s="11"/>
      <c r="F1508" s="3"/>
    </row>
    <row r="1509" ht="15.75" customHeight="1">
      <c r="A1509" s="3"/>
      <c r="B1509" s="13"/>
      <c r="C1509" s="38"/>
      <c r="D1509" s="3"/>
      <c r="E1509" s="11"/>
      <c r="F1509" s="3"/>
    </row>
    <row r="1510" ht="15.75" customHeight="1">
      <c r="A1510" s="3"/>
      <c r="B1510" s="13"/>
      <c r="C1510" s="38"/>
      <c r="D1510" s="3"/>
      <c r="E1510" s="11"/>
      <c r="F1510" s="3"/>
    </row>
    <row r="1511" ht="15.75" customHeight="1">
      <c r="A1511" s="3"/>
      <c r="B1511" s="13"/>
      <c r="C1511" s="38"/>
      <c r="D1511" s="3"/>
      <c r="E1511" s="11"/>
      <c r="F1511" s="3"/>
    </row>
    <row r="1512" ht="15.75" customHeight="1">
      <c r="A1512" s="3"/>
      <c r="B1512" s="13"/>
      <c r="C1512" s="38"/>
      <c r="D1512" s="3"/>
      <c r="E1512" s="11"/>
      <c r="F1512" s="3"/>
    </row>
    <row r="1513" ht="15.75" customHeight="1">
      <c r="A1513" s="3"/>
      <c r="B1513" s="13"/>
      <c r="C1513" s="38"/>
      <c r="D1513" s="3"/>
      <c r="E1513" s="11"/>
      <c r="F1513" s="3"/>
    </row>
    <row r="1514" ht="15.75" customHeight="1">
      <c r="A1514" s="3"/>
      <c r="B1514" s="13"/>
      <c r="C1514" s="38"/>
      <c r="D1514" s="3"/>
      <c r="E1514" s="11"/>
      <c r="F1514" s="3"/>
    </row>
    <row r="1515" ht="15.75" customHeight="1">
      <c r="A1515" s="3"/>
      <c r="B1515" s="13"/>
      <c r="C1515" s="38"/>
      <c r="D1515" s="3"/>
      <c r="E1515" s="11"/>
      <c r="F1515" s="3"/>
    </row>
    <row r="1516" ht="15.75" customHeight="1">
      <c r="A1516" s="3"/>
      <c r="B1516" s="13"/>
      <c r="C1516" s="38"/>
      <c r="D1516" s="3"/>
      <c r="E1516" s="11"/>
      <c r="F1516" s="3"/>
    </row>
    <row r="1517" ht="15.75" customHeight="1">
      <c r="A1517" s="3"/>
      <c r="B1517" s="13"/>
      <c r="C1517" s="38"/>
      <c r="D1517" s="3"/>
      <c r="E1517" s="11"/>
      <c r="F1517" s="3"/>
    </row>
    <row r="1518" ht="15.75" customHeight="1">
      <c r="A1518" s="3"/>
      <c r="B1518" s="13"/>
      <c r="C1518" s="38"/>
      <c r="D1518" s="3"/>
      <c r="E1518" s="11"/>
      <c r="F1518" s="3"/>
    </row>
    <row r="1519" ht="15.75" customHeight="1">
      <c r="A1519" s="3"/>
      <c r="B1519" s="13"/>
      <c r="C1519" s="38"/>
      <c r="D1519" s="3"/>
      <c r="E1519" s="11"/>
      <c r="F1519" s="3"/>
    </row>
    <row r="1520" ht="15.75" customHeight="1">
      <c r="A1520" s="3"/>
      <c r="B1520" s="13"/>
      <c r="C1520" s="38"/>
      <c r="D1520" s="3"/>
      <c r="E1520" s="11"/>
      <c r="F1520" s="3"/>
    </row>
    <row r="1521" ht="15.75" customHeight="1">
      <c r="A1521" s="3"/>
      <c r="B1521" s="13"/>
      <c r="C1521" s="38"/>
      <c r="D1521" s="3"/>
      <c r="E1521" s="11"/>
      <c r="F1521" s="3"/>
    </row>
    <row r="1522" ht="15.75" customHeight="1">
      <c r="A1522" s="3"/>
      <c r="B1522" s="13"/>
      <c r="C1522" s="38"/>
      <c r="D1522" s="3"/>
      <c r="E1522" s="11"/>
      <c r="F1522" s="3"/>
    </row>
    <row r="1523" ht="15.75" customHeight="1">
      <c r="A1523" s="3"/>
      <c r="B1523" s="13"/>
      <c r="C1523" s="38"/>
      <c r="D1523" s="3"/>
      <c r="E1523" s="11"/>
      <c r="F1523" s="3"/>
    </row>
    <row r="1524" ht="15.75" customHeight="1">
      <c r="A1524" s="3"/>
      <c r="B1524" s="13"/>
      <c r="C1524" s="38"/>
      <c r="D1524" s="3"/>
      <c r="E1524" s="11"/>
      <c r="F1524" s="3"/>
    </row>
    <row r="1525" ht="15.75" customHeight="1">
      <c r="A1525" s="3"/>
      <c r="B1525" s="13"/>
      <c r="C1525" s="38"/>
      <c r="D1525" s="3"/>
      <c r="E1525" s="11"/>
      <c r="F1525" s="3"/>
    </row>
    <row r="1526" ht="15.75" customHeight="1">
      <c r="A1526" s="3"/>
      <c r="B1526" s="13"/>
      <c r="C1526" s="38"/>
      <c r="D1526" s="3"/>
      <c r="E1526" s="11"/>
      <c r="F1526" s="3"/>
    </row>
    <row r="1527" ht="15.75" customHeight="1">
      <c r="A1527" s="3"/>
      <c r="B1527" s="13"/>
      <c r="C1527" s="38"/>
      <c r="D1527" s="3"/>
      <c r="E1527" s="11"/>
      <c r="F1527" s="3"/>
    </row>
    <row r="1528" ht="15.75" customHeight="1">
      <c r="A1528" s="3"/>
      <c r="B1528" s="13"/>
      <c r="C1528" s="38"/>
      <c r="D1528" s="3"/>
      <c r="E1528" s="11"/>
      <c r="F1528" s="3"/>
    </row>
    <row r="1529" ht="15.75" customHeight="1">
      <c r="A1529" s="3"/>
      <c r="B1529" s="13"/>
      <c r="C1529" s="38"/>
      <c r="D1529" s="3"/>
      <c r="E1529" s="11"/>
      <c r="F1529" s="3"/>
    </row>
    <row r="1530" ht="15.75" customHeight="1">
      <c r="A1530" s="3"/>
      <c r="B1530" s="13"/>
      <c r="C1530" s="38"/>
      <c r="D1530" s="3"/>
      <c r="E1530" s="11"/>
      <c r="F1530" s="3"/>
    </row>
    <row r="1531" ht="15.75" customHeight="1">
      <c r="A1531" s="3"/>
      <c r="B1531" s="13"/>
      <c r="C1531" s="38"/>
      <c r="D1531" s="3"/>
      <c r="E1531" s="11"/>
      <c r="F1531" s="3"/>
    </row>
    <row r="1532" ht="15.75" customHeight="1">
      <c r="A1532" s="3"/>
      <c r="B1532" s="13"/>
      <c r="C1532" s="38"/>
      <c r="D1532" s="3"/>
      <c r="E1532" s="11"/>
      <c r="F1532" s="3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1.88"/>
    <col customWidth="1" min="2" max="2" width="16.5"/>
    <col customWidth="1" min="3" max="6" width="12.63"/>
  </cols>
  <sheetData>
    <row r="3"/>
    <row r="4"/>
    <row r="5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38"/>
    <col customWidth="1" min="2" max="2" width="12.0"/>
    <col customWidth="1" min="3" max="3" width="15.63"/>
    <col customWidth="1" min="4" max="4" width="13.0"/>
    <col customWidth="1" min="5" max="5" width="12.63"/>
    <col customWidth="1" min="6" max="8" width="11.63"/>
    <col customWidth="1" min="9" max="9" width="9.38"/>
    <col customWidth="1" min="10" max="10" width="12.13"/>
    <col customWidth="1" min="11" max="11" width="11.5"/>
    <col customWidth="1" min="12" max="12" width="13.63"/>
  </cols>
  <sheetData>
    <row r="1">
      <c r="A1" s="4" t="s">
        <v>789</v>
      </c>
      <c r="B1" s="4" t="s">
        <v>801</v>
      </c>
      <c r="C1" s="4" t="s">
        <v>811</v>
      </c>
      <c r="D1" s="5" t="s">
        <v>791</v>
      </c>
      <c r="E1" s="6" t="s">
        <v>793</v>
      </c>
      <c r="F1" s="7" t="s">
        <v>807</v>
      </c>
      <c r="G1" s="4" t="s">
        <v>808</v>
      </c>
      <c r="H1" s="4" t="s">
        <v>809</v>
      </c>
      <c r="I1" s="4" t="s">
        <v>810</v>
      </c>
      <c r="J1" s="4" t="s">
        <v>2</v>
      </c>
      <c r="K1" s="4" t="s">
        <v>18</v>
      </c>
      <c r="L1" s="4" t="s">
        <v>19</v>
      </c>
    </row>
    <row r="2">
      <c r="A2" s="3">
        <v>1.00640618E8</v>
      </c>
      <c r="B2" s="3" t="s">
        <v>542</v>
      </c>
      <c r="C2" s="3">
        <v>10.0</v>
      </c>
      <c r="D2" s="10">
        <v>10.0</v>
      </c>
      <c r="E2" s="11">
        <v>2014.0</v>
      </c>
      <c r="F2" s="13">
        <v>133705.0</v>
      </c>
      <c r="G2" s="13">
        <v>76121.5</v>
      </c>
      <c r="H2" s="13">
        <v>57583.5</v>
      </c>
      <c r="I2" s="14">
        <v>0.4306757413709285</v>
      </c>
      <c r="J2" s="3" t="s">
        <v>3</v>
      </c>
      <c r="K2" s="3" t="s">
        <v>28</v>
      </c>
      <c r="L2" s="3" t="s">
        <v>29</v>
      </c>
    </row>
    <row r="3">
      <c r="A3" s="3">
        <v>1.00983083E8</v>
      </c>
      <c r="B3" s="3" t="s">
        <v>635</v>
      </c>
      <c r="C3" s="3">
        <v>0.0</v>
      </c>
      <c r="D3" s="10">
        <v>8.0</v>
      </c>
      <c r="E3" s="11">
        <v>2016.0</v>
      </c>
      <c r="F3" s="13">
        <v>409960.1</v>
      </c>
      <c r="G3" s="13">
        <v>233400.23</v>
      </c>
      <c r="H3" s="13">
        <v>176559.86999999997</v>
      </c>
      <c r="I3" s="14">
        <v>0.43067574137092846</v>
      </c>
      <c r="J3" s="3" t="s">
        <v>3</v>
      </c>
      <c r="K3" s="3" t="s">
        <v>28</v>
      </c>
      <c r="L3" s="3" t="s">
        <v>33</v>
      </c>
    </row>
    <row r="4">
      <c r="A4" s="3">
        <v>1.01025998E8</v>
      </c>
      <c r="B4" s="3" t="s">
        <v>821</v>
      </c>
      <c r="C4" s="3">
        <v>24.0</v>
      </c>
      <c r="D4" s="10">
        <v>7.0</v>
      </c>
      <c r="E4" s="11">
        <v>2014.0</v>
      </c>
      <c r="F4" s="13">
        <v>3136191.11</v>
      </c>
      <c r="G4" s="13">
        <v>2358420.22</v>
      </c>
      <c r="H4" s="13">
        <v>777770.8899999997</v>
      </c>
      <c r="I4" s="14">
        <v>0.24799856345489088</v>
      </c>
      <c r="J4" s="3" t="s">
        <v>4</v>
      </c>
      <c r="K4" s="3" t="s">
        <v>821</v>
      </c>
      <c r="L4" s="3" t="s">
        <v>821</v>
      </c>
    </row>
    <row r="5">
      <c r="A5" s="3">
        <v>1.02230632E8</v>
      </c>
      <c r="B5" s="3" t="s">
        <v>488</v>
      </c>
      <c r="C5" s="3">
        <v>31.0</v>
      </c>
      <c r="D5" s="10">
        <v>5.0</v>
      </c>
      <c r="E5" s="11">
        <v>2017.0</v>
      </c>
      <c r="F5" s="13">
        <v>127966.88</v>
      </c>
      <c r="G5" s="13">
        <v>41968.64000000001</v>
      </c>
      <c r="H5" s="13">
        <v>85998.23999999999</v>
      </c>
      <c r="I5" s="14">
        <v>0.67203513909224</v>
      </c>
      <c r="J5" s="3" t="s">
        <v>5</v>
      </c>
      <c r="K5" s="3" t="s">
        <v>28</v>
      </c>
      <c r="L5" s="3" t="s">
        <v>33</v>
      </c>
    </row>
    <row r="6">
      <c r="A6" s="3">
        <v>1.03435266E8</v>
      </c>
      <c r="B6" s="3" t="s">
        <v>635</v>
      </c>
      <c r="C6" s="3">
        <v>38.0</v>
      </c>
      <c r="D6" s="10">
        <v>8.0</v>
      </c>
      <c r="E6" s="11">
        <v>2012.0</v>
      </c>
      <c r="F6" s="13">
        <v>362897.60000000003</v>
      </c>
      <c r="G6" s="13">
        <v>243129.91999999998</v>
      </c>
      <c r="H6" s="13">
        <v>119767.68000000005</v>
      </c>
      <c r="I6" s="14">
        <v>0.33003161222339317</v>
      </c>
      <c r="J6" s="3" t="s">
        <v>6</v>
      </c>
      <c r="K6" s="3" t="s">
        <v>28</v>
      </c>
      <c r="L6" s="3" t="s">
        <v>33</v>
      </c>
    </row>
    <row r="7">
      <c r="A7" s="3">
        <v>1.03450715E8</v>
      </c>
      <c r="B7" s="3" t="s">
        <v>650</v>
      </c>
      <c r="C7" s="3">
        <v>34.0</v>
      </c>
      <c r="D7" s="10">
        <v>3.0</v>
      </c>
      <c r="E7" s="11">
        <v>2015.0</v>
      </c>
      <c r="F7" s="13">
        <v>1445686.2000000002</v>
      </c>
      <c r="G7" s="13">
        <v>1165411.2000000002</v>
      </c>
      <c r="H7" s="13">
        <v>280275.0</v>
      </c>
      <c r="I7" s="14">
        <v>0.19386987300563563</v>
      </c>
      <c r="J7" s="3" t="s">
        <v>7</v>
      </c>
      <c r="K7" s="3" t="s">
        <v>28</v>
      </c>
      <c r="L7" s="3" t="s">
        <v>98</v>
      </c>
    </row>
    <row r="8">
      <c r="A8" s="3">
        <v>1.03499639E8</v>
      </c>
      <c r="B8" s="3" t="s">
        <v>270</v>
      </c>
      <c r="C8" s="3">
        <v>47.0</v>
      </c>
      <c r="D8" s="10">
        <v>4.0</v>
      </c>
      <c r="E8" s="11">
        <v>2013.0</v>
      </c>
      <c r="F8" s="13">
        <v>62492.340000000004</v>
      </c>
      <c r="G8" s="13">
        <v>46350.159999999996</v>
      </c>
      <c r="H8" s="13">
        <v>16142.180000000008</v>
      </c>
      <c r="I8" s="14">
        <v>0.2583065380493034</v>
      </c>
      <c r="J8" s="3" t="s">
        <v>8</v>
      </c>
      <c r="K8" s="3" t="s">
        <v>28</v>
      </c>
      <c r="L8" s="3" t="s">
        <v>79</v>
      </c>
    </row>
    <row r="9">
      <c r="A9" s="3">
        <v>1.0376228E8</v>
      </c>
      <c r="B9" s="3" t="s">
        <v>671</v>
      </c>
      <c r="C9" s="3">
        <v>32.0</v>
      </c>
      <c r="D9" s="10">
        <v>11.0</v>
      </c>
      <c r="E9" s="11">
        <v>2011.0</v>
      </c>
      <c r="F9" s="13">
        <v>680791.14</v>
      </c>
      <c r="G9" s="13">
        <v>401819.67000000004</v>
      </c>
      <c r="H9" s="13">
        <v>278971.47</v>
      </c>
      <c r="I9" s="14">
        <v>0.4097754121770738</v>
      </c>
      <c r="J9" s="3" t="s">
        <v>9</v>
      </c>
      <c r="K9" s="3" t="s">
        <v>28</v>
      </c>
      <c r="L9" s="3" t="s">
        <v>33</v>
      </c>
    </row>
    <row r="10">
      <c r="A10" s="3">
        <v>1.03832662E8</v>
      </c>
      <c r="B10" s="3" t="s">
        <v>206</v>
      </c>
      <c r="C10" s="3">
        <v>31.0</v>
      </c>
      <c r="D10" s="10">
        <v>9.0</v>
      </c>
      <c r="E10" s="11">
        <v>2012.0</v>
      </c>
      <c r="F10" s="13">
        <v>1339454.16</v>
      </c>
      <c r="G10" s="13">
        <v>836476.74</v>
      </c>
      <c r="H10" s="13">
        <v>502977.4199999999</v>
      </c>
      <c r="I10" s="14">
        <v>0.3755092447508618</v>
      </c>
      <c r="J10" s="3" t="s">
        <v>10</v>
      </c>
      <c r="K10" s="3" t="s">
        <v>28</v>
      </c>
      <c r="L10" s="3" t="s">
        <v>33</v>
      </c>
    </row>
    <row r="11">
      <c r="A11" s="3">
        <v>1.04008615E8</v>
      </c>
      <c r="B11" s="3" t="s">
        <v>291</v>
      </c>
      <c r="C11" s="3">
        <v>30.0</v>
      </c>
      <c r="D11" s="10">
        <v>1.0</v>
      </c>
      <c r="E11" s="11">
        <v>2011.0</v>
      </c>
      <c r="F11" s="13">
        <v>1504695.5</v>
      </c>
      <c r="G11" s="13">
        <v>856659.65</v>
      </c>
      <c r="H11" s="13">
        <v>648035.85</v>
      </c>
      <c r="I11" s="14">
        <v>0.4306757413709285</v>
      </c>
      <c r="J11" s="3" t="s">
        <v>3</v>
      </c>
      <c r="K11" s="3" t="s">
        <v>28</v>
      </c>
      <c r="L11" s="3" t="s">
        <v>79</v>
      </c>
    </row>
    <row r="12">
      <c r="A12" s="3">
        <v>1.04165685E8</v>
      </c>
      <c r="B12" s="3" t="s">
        <v>67</v>
      </c>
      <c r="C12" s="3">
        <v>16.0</v>
      </c>
      <c r="D12" s="10">
        <v>2.0</v>
      </c>
      <c r="E12" s="11">
        <v>2012.0</v>
      </c>
      <c r="F12" s="13">
        <v>2536752.92</v>
      </c>
      <c r="G12" s="13">
        <v>1907641.84</v>
      </c>
      <c r="H12" s="13">
        <v>629111.0799999998</v>
      </c>
      <c r="I12" s="14">
        <v>0.24799856345489094</v>
      </c>
      <c r="J12" s="3" t="s">
        <v>4</v>
      </c>
      <c r="K12" s="3" t="s">
        <v>23</v>
      </c>
      <c r="L12" s="3" t="s">
        <v>68</v>
      </c>
    </row>
    <row r="13">
      <c r="A13" s="3">
        <v>1.04190576E8</v>
      </c>
      <c r="B13" s="3" t="s">
        <v>288</v>
      </c>
      <c r="C13" s="3">
        <v>18.0</v>
      </c>
      <c r="D13" s="10">
        <v>2.0</v>
      </c>
      <c r="E13" s="11">
        <v>2017.0</v>
      </c>
      <c r="F13" s="13">
        <v>490236.18</v>
      </c>
      <c r="G13" s="13">
        <v>423769.77999999997</v>
      </c>
      <c r="H13" s="13">
        <v>66466.40000000002</v>
      </c>
      <c r="I13" s="14">
        <v>0.13558036455000125</v>
      </c>
      <c r="J13" s="3" t="s">
        <v>11</v>
      </c>
      <c r="K13" s="3" t="s">
        <v>23</v>
      </c>
      <c r="L13" s="3" t="s">
        <v>68</v>
      </c>
    </row>
    <row r="14">
      <c r="A14" s="3">
        <v>1.04245078E8</v>
      </c>
      <c r="B14" s="3" t="s">
        <v>746</v>
      </c>
      <c r="C14" s="3">
        <v>25.0</v>
      </c>
      <c r="D14" s="10">
        <v>3.0</v>
      </c>
      <c r="E14" s="11">
        <v>2013.0</v>
      </c>
      <c r="F14" s="13">
        <v>68015.7</v>
      </c>
      <c r="G14" s="13">
        <v>50446.8</v>
      </c>
      <c r="H14" s="13">
        <v>17568.899999999994</v>
      </c>
      <c r="I14" s="14">
        <v>0.25830653804930326</v>
      </c>
      <c r="J14" s="3" t="s">
        <v>8</v>
      </c>
      <c r="K14" s="3" t="s">
        <v>28</v>
      </c>
      <c r="L14" s="3" t="s">
        <v>29</v>
      </c>
    </row>
    <row r="15">
      <c r="A15" s="3">
        <v>1.0454849E8</v>
      </c>
      <c r="B15" s="3" t="s">
        <v>821</v>
      </c>
      <c r="C15" s="3">
        <v>4.0</v>
      </c>
      <c r="D15" s="10">
        <v>1.0</v>
      </c>
      <c r="E15" s="11">
        <v>2014.0</v>
      </c>
      <c r="F15" s="13">
        <v>1806361.28</v>
      </c>
      <c r="G15" s="13">
        <v>1128055.92</v>
      </c>
      <c r="H15" s="13">
        <v>678305.3600000001</v>
      </c>
      <c r="I15" s="14">
        <v>0.37550924475086184</v>
      </c>
      <c r="J15" s="3" t="s">
        <v>10</v>
      </c>
      <c r="K15" s="3" t="s">
        <v>821</v>
      </c>
      <c r="L15" s="3" t="s">
        <v>821</v>
      </c>
    </row>
    <row r="16">
      <c r="A16" s="3">
        <v>1.0503E8</v>
      </c>
      <c r="B16" s="3" t="s">
        <v>653</v>
      </c>
      <c r="C16" s="3">
        <v>11.0</v>
      </c>
      <c r="D16" s="10">
        <v>6.0</v>
      </c>
      <c r="E16" s="11">
        <v>2016.0</v>
      </c>
      <c r="F16" s="13">
        <v>1045372.48</v>
      </c>
      <c r="G16" s="13">
        <v>342845.44000000006</v>
      </c>
      <c r="H16" s="13">
        <v>702527.0399999999</v>
      </c>
      <c r="I16" s="14">
        <v>0.6720351390922401</v>
      </c>
      <c r="J16" s="3" t="s">
        <v>5</v>
      </c>
      <c r="K16" s="3" t="s">
        <v>28</v>
      </c>
      <c r="L16" s="3" t="s">
        <v>33</v>
      </c>
    </row>
    <row r="17">
      <c r="A17" s="3">
        <v>1.07651269E8</v>
      </c>
      <c r="B17" s="3" t="s">
        <v>206</v>
      </c>
      <c r="C17" s="3">
        <v>14.0</v>
      </c>
      <c r="D17" s="10">
        <v>10.0</v>
      </c>
      <c r="E17" s="11">
        <v>2013.0</v>
      </c>
      <c r="F17" s="13">
        <v>3513763.6599999997</v>
      </c>
      <c r="G17" s="13">
        <v>2642355.3200000003</v>
      </c>
      <c r="H17" s="13">
        <v>871408.3399999994</v>
      </c>
      <c r="I17" s="14">
        <v>0.24799856345489082</v>
      </c>
      <c r="J17" s="3" t="s">
        <v>4</v>
      </c>
      <c r="K17" s="3" t="s">
        <v>28</v>
      </c>
      <c r="L17" s="3" t="s">
        <v>33</v>
      </c>
    </row>
    <row r="18">
      <c r="A18" s="3">
        <v>1.08407437E8</v>
      </c>
      <c r="B18" s="3" t="s">
        <v>590</v>
      </c>
      <c r="C18" s="3">
        <v>36.0</v>
      </c>
      <c r="D18" s="10">
        <v>2.0</v>
      </c>
      <c r="E18" s="11">
        <v>2015.0</v>
      </c>
      <c r="F18" s="13">
        <v>2303902.0</v>
      </c>
      <c r="G18" s="13">
        <v>1438765.5</v>
      </c>
      <c r="H18" s="13">
        <v>865136.5</v>
      </c>
      <c r="I18" s="14">
        <v>0.3755092447508618</v>
      </c>
      <c r="J18" s="3" t="s">
        <v>10</v>
      </c>
      <c r="K18" s="3" t="s">
        <v>28</v>
      </c>
      <c r="L18" s="3" t="s">
        <v>98</v>
      </c>
    </row>
    <row r="19">
      <c r="A19" s="3">
        <v>1.09914195E8</v>
      </c>
      <c r="B19" s="3" t="s">
        <v>575</v>
      </c>
      <c r="C19" s="3">
        <v>35.0</v>
      </c>
      <c r="D19" s="10">
        <v>3.0</v>
      </c>
      <c r="E19" s="11">
        <v>2012.0</v>
      </c>
      <c r="F19" s="13">
        <v>536346.24</v>
      </c>
      <c r="G19" s="13">
        <v>175902.72000000003</v>
      </c>
      <c r="H19" s="13">
        <v>360443.51999999996</v>
      </c>
      <c r="I19" s="14">
        <v>0.6720351390922401</v>
      </c>
      <c r="J19" s="3" t="s">
        <v>5</v>
      </c>
      <c r="K19" s="3" t="s">
        <v>28</v>
      </c>
      <c r="L19" s="3" t="s">
        <v>98</v>
      </c>
    </row>
    <row r="20">
      <c r="A20" s="3">
        <v>1.11063039E8</v>
      </c>
      <c r="B20" s="3" t="s">
        <v>434</v>
      </c>
      <c r="C20" s="3">
        <v>48.0</v>
      </c>
      <c r="D20" s="10">
        <v>5.0</v>
      </c>
      <c r="E20" s="11">
        <v>2012.0</v>
      </c>
      <c r="F20" s="13">
        <v>1244745.28</v>
      </c>
      <c r="G20" s="13">
        <v>777331.9199999999</v>
      </c>
      <c r="H20" s="13">
        <v>467413.3600000001</v>
      </c>
      <c r="I20" s="14">
        <v>0.3755092447508619</v>
      </c>
      <c r="J20" s="3" t="s">
        <v>10</v>
      </c>
      <c r="K20" s="3" t="s">
        <v>28</v>
      </c>
      <c r="L20" s="3" t="s">
        <v>79</v>
      </c>
    </row>
    <row r="21" ht="15.75" customHeight="1">
      <c r="A21" s="3">
        <v>1.11246287E8</v>
      </c>
      <c r="B21" s="3" t="s">
        <v>215</v>
      </c>
      <c r="C21" s="3">
        <v>23.0</v>
      </c>
      <c r="D21" s="10">
        <v>6.0</v>
      </c>
      <c r="E21" s="11">
        <v>2017.0</v>
      </c>
      <c r="F21" s="13">
        <v>3840464.67</v>
      </c>
      <c r="G21" s="13">
        <v>3319773.07</v>
      </c>
      <c r="H21" s="13">
        <v>520691.6000000001</v>
      </c>
      <c r="I21" s="14">
        <v>0.13558036455000122</v>
      </c>
      <c r="J21" s="3" t="s">
        <v>11</v>
      </c>
      <c r="K21" s="3" t="s">
        <v>23</v>
      </c>
      <c r="L21" s="3" t="s">
        <v>68</v>
      </c>
    </row>
    <row r="22" ht="15.75" customHeight="1">
      <c r="A22" s="3">
        <v>1.11496055E8</v>
      </c>
      <c r="B22" s="3" t="s">
        <v>101</v>
      </c>
      <c r="C22" s="3">
        <v>37.0</v>
      </c>
      <c r="D22" s="10">
        <v>4.0</v>
      </c>
      <c r="E22" s="11">
        <v>2011.0</v>
      </c>
      <c r="F22" s="13">
        <v>28129.95</v>
      </c>
      <c r="G22" s="13">
        <v>20863.8</v>
      </c>
      <c r="H22" s="13">
        <v>7266.1500000000015</v>
      </c>
      <c r="I22" s="14">
        <v>0.25830653804930337</v>
      </c>
      <c r="J22" s="3" t="s">
        <v>8</v>
      </c>
      <c r="K22" s="3" t="s">
        <v>28</v>
      </c>
      <c r="L22" s="3" t="s">
        <v>79</v>
      </c>
    </row>
    <row r="23" ht="15.75" customHeight="1">
      <c r="A23" s="3">
        <v>1.11893022E8</v>
      </c>
      <c r="B23" s="3" t="s">
        <v>653</v>
      </c>
      <c r="C23" s="3">
        <v>35.0</v>
      </c>
      <c r="D23" s="10">
        <v>10.0</v>
      </c>
      <c r="E23" s="11">
        <v>2016.0</v>
      </c>
      <c r="F23" s="13">
        <v>124066.08</v>
      </c>
      <c r="G23" s="13">
        <v>77478.12</v>
      </c>
      <c r="H23" s="13">
        <v>46587.96000000001</v>
      </c>
      <c r="I23" s="14">
        <v>0.37550924475086184</v>
      </c>
      <c r="J23" s="3" t="s">
        <v>10</v>
      </c>
      <c r="K23" s="3" t="s">
        <v>28</v>
      </c>
      <c r="L23" s="3" t="s">
        <v>33</v>
      </c>
    </row>
    <row r="24" ht="15.75" customHeight="1">
      <c r="A24" s="3">
        <v>1.12330758E8</v>
      </c>
      <c r="B24" s="3" t="s">
        <v>431</v>
      </c>
      <c r="C24" s="3">
        <v>27.0</v>
      </c>
      <c r="D24" s="10">
        <v>12.0</v>
      </c>
      <c r="E24" s="11">
        <v>2016.0</v>
      </c>
      <c r="F24" s="13">
        <v>14326.62</v>
      </c>
      <c r="G24" s="13">
        <v>11549.12</v>
      </c>
      <c r="H24" s="13">
        <v>2777.5</v>
      </c>
      <c r="I24" s="14">
        <v>0.19386987300563566</v>
      </c>
      <c r="J24" s="3" t="s">
        <v>7</v>
      </c>
      <c r="K24" s="3" t="s">
        <v>28</v>
      </c>
      <c r="L24" s="3" t="s">
        <v>29</v>
      </c>
    </row>
    <row r="25" ht="15.75" customHeight="1">
      <c r="A25" s="3">
        <v>1.13524663E8</v>
      </c>
      <c r="B25" s="3" t="s">
        <v>593</v>
      </c>
      <c r="C25" s="3">
        <v>41.0</v>
      </c>
      <c r="D25" s="10">
        <v>10.0</v>
      </c>
      <c r="E25" s="11">
        <v>2010.0</v>
      </c>
      <c r="F25" s="13">
        <v>1453690.0</v>
      </c>
      <c r="G25" s="13">
        <v>875572.25</v>
      </c>
      <c r="H25" s="13">
        <v>578117.75</v>
      </c>
      <c r="I25" s="14">
        <v>0.39768984446477584</v>
      </c>
      <c r="J25" s="3" t="s">
        <v>12</v>
      </c>
      <c r="K25" s="3" t="s">
        <v>28</v>
      </c>
      <c r="L25" s="3" t="s">
        <v>98</v>
      </c>
    </row>
    <row r="26" ht="15.75" customHeight="1">
      <c r="A26" s="3">
        <v>1.14954173E8</v>
      </c>
      <c r="B26" s="3" t="s">
        <v>455</v>
      </c>
      <c r="C26" s="3">
        <v>8.0</v>
      </c>
      <c r="D26" s="10">
        <v>2.0</v>
      </c>
      <c r="E26" s="11">
        <v>2010.0</v>
      </c>
      <c r="F26" s="13">
        <v>59236.17</v>
      </c>
      <c r="G26" s="13">
        <v>43935.08</v>
      </c>
      <c r="H26" s="13">
        <v>15301.089999999997</v>
      </c>
      <c r="I26" s="14">
        <v>0.25830653804930326</v>
      </c>
      <c r="J26" s="3" t="s">
        <v>8</v>
      </c>
      <c r="K26" s="3" t="s">
        <v>28</v>
      </c>
      <c r="L26" s="3" t="s">
        <v>33</v>
      </c>
    </row>
    <row r="27" ht="15.75" customHeight="1">
      <c r="A27" s="3">
        <v>1.15363156E8</v>
      </c>
      <c r="B27" s="3" t="s">
        <v>740</v>
      </c>
      <c r="C27" s="3">
        <v>37.0</v>
      </c>
      <c r="D27" s="10">
        <v>12.0</v>
      </c>
      <c r="E27" s="11">
        <v>2015.0</v>
      </c>
      <c r="F27" s="13">
        <v>4803324.96</v>
      </c>
      <c r="G27" s="13">
        <v>3872104.9600000004</v>
      </c>
      <c r="H27" s="13">
        <v>931219.9999999995</v>
      </c>
      <c r="I27" s="14">
        <v>0.19386987300563557</v>
      </c>
      <c r="J27" s="3" t="s">
        <v>7</v>
      </c>
      <c r="K27" s="3" t="s">
        <v>28</v>
      </c>
      <c r="L27" s="3" t="s">
        <v>98</v>
      </c>
    </row>
    <row r="28" ht="15.75" customHeight="1">
      <c r="A28" s="3">
        <v>1.17929494E8</v>
      </c>
      <c r="B28" s="3" t="s">
        <v>821</v>
      </c>
      <c r="C28" s="3">
        <v>37.0</v>
      </c>
      <c r="D28" s="10">
        <v>1.0</v>
      </c>
      <c r="E28" s="11">
        <v>2015.0</v>
      </c>
      <c r="F28" s="13">
        <v>63565.29</v>
      </c>
      <c r="G28" s="13">
        <v>47145.96</v>
      </c>
      <c r="H28" s="13">
        <v>16419.33</v>
      </c>
      <c r="I28" s="14">
        <v>0.25830653804930337</v>
      </c>
      <c r="J28" s="3" t="s">
        <v>8</v>
      </c>
      <c r="K28" s="3" t="s">
        <v>821</v>
      </c>
      <c r="L28" s="3" t="s">
        <v>821</v>
      </c>
    </row>
    <row r="29" ht="15.75" customHeight="1">
      <c r="A29" s="3">
        <v>1.18086564E8</v>
      </c>
      <c r="B29" s="3" t="s">
        <v>542</v>
      </c>
      <c r="C29" s="3">
        <v>23.0</v>
      </c>
      <c r="D29" s="10">
        <v>2.0</v>
      </c>
      <c r="E29" s="11">
        <v>2016.0</v>
      </c>
      <c r="F29" s="13">
        <v>502445.94000000006</v>
      </c>
      <c r="G29" s="13">
        <v>320869.92</v>
      </c>
      <c r="H29" s="13">
        <v>181576.02000000008</v>
      </c>
      <c r="I29" s="14">
        <v>0.36138419189933163</v>
      </c>
      <c r="J29" s="3" t="s">
        <v>13</v>
      </c>
      <c r="K29" s="3" t="s">
        <v>28</v>
      </c>
      <c r="L29" s="3" t="s">
        <v>29</v>
      </c>
    </row>
    <row r="30" ht="15.75" customHeight="1">
      <c r="A30" s="3">
        <v>1.18659913E8</v>
      </c>
      <c r="B30" s="3" t="s">
        <v>218</v>
      </c>
      <c r="C30" s="3">
        <v>15.0</v>
      </c>
      <c r="D30" s="10">
        <v>8.0</v>
      </c>
      <c r="E30" s="11">
        <v>2014.0</v>
      </c>
      <c r="F30" s="13">
        <v>608872.0</v>
      </c>
      <c r="G30" s="13">
        <v>346645.6</v>
      </c>
      <c r="H30" s="13">
        <v>262226.4</v>
      </c>
      <c r="I30" s="14">
        <v>0.43067574137092857</v>
      </c>
      <c r="J30" s="3" t="s">
        <v>3</v>
      </c>
      <c r="K30" s="3" t="s">
        <v>28</v>
      </c>
      <c r="L30" s="3" t="s">
        <v>98</v>
      </c>
    </row>
    <row r="31" ht="15.75" customHeight="1">
      <c r="A31" s="3">
        <v>1.18859469E8</v>
      </c>
      <c r="B31" s="3" t="s">
        <v>821</v>
      </c>
      <c r="C31" s="3">
        <v>29.0</v>
      </c>
      <c r="D31" s="10">
        <v>6.0</v>
      </c>
      <c r="E31" s="11">
        <v>2011.0</v>
      </c>
      <c r="F31" s="13">
        <v>307143.54000000004</v>
      </c>
      <c r="G31" s="13">
        <v>196146.72</v>
      </c>
      <c r="H31" s="13">
        <v>110996.82000000004</v>
      </c>
      <c r="I31" s="14">
        <v>0.3613841918993316</v>
      </c>
      <c r="J31" s="3" t="s">
        <v>13</v>
      </c>
      <c r="K31" s="3" t="s">
        <v>821</v>
      </c>
      <c r="L31" s="3" t="s">
        <v>821</v>
      </c>
    </row>
    <row r="32" ht="15.75" customHeight="1">
      <c r="A32" s="3">
        <v>1.19935786E8</v>
      </c>
      <c r="B32" s="3" t="s">
        <v>590</v>
      </c>
      <c r="C32" s="3">
        <v>13.0</v>
      </c>
      <c r="D32" s="10">
        <v>1.0</v>
      </c>
      <c r="E32" s="11">
        <v>2015.0</v>
      </c>
      <c r="F32" s="13">
        <v>42417.87</v>
      </c>
      <c r="G32" s="13">
        <v>29411.73</v>
      </c>
      <c r="H32" s="13">
        <v>13006.140000000003</v>
      </c>
      <c r="I32" s="14">
        <v>0.30661935641747223</v>
      </c>
      <c r="J32" s="3" t="s">
        <v>14</v>
      </c>
      <c r="K32" s="3" t="s">
        <v>28</v>
      </c>
      <c r="L32" s="3" t="s">
        <v>98</v>
      </c>
    </row>
    <row r="33" ht="15.75" customHeight="1">
      <c r="A33" s="3">
        <v>1.20419871E8</v>
      </c>
      <c r="B33" s="3" t="s">
        <v>431</v>
      </c>
      <c r="C33" s="3">
        <v>44.0</v>
      </c>
      <c r="D33" s="10">
        <v>5.0</v>
      </c>
      <c r="E33" s="11">
        <v>2015.0</v>
      </c>
      <c r="F33" s="13">
        <v>308203.83</v>
      </c>
      <c r="G33" s="13">
        <v>213702.57</v>
      </c>
      <c r="H33" s="13">
        <v>94501.26000000001</v>
      </c>
      <c r="I33" s="14">
        <v>0.3066193564174722</v>
      </c>
      <c r="J33" s="3" t="s">
        <v>14</v>
      </c>
      <c r="K33" s="3" t="s">
        <v>28</v>
      </c>
      <c r="L33" s="3" t="s">
        <v>29</v>
      </c>
    </row>
    <row r="34" ht="15.75" customHeight="1">
      <c r="A34" s="3">
        <v>1.20977771E8</v>
      </c>
      <c r="B34" s="3" t="s">
        <v>67</v>
      </c>
      <c r="C34" s="3">
        <v>40.0</v>
      </c>
      <c r="D34" s="10">
        <v>3.0</v>
      </c>
      <c r="E34" s="11">
        <v>2011.0</v>
      </c>
      <c r="F34" s="13">
        <v>82719.78</v>
      </c>
      <c r="G34" s="13">
        <v>61352.72</v>
      </c>
      <c r="H34" s="13">
        <v>21367.059999999998</v>
      </c>
      <c r="I34" s="14">
        <v>0.2583065380493033</v>
      </c>
      <c r="J34" s="3" t="s">
        <v>8</v>
      </c>
      <c r="K34" s="3" t="s">
        <v>23</v>
      </c>
      <c r="L34" s="3" t="s">
        <v>68</v>
      </c>
    </row>
    <row r="35" ht="15.75" customHeight="1">
      <c r="A35" s="3">
        <v>1.21380746E8</v>
      </c>
      <c r="B35" s="3" t="s">
        <v>455</v>
      </c>
      <c r="C35" s="3">
        <v>27.0</v>
      </c>
      <c r="D35" s="10">
        <v>11.0</v>
      </c>
      <c r="E35" s="11">
        <v>2016.0</v>
      </c>
      <c r="F35" s="13">
        <v>75712.95</v>
      </c>
      <c r="G35" s="13">
        <v>56155.8</v>
      </c>
      <c r="H35" s="13">
        <v>19557.149999999994</v>
      </c>
      <c r="I35" s="14">
        <v>0.25830653804930326</v>
      </c>
      <c r="J35" s="3" t="s">
        <v>8</v>
      </c>
      <c r="K35" s="3" t="s">
        <v>28</v>
      </c>
      <c r="L35" s="3" t="s">
        <v>33</v>
      </c>
    </row>
    <row r="36" ht="15.75" customHeight="1">
      <c r="A36" s="3">
        <v>1.21945512E8</v>
      </c>
      <c r="B36" s="3" t="s">
        <v>746</v>
      </c>
      <c r="C36" s="3">
        <v>4.0</v>
      </c>
      <c r="D36" s="10">
        <v>4.0</v>
      </c>
      <c r="E36" s="11">
        <v>2017.0</v>
      </c>
      <c r="F36" s="13">
        <v>248732.90000000002</v>
      </c>
      <c r="G36" s="13">
        <v>166643.18</v>
      </c>
      <c r="H36" s="13">
        <v>82089.72000000003</v>
      </c>
      <c r="I36" s="14">
        <v>0.3300316122233931</v>
      </c>
      <c r="J36" s="3" t="s">
        <v>6</v>
      </c>
      <c r="K36" s="3" t="s">
        <v>28</v>
      </c>
      <c r="L36" s="3" t="s">
        <v>29</v>
      </c>
    </row>
    <row r="37" ht="15.75" customHeight="1">
      <c r="A37" s="3">
        <v>1.2214421E8</v>
      </c>
      <c r="B37" s="3" t="s">
        <v>488</v>
      </c>
      <c r="C37" s="3">
        <v>27.0</v>
      </c>
      <c r="D37" s="10">
        <v>4.0</v>
      </c>
      <c r="E37" s="11">
        <v>2017.0</v>
      </c>
      <c r="F37" s="13">
        <v>191745.45</v>
      </c>
      <c r="G37" s="13">
        <v>128463.39</v>
      </c>
      <c r="H37" s="13">
        <v>63282.06000000001</v>
      </c>
      <c r="I37" s="14">
        <v>0.3300316122233931</v>
      </c>
      <c r="J37" s="3" t="s">
        <v>6</v>
      </c>
      <c r="K37" s="3" t="s">
        <v>28</v>
      </c>
      <c r="L37" s="3" t="s">
        <v>33</v>
      </c>
    </row>
    <row r="38" ht="15.75" customHeight="1">
      <c r="A38" s="3">
        <v>1.22372519E8</v>
      </c>
      <c r="B38" s="3" t="s">
        <v>578</v>
      </c>
      <c r="C38" s="3">
        <v>3.0</v>
      </c>
      <c r="D38" s="10">
        <v>1.0</v>
      </c>
      <c r="E38" s="11">
        <v>2016.0</v>
      </c>
      <c r="F38" s="13">
        <v>76062.35</v>
      </c>
      <c r="G38" s="13">
        <v>50959.369999999995</v>
      </c>
      <c r="H38" s="13">
        <v>25102.98000000001</v>
      </c>
      <c r="I38" s="14">
        <v>0.33003161222339317</v>
      </c>
      <c r="J38" s="3" t="s">
        <v>6</v>
      </c>
      <c r="K38" s="3" t="s">
        <v>28</v>
      </c>
      <c r="L38" s="3" t="s">
        <v>33</v>
      </c>
    </row>
    <row r="39" ht="15.75" customHeight="1">
      <c r="A39" s="3">
        <v>1.22967326E8</v>
      </c>
      <c r="B39" s="3" t="s">
        <v>97</v>
      </c>
      <c r="C39" s="3">
        <v>32.0</v>
      </c>
      <c r="D39" s="10">
        <v>3.0</v>
      </c>
      <c r="E39" s="11">
        <v>2017.0</v>
      </c>
      <c r="F39" s="13">
        <v>361521.55000000005</v>
      </c>
      <c r="G39" s="13">
        <v>242208.00999999998</v>
      </c>
      <c r="H39" s="13">
        <v>119313.54000000007</v>
      </c>
      <c r="I39" s="14">
        <v>0.33003161222339317</v>
      </c>
      <c r="J39" s="3" t="s">
        <v>6</v>
      </c>
      <c r="K39" s="3" t="s">
        <v>28</v>
      </c>
      <c r="L39" s="3" t="s">
        <v>98</v>
      </c>
    </row>
    <row r="40" ht="15.75" customHeight="1">
      <c r="A40" s="3">
        <v>1.23086202E8</v>
      </c>
      <c r="B40" s="3" t="s">
        <v>248</v>
      </c>
      <c r="C40" s="3">
        <v>49.0</v>
      </c>
      <c r="D40" s="10">
        <v>1.0</v>
      </c>
      <c r="E40" s="11">
        <v>2014.0</v>
      </c>
      <c r="F40" s="13">
        <v>714018.16</v>
      </c>
      <c r="G40" s="13">
        <v>445897.74</v>
      </c>
      <c r="H40" s="13">
        <v>268120.42000000004</v>
      </c>
      <c r="I40" s="14">
        <v>0.37550924475086184</v>
      </c>
      <c r="J40" s="3" t="s">
        <v>10</v>
      </c>
      <c r="K40" s="3" t="s">
        <v>28</v>
      </c>
      <c r="L40" s="3" t="s">
        <v>29</v>
      </c>
    </row>
    <row r="41" ht="15.75" customHeight="1">
      <c r="A41" s="3">
        <v>1.23544108E8</v>
      </c>
      <c r="B41" s="3" t="s">
        <v>78</v>
      </c>
      <c r="C41" s="3">
        <v>40.0</v>
      </c>
      <c r="D41" s="10">
        <v>5.0</v>
      </c>
      <c r="E41" s="11">
        <v>2010.0</v>
      </c>
      <c r="F41" s="13">
        <v>1707721.4</v>
      </c>
      <c r="G41" s="13">
        <v>972247.22</v>
      </c>
      <c r="H41" s="13">
        <v>735474.1799999999</v>
      </c>
      <c r="I41" s="14">
        <v>0.4306757413709285</v>
      </c>
      <c r="J41" s="3" t="s">
        <v>3</v>
      </c>
      <c r="K41" s="3" t="s">
        <v>28</v>
      </c>
      <c r="L41" s="3" t="s">
        <v>79</v>
      </c>
    </row>
    <row r="42" ht="15.75" customHeight="1">
      <c r="A42" s="3">
        <v>1.2393893E8</v>
      </c>
      <c r="B42" s="3" t="s">
        <v>97</v>
      </c>
      <c r="C42" s="3">
        <v>9.0</v>
      </c>
      <c r="D42" s="10">
        <v>7.0</v>
      </c>
      <c r="E42" s="11">
        <v>2012.0</v>
      </c>
      <c r="F42" s="13">
        <v>243798.1</v>
      </c>
      <c r="G42" s="13">
        <v>163337.02</v>
      </c>
      <c r="H42" s="13">
        <v>80461.08000000002</v>
      </c>
      <c r="I42" s="14">
        <v>0.3300316122233931</v>
      </c>
      <c r="J42" s="3" t="s">
        <v>6</v>
      </c>
      <c r="K42" s="3" t="s">
        <v>28</v>
      </c>
      <c r="L42" s="3" t="s">
        <v>98</v>
      </c>
    </row>
    <row r="43" ht="15.75" customHeight="1">
      <c r="A43" s="3">
        <v>1.25339686E8</v>
      </c>
      <c r="B43" s="3" t="s">
        <v>536</v>
      </c>
      <c r="C43" s="3">
        <v>13.0</v>
      </c>
      <c r="D43" s="10">
        <v>7.0</v>
      </c>
      <c r="E43" s="11">
        <v>2017.0</v>
      </c>
      <c r="F43" s="13">
        <v>1472854.7400000002</v>
      </c>
      <c r="G43" s="13">
        <v>940588.32</v>
      </c>
      <c r="H43" s="13">
        <v>532266.4200000003</v>
      </c>
      <c r="I43" s="14">
        <v>0.36138419189933163</v>
      </c>
      <c r="J43" s="3" t="s">
        <v>13</v>
      </c>
      <c r="K43" s="3" t="s">
        <v>28</v>
      </c>
      <c r="L43" s="3" t="s">
        <v>33</v>
      </c>
    </row>
    <row r="44" ht="15.75" customHeight="1">
      <c r="A44" s="3">
        <v>1.25349128E8</v>
      </c>
      <c r="B44" s="3" t="s">
        <v>623</v>
      </c>
      <c r="C44" s="3">
        <v>19.0</v>
      </c>
      <c r="D44" s="10">
        <v>5.0</v>
      </c>
      <c r="E44" s="11">
        <v>2012.0</v>
      </c>
      <c r="F44" s="13">
        <v>503347.89999999997</v>
      </c>
      <c r="G44" s="13">
        <v>286568.17</v>
      </c>
      <c r="H44" s="13">
        <v>216779.72999999998</v>
      </c>
      <c r="I44" s="14">
        <v>0.4306757413709285</v>
      </c>
      <c r="J44" s="3" t="s">
        <v>3</v>
      </c>
      <c r="K44" s="3" t="s">
        <v>28</v>
      </c>
      <c r="L44" s="3" t="s">
        <v>33</v>
      </c>
    </row>
    <row r="45" ht="15.75" customHeight="1">
      <c r="A45" s="3">
        <v>1.26948583E8</v>
      </c>
      <c r="B45" s="3" t="s">
        <v>821</v>
      </c>
      <c r="C45" s="3">
        <v>46.0</v>
      </c>
      <c r="D45" s="10">
        <v>5.0</v>
      </c>
      <c r="E45" s="11">
        <v>2017.0</v>
      </c>
      <c r="F45" s="13">
        <v>1470923.36</v>
      </c>
      <c r="G45" s="13">
        <v>918578.0399999999</v>
      </c>
      <c r="H45" s="13">
        <v>552345.3200000002</v>
      </c>
      <c r="I45" s="14">
        <v>0.3755092447508619</v>
      </c>
      <c r="J45" s="3" t="s">
        <v>10</v>
      </c>
      <c r="K45" s="3" t="s">
        <v>821</v>
      </c>
      <c r="L45" s="3" t="s">
        <v>821</v>
      </c>
    </row>
    <row r="46" ht="15.75" customHeight="1">
      <c r="A46" s="3">
        <v>1.27694451E8</v>
      </c>
      <c r="B46" s="3" t="s">
        <v>248</v>
      </c>
      <c r="C46" s="3">
        <v>20.0</v>
      </c>
      <c r="D46" s="10">
        <v>12.0</v>
      </c>
      <c r="E46" s="11">
        <v>2011.0</v>
      </c>
      <c r="F46" s="13">
        <v>998462.86</v>
      </c>
      <c r="G46" s="13">
        <v>589317.3300000001</v>
      </c>
      <c r="H46" s="13">
        <v>409145.5299999999</v>
      </c>
      <c r="I46" s="14">
        <v>0.4097754121770738</v>
      </c>
      <c r="J46" s="3" t="s">
        <v>9</v>
      </c>
      <c r="K46" s="3" t="s">
        <v>28</v>
      </c>
      <c r="L46" s="3" t="s">
        <v>29</v>
      </c>
    </row>
    <row r="47" ht="15.75" customHeight="1">
      <c r="A47" s="3">
        <v>1.27838218E8</v>
      </c>
      <c r="B47" s="3" t="s">
        <v>512</v>
      </c>
      <c r="C47" s="3">
        <v>39.0</v>
      </c>
      <c r="D47" s="10">
        <v>9.0</v>
      </c>
      <c r="E47" s="11">
        <v>2013.0</v>
      </c>
      <c r="F47" s="13">
        <v>84193.92</v>
      </c>
      <c r="G47" s="13">
        <v>62446.08</v>
      </c>
      <c r="H47" s="13">
        <v>21747.839999999997</v>
      </c>
      <c r="I47" s="14">
        <v>0.2583065380493033</v>
      </c>
      <c r="J47" s="3" t="s">
        <v>8</v>
      </c>
      <c r="K47" s="3" t="s">
        <v>28</v>
      </c>
      <c r="L47" s="3" t="s">
        <v>79</v>
      </c>
    </row>
    <row r="48" ht="15.75" customHeight="1">
      <c r="A48" s="3">
        <v>1.28003442E8</v>
      </c>
      <c r="B48" s="3" t="s">
        <v>689</v>
      </c>
      <c r="C48" s="3">
        <v>44.0</v>
      </c>
      <c r="D48" s="10">
        <v>9.0</v>
      </c>
      <c r="E48" s="11">
        <v>2010.0</v>
      </c>
      <c r="F48" s="13">
        <v>2021307.04</v>
      </c>
      <c r="G48" s="13">
        <v>1262287.5599999998</v>
      </c>
      <c r="H48" s="13">
        <v>759019.4800000002</v>
      </c>
      <c r="I48" s="14">
        <v>0.3755092447508619</v>
      </c>
      <c r="J48" s="3" t="s">
        <v>10</v>
      </c>
      <c r="K48" s="3" t="s">
        <v>28</v>
      </c>
      <c r="L48" s="3" t="s">
        <v>79</v>
      </c>
    </row>
    <row r="49" ht="15.75" customHeight="1">
      <c r="A49" s="3">
        <v>1.28686225E8</v>
      </c>
      <c r="B49" s="3" t="s">
        <v>346</v>
      </c>
      <c r="C49" s="3">
        <v>47.0</v>
      </c>
      <c r="D49" s="10">
        <v>1.0</v>
      </c>
      <c r="E49" s="11">
        <v>2011.0</v>
      </c>
      <c r="F49" s="13">
        <v>2544631.04</v>
      </c>
      <c r="G49" s="13">
        <v>1589098.5599999998</v>
      </c>
      <c r="H49" s="13">
        <v>955532.4800000002</v>
      </c>
      <c r="I49" s="14">
        <v>0.3755092447508619</v>
      </c>
      <c r="J49" s="3" t="s">
        <v>10</v>
      </c>
      <c r="K49" s="3" t="s">
        <v>28</v>
      </c>
      <c r="L49" s="3" t="s">
        <v>98</v>
      </c>
    </row>
    <row r="50" ht="15.75" customHeight="1">
      <c r="A50" s="3">
        <v>1.28766906E8</v>
      </c>
      <c r="B50" s="3" t="s">
        <v>821</v>
      </c>
      <c r="C50" s="3">
        <v>43.0</v>
      </c>
      <c r="D50" s="10">
        <v>2.0</v>
      </c>
      <c r="E50" s="11">
        <v>2011.0</v>
      </c>
      <c r="F50" s="13">
        <v>2568829.88</v>
      </c>
      <c r="G50" s="13">
        <v>1931763.76</v>
      </c>
      <c r="H50" s="13">
        <v>637066.1199999999</v>
      </c>
      <c r="I50" s="14">
        <v>0.24799856345489096</v>
      </c>
      <c r="J50" s="3" t="s">
        <v>4</v>
      </c>
      <c r="K50" s="3" t="s">
        <v>821</v>
      </c>
      <c r="L50" s="3" t="s">
        <v>821</v>
      </c>
    </row>
    <row r="51" ht="15.75" customHeight="1">
      <c r="A51" s="3">
        <v>1.29127395E8</v>
      </c>
      <c r="B51" s="3" t="s">
        <v>413</v>
      </c>
      <c r="C51" s="3">
        <v>4.0</v>
      </c>
      <c r="D51" s="10">
        <v>6.0</v>
      </c>
      <c r="E51" s="11">
        <v>2013.0</v>
      </c>
      <c r="F51" s="13">
        <v>338629.2</v>
      </c>
      <c r="G51" s="13">
        <v>272979.2</v>
      </c>
      <c r="H51" s="13">
        <v>65650.0</v>
      </c>
      <c r="I51" s="14">
        <v>0.19386987300563566</v>
      </c>
      <c r="J51" s="3" t="s">
        <v>7</v>
      </c>
      <c r="K51" s="3" t="s">
        <v>28</v>
      </c>
      <c r="L51" s="3" t="s">
        <v>29</v>
      </c>
    </row>
    <row r="52" ht="15.75" customHeight="1">
      <c r="A52" s="3">
        <v>1.29169023E8</v>
      </c>
      <c r="B52" s="3" t="s">
        <v>821</v>
      </c>
      <c r="C52" s="3">
        <v>40.0</v>
      </c>
      <c r="D52" s="10">
        <v>6.0</v>
      </c>
      <c r="E52" s="11">
        <v>2012.0</v>
      </c>
      <c r="F52" s="13">
        <v>134710.55000000002</v>
      </c>
      <c r="G52" s="13">
        <v>90251.81</v>
      </c>
      <c r="H52" s="13">
        <v>44458.74000000002</v>
      </c>
      <c r="I52" s="14">
        <v>0.33003161222339317</v>
      </c>
      <c r="J52" s="3" t="s">
        <v>6</v>
      </c>
      <c r="K52" s="3" t="s">
        <v>821</v>
      </c>
      <c r="L52" s="3" t="s">
        <v>821</v>
      </c>
    </row>
    <row r="53" ht="15.75" customHeight="1">
      <c r="A53" s="3">
        <v>1.29875409E8</v>
      </c>
      <c r="B53" s="3" t="s">
        <v>431</v>
      </c>
      <c r="C53" s="3">
        <v>7.0</v>
      </c>
      <c r="D53" s="10">
        <v>4.0</v>
      </c>
      <c r="E53" s="11">
        <v>2011.0</v>
      </c>
      <c r="F53" s="13">
        <v>153243.75</v>
      </c>
      <c r="G53" s="13">
        <v>106256.25</v>
      </c>
      <c r="H53" s="13">
        <v>46987.5</v>
      </c>
      <c r="I53" s="14">
        <v>0.3066193564174722</v>
      </c>
      <c r="J53" s="3" t="s">
        <v>14</v>
      </c>
      <c r="K53" s="3" t="s">
        <v>28</v>
      </c>
      <c r="L53" s="3" t="s">
        <v>29</v>
      </c>
    </row>
    <row r="54" ht="15.75" customHeight="1">
      <c r="A54" s="3">
        <v>1.29902875E8</v>
      </c>
      <c r="B54" s="3" t="s">
        <v>142</v>
      </c>
      <c r="C54" s="3">
        <v>34.0</v>
      </c>
      <c r="D54" s="10">
        <v>3.0</v>
      </c>
      <c r="E54" s="11">
        <v>2014.0</v>
      </c>
      <c r="F54" s="13">
        <v>1336.54</v>
      </c>
      <c r="G54" s="13">
        <v>1005.08</v>
      </c>
      <c r="H54" s="13">
        <v>331.4599999999999</v>
      </c>
      <c r="I54" s="14">
        <v>0.24799856345489094</v>
      </c>
      <c r="J54" s="3" t="s">
        <v>4</v>
      </c>
      <c r="K54" s="3" t="s">
        <v>28</v>
      </c>
      <c r="L54" s="3" t="s">
        <v>98</v>
      </c>
    </row>
    <row r="55" ht="15.75" customHeight="1">
      <c r="A55" s="3">
        <v>1.30356919E8</v>
      </c>
      <c r="B55" s="3" t="s">
        <v>689</v>
      </c>
      <c r="C55" s="3">
        <v>13.0</v>
      </c>
      <c r="D55" s="10">
        <v>9.0</v>
      </c>
      <c r="E55" s="11">
        <v>2013.0</v>
      </c>
      <c r="F55" s="13">
        <v>672317.84</v>
      </c>
      <c r="G55" s="13">
        <v>396818.52</v>
      </c>
      <c r="H55" s="13">
        <v>275499.31999999995</v>
      </c>
      <c r="I55" s="14">
        <v>0.4097754121770738</v>
      </c>
      <c r="J55" s="3" t="s">
        <v>9</v>
      </c>
      <c r="K55" s="3" t="s">
        <v>28</v>
      </c>
      <c r="L55" s="3" t="s">
        <v>79</v>
      </c>
    </row>
    <row r="56" ht="15.75" customHeight="1">
      <c r="A56" s="3">
        <v>1.30754315E8</v>
      </c>
      <c r="B56" s="3" t="s">
        <v>270</v>
      </c>
      <c r="C56" s="3">
        <v>6.0</v>
      </c>
      <c r="D56" s="10">
        <v>10.0</v>
      </c>
      <c r="E56" s="11">
        <v>2013.0</v>
      </c>
      <c r="F56" s="13">
        <v>1277674.02</v>
      </c>
      <c r="G56" s="13">
        <v>1029971.52</v>
      </c>
      <c r="H56" s="13">
        <v>247702.5</v>
      </c>
      <c r="I56" s="14">
        <v>0.19386987300563566</v>
      </c>
      <c r="J56" s="3" t="s">
        <v>7</v>
      </c>
      <c r="K56" s="3" t="s">
        <v>28</v>
      </c>
      <c r="L56" s="3" t="s">
        <v>79</v>
      </c>
    </row>
    <row r="57" ht="15.75" customHeight="1">
      <c r="A57" s="3">
        <v>1.31585586E8</v>
      </c>
      <c r="B57" s="3" t="s">
        <v>270</v>
      </c>
      <c r="C57" s="3">
        <v>31.0</v>
      </c>
      <c r="D57" s="10">
        <v>3.0</v>
      </c>
      <c r="E57" s="11">
        <v>2017.0</v>
      </c>
      <c r="F57" s="13">
        <v>650080.42</v>
      </c>
      <c r="G57" s="13">
        <v>450753.18</v>
      </c>
      <c r="H57" s="13">
        <v>199327.24000000005</v>
      </c>
      <c r="I57" s="14">
        <v>0.30661935641747223</v>
      </c>
      <c r="J57" s="3" t="s">
        <v>14</v>
      </c>
      <c r="K57" s="3" t="s">
        <v>28</v>
      </c>
      <c r="L57" s="3" t="s">
        <v>79</v>
      </c>
    </row>
    <row r="58" ht="15.75" customHeight="1">
      <c r="A58" s="3">
        <v>1.32069671E8</v>
      </c>
      <c r="B58" s="3" t="s">
        <v>78</v>
      </c>
      <c r="C58" s="3">
        <v>11.0</v>
      </c>
      <c r="D58" s="10">
        <v>7.0</v>
      </c>
      <c r="E58" s="11">
        <v>2017.0</v>
      </c>
      <c r="F58" s="13">
        <v>98484.65000000001</v>
      </c>
      <c r="G58" s="13">
        <v>68287.35</v>
      </c>
      <c r="H58" s="13">
        <v>30197.300000000003</v>
      </c>
      <c r="I58" s="14">
        <v>0.3066193564174722</v>
      </c>
      <c r="J58" s="3" t="s">
        <v>14</v>
      </c>
      <c r="K58" s="3" t="s">
        <v>28</v>
      </c>
      <c r="L58" s="3" t="s">
        <v>79</v>
      </c>
    </row>
    <row r="59" ht="15.75" customHeight="1">
      <c r="A59" s="3">
        <v>1.32603538E8</v>
      </c>
      <c r="B59" s="3" t="s">
        <v>346</v>
      </c>
      <c r="C59" s="3">
        <v>47.0</v>
      </c>
      <c r="D59" s="10">
        <v>9.0</v>
      </c>
      <c r="E59" s="11">
        <v>2012.0</v>
      </c>
      <c r="F59" s="13">
        <v>4016993.6</v>
      </c>
      <c r="G59" s="13">
        <v>2419476.04</v>
      </c>
      <c r="H59" s="13">
        <v>1597517.56</v>
      </c>
      <c r="I59" s="14">
        <v>0.39768984446477584</v>
      </c>
      <c r="J59" s="3" t="s">
        <v>12</v>
      </c>
      <c r="K59" s="3" t="s">
        <v>28</v>
      </c>
      <c r="L59" s="3" t="s">
        <v>98</v>
      </c>
    </row>
    <row r="60" ht="15.75" customHeight="1">
      <c r="A60" s="3">
        <v>1.3327645E8</v>
      </c>
      <c r="B60" s="3" t="s">
        <v>821</v>
      </c>
      <c r="C60" s="3">
        <v>48.0</v>
      </c>
      <c r="D60" s="10">
        <v>1.0</v>
      </c>
      <c r="E60" s="11">
        <v>2016.0</v>
      </c>
      <c r="F60" s="13">
        <v>679830.14</v>
      </c>
      <c r="G60" s="13">
        <v>471381.06</v>
      </c>
      <c r="H60" s="13">
        <v>208449.08000000002</v>
      </c>
      <c r="I60" s="14">
        <v>0.3066193564174722</v>
      </c>
      <c r="J60" s="3" t="s">
        <v>14</v>
      </c>
      <c r="K60" s="3" t="s">
        <v>821</v>
      </c>
      <c r="L60" s="3" t="s">
        <v>821</v>
      </c>
    </row>
    <row r="61" ht="15.75" customHeight="1">
      <c r="A61" s="3">
        <v>1.34121024E8</v>
      </c>
      <c r="B61" s="3" t="s">
        <v>248</v>
      </c>
      <c r="C61" s="3">
        <v>39.0</v>
      </c>
      <c r="D61" s="10">
        <v>2.0</v>
      </c>
      <c r="E61" s="11">
        <v>2011.0</v>
      </c>
      <c r="F61" s="13">
        <v>1270378.76</v>
      </c>
      <c r="G61" s="13">
        <v>749808.78</v>
      </c>
      <c r="H61" s="13">
        <v>520569.98</v>
      </c>
      <c r="I61" s="14">
        <v>0.40977541217707386</v>
      </c>
      <c r="J61" s="3" t="s">
        <v>9</v>
      </c>
      <c r="K61" s="3" t="s">
        <v>28</v>
      </c>
      <c r="L61" s="3" t="s">
        <v>29</v>
      </c>
    </row>
    <row r="62" ht="15.75" customHeight="1">
      <c r="A62" s="3">
        <v>1.34790503E8</v>
      </c>
      <c r="B62" s="3" t="s">
        <v>373</v>
      </c>
      <c r="C62" s="3">
        <v>24.0</v>
      </c>
      <c r="D62" s="10">
        <v>4.0</v>
      </c>
      <c r="E62" s="11">
        <v>2012.0</v>
      </c>
      <c r="F62" s="13">
        <v>695020.8</v>
      </c>
      <c r="G62" s="13">
        <v>227942.40000000002</v>
      </c>
      <c r="H62" s="13">
        <v>467078.4</v>
      </c>
      <c r="I62" s="14">
        <v>0.6720351390922401</v>
      </c>
      <c r="J62" s="3" t="s">
        <v>5</v>
      </c>
      <c r="K62" s="3" t="s">
        <v>28</v>
      </c>
      <c r="L62" s="3" t="s">
        <v>33</v>
      </c>
    </row>
    <row r="63" ht="15.75" customHeight="1">
      <c r="A63" s="3">
        <v>1.36624276E8</v>
      </c>
      <c r="B63" s="3" t="s">
        <v>413</v>
      </c>
      <c r="C63" s="3">
        <v>17.0</v>
      </c>
      <c r="D63" s="10">
        <v>2.0</v>
      </c>
      <c r="E63" s="11">
        <v>2016.0</v>
      </c>
      <c r="F63" s="13">
        <v>427714.30000000005</v>
      </c>
      <c r="G63" s="13">
        <v>286555.06</v>
      </c>
      <c r="H63" s="13">
        <v>141159.24000000005</v>
      </c>
      <c r="I63" s="14">
        <v>0.3300316122233931</v>
      </c>
      <c r="J63" s="3" t="s">
        <v>6</v>
      </c>
      <c r="K63" s="3" t="s">
        <v>28</v>
      </c>
      <c r="L63" s="3" t="s">
        <v>29</v>
      </c>
    </row>
    <row r="64" ht="15.75" customHeight="1">
      <c r="A64" s="3">
        <v>1.38025033E8</v>
      </c>
      <c r="B64" s="3" t="s">
        <v>746</v>
      </c>
      <c r="C64" s="3">
        <v>21.0</v>
      </c>
      <c r="D64" s="10">
        <v>7.0</v>
      </c>
      <c r="E64" s="11">
        <v>2013.0</v>
      </c>
      <c r="F64" s="13">
        <v>538454.8200000001</v>
      </c>
      <c r="G64" s="13">
        <v>343865.76</v>
      </c>
      <c r="H64" s="13">
        <v>194589.06000000006</v>
      </c>
      <c r="I64" s="14">
        <v>0.3613841918993316</v>
      </c>
      <c r="J64" s="3" t="s">
        <v>13</v>
      </c>
      <c r="K64" s="3" t="s">
        <v>28</v>
      </c>
      <c r="L64" s="3" t="s">
        <v>29</v>
      </c>
    </row>
    <row r="65" ht="15.75" customHeight="1">
      <c r="A65" s="3">
        <v>1.38182103E8</v>
      </c>
      <c r="B65" s="3" t="s">
        <v>512</v>
      </c>
      <c r="C65" s="3">
        <v>7.0</v>
      </c>
      <c r="D65" s="10">
        <v>8.0</v>
      </c>
      <c r="E65" s="11">
        <v>2014.0</v>
      </c>
      <c r="F65" s="13">
        <v>6512.1</v>
      </c>
      <c r="G65" s="13">
        <v>5249.6</v>
      </c>
      <c r="H65" s="13">
        <v>1262.5</v>
      </c>
      <c r="I65" s="14">
        <v>0.19386987300563566</v>
      </c>
      <c r="J65" s="3" t="s">
        <v>7</v>
      </c>
      <c r="K65" s="3" t="s">
        <v>28</v>
      </c>
      <c r="L65" s="3" t="s">
        <v>79</v>
      </c>
    </row>
    <row r="66" ht="15.75" customHeight="1">
      <c r="A66" s="3">
        <v>1.38820683E8</v>
      </c>
      <c r="B66" s="3" t="s">
        <v>593</v>
      </c>
      <c r="C66" s="3">
        <v>0.0</v>
      </c>
      <c r="D66" s="10">
        <v>7.0</v>
      </c>
      <c r="E66" s="11">
        <v>2010.0</v>
      </c>
      <c r="F66" s="13">
        <v>981334.4</v>
      </c>
      <c r="G66" s="13">
        <v>321843.2</v>
      </c>
      <c r="H66" s="13">
        <v>659491.2</v>
      </c>
      <c r="I66" s="14">
        <v>0.6720351390922401</v>
      </c>
      <c r="J66" s="3" t="s">
        <v>5</v>
      </c>
      <c r="K66" s="3" t="s">
        <v>28</v>
      </c>
      <c r="L66" s="3" t="s">
        <v>98</v>
      </c>
    </row>
    <row r="67" ht="15.75" customHeight="1">
      <c r="A67" s="3">
        <v>1.39201343E8</v>
      </c>
      <c r="B67" s="3" t="s">
        <v>364</v>
      </c>
      <c r="C67" s="3">
        <v>10.0</v>
      </c>
      <c r="D67" s="10">
        <v>8.0</v>
      </c>
      <c r="E67" s="11">
        <v>2016.0</v>
      </c>
      <c r="F67" s="13">
        <v>710450.0</v>
      </c>
      <c r="G67" s="13">
        <v>427911.25</v>
      </c>
      <c r="H67" s="13">
        <v>282538.75</v>
      </c>
      <c r="I67" s="14">
        <v>0.39768984446477584</v>
      </c>
      <c r="J67" s="3" t="s">
        <v>12</v>
      </c>
      <c r="K67" s="3" t="s">
        <v>28</v>
      </c>
      <c r="L67" s="3" t="s">
        <v>29</v>
      </c>
    </row>
    <row r="68" ht="15.75" customHeight="1">
      <c r="A68" s="3">
        <v>1.39949357E8</v>
      </c>
      <c r="B68" s="3" t="s">
        <v>821</v>
      </c>
      <c r="C68" s="3">
        <v>13.0</v>
      </c>
      <c r="D68" s="10">
        <v>7.0</v>
      </c>
      <c r="E68" s="11">
        <v>2014.0</v>
      </c>
      <c r="F68" s="13">
        <v>459098.8</v>
      </c>
      <c r="G68" s="13">
        <v>270971.4</v>
      </c>
      <c r="H68" s="13">
        <v>188127.39999999997</v>
      </c>
      <c r="I68" s="14">
        <v>0.4097754121770738</v>
      </c>
      <c r="J68" s="3" t="s">
        <v>9</v>
      </c>
      <c r="K68" s="3" t="s">
        <v>821</v>
      </c>
      <c r="L68" s="3" t="s">
        <v>821</v>
      </c>
    </row>
    <row r="69" ht="15.75" customHeight="1">
      <c r="A69" s="3">
        <v>1.40461766E8</v>
      </c>
      <c r="B69" s="3" t="s">
        <v>740</v>
      </c>
      <c r="C69" s="3">
        <v>12.0</v>
      </c>
      <c r="D69" s="10">
        <v>7.0</v>
      </c>
      <c r="E69" s="11">
        <v>2014.0</v>
      </c>
      <c r="F69" s="13">
        <v>2016803.5999999999</v>
      </c>
      <c r="G69" s="13">
        <v>1214741.29</v>
      </c>
      <c r="H69" s="13">
        <v>802062.3099999998</v>
      </c>
      <c r="I69" s="14">
        <v>0.3976898444647758</v>
      </c>
      <c r="J69" s="3" t="s">
        <v>12</v>
      </c>
      <c r="K69" s="3" t="s">
        <v>28</v>
      </c>
      <c r="L69" s="3" t="s">
        <v>98</v>
      </c>
    </row>
    <row r="70" ht="15.75" customHeight="1">
      <c r="A70" s="3">
        <v>1.40499961E8</v>
      </c>
      <c r="B70" s="3" t="s">
        <v>413</v>
      </c>
      <c r="C70" s="3">
        <v>32.0</v>
      </c>
      <c r="D70" s="10">
        <v>3.0</v>
      </c>
      <c r="E70" s="11">
        <v>2011.0</v>
      </c>
      <c r="F70" s="13">
        <v>483432.95</v>
      </c>
      <c r="G70" s="13">
        <v>335203.05</v>
      </c>
      <c r="H70" s="13">
        <v>148229.90000000002</v>
      </c>
      <c r="I70" s="14">
        <v>0.3066193564174722</v>
      </c>
      <c r="J70" s="3" t="s">
        <v>14</v>
      </c>
      <c r="K70" s="3" t="s">
        <v>28</v>
      </c>
      <c r="L70" s="3" t="s">
        <v>29</v>
      </c>
    </row>
    <row r="71" ht="15.75" customHeight="1">
      <c r="A71" s="3">
        <v>1.41764247E8</v>
      </c>
      <c r="B71" s="3" t="s">
        <v>46</v>
      </c>
      <c r="C71" s="3">
        <v>45.0</v>
      </c>
      <c r="D71" s="10">
        <v>7.0</v>
      </c>
      <c r="E71" s="11">
        <v>2013.0</v>
      </c>
      <c r="F71" s="13">
        <v>11742.88</v>
      </c>
      <c r="G71" s="13">
        <v>7333.32</v>
      </c>
      <c r="H71" s="13">
        <v>4409.5599999999995</v>
      </c>
      <c r="I71" s="14">
        <v>0.3755092447508618</v>
      </c>
      <c r="J71" s="3" t="s">
        <v>10</v>
      </c>
      <c r="K71" s="3" t="s">
        <v>28</v>
      </c>
      <c r="L71" s="3" t="s">
        <v>33</v>
      </c>
    </row>
    <row r="72" ht="15.75" customHeight="1">
      <c r="A72" s="3">
        <v>1.41846215E8</v>
      </c>
      <c r="B72" s="3" t="s">
        <v>288</v>
      </c>
      <c r="C72" s="3">
        <v>29.0</v>
      </c>
      <c r="D72" s="10">
        <v>7.0</v>
      </c>
      <c r="E72" s="11">
        <v>2012.0</v>
      </c>
      <c r="F72" s="13">
        <v>470122.56</v>
      </c>
      <c r="G72" s="13">
        <v>154183.68000000002</v>
      </c>
      <c r="H72" s="13">
        <v>315938.88</v>
      </c>
      <c r="I72" s="14">
        <v>0.6720351390922401</v>
      </c>
      <c r="J72" s="3" t="s">
        <v>5</v>
      </c>
      <c r="K72" s="3" t="s">
        <v>23</v>
      </c>
      <c r="L72" s="3" t="s">
        <v>68</v>
      </c>
    </row>
    <row r="73" ht="15.75" customHeight="1">
      <c r="A73" s="3">
        <v>1.41875827E8</v>
      </c>
      <c r="B73" s="3" t="s">
        <v>575</v>
      </c>
      <c r="C73" s="3">
        <v>34.0</v>
      </c>
      <c r="D73" s="10">
        <v>3.0</v>
      </c>
      <c r="E73" s="11">
        <v>2011.0</v>
      </c>
      <c r="F73" s="13">
        <v>2048247.55</v>
      </c>
      <c r="G73" s="13">
        <v>1540285.1</v>
      </c>
      <c r="H73" s="13">
        <v>507962.44999999995</v>
      </c>
      <c r="I73" s="14">
        <v>0.24799856345489096</v>
      </c>
      <c r="J73" s="3" t="s">
        <v>4</v>
      </c>
      <c r="K73" s="3" t="s">
        <v>28</v>
      </c>
      <c r="L73" s="3" t="s">
        <v>98</v>
      </c>
    </row>
    <row r="74" ht="15.75" customHeight="1">
      <c r="A74" s="3">
        <v>1.42375361E8</v>
      </c>
      <c r="B74" s="3" t="s">
        <v>428</v>
      </c>
      <c r="C74" s="3">
        <v>11.0</v>
      </c>
      <c r="D74" s="10">
        <v>2.0</v>
      </c>
      <c r="E74" s="11">
        <v>2014.0</v>
      </c>
      <c r="F74" s="13">
        <v>8285.04</v>
      </c>
      <c r="G74" s="13">
        <v>6144.96</v>
      </c>
      <c r="H74" s="13">
        <v>2140.080000000001</v>
      </c>
      <c r="I74" s="14">
        <v>0.25830653804930337</v>
      </c>
      <c r="J74" s="3" t="s">
        <v>8</v>
      </c>
      <c r="K74" s="3" t="s">
        <v>28</v>
      </c>
      <c r="L74" s="3" t="s">
        <v>79</v>
      </c>
    </row>
    <row r="75" ht="15.75" customHeight="1">
      <c r="A75" s="3">
        <v>1.42987763E8</v>
      </c>
      <c r="B75" s="3" t="s">
        <v>512</v>
      </c>
      <c r="C75" s="3">
        <v>14.0</v>
      </c>
      <c r="D75" s="10">
        <v>8.0</v>
      </c>
      <c r="E75" s="11">
        <v>2013.0</v>
      </c>
      <c r="F75" s="13">
        <v>1411386.24</v>
      </c>
      <c r="G75" s="13">
        <v>1061364.48</v>
      </c>
      <c r="H75" s="13">
        <v>350021.76</v>
      </c>
      <c r="I75" s="14">
        <v>0.247998563454891</v>
      </c>
      <c r="J75" s="3" t="s">
        <v>4</v>
      </c>
      <c r="K75" s="3" t="s">
        <v>28</v>
      </c>
      <c r="L75" s="3" t="s">
        <v>79</v>
      </c>
    </row>
    <row r="76" ht="15.75" customHeight="1">
      <c r="A76" s="3">
        <v>1.43414771E8</v>
      </c>
      <c r="B76" s="3" t="s">
        <v>364</v>
      </c>
      <c r="C76" s="3">
        <v>13.0</v>
      </c>
      <c r="D76" s="10">
        <v>5.0</v>
      </c>
      <c r="E76" s="11">
        <v>2012.0</v>
      </c>
      <c r="F76" s="13">
        <v>5662251.71</v>
      </c>
      <c r="G76" s="13">
        <v>4258021.42</v>
      </c>
      <c r="H76" s="13">
        <v>1404230.29</v>
      </c>
      <c r="I76" s="14">
        <v>0.247998563454891</v>
      </c>
      <c r="J76" s="3" t="s">
        <v>4</v>
      </c>
      <c r="K76" s="3" t="s">
        <v>28</v>
      </c>
      <c r="L76" s="3" t="s">
        <v>29</v>
      </c>
    </row>
    <row r="77" ht="15.75" customHeight="1">
      <c r="A77" s="3">
        <v>1.44282948E8</v>
      </c>
      <c r="B77" s="3" t="s">
        <v>267</v>
      </c>
      <c r="C77" s="3">
        <v>19.0</v>
      </c>
      <c r="D77" s="10">
        <v>7.0</v>
      </c>
      <c r="E77" s="11">
        <v>2013.0</v>
      </c>
      <c r="F77" s="13">
        <v>1107900.2</v>
      </c>
      <c r="G77" s="13">
        <v>630754.46</v>
      </c>
      <c r="H77" s="13">
        <v>477145.74</v>
      </c>
      <c r="I77" s="14">
        <v>0.43067574137092857</v>
      </c>
      <c r="J77" s="3" t="s">
        <v>3</v>
      </c>
      <c r="K77" s="3" t="s">
        <v>28</v>
      </c>
      <c r="L77" s="3" t="s">
        <v>29</v>
      </c>
    </row>
    <row r="78" ht="15.75" customHeight="1">
      <c r="A78" s="3">
        <v>1.44743001E8</v>
      </c>
      <c r="B78" s="3" t="s">
        <v>653</v>
      </c>
      <c r="C78" s="3">
        <v>40.0</v>
      </c>
      <c r="D78" s="10">
        <v>3.0</v>
      </c>
      <c r="E78" s="11">
        <v>2013.0</v>
      </c>
      <c r="F78" s="13">
        <v>389302.0</v>
      </c>
      <c r="G78" s="13">
        <v>243115.49999999997</v>
      </c>
      <c r="H78" s="13">
        <v>146186.50000000003</v>
      </c>
      <c r="I78" s="14">
        <v>0.3755092447508619</v>
      </c>
      <c r="J78" s="3" t="s">
        <v>10</v>
      </c>
      <c r="K78" s="3" t="s">
        <v>28</v>
      </c>
      <c r="L78" s="3" t="s">
        <v>33</v>
      </c>
    </row>
    <row r="79" ht="15.75" customHeight="1">
      <c r="A79" s="3">
        <v>1.44978606E8</v>
      </c>
      <c r="B79" s="3" t="s">
        <v>364</v>
      </c>
      <c r="C79" s="3">
        <v>44.0</v>
      </c>
      <c r="D79" s="10">
        <v>1.0</v>
      </c>
      <c r="E79" s="11">
        <v>2011.0</v>
      </c>
      <c r="F79" s="13">
        <v>811407.66</v>
      </c>
      <c r="G79" s="13">
        <v>654100.16</v>
      </c>
      <c r="H79" s="13">
        <v>157307.5</v>
      </c>
      <c r="I79" s="14">
        <v>0.19386987300563566</v>
      </c>
      <c r="J79" s="3" t="s">
        <v>7</v>
      </c>
      <c r="K79" s="3" t="s">
        <v>28</v>
      </c>
      <c r="L79" s="3" t="s">
        <v>29</v>
      </c>
    </row>
    <row r="80" ht="15.75" customHeight="1">
      <c r="A80" s="3">
        <v>1.46349751E8</v>
      </c>
      <c r="B80" s="3" t="s">
        <v>431</v>
      </c>
      <c r="C80" s="3">
        <v>43.0</v>
      </c>
      <c r="D80" s="10">
        <v>5.0</v>
      </c>
      <c r="E80" s="11">
        <v>2017.0</v>
      </c>
      <c r="F80" s="13">
        <v>1078265.94</v>
      </c>
      <c r="G80" s="13">
        <v>636419.0700000001</v>
      </c>
      <c r="H80" s="13">
        <v>441846.8699999999</v>
      </c>
      <c r="I80" s="14">
        <v>0.40977541217707375</v>
      </c>
      <c r="J80" s="3" t="s">
        <v>9</v>
      </c>
      <c r="K80" s="3" t="s">
        <v>28</v>
      </c>
      <c r="L80" s="3" t="s">
        <v>29</v>
      </c>
    </row>
    <row r="81" ht="15.75" customHeight="1">
      <c r="A81" s="3">
        <v>1.46545875E8</v>
      </c>
      <c r="B81" s="3" t="s">
        <v>650</v>
      </c>
      <c r="C81" s="3">
        <v>41.0</v>
      </c>
      <c r="D81" s="10">
        <v>11.0</v>
      </c>
      <c r="E81" s="11">
        <v>2011.0</v>
      </c>
      <c r="F81" s="13">
        <v>2201739.1999999997</v>
      </c>
      <c r="G81" s="13">
        <v>1326129.88</v>
      </c>
      <c r="H81" s="13">
        <v>875609.3199999998</v>
      </c>
      <c r="I81" s="14">
        <v>0.39768984446477584</v>
      </c>
      <c r="J81" s="3" t="s">
        <v>12</v>
      </c>
      <c r="K81" s="3" t="s">
        <v>28</v>
      </c>
      <c r="L81" s="3" t="s">
        <v>98</v>
      </c>
    </row>
    <row r="82" ht="15.75" customHeight="1">
      <c r="A82" s="3">
        <v>1.47826898E8</v>
      </c>
      <c r="B82" s="3" t="s">
        <v>101</v>
      </c>
      <c r="C82" s="3">
        <v>37.0</v>
      </c>
      <c r="D82" s="10">
        <v>9.0</v>
      </c>
      <c r="E82" s="11">
        <v>2015.0</v>
      </c>
      <c r="F82" s="13">
        <v>1800826.8</v>
      </c>
      <c r="G82" s="13">
        <v>1084656.27</v>
      </c>
      <c r="H82" s="13">
        <v>716170.53</v>
      </c>
      <c r="I82" s="14">
        <v>0.39768984446477584</v>
      </c>
      <c r="J82" s="3" t="s">
        <v>12</v>
      </c>
      <c r="K82" s="3" t="s">
        <v>28</v>
      </c>
      <c r="L82" s="3" t="s">
        <v>79</v>
      </c>
    </row>
    <row r="83" ht="15.75" customHeight="1">
      <c r="A83" s="3">
        <v>1.48894631E8</v>
      </c>
      <c r="B83" s="3" t="s">
        <v>575</v>
      </c>
      <c r="C83" s="3">
        <v>6.0</v>
      </c>
      <c r="D83" s="10">
        <v>9.0</v>
      </c>
      <c r="E83" s="11">
        <v>2013.0</v>
      </c>
      <c r="F83" s="13">
        <v>55352.850000000006</v>
      </c>
      <c r="G83" s="13">
        <v>44621.600000000006</v>
      </c>
      <c r="H83" s="13">
        <v>10731.25</v>
      </c>
      <c r="I83" s="14">
        <v>0.19386987300563563</v>
      </c>
      <c r="J83" s="3" t="s">
        <v>7</v>
      </c>
      <c r="K83" s="3" t="s">
        <v>28</v>
      </c>
      <c r="L83" s="3" t="s">
        <v>98</v>
      </c>
    </row>
    <row r="84" ht="15.75" customHeight="1">
      <c r="A84" s="3">
        <v>1.49274003E8</v>
      </c>
      <c r="B84" s="3" t="s">
        <v>542</v>
      </c>
      <c r="C84" s="3">
        <v>30.0</v>
      </c>
      <c r="D84" s="10">
        <v>4.0</v>
      </c>
      <c r="E84" s="11">
        <v>2013.0</v>
      </c>
      <c r="F84" s="13">
        <v>1570434.5</v>
      </c>
      <c r="G84" s="13">
        <v>1180969.0</v>
      </c>
      <c r="H84" s="13">
        <v>389465.5</v>
      </c>
      <c r="I84" s="14">
        <v>0.247998563454891</v>
      </c>
      <c r="J84" s="3" t="s">
        <v>4</v>
      </c>
      <c r="K84" s="3" t="s">
        <v>28</v>
      </c>
      <c r="L84" s="3" t="s">
        <v>29</v>
      </c>
    </row>
    <row r="85" ht="15.75" customHeight="1">
      <c r="A85" s="3">
        <v>1.50293242E8</v>
      </c>
      <c r="B85" s="3" t="s">
        <v>821</v>
      </c>
      <c r="C85" s="3">
        <v>33.0</v>
      </c>
      <c r="D85" s="10">
        <v>5.0</v>
      </c>
      <c r="E85" s="11">
        <v>2015.0</v>
      </c>
      <c r="F85" s="13">
        <v>2582047.6500000004</v>
      </c>
      <c r="G85" s="13">
        <v>2081466.4000000001</v>
      </c>
      <c r="H85" s="13">
        <v>500581.25000000023</v>
      </c>
      <c r="I85" s="14">
        <v>0.1938698730056357</v>
      </c>
      <c r="J85" s="3" t="s">
        <v>7</v>
      </c>
      <c r="K85" s="3" t="s">
        <v>821</v>
      </c>
      <c r="L85" s="3" t="s">
        <v>821</v>
      </c>
    </row>
    <row r="86" ht="15.75" customHeight="1">
      <c r="A86" s="3">
        <v>1.51312482E8</v>
      </c>
      <c r="B86" s="3" t="s">
        <v>218</v>
      </c>
      <c r="C86" s="3">
        <v>36.0</v>
      </c>
      <c r="D86" s="10">
        <v>6.0</v>
      </c>
      <c r="E86" s="11">
        <v>2017.0</v>
      </c>
      <c r="F86" s="13">
        <v>2440013.1999999997</v>
      </c>
      <c r="G86" s="13">
        <v>1469644.73</v>
      </c>
      <c r="H86" s="13">
        <v>970368.4699999997</v>
      </c>
      <c r="I86" s="14">
        <v>0.3976898444647758</v>
      </c>
      <c r="J86" s="3" t="s">
        <v>12</v>
      </c>
      <c r="K86" s="3" t="s">
        <v>28</v>
      </c>
      <c r="L86" s="3" t="s">
        <v>98</v>
      </c>
    </row>
    <row r="87" ht="15.75" customHeight="1">
      <c r="A87" s="3">
        <v>1.52191388E8</v>
      </c>
      <c r="B87" s="3" t="s">
        <v>32</v>
      </c>
      <c r="C87" s="3">
        <v>35.0</v>
      </c>
      <c r="D87" s="10">
        <v>5.0</v>
      </c>
      <c r="E87" s="11">
        <v>2012.0</v>
      </c>
      <c r="F87" s="13">
        <v>1447182.32</v>
      </c>
      <c r="G87" s="13">
        <v>903751.98</v>
      </c>
      <c r="H87" s="13">
        <v>543430.3400000001</v>
      </c>
      <c r="I87" s="14">
        <v>0.37550924475086184</v>
      </c>
      <c r="J87" s="3" t="s">
        <v>10</v>
      </c>
      <c r="K87" s="3" t="s">
        <v>28</v>
      </c>
      <c r="L87" s="3" t="s">
        <v>33</v>
      </c>
    </row>
    <row r="88" ht="15.75" customHeight="1">
      <c r="A88" s="3">
        <v>1.52411115E8</v>
      </c>
      <c r="B88" s="3" t="s">
        <v>686</v>
      </c>
      <c r="C88" s="3">
        <v>48.0</v>
      </c>
      <c r="D88" s="10">
        <v>1.0</v>
      </c>
      <c r="E88" s="11">
        <v>2013.0</v>
      </c>
      <c r="F88" s="13">
        <v>291525.99</v>
      </c>
      <c r="G88" s="13">
        <v>252000.79</v>
      </c>
      <c r="H88" s="13">
        <v>39525.19999999998</v>
      </c>
      <c r="I88" s="14">
        <v>0.13558036455000114</v>
      </c>
      <c r="J88" s="3" t="s">
        <v>11</v>
      </c>
      <c r="K88" s="3" t="s">
        <v>28</v>
      </c>
      <c r="L88" s="3" t="s">
        <v>29</v>
      </c>
    </row>
    <row r="89" ht="15.75" customHeight="1">
      <c r="A89" s="3">
        <v>1.52505099E8</v>
      </c>
      <c r="B89" s="3" t="s">
        <v>623</v>
      </c>
      <c r="C89" s="3">
        <v>12.0</v>
      </c>
      <c r="D89" s="10">
        <v>5.0</v>
      </c>
      <c r="E89" s="11">
        <v>2012.0</v>
      </c>
      <c r="F89" s="13">
        <v>929207.84</v>
      </c>
      <c r="G89" s="13">
        <v>304747.52</v>
      </c>
      <c r="H89" s="13">
        <v>624460.32</v>
      </c>
      <c r="I89" s="14">
        <v>0.6720351390922401</v>
      </c>
      <c r="J89" s="3" t="s">
        <v>5</v>
      </c>
      <c r="K89" s="3" t="s">
        <v>28</v>
      </c>
      <c r="L89" s="3" t="s">
        <v>33</v>
      </c>
    </row>
    <row r="90" ht="15.75" customHeight="1">
      <c r="A90" s="3">
        <v>1.52746713E8</v>
      </c>
      <c r="B90" s="3" t="s">
        <v>123</v>
      </c>
      <c r="C90" s="3">
        <v>6.0</v>
      </c>
      <c r="D90" s="10">
        <v>5.0</v>
      </c>
      <c r="E90" s="11">
        <v>2010.0</v>
      </c>
      <c r="F90" s="13">
        <v>1302.42</v>
      </c>
      <c r="G90" s="13">
        <v>1049.92</v>
      </c>
      <c r="H90" s="13">
        <v>252.5</v>
      </c>
      <c r="I90" s="14">
        <v>0.19386987300563566</v>
      </c>
      <c r="J90" s="3" t="s">
        <v>7</v>
      </c>
      <c r="K90" s="3" t="s">
        <v>28</v>
      </c>
      <c r="L90" s="3" t="s">
        <v>33</v>
      </c>
    </row>
    <row r="91" ht="15.75" customHeight="1">
      <c r="A91" s="3">
        <v>1.5397495E8</v>
      </c>
      <c r="B91" s="3" t="s">
        <v>686</v>
      </c>
      <c r="C91" s="3">
        <v>29.0</v>
      </c>
      <c r="D91" s="10">
        <v>8.0</v>
      </c>
      <c r="E91" s="11">
        <v>2011.0</v>
      </c>
      <c r="F91" s="13">
        <v>32319.12</v>
      </c>
      <c r="G91" s="13">
        <v>23970.88</v>
      </c>
      <c r="H91" s="13">
        <v>8348.239999999998</v>
      </c>
      <c r="I91" s="14">
        <v>0.25830653804930326</v>
      </c>
      <c r="J91" s="3" t="s">
        <v>8</v>
      </c>
      <c r="K91" s="3" t="s">
        <v>28</v>
      </c>
      <c r="L91" s="3" t="s">
        <v>29</v>
      </c>
    </row>
    <row r="92" ht="15.75" customHeight="1">
      <c r="A92" s="3">
        <v>1.55086886E8</v>
      </c>
      <c r="B92" s="3" t="s">
        <v>653</v>
      </c>
      <c r="C92" s="3">
        <v>8.0</v>
      </c>
      <c r="D92" s="10">
        <v>1.0</v>
      </c>
      <c r="E92" s="11">
        <v>2014.0</v>
      </c>
      <c r="F92" s="13">
        <v>1097809.2</v>
      </c>
      <c r="G92" s="13">
        <v>661221.63</v>
      </c>
      <c r="H92" s="13">
        <v>436587.56999999995</v>
      </c>
      <c r="I92" s="14">
        <v>0.39768984446477584</v>
      </c>
      <c r="J92" s="3" t="s">
        <v>12</v>
      </c>
      <c r="K92" s="3" t="s">
        <v>28</v>
      </c>
      <c r="L92" s="3" t="s">
        <v>33</v>
      </c>
    </row>
    <row r="93" ht="15.75" customHeight="1">
      <c r="A93" s="3">
        <v>1.55914723E8</v>
      </c>
      <c r="B93" s="3" t="s">
        <v>364</v>
      </c>
      <c r="C93" s="3">
        <v>17.0</v>
      </c>
      <c r="D93" s="10">
        <v>3.0</v>
      </c>
      <c r="E93" s="11">
        <v>2015.0</v>
      </c>
      <c r="F93" s="13">
        <v>69844.38</v>
      </c>
      <c r="G93" s="13">
        <v>51803.12</v>
      </c>
      <c r="H93" s="13">
        <v>18041.260000000002</v>
      </c>
      <c r="I93" s="14">
        <v>0.2583065380493033</v>
      </c>
      <c r="J93" s="3" t="s">
        <v>8</v>
      </c>
      <c r="K93" s="3" t="s">
        <v>28</v>
      </c>
      <c r="L93" s="3" t="s">
        <v>29</v>
      </c>
    </row>
    <row r="94" ht="15.75" customHeight="1">
      <c r="A94" s="3">
        <v>1.56158483E8</v>
      </c>
      <c r="B94" s="3" t="s">
        <v>431</v>
      </c>
      <c r="C94" s="3">
        <v>40.0</v>
      </c>
      <c r="D94" s="10">
        <v>6.0</v>
      </c>
      <c r="E94" s="11">
        <v>2016.0</v>
      </c>
      <c r="F94" s="13">
        <v>1051273.6</v>
      </c>
      <c r="G94" s="13">
        <v>344780.80000000005</v>
      </c>
      <c r="H94" s="13">
        <v>706492.8</v>
      </c>
      <c r="I94" s="14">
        <v>0.6720351390922401</v>
      </c>
      <c r="J94" s="3" t="s">
        <v>5</v>
      </c>
      <c r="K94" s="3" t="s">
        <v>28</v>
      </c>
      <c r="L94" s="3" t="s">
        <v>29</v>
      </c>
    </row>
    <row r="95" ht="15.75" customHeight="1">
      <c r="A95" s="3">
        <v>1.58479773E8</v>
      </c>
      <c r="B95" s="3" t="s">
        <v>593</v>
      </c>
      <c r="C95" s="3">
        <v>30.0</v>
      </c>
      <c r="D95" s="10">
        <v>5.0</v>
      </c>
      <c r="E95" s="11">
        <v>2015.0</v>
      </c>
      <c r="F95" s="13">
        <v>1670041.76</v>
      </c>
      <c r="G95" s="13">
        <v>1042925.6399999999</v>
      </c>
      <c r="H95" s="13">
        <v>627116.1200000001</v>
      </c>
      <c r="I95" s="14">
        <v>0.37550924475086184</v>
      </c>
      <c r="J95" s="3" t="s">
        <v>10</v>
      </c>
      <c r="K95" s="3" t="s">
        <v>28</v>
      </c>
      <c r="L95" s="3" t="s">
        <v>98</v>
      </c>
    </row>
    <row r="96" ht="15.75" customHeight="1">
      <c r="A96" s="3">
        <v>1.58673751E8</v>
      </c>
      <c r="B96" s="3" t="s">
        <v>291</v>
      </c>
      <c r="C96" s="3">
        <v>49.0</v>
      </c>
      <c r="D96" s="10">
        <v>3.0</v>
      </c>
      <c r="E96" s="11">
        <v>2014.0</v>
      </c>
      <c r="F96" s="13">
        <v>601775.52</v>
      </c>
      <c r="G96" s="13">
        <v>384303.36</v>
      </c>
      <c r="H96" s="13">
        <v>217472.16000000003</v>
      </c>
      <c r="I96" s="14">
        <v>0.3613841918993315</v>
      </c>
      <c r="J96" s="3" t="s">
        <v>13</v>
      </c>
      <c r="K96" s="3" t="s">
        <v>28</v>
      </c>
      <c r="L96" s="3" t="s">
        <v>79</v>
      </c>
    </row>
    <row r="97" ht="15.75" customHeight="1">
      <c r="A97" s="3">
        <v>1.59232509E8</v>
      </c>
      <c r="B97" s="3" t="s">
        <v>689</v>
      </c>
      <c r="C97" s="3">
        <v>36.0</v>
      </c>
      <c r="D97" s="10">
        <v>6.0</v>
      </c>
      <c r="E97" s="11">
        <v>2014.0</v>
      </c>
      <c r="F97" s="13">
        <v>86703.69</v>
      </c>
      <c r="G97" s="13">
        <v>64307.56</v>
      </c>
      <c r="H97" s="13">
        <v>22396.130000000005</v>
      </c>
      <c r="I97" s="14">
        <v>0.25830653804930337</v>
      </c>
      <c r="J97" s="3" t="s">
        <v>8</v>
      </c>
      <c r="K97" s="3" t="s">
        <v>28</v>
      </c>
      <c r="L97" s="3" t="s">
        <v>79</v>
      </c>
    </row>
    <row r="98" ht="15.75" customHeight="1">
      <c r="A98" s="3">
        <v>1.59805858E8</v>
      </c>
      <c r="B98" s="3" t="s">
        <v>821</v>
      </c>
      <c r="C98" s="3">
        <v>28.0</v>
      </c>
      <c r="D98" s="10">
        <v>11.0</v>
      </c>
      <c r="E98" s="11">
        <v>2012.0</v>
      </c>
      <c r="F98" s="13">
        <v>3779712.51</v>
      </c>
      <c r="G98" s="13">
        <v>3267257.71</v>
      </c>
      <c r="H98" s="13">
        <v>512454.7999999998</v>
      </c>
      <c r="I98" s="14">
        <v>0.13558036455000114</v>
      </c>
      <c r="J98" s="3" t="s">
        <v>11</v>
      </c>
      <c r="K98" s="3" t="s">
        <v>821</v>
      </c>
      <c r="L98" s="3" t="s">
        <v>821</v>
      </c>
    </row>
    <row r="99" ht="15.75" customHeight="1">
      <c r="A99" s="3">
        <v>1.60578763E8</v>
      </c>
      <c r="B99" s="3" t="s">
        <v>590</v>
      </c>
      <c r="C99" s="3">
        <v>33.0</v>
      </c>
      <c r="D99" s="10">
        <v>9.0</v>
      </c>
      <c r="E99" s="11">
        <v>2015.0</v>
      </c>
      <c r="F99" s="13">
        <v>5000641.59</v>
      </c>
      <c r="G99" s="13">
        <v>4031167.8400000003</v>
      </c>
      <c r="H99" s="13">
        <v>969473.7499999995</v>
      </c>
      <c r="I99" s="14">
        <v>0.19386987300563557</v>
      </c>
      <c r="J99" s="3" t="s">
        <v>7</v>
      </c>
      <c r="K99" s="3" t="s">
        <v>28</v>
      </c>
      <c r="L99" s="3" t="s">
        <v>98</v>
      </c>
    </row>
    <row r="100" ht="15.75" customHeight="1">
      <c r="A100" s="3">
        <v>1.60751283E8</v>
      </c>
      <c r="B100" s="3" t="s">
        <v>413</v>
      </c>
      <c r="C100" s="3">
        <v>15.0</v>
      </c>
      <c r="D100" s="10">
        <v>10.0</v>
      </c>
      <c r="E100" s="11">
        <v>2011.0</v>
      </c>
      <c r="F100" s="13">
        <v>713666.36</v>
      </c>
      <c r="G100" s="13">
        <v>494842.44</v>
      </c>
      <c r="H100" s="13">
        <v>218823.91999999998</v>
      </c>
      <c r="I100" s="14">
        <v>0.3066193564174721</v>
      </c>
      <c r="J100" s="3" t="s">
        <v>14</v>
      </c>
      <c r="K100" s="3" t="s">
        <v>28</v>
      </c>
      <c r="L100" s="3" t="s">
        <v>29</v>
      </c>
    </row>
    <row r="101" ht="15.75" customHeight="1">
      <c r="A101" s="3">
        <v>1.61399304E8</v>
      </c>
      <c r="B101" s="3" t="s">
        <v>650</v>
      </c>
      <c r="C101" s="3">
        <v>14.0</v>
      </c>
      <c r="D101" s="10">
        <v>3.0</v>
      </c>
      <c r="E101" s="11">
        <v>2010.0</v>
      </c>
      <c r="F101" s="13">
        <v>216851.19999999998</v>
      </c>
      <c r="G101" s="13">
        <v>130611.68</v>
      </c>
      <c r="H101" s="13">
        <v>86239.51999999999</v>
      </c>
      <c r="I101" s="14">
        <v>0.39768984446477584</v>
      </c>
      <c r="J101" s="3" t="s">
        <v>12</v>
      </c>
      <c r="K101" s="3" t="s">
        <v>28</v>
      </c>
      <c r="L101" s="3" t="s">
        <v>98</v>
      </c>
    </row>
    <row r="102" ht="15.75" customHeight="1">
      <c r="A102" s="3">
        <v>1.61607444E8</v>
      </c>
      <c r="B102" s="3" t="s">
        <v>590</v>
      </c>
      <c r="C102" s="3">
        <v>42.0</v>
      </c>
      <c r="D102" s="10">
        <v>8.0</v>
      </c>
      <c r="E102" s="11">
        <v>2012.0</v>
      </c>
      <c r="F102" s="13">
        <v>881328.21</v>
      </c>
      <c r="G102" s="13">
        <v>761837.41</v>
      </c>
      <c r="H102" s="13">
        <v>119490.79999999993</v>
      </c>
      <c r="I102" s="14">
        <v>0.1355803645500011</v>
      </c>
      <c r="J102" s="3" t="s">
        <v>11</v>
      </c>
      <c r="K102" s="3" t="s">
        <v>28</v>
      </c>
      <c r="L102" s="3" t="s">
        <v>98</v>
      </c>
    </row>
    <row r="103" ht="15.75" customHeight="1">
      <c r="A103" s="3">
        <v>1.6181215E8</v>
      </c>
      <c r="B103" s="3" t="s">
        <v>221</v>
      </c>
      <c r="C103" s="3">
        <v>3.0</v>
      </c>
      <c r="D103" s="10">
        <v>11.0</v>
      </c>
      <c r="E103" s="11">
        <v>2012.0</v>
      </c>
      <c r="F103" s="13">
        <v>291340.48</v>
      </c>
      <c r="G103" s="13">
        <v>95549.44</v>
      </c>
      <c r="H103" s="13">
        <v>195791.03999999998</v>
      </c>
      <c r="I103" s="14">
        <v>0.6720351390922401</v>
      </c>
      <c r="J103" s="3" t="s">
        <v>5</v>
      </c>
      <c r="K103" s="3" t="s">
        <v>28</v>
      </c>
      <c r="L103" s="3" t="s">
        <v>29</v>
      </c>
    </row>
    <row r="104" ht="15.75" customHeight="1">
      <c r="A104" s="3">
        <v>1.62791907E8</v>
      </c>
      <c r="B104" s="3" t="s">
        <v>593</v>
      </c>
      <c r="C104" s="3">
        <v>50.0</v>
      </c>
      <c r="D104" s="10">
        <v>8.0</v>
      </c>
      <c r="E104" s="11">
        <v>2011.0</v>
      </c>
      <c r="F104" s="13">
        <v>123275.1</v>
      </c>
      <c r="G104" s="13">
        <v>82590.42</v>
      </c>
      <c r="H104" s="13">
        <v>40684.68000000001</v>
      </c>
      <c r="I104" s="14">
        <v>0.3300316122233931</v>
      </c>
      <c r="J104" s="3" t="s">
        <v>6</v>
      </c>
      <c r="K104" s="3" t="s">
        <v>28</v>
      </c>
      <c r="L104" s="3" t="s">
        <v>98</v>
      </c>
    </row>
    <row r="105" ht="15.75" customHeight="1">
      <c r="A105" s="3">
        <v>1.63587558E8</v>
      </c>
      <c r="B105" s="3" t="s">
        <v>536</v>
      </c>
      <c r="C105" s="3">
        <v>28.0</v>
      </c>
      <c r="D105" s="10">
        <v>3.0</v>
      </c>
      <c r="E105" s="11">
        <v>2016.0</v>
      </c>
      <c r="F105" s="13">
        <v>1227963.84</v>
      </c>
      <c r="G105" s="13">
        <v>784197.12</v>
      </c>
      <c r="H105" s="13">
        <v>443766.7200000001</v>
      </c>
      <c r="I105" s="14">
        <v>0.3613841918993315</v>
      </c>
      <c r="J105" s="3" t="s">
        <v>13</v>
      </c>
      <c r="K105" s="3" t="s">
        <v>28</v>
      </c>
      <c r="L105" s="3" t="s">
        <v>33</v>
      </c>
    </row>
    <row r="106" ht="15.75" customHeight="1">
      <c r="A106" s="3">
        <v>1.63744628E8</v>
      </c>
      <c r="B106" s="3" t="s">
        <v>267</v>
      </c>
      <c r="C106" s="3">
        <v>14.0</v>
      </c>
      <c r="D106" s="10">
        <v>4.0</v>
      </c>
      <c r="E106" s="11">
        <v>2017.0</v>
      </c>
      <c r="F106" s="13">
        <v>2949330.0900000003</v>
      </c>
      <c r="G106" s="13">
        <v>2377543.8400000003</v>
      </c>
      <c r="H106" s="13">
        <v>571786.25</v>
      </c>
      <c r="I106" s="14">
        <v>0.19386987300563563</v>
      </c>
      <c r="J106" s="3" t="s">
        <v>7</v>
      </c>
      <c r="K106" s="3" t="s">
        <v>28</v>
      </c>
      <c r="L106" s="3" t="s">
        <v>29</v>
      </c>
    </row>
    <row r="107" ht="15.75" customHeight="1">
      <c r="A107" s="3">
        <v>1.64259612E8</v>
      </c>
      <c r="B107" s="3" t="s">
        <v>101</v>
      </c>
      <c r="C107" s="3">
        <v>38.0</v>
      </c>
      <c r="D107" s="10">
        <v>3.0</v>
      </c>
      <c r="E107" s="11">
        <v>2015.0</v>
      </c>
      <c r="F107" s="13">
        <v>2921166.36</v>
      </c>
      <c r="G107" s="13">
        <v>2525113.56</v>
      </c>
      <c r="H107" s="13">
        <v>396052.7999999998</v>
      </c>
      <c r="I107" s="14">
        <v>0.13558036455000114</v>
      </c>
      <c r="J107" s="3" t="s">
        <v>11</v>
      </c>
      <c r="K107" s="3" t="s">
        <v>28</v>
      </c>
      <c r="L107" s="3" t="s">
        <v>79</v>
      </c>
    </row>
    <row r="108" ht="15.75" customHeight="1">
      <c r="A108" s="3">
        <v>1.668105E8</v>
      </c>
      <c r="B108" s="3" t="s">
        <v>123</v>
      </c>
      <c r="C108" s="3">
        <v>42.0</v>
      </c>
      <c r="D108" s="10">
        <v>10.0</v>
      </c>
      <c r="E108" s="11">
        <v>2011.0</v>
      </c>
      <c r="F108" s="13">
        <v>195501.92</v>
      </c>
      <c r="G108" s="13">
        <v>64117.76000000001</v>
      </c>
      <c r="H108" s="13">
        <v>131384.16</v>
      </c>
      <c r="I108" s="14">
        <v>0.6720351390922401</v>
      </c>
      <c r="J108" s="3" t="s">
        <v>5</v>
      </c>
      <c r="K108" s="3" t="s">
        <v>28</v>
      </c>
      <c r="L108" s="3" t="s">
        <v>33</v>
      </c>
    </row>
    <row r="109" ht="15.75" customHeight="1">
      <c r="A109" s="3">
        <v>1.68319404E8</v>
      </c>
      <c r="B109" s="3" t="s">
        <v>650</v>
      </c>
      <c r="C109" s="3">
        <v>19.0</v>
      </c>
      <c r="D109" s="10">
        <v>2.0</v>
      </c>
      <c r="E109" s="11">
        <v>2012.0</v>
      </c>
      <c r="F109" s="13">
        <v>5409601.470000001</v>
      </c>
      <c r="G109" s="13">
        <v>4360842.720000001</v>
      </c>
      <c r="H109" s="13">
        <v>1048758.75</v>
      </c>
      <c r="I109" s="14">
        <v>0.19386987300563563</v>
      </c>
      <c r="J109" s="3" t="s">
        <v>7</v>
      </c>
      <c r="K109" s="3" t="s">
        <v>28</v>
      </c>
      <c r="L109" s="3" t="s">
        <v>98</v>
      </c>
    </row>
    <row r="110" ht="15.75" customHeight="1">
      <c r="A110" s="3">
        <v>1.68487203E8</v>
      </c>
      <c r="B110" s="3" t="s">
        <v>821</v>
      </c>
      <c r="C110" s="3">
        <v>49.0</v>
      </c>
      <c r="D110" s="10">
        <v>8.0</v>
      </c>
      <c r="E110" s="11">
        <v>2014.0</v>
      </c>
      <c r="F110" s="13">
        <v>5184934.0200000005</v>
      </c>
      <c r="G110" s="13">
        <v>4179731.5200000005</v>
      </c>
      <c r="H110" s="13">
        <v>1005202.5</v>
      </c>
      <c r="I110" s="14">
        <v>0.19386987300563566</v>
      </c>
      <c r="J110" s="3" t="s">
        <v>7</v>
      </c>
      <c r="K110" s="3" t="s">
        <v>821</v>
      </c>
      <c r="L110" s="3" t="s">
        <v>821</v>
      </c>
    </row>
    <row r="111" ht="15.75" customHeight="1">
      <c r="A111" s="3">
        <v>1.68960559E8</v>
      </c>
      <c r="B111" s="3" t="s">
        <v>288</v>
      </c>
      <c r="C111" s="3">
        <v>36.0</v>
      </c>
      <c r="D111" s="10">
        <v>7.0</v>
      </c>
      <c r="E111" s="11">
        <v>2013.0</v>
      </c>
      <c r="F111" s="13">
        <v>2052195.92</v>
      </c>
      <c r="G111" s="13">
        <v>1281577.38</v>
      </c>
      <c r="H111" s="13">
        <v>770618.54</v>
      </c>
      <c r="I111" s="14">
        <v>0.37550924475086184</v>
      </c>
      <c r="J111" s="3" t="s">
        <v>10</v>
      </c>
      <c r="K111" s="3" t="s">
        <v>23</v>
      </c>
      <c r="L111" s="3" t="s">
        <v>68</v>
      </c>
    </row>
    <row r="112" ht="15.75" customHeight="1">
      <c r="A112" s="3">
        <v>1.68979442E8</v>
      </c>
      <c r="B112" s="3" t="s">
        <v>623</v>
      </c>
      <c r="C112" s="3">
        <v>49.0</v>
      </c>
      <c r="D112" s="10">
        <v>10.0</v>
      </c>
      <c r="E112" s="11">
        <v>2010.0</v>
      </c>
      <c r="F112" s="13">
        <v>1530195.03</v>
      </c>
      <c r="G112" s="13">
        <v>1322730.63</v>
      </c>
      <c r="H112" s="13">
        <v>207464.40000000014</v>
      </c>
      <c r="I112" s="14">
        <v>0.13558036455000128</v>
      </c>
      <c r="J112" s="3" t="s">
        <v>11</v>
      </c>
      <c r="K112" s="3" t="s">
        <v>28</v>
      </c>
      <c r="L112" s="3" t="s">
        <v>33</v>
      </c>
    </row>
    <row r="113" ht="15.75" customHeight="1">
      <c r="A113" s="3">
        <v>1.69378983E8</v>
      </c>
      <c r="B113" s="3" t="s">
        <v>689</v>
      </c>
      <c r="C113" s="3">
        <v>20.0</v>
      </c>
      <c r="D113" s="10">
        <v>3.0</v>
      </c>
      <c r="E113" s="11">
        <v>2014.0</v>
      </c>
      <c r="F113" s="13">
        <v>784715.4</v>
      </c>
      <c r="G113" s="13">
        <v>678323.4</v>
      </c>
      <c r="H113" s="13">
        <v>106392.0</v>
      </c>
      <c r="I113" s="14">
        <v>0.1355803645500012</v>
      </c>
      <c r="J113" s="3" t="s">
        <v>11</v>
      </c>
      <c r="K113" s="3" t="s">
        <v>28</v>
      </c>
      <c r="L113" s="3" t="s">
        <v>79</v>
      </c>
    </row>
    <row r="114" ht="15.75" customHeight="1">
      <c r="A114" s="3">
        <v>1.69799983E8</v>
      </c>
      <c r="B114" s="3" t="s">
        <v>653</v>
      </c>
      <c r="C114" s="3">
        <v>29.0</v>
      </c>
      <c r="D114" s="10">
        <v>10.0</v>
      </c>
      <c r="E114" s="11">
        <v>2012.0</v>
      </c>
      <c r="F114" s="13">
        <v>60113.19</v>
      </c>
      <c r="G114" s="13">
        <v>44585.56</v>
      </c>
      <c r="H114" s="13">
        <v>15527.630000000005</v>
      </c>
      <c r="I114" s="14">
        <v>0.25830653804930337</v>
      </c>
      <c r="J114" s="3" t="s">
        <v>8</v>
      </c>
      <c r="K114" s="3" t="s">
        <v>28</v>
      </c>
      <c r="L114" s="3" t="s">
        <v>33</v>
      </c>
    </row>
    <row r="115" ht="15.75" customHeight="1">
      <c r="A115" s="3">
        <v>1.73122918E8</v>
      </c>
      <c r="B115" s="3" t="s">
        <v>97</v>
      </c>
      <c r="C115" s="3">
        <v>47.0</v>
      </c>
      <c r="D115" s="10">
        <v>6.0</v>
      </c>
      <c r="E115" s="11">
        <v>2015.0</v>
      </c>
      <c r="F115" s="13">
        <v>1067993.44</v>
      </c>
      <c r="G115" s="13">
        <v>350264.32</v>
      </c>
      <c r="H115" s="13">
        <v>717729.1199999999</v>
      </c>
      <c r="I115" s="14">
        <v>0.67203513909224</v>
      </c>
      <c r="J115" s="3" t="s">
        <v>5</v>
      </c>
      <c r="K115" s="3" t="s">
        <v>28</v>
      </c>
      <c r="L115" s="3" t="s">
        <v>98</v>
      </c>
    </row>
    <row r="116" ht="15.75" customHeight="1">
      <c r="A116" s="3">
        <v>1.74218118E8</v>
      </c>
      <c r="B116" s="3" t="s">
        <v>291</v>
      </c>
      <c r="C116" s="3">
        <v>44.0</v>
      </c>
      <c r="D116" s="10">
        <v>4.0</v>
      </c>
      <c r="E116" s="11">
        <v>2016.0</v>
      </c>
      <c r="F116" s="13">
        <v>795441.8999999999</v>
      </c>
      <c r="G116" s="13">
        <v>452864.37</v>
      </c>
      <c r="H116" s="13">
        <v>342577.5299999999</v>
      </c>
      <c r="I116" s="14">
        <v>0.43067574137092846</v>
      </c>
      <c r="J116" s="3" t="s">
        <v>3</v>
      </c>
      <c r="K116" s="3" t="s">
        <v>28</v>
      </c>
      <c r="L116" s="3" t="s">
        <v>79</v>
      </c>
    </row>
    <row r="117" ht="15.75" customHeight="1">
      <c r="A117" s="3">
        <v>1.74614226E8</v>
      </c>
      <c r="B117" s="3" t="s">
        <v>46</v>
      </c>
      <c r="C117" s="3">
        <v>50.0</v>
      </c>
      <c r="D117" s="10">
        <v>6.0</v>
      </c>
      <c r="E117" s="11">
        <v>2017.0</v>
      </c>
      <c r="F117" s="13">
        <v>276978.8</v>
      </c>
      <c r="G117" s="13">
        <v>172970.69999999998</v>
      </c>
      <c r="H117" s="13">
        <v>104008.1</v>
      </c>
      <c r="I117" s="14">
        <v>0.37550924475086184</v>
      </c>
      <c r="J117" s="3" t="s">
        <v>10</v>
      </c>
      <c r="K117" s="3" t="s">
        <v>28</v>
      </c>
      <c r="L117" s="3" t="s">
        <v>33</v>
      </c>
    </row>
    <row r="118" ht="15.75" customHeight="1">
      <c r="A118" s="3">
        <v>1.74935233E8</v>
      </c>
      <c r="B118" s="3" t="s">
        <v>270</v>
      </c>
      <c r="C118" s="3">
        <v>3.0</v>
      </c>
      <c r="D118" s="10">
        <v>7.0</v>
      </c>
      <c r="E118" s="11">
        <v>2016.0</v>
      </c>
      <c r="F118" s="13">
        <v>2657301.6</v>
      </c>
      <c r="G118" s="13">
        <v>1600519.74</v>
      </c>
      <c r="H118" s="13">
        <v>1056781.86</v>
      </c>
      <c r="I118" s="14">
        <v>0.39768984446477584</v>
      </c>
      <c r="J118" s="3" t="s">
        <v>12</v>
      </c>
      <c r="K118" s="3" t="s">
        <v>28</v>
      </c>
      <c r="L118" s="3" t="s">
        <v>79</v>
      </c>
    </row>
    <row r="119" ht="15.75" customHeight="1">
      <c r="A119" s="3">
        <v>1.75723588E8</v>
      </c>
      <c r="B119" s="3" t="s">
        <v>482</v>
      </c>
      <c r="C119" s="3">
        <v>5.0</v>
      </c>
      <c r="D119" s="10">
        <v>6.0</v>
      </c>
      <c r="E119" s="11">
        <v>2014.0</v>
      </c>
      <c r="F119" s="13">
        <v>6261689.899999999</v>
      </c>
      <c r="G119" s="13">
        <v>4708799.8</v>
      </c>
      <c r="H119" s="13">
        <v>1552890.0999999996</v>
      </c>
      <c r="I119" s="14">
        <v>0.24799856345489096</v>
      </c>
      <c r="J119" s="3" t="s">
        <v>4</v>
      </c>
      <c r="K119" s="3" t="s">
        <v>28</v>
      </c>
      <c r="L119" s="3" t="s">
        <v>79</v>
      </c>
    </row>
    <row r="120" ht="15.75" customHeight="1">
      <c r="A120" s="3">
        <v>1.76050603E8</v>
      </c>
      <c r="B120" s="3" t="s">
        <v>575</v>
      </c>
      <c r="C120" s="3">
        <v>50.0</v>
      </c>
      <c r="D120" s="10">
        <v>9.0</v>
      </c>
      <c r="E120" s="11">
        <v>2013.0</v>
      </c>
      <c r="F120" s="13">
        <v>1262998.0</v>
      </c>
      <c r="G120" s="13">
        <v>719055.4</v>
      </c>
      <c r="H120" s="13">
        <v>543942.6</v>
      </c>
      <c r="I120" s="14">
        <v>0.4306757413709285</v>
      </c>
      <c r="J120" s="3" t="s">
        <v>3</v>
      </c>
      <c r="K120" s="3" t="s">
        <v>28</v>
      </c>
      <c r="L120" s="3" t="s">
        <v>98</v>
      </c>
    </row>
    <row r="121" ht="15.75" customHeight="1">
      <c r="A121" s="3">
        <v>1.76722657E8</v>
      </c>
      <c r="B121" s="3" t="s">
        <v>248</v>
      </c>
      <c r="C121" s="3">
        <v>8.0</v>
      </c>
      <c r="D121" s="10">
        <v>9.0</v>
      </c>
      <c r="E121" s="11">
        <v>2012.0</v>
      </c>
      <c r="F121" s="13">
        <v>548148.48</v>
      </c>
      <c r="G121" s="13">
        <v>179773.44000000003</v>
      </c>
      <c r="H121" s="13">
        <v>368375.0399999999</v>
      </c>
      <c r="I121" s="14">
        <v>0.67203513909224</v>
      </c>
      <c r="J121" s="3" t="s">
        <v>5</v>
      </c>
      <c r="K121" s="3" t="s">
        <v>28</v>
      </c>
      <c r="L121" s="3" t="s">
        <v>29</v>
      </c>
    </row>
    <row r="122" ht="15.75" customHeight="1">
      <c r="A122" s="3">
        <v>1.7714709E8</v>
      </c>
      <c r="B122" s="3" t="s">
        <v>482</v>
      </c>
      <c r="C122" s="3">
        <v>33.0</v>
      </c>
      <c r="D122" s="10">
        <v>7.0</v>
      </c>
      <c r="E122" s="11">
        <v>2013.0</v>
      </c>
      <c r="F122" s="13">
        <v>259462.35</v>
      </c>
      <c r="G122" s="13">
        <v>224284.35</v>
      </c>
      <c r="H122" s="13">
        <v>35178.0</v>
      </c>
      <c r="I122" s="14">
        <v>0.1355803645500012</v>
      </c>
      <c r="J122" s="3" t="s">
        <v>11</v>
      </c>
      <c r="K122" s="3" t="s">
        <v>28</v>
      </c>
      <c r="L122" s="3" t="s">
        <v>79</v>
      </c>
    </row>
    <row r="123" ht="15.75" customHeight="1">
      <c r="A123" s="3">
        <v>1.78604066E8</v>
      </c>
      <c r="B123" s="3" t="s">
        <v>78</v>
      </c>
      <c r="C123" s="3">
        <v>28.0</v>
      </c>
      <c r="D123" s="10">
        <v>9.0</v>
      </c>
      <c r="E123" s="11">
        <v>2015.0</v>
      </c>
      <c r="F123" s="13">
        <v>1180833.09</v>
      </c>
      <c r="G123" s="13">
        <v>887988.18</v>
      </c>
      <c r="H123" s="13">
        <v>292844.91000000003</v>
      </c>
      <c r="I123" s="14">
        <v>0.247998563454891</v>
      </c>
      <c r="J123" s="3" t="s">
        <v>4</v>
      </c>
      <c r="K123" s="3" t="s">
        <v>28</v>
      </c>
      <c r="L123" s="3" t="s">
        <v>79</v>
      </c>
    </row>
    <row r="124" ht="15.75" customHeight="1">
      <c r="A124" s="3">
        <v>1.79819428E8</v>
      </c>
      <c r="B124" s="3" t="s">
        <v>142</v>
      </c>
      <c r="C124" s="3">
        <v>28.0</v>
      </c>
      <c r="D124" s="10">
        <v>5.0</v>
      </c>
      <c r="E124" s="11">
        <v>2012.0</v>
      </c>
      <c r="F124" s="13">
        <v>620824.0</v>
      </c>
      <c r="G124" s="13">
        <v>373928.6</v>
      </c>
      <c r="H124" s="13">
        <v>246895.40000000002</v>
      </c>
      <c r="I124" s="14">
        <v>0.3976898444647759</v>
      </c>
      <c r="J124" s="3" t="s">
        <v>12</v>
      </c>
      <c r="K124" s="3" t="s">
        <v>28</v>
      </c>
      <c r="L124" s="3" t="s">
        <v>98</v>
      </c>
    </row>
    <row r="125" ht="15.75" customHeight="1">
      <c r="A125" s="3">
        <v>1.80358016E8</v>
      </c>
      <c r="B125" s="3" t="s">
        <v>455</v>
      </c>
      <c r="C125" s="3">
        <v>16.0</v>
      </c>
      <c r="D125" s="10">
        <v>4.0</v>
      </c>
      <c r="E125" s="11">
        <v>2016.0</v>
      </c>
      <c r="F125" s="13">
        <v>37960.0</v>
      </c>
      <c r="G125" s="13">
        <v>25432.0</v>
      </c>
      <c r="H125" s="13">
        <v>12528.0</v>
      </c>
      <c r="I125" s="14">
        <v>0.33003161222339306</v>
      </c>
      <c r="J125" s="3" t="s">
        <v>6</v>
      </c>
      <c r="K125" s="3" t="s">
        <v>28</v>
      </c>
      <c r="L125" s="3" t="s">
        <v>33</v>
      </c>
    </row>
    <row r="126" ht="15.75" customHeight="1">
      <c r="A126" s="3">
        <v>1.80479466E8</v>
      </c>
      <c r="B126" s="3" t="s">
        <v>97</v>
      </c>
      <c r="C126" s="3">
        <v>7.0</v>
      </c>
      <c r="D126" s="10">
        <v>1.0</v>
      </c>
      <c r="E126" s="11">
        <v>2011.0</v>
      </c>
      <c r="F126" s="13">
        <v>1038364.4</v>
      </c>
      <c r="G126" s="13">
        <v>612868.2000000001</v>
      </c>
      <c r="H126" s="13">
        <v>425496.19999999995</v>
      </c>
      <c r="I126" s="14">
        <v>0.4097754121770738</v>
      </c>
      <c r="J126" s="3" t="s">
        <v>9</v>
      </c>
      <c r="K126" s="3" t="s">
        <v>28</v>
      </c>
      <c r="L126" s="3" t="s">
        <v>98</v>
      </c>
    </row>
    <row r="127" ht="15.75" customHeight="1">
      <c r="A127" s="3">
        <v>1.81260526E8</v>
      </c>
      <c r="B127" s="3" t="s">
        <v>740</v>
      </c>
      <c r="C127" s="3">
        <v>31.0</v>
      </c>
      <c r="D127" s="10">
        <v>5.0</v>
      </c>
      <c r="E127" s="11">
        <v>2017.0</v>
      </c>
      <c r="F127" s="13">
        <v>5126325.12</v>
      </c>
      <c r="G127" s="13">
        <v>4132485.12</v>
      </c>
      <c r="H127" s="13">
        <v>993840.0</v>
      </c>
      <c r="I127" s="14">
        <v>0.19386987300563566</v>
      </c>
      <c r="J127" s="3" t="s">
        <v>7</v>
      </c>
      <c r="K127" s="3" t="s">
        <v>28</v>
      </c>
      <c r="L127" s="3" t="s">
        <v>98</v>
      </c>
    </row>
    <row r="128" ht="15.75" customHeight="1">
      <c r="A128" s="3">
        <v>1.82078921E8</v>
      </c>
      <c r="B128" s="3" t="s">
        <v>267</v>
      </c>
      <c r="C128" s="3">
        <v>33.0</v>
      </c>
      <c r="D128" s="10">
        <v>1.0</v>
      </c>
      <c r="E128" s="11">
        <v>2016.0</v>
      </c>
      <c r="F128" s="13">
        <v>503.82</v>
      </c>
      <c r="G128" s="13">
        <v>373.68</v>
      </c>
      <c r="H128" s="13">
        <v>130.14</v>
      </c>
      <c r="I128" s="14">
        <v>0.2583065380493033</v>
      </c>
      <c r="J128" s="3" t="s">
        <v>8</v>
      </c>
      <c r="K128" s="3" t="s">
        <v>28</v>
      </c>
      <c r="L128" s="3" t="s">
        <v>29</v>
      </c>
    </row>
    <row r="129" ht="15.75" customHeight="1">
      <c r="A129" s="3">
        <v>1.82228696E8</v>
      </c>
      <c r="B129" s="3" t="s">
        <v>413</v>
      </c>
      <c r="C129" s="3">
        <v>42.0</v>
      </c>
      <c r="D129" s="10">
        <v>5.0</v>
      </c>
      <c r="E129" s="11">
        <v>2010.0</v>
      </c>
      <c r="F129" s="13">
        <v>2849043.75</v>
      </c>
      <c r="G129" s="13">
        <v>2296700.0</v>
      </c>
      <c r="H129" s="13">
        <v>552343.75</v>
      </c>
      <c r="I129" s="14">
        <v>0.19386987300563566</v>
      </c>
      <c r="J129" s="3" t="s">
        <v>7</v>
      </c>
      <c r="K129" s="3" t="s">
        <v>28</v>
      </c>
      <c r="L129" s="3" t="s">
        <v>29</v>
      </c>
    </row>
    <row r="130" ht="15.75" customHeight="1">
      <c r="A130" s="3">
        <v>1.83778369E8</v>
      </c>
      <c r="B130" s="3" t="s">
        <v>123</v>
      </c>
      <c r="C130" s="3">
        <v>14.0</v>
      </c>
      <c r="D130" s="10">
        <v>12.0</v>
      </c>
      <c r="E130" s="11">
        <v>2012.0</v>
      </c>
      <c r="F130" s="13">
        <v>451331.64</v>
      </c>
      <c r="G130" s="13">
        <v>288227.52</v>
      </c>
      <c r="H130" s="13">
        <v>163104.12</v>
      </c>
      <c r="I130" s="14">
        <v>0.36138419189933146</v>
      </c>
      <c r="J130" s="3" t="s">
        <v>13</v>
      </c>
      <c r="K130" s="3" t="s">
        <v>28</v>
      </c>
      <c r="L130" s="3" t="s">
        <v>33</v>
      </c>
    </row>
    <row r="131" ht="15.75" customHeight="1">
      <c r="A131" s="3">
        <v>1.83910119E8</v>
      </c>
      <c r="B131" s="3" t="s">
        <v>740</v>
      </c>
      <c r="C131" s="3">
        <v>2.0</v>
      </c>
      <c r="D131" s="10">
        <v>6.0</v>
      </c>
      <c r="E131" s="11">
        <v>2014.0</v>
      </c>
      <c r="F131" s="13">
        <v>850791.2</v>
      </c>
      <c r="G131" s="13">
        <v>512440.18</v>
      </c>
      <c r="H131" s="13">
        <v>338351.01999999996</v>
      </c>
      <c r="I131" s="14">
        <v>0.39768984446477584</v>
      </c>
      <c r="J131" s="3" t="s">
        <v>12</v>
      </c>
      <c r="K131" s="3" t="s">
        <v>28</v>
      </c>
      <c r="L131" s="3" t="s">
        <v>98</v>
      </c>
    </row>
    <row r="132" ht="15.75" customHeight="1">
      <c r="A132" s="3">
        <v>1.84120833E8</v>
      </c>
      <c r="B132" s="3" t="s">
        <v>221</v>
      </c>
      <c r="C132" s="3">
        <v>4.0</v>
      </c>
      <c r="D132" s="10">
        <v>10.0</v>
      </c>
      <c r="E132" s="11">
        <v>2014.0</v>
      </c>
      <c r="F132" s="13">
        <v>470013.28</v>
      </c>
      <c r="G132" s="13">
        <v>154147.84000000003</v>
      </c>
      <c r="H132" s="13">
        <v>315865.44</v>
      </c>
      <c r="I132" s="14">
        <v>0.6720351390922401</v>
      </c>
      <c r="J132" s="3" t="s">
        <v>5</v>
      </c>
      <c r="K132" s="3" t="s">
        <v>28</v>
      </c>
      <c r="L132" s="3" t="s">
        <v>29</v>
      </c>
    </row>
    <row r="133" ht="15.75" customHeight="1">
      <c r="A133" s="3">
        <v>1.84412229E8</v>
      </c>
      <c r="B133" s="3" t="s">
        <v>123</v>
      </c>
      <c r="C133" s="3">
        <v>3.0</v>
      </c>
      <c r="D133" s="10">
        <v>4.0</v>
      </c>
      <c r="E133" s="11">
        <v>2015.0</v>
      </c>
      <c r="F133" s="13">
        <v>135553.68</v>
      </c>
      <c r="G133" s="13">
        <v>84652.01999999999</v>
      </c>
      <c r="H133" s="13">
        <v>50901.66</v>
      </c>
      <c r="I133" s="14">
        <v>0.37550924475086184</v>
      </c>
      <c r="J133" s="3" t="s">
        <v>10</v>
      </c>
      <c r="K133" s="3" t="s">
        <v>28</v>
      </c>
      <c r="L133" s="3" t="s">
        <v>33</v>
      </c>
    </row>
    <row r="134" ht="15.75" customHeight="1">
      <c r="A134" s="3">
        <v>1.84708344E8</v>
      </c>
      <c r="B134" s="3" t="s">
        <v>123</v>
      </c>
      <c r="C134" s="3">
        <v>5.0</v>
      </c>
      <c r="D134" s="10">
        <v>11.0</v>
      </c>
      <c r="E134" s="11">
        <v>2016.0</v>
      </c>
      <c r="F134" s="13">
        <v>1256975.54</v>
      </c>
      <c r="G134" s="13">
        <v>741897.8700000001</v>
      </c>
      <c r="H134" s="13">
        <v>515077.6699999999</v>
      </c>
      <c r="I134" s="14">
        <v>0.4097754121770738</v>
      </c>
      <c r="J134" s="3" t="s">
        <v>9</v>
      </c>
      <c r="K134" s="3" t="s">
        <v>28</v>
      </c>
      <c r="L134" s="3" t="s">
        <v>33</v>
      </c>
    </row>
    <row r="135" ht="15.75" customHeight="1">
      <c r="A135" s="3">
        <v>1.84976994E8</v>
      </c>
      <c r="B135" s="3" t="s">
        <v>428</v>
      </c>
      <c r="C135" s="3">
        <v>31.0</v>
      </c>
      <c r="D135" s="10">
        <v>8.0</v>
      </c>
      <c r="E135" s="11">
        <v>2015.0</v>
      </c>
      <c r="F135" s="13">
        <v>5117611.66</v>
      </c>
      <c r="G135" s="13">
        <v>3848451.3200000003</v>
      </c>
      <c r="H135" s="13">
        <v>1269160.3399999999</v>
      </c>
      <c r="I135" s="14">
        <v>0.24799856345489096</v>
      </c>
      <c r="J135" s="3" t="s">
        <v>4</v>
      </c>
      <c r="K135" s="3" t="s">
        <v>28</v>
      </c>
      <c r="L135" s="3" t="s">
        <v>79</v>
      </c>
    </row>
    <row r="136" ht="15.75" customHeight="1">
      <c r="A136" s="3">
        <v>1.8594731E8</v>
      </c>
      <c r="B136" s="3" t="s">
        <v>623</v>
      </c>
      <c r="C136" s="3">
        <v>21.0</v>
      </c>
      <c r="D136" s="10">
        <v>1.0</v>
      </c>
      <c r="E136" s="11">
        <v>2012.0</v>
      </c>
      <c r="F136" s="13">
        <v>391977.08</v>
      </c>
      <c r="G136" s="13">
        <v>271789.32</v>
      </c>
      <c r="H136" s="13">
        <v>120187.76000000001</v>
      </c>
      <c r="I136" s="14">
        <v>0.3066193564174722</v>
      </c>
      <c r="J136" s="3" t="s">
        <v>14</v>
      </c>
      <c r="K136" s="3" t="s">
        <v>28</v>
      </c>
      <c r="L136" s="3" t="s">
        <v>33</v>
      </c>
    </row>
    <row r="137" ht="15.75" customHeight="1">
      <c r="A137" s="3">
        <v>1.85960614E8</v>
      </c>
      <c r="B137" s="3" t="s">
        <v>78</v>
      </c>
      <c r="C137" s="3">
        <v>38.0</v>
      </c>
      <c r="D137" s="10">
        <v>4.0</v>
      </c>
      <c r="E137" s="11">
        <v>2011.0</v>
      </c>
      <c r="F137" s="13">
        <v>81478.89</v>
      </c>
      <c r="G137" s="13">
        <v>60432.36</v>
      </c>
      <c r="H137" s="13">
        <v>21046.53</v>
      </c>
      <c r="I137" s="14">
        <v>0.2583065380493033</v>
      </c>
      <c r="J137" s="3" t="s">
        <v>8</v>
      </c>
      <c r="K137" s="3" t="s">
        <v>28</v>
      </c>
      <c r="L137" s="3" t="s">
        <v>79</v>
      </c>
    </row>
    <row r="138" ht="15.75" customHeight="1">
      <c r="A138" s="3">
        <v>1.8607949E8</v>
      </c>
      <c r="B138" s="3" t="s">
        <v>221</v>
      </c>
      <c r="C138" s="3">
        <v>4.0</v>
      </c>
      <c r="D138" s="10">
        <v>8.0</v>
      </c>
      <c r="E138" s="11">
        <v>2015.0</v>
      </c>
      <c r="F138" s="13">
        <v>602528.66</v>
      </c>
      <c r="G138" s="13">
        <v>355627.23000000004</v>
      </c>
      <c r="H138" s="13">
        <v>246901.43</v>
      </c>
      <c r="I138" s="14">
        <v>0.40977541217707386</v>
      </c>
      <c r="J138" s="3" t="s">
        <v>9</v>
      </c>
      <c r="K138" s="3" t="s">
        <v>28</v>
      </c>
      <c r="L138" s="3" t="s">
        <v>29</v>
      </c>
    </row>
    <row r="139" ht="15.75" customHeight="1">
      <c r="A139" s="3">
        <v>1.86597907E8</v>
      </c>
      <c r="B139" s="3" t="s">
        <v>428</v>
      </c>
      <c r="C139" s="3">
        <v>44.0</v>
      </c>
      <c r="D139" s="10">
        <v>11.0</v>
      </c>
      <c r="E139" s="11">
        <v>2015.0</v>
      </c>
      <c r="F139" s="13">
        <v>4768159.62</v>
      </c>
      <c r="G139" s="13">
        <v>3843757.12</v>
      </c>
      <c r="H139" s="13">
        <v>924402.5</v>
      </c>
      <c r="I139" s="14">
        <v>0.19386987300563566</v>
      </c>
      <c r="J139" s="3" t="s">
        <v>7</v>
      </c>
      <c r="K139" s="3" t="s">
        <v>28</v>
      </c>
      <c r="L139" s="3" t="s">
        <v>79</v>
      </c>
    </row>
    <row r="140" ht="15.75" customHeight="1">
      <c r="A140" s="3">
        <v>1.86847674E8</v>
      </c>
      <c r="B140" s="3" t="s">
        <v>349</v>
      </c>
      <c r="C140" s="3">
        <v>7.0</v>
      </c>
      <c r="D140" s="10">
        <v>4.0</v>
      </c>
      <c r="E140" s="11">
        <v>2017.0</v>
      </c>
      <c r="F140" s="13">
        <v>539504.7999999999</v>
      </c>
      <c r="G140" s="13">
        <v>324949.22</v>
      </c>
      <c r="H140" s="13">
        <v>214555.57999999996</v>
      </c>
      <c r="I140" s="14">
        <v>0.39768984446477584</v>
      </c>
      <c r="J140" s="3" t="s">
        <v>12</v>
      </c>
      <c r="K140" s="3" t="s">
        <v>28</v>
      </c>
      <c r="L140" s="3" t="s">
        <v>29</v>
      </c>
    </row>
    <row r="141" ht="15.75" customHeight="1">
      <c r="A141" s="3">
        <v>1.8710345E8</v>
      </c>
      <c r="B141" s="3" t="s">
        <v>101</v>
      </c>
      <c r="C141" s="3">
        <v>10.0</v>
      </c>
      <c r="D141" s="10">
        <v>5.0</v>
      </c>
      <c r="E141" s="11">
        <v>2011.0</v>
      </c>
      <c r="F141" s="13">
        <v>64600.92</v>
      </c>
      <c r="G141" s="13">
        <v>47914.08</v>
      </c>
      <c r="H141" s="13">
        <v>16686.839999999997</v>
      </c>
      <c r="I141" s="14">
        <v>0.25830653804930326</v>
      </c>
      <c r="J141" s="3" t="s">
        <v>8</v>
      </c>
      <c r="K141" s="3" t="s">
        <v>28</v>
      </c>
      <c r="L141" s="3" t="s">
        <v>79</v>
      </c>
    </row>
    <row r="142" ht="15.75" customHeight="1">
      <c r="A142" s="3">
        <v>1.88866841E8</v>
      </c>
      <c r="B142" s="3" t="s">
        <v>653</v>
      </c>
      <c r="C142" s="3">
        <v>4.0</v>
      </c>
      <c r="D142" s="10">
        <v>5.0</v>
      </c>
      <c r="E142" s="11">
        <v>2014.0</v>
      </c>
      <c r="F142" s="13">
        <v>956200.0</v>
      </c>
      <c r="G142" s="13">
        <v>313600.00000000006</v>
      </c>
      <c r="H142" s="13">
        <v>642600.0</v>
      </c>
      <c r="I142" s="14">
        <v>0.6720351390922401</v>
      </c>
      <c r="J142" s="3" t="s">
        <v>5</v>
      </c>
      <c r="K142" s="3" t="s">
        <v>28</v>
      </c>
      <c r="L142" s="3" t="s">
        <v>33</v>
      </c>
    </row>
    <row r="143" ht="15.75" customHeight="1">
      <c r="A143" s="3">
        <v>1.89108455E8</v>
      </c>
      <c r="B143" s="3" t="s">
        <v>218</v>
      </c>
      <c r="C143" s="3">
        <v>50.0</v>
      </c>
      <c r="D143" s="10">
        <v>5.0</v>
      </c>
      <c r="E143" s="11">
        <v>2012.0</v>
      </c>
      <c r="F143" s="13">
        <v>162151.29</v>
      </c>
      <c r="G143" s="13">
        <v>130715.04000000001</v>
      </c>
      <c r="H143" s="13">
        <v>31436.25</v>
      </c>
      <c r="I143" s="14">
        <v>0.19386987300563566</v>
      </c>
      <c r="J143" s="3" t="s">
        <v>7</v>
      </c>
      <c r="K143" s="3" t="s">
        <v>28</v>
      </c>
      <c r="L143" s="3" t="s">
        <v>98</v>
      </c>
    </row>
    <row r="144" ht="15.75" customHeight="1">
      <c r="A144" s="3">
        <v>1.89667212E8</v>
      </c>
      <c r="B144" s="3" t="s">
        <v>593</v>
      </c>
      <c r="C144" s="3">
        <v>37.0</v>
      </c>
      <c r="D144" s="10">
        <v>7.0</v>
      </c>
      <c r="E144" s="11">
        <v>2012.0</v>
      </c>
      <c r="F144" s="13">
        <v>854142.8400000001</v>
      </c>
      <c r="G144" s="13">
        <v>545469.12</v>
      </c>
      <c r="H144" s="13">
        <v>308673.7200000001</v>
      </c>
      <c r="I144" s="14">
        <v>0.3613841918993316</v>
      </c>
      <c r="J144" s="3" t="s">
        <v>13</v>
      </c>
      <c r="K144" s="3" t="s">
        <v>28</v>
      </c>
      <c r="L144" s="3" t="s">
        <v>98</v>
      </c>
    </row>
    <row r="145" ht="15.75" customHeight="1">
      <c r="A145" s="3">
        <v>1.89924275E8</v>
      </c>
      <c r="B145" s="3" t="s">
        <v>206</v>
      </c>
      <c r="C145" s="3">
        <v>27.0</v>
      </c>
      <c r="D145" s="10">
        <v>2.0</v>
      </c>
      <c r="E145" s="11">
        <v>2013.0</v>
      </c>
      <c r="F145" s="13">
        <v>79146.6</v>
      </c>
      <c r="G145" s="13">
        <v>53025.72</v>
      </c>
      <c r="H145" s="13">
        <v>26120.880000000005</v>
      </c>
      <c r="I145" s="14">
        <v>0.33003161222339306</v>
      </c>
      <c r="J145" s="3" t="s">
        <v>6</v>
      </c>
      <c r="K145" s="3" t="s">
        <v>28</v>
      </c>
      <c r="L145" s="3" t="s">
        <v>33</v>
      </c>
    </row>
    <row r="146" ht="15.75" customHeight="1">
      <c r="A146" s="3">
        <v>1.9000281E8</v>
      </c>
      <c r="B146" s="3" t="s">
        <v>46</v>
      </c>
      <c r="C146" s="3">
        <v>46.0</v>
      </c>
      <c r="D146" s="10">
        <v>6.0</v>
      </c>
      <c r="E146" s="11">
        <v>2017.0</v>
      </c>
      <c r="F146" s="13">
        <v>536455.52</v>
      </c>
      <c r="G146" s="13">
        <v>175938.56000000003</v>
      </c>
      <c r="H146" s="13">
        <v>360516.95999999996</v>
      </c>
      <c r="I146" s="14">
        <v>0.67203513909224</v>
      </c>
      <c r="J146" s="3" t="s">
        <v>5</v>
      </c>
      <c r="K146" s="3" t="s">
        <v>28</v>
      </c>
      <c r="L146" s="3" t="s">
        <v>33</v>
      </c>
    </row>
    <row r="147" ht="15.75" customHeight="1">
      <c r="A147" s="3">
        <v>1.92236125E8</v>
      </c>
      <c r="B147" s="3" t="s">
        <v>206</v>
      </c>
      <c r="C147" s="3">
        <v>11.0</v>
      </c>
      <c r="D147" s="10">
        <v>3.0</v>
      </c>
      <c r="E147" s="11">
        <v>2017.0</v>
      </c>
      <c r="F147" s="13">
        <v>275020.2</v>
      </c>
      <c r="G147" s="13">
        <v>184254.84</v>
      </c>
      <c r="H147" s="13">
        <v>90765.36000000002</v>
      </c>
      <c r="I147" s="14">
        <v>0.3300316122233931</v>
      </c>
      <c r="J147" s="3" t="s">
        <v>6</v>
      </c>
      <c r="K147" s="3" t="s">
        <v>28</v>
      </c>
      <c r="L147" s="3" t="s">
        <v>33</v>
      </c>
    </row>
    <row r="148" ht="15.75" customHeight="1">
      <c r="A148" s="3">
        <v>1.92589318E8</v>
      </c>
      <c r="B148" s="3" t="s">
        <v>218</v>
      </c>
      <c r="C148" s="3">
        <v>45.0</v>
      </c>
      <c r="D148" s="10">
        <v>11.0</v>
      </c>
      <c r="E148" s="11">
        <v>2012.0</v>
      </c>
      <c r="F148" s="13">
        <v>2929.62</v>
      </c>
      <c r="G148" s="13">
        <v>2172.88</v>
      </c>
      <c r="H148" s="13">
        <v>756.7399999999998</v>
      </c>
      <c r="I148" s="14">
        <v>0.25830653804930326</v>
      </c>
      <c r="J148" s="3" t="s">
        <v>8</v>
      </c>
      <c r="K148" s="3" t="s">
        <v>28</v>
      </c>
      <c r="L148" s="3" t="s">
        <v>98</v>
      </c>
    </row>
    <row r="149" ht="15.75" customHeight="1">
      <c r="A149" s="3">
        <v>1.92922341E8</v>
      </c>
      <c r="B149" s="3" t="s">
        <v>78</v>
      </c>
      <c r="C149" s="3">
        <v>29.0</v>
      </c>
      <c r="D149" s="10">
        <v>4.0</v>
      </c>
      <c r="E149" s="11">
        <v>2012.0</v>
      </c>
      <c r="F149" s="13">
        <v>420549.35000000003</v>
      </c>
      <c r="G149" s="13">
        <v>281754.77</v>
      </c>
      <c r="H149" s="13">
        <v>138794.58000000002</v>
      </c>
      <c r="I149" s="14">
        <v>0.33003161222339306</v>
      </c>
      <c r="J149" s="3" t="s">
        <v>6</v>
      </c>
      <c r="K149" s="3" t="s">
        <v>28</v>
      </c>
      <c r="L149" s="3" t="s">
        <v>79</v>
      </c>
    </row>
    <row r="150" ht="15.75" customHeight="1">
      <c r="A150" s="3">
        <v>1.93472945E8</v>
      </c>
      <c r="B150" s="3" t="s">
        <v>101</v>
      </c>
      <c r="C150" s="3">
        <v>48.0</v>
      </c>
      <c r="D150" s="10">
        <v>7.0</v>
      </c>
      <c r="E150" s="11">
        <v>2016.0</v>
      </c>
      <c r="F150" s="13">
        <v>786522.7999999999</v>
      </c>
      <c r="G150" s="13">
        <v>473730.67</v>
      </c>
      <c r="H150" s="13">
        <v>312792.12999999995</v>
      </c>
      <c r="I150" s="14">
        <v>0.3976898444647758</v>
      </c>
      <c r="J150" s="3" t="s">
        <v>12</v>
      </c>
      <c r="K150" s="3" t="s">
        <v>28</v>
      </c>
      <c r="L150" s="3" t="s">
        <v>79</v>
      </c>
    </row>
    <row r="151" ht="15.75" customHeight="1">
      <c r="A151" s="3">
        <v>1.94176757E8</v>
      </c>
      <c r="B151" s="3" t="s">
        <v>593</v>
      </c>
      <c r="C151" s="3">
        <v>41.0</v>
      </c>
      <c r="D151" s="10">
        <v>7.0</v>
      </c>
      <c r="E151" s="11">
        <v>2017.0</v>
      </c>
      <c r="F151" s="13">
        <v>48115.44</v>
      </c>
      <c r="G151" s="13">
        <v>36182.880000000005</v>
      </c>
      <c r="H151" s="13">
        <v>11932.559999999998</v>
      </c>
      <c r="I151" s="14">
        <v>0.24799856345489094</v>
      </c>
      <c r="J151" s="3" t="s">
        <v>4</v>
      </c>
      <c r="K151" s="3" t="s">
        <v>28</v>
      </c>
      <c r="L151" s="3" t="s">
        <v>98</v>
      </c>
    </row>
    <row r="152" ht="15.75" customHeight="1">
      <c r="A152" s="3">
        <v>1.94785726E8</v>
      </c>
      <c r="B152" s="3" t="s">
        <v>428</v>
      </c>
      <c r="C152" s="3">
        <v>28.0</v>
      </c>
      <c r="D152" s="10">
        <v>10.0</v>
      </c>
      <c r="E152" s="11">
        <v>2014.0</v>
      </c>
      <c r="F152" s="13">
        <v>57596.0</v>
      </c>
      <c r="G152" s="13">
        <v>32790.8</v>
      </c>
      <c r="H152" s="13">
        <v>24805.199999999997</v>
      </c>
      <c r="I152" s="14">
        <v>0.4306757413709285</v>
      </c>
      <c r="J152" s="3" t="s">
        <v>3</v>
      </c>
      <c r="K152" s="3" t="s">
        <v>28</v>
      </c>
      <c r="L152" s="3" t="s">
        <v>79</v>
      </c>
    </row>
    <row r="153" ht="15.75" customHeight="1">
      <c r="A153" s="3">
        <v>1.94858253E8</v>
      </c>
      <c r="B153" s="3" t="s">
        <v>434</v>
      </c>
      <c r="C153" s="3">
        <v>5.0</v>
      </c>
      <c r="D153" s="10">
        <v>5.0</v>
      </c>
      <c r="E153" s="11">
        <v>2011.0</v>
      </c>
      <c r="F153" s="13">
        <v>142373.66</v>
      </c>
      <c r="G153" s="13">
        <v>98719.14</v>
      </c>
      <c r="H153" s="13">
        <v>43654.520000000004</v>
      </c>
      <c r="I153" s="14">
        <v>0.3066193564174722</v>
      </c>
      <c r="J153" s="3" t="s">
        <v>14</v>
      </c>
      <c r="K153" s="3" t="s">
        <v>28</v>
      </c>
      <c r="L153" s="3" t="s">
        <v>79</v>
      </c>
    </row>
    <row r="154" ht="15.75" customHeight="1">
      <c r="A154" s="3">
        <v>1.94922626E8</v>
      </c>
      <c r="B154" s="3" t="s">
        <v>67</v>
      </c>
      <c r="C154" s="3">
        <v>15.0</v>
      </c>
      <c r="D154" s="10">
        <v>1.0</v>
      </c>
      <c r="E154" s="11">
        <v>2012.0</v>
      </c>
      <c r="F154" s="13">
        <v>201926.48</v>
      </c>
      <c r="G154" s="13">
        <v>126101.21999999999</v>
      </c>
      <c r="H154" s="13">
        <v>75825.26000000002</v>
      </c>
      <c r="I154" s="14">
        <v>0.3755092447508619</v>
      </c>
      <c r="J154" s="3" t="s">
        <v>10</v>
      </c>
      <c r="K154" s="3" t="s">
        <v>23</v>
      </c>
      <c r="L154" s="3" t="s">
        <v>68</v>
      </c>
    </row>
    <row r="155" ht="15.75" customHeight="1">
      <c r="A155" s="3">
        <v>1.95171105E8</v>
      </c>
      <c r="B155" s="3" t="s">
        <v>267</v>
      </c>
      <c r="C155" s="3">
        <v>41.0</v>
      </c>
      <c r="D155" s="10">
        <v>7.0</v>
      </c>
      <c r="E155" s="11">
        <v>2014.0</v>
      </c>
      <c r="F155" s="13">
        <v>353237.06</v>
      </c>
      <c r="G155" s="13">
        <v>244927.74000000002</v>
      </c>
      <c r="H155" s="13">
        <v>108309.31999999998</v>
      </c>
      <c r="I155" s="14">
        <v>0.3066193564174721</v>
      </c>
      <c r="J155" s="3" t="s">
        <v>14</v>
      </c>
      <c r="K155" s="3" t="s">
        <v>28</v>
      </c>
      <c r="L155" s="3" t="s">
        <v>29</v>
      </c>
    </row>
    <row r="156" ht="15.75" customHeight="1">
      <c r="A156" s="3">
        <v>1.95212733E8</v>
      </c>
      <c r="B156" s="3" t="s">
        <v>248</v>
      </c>
      <c r="C156" s="3">
        <v>27.0</v>
      </c>
      <c r="D156" s="10">
        <v>7.0</v>
      </c>
      <c r="E156" s="11">
        <v>2013.0</v>
      </c>
      <c r="F156" s="13">
        <v>1366053.7</v>
      </c>
      <c r="G156" s="13">
        <v>777727.51</v>
      </c>
      <c r="H156" s="13">
        <v>588326.19</v>
      </c>
      <c r="I156" s="14">
        <v>0.4306757413709285</v>
      </c>
      <c r="J156" s="3" t="s">
        <v>3</v>
      </c>
      <c r="K156" s="3" t="s">
        <v>28</v>
      </c>
      <c r="L156" s="3" t="s">
        <v>29</v>
      </c>
    </row>
    <row r="157" ht="15.75" customHeight="1">
      <c r="A157" s="3">
        <v>1.95259082E8</v>
      </c>
      <c r="B157" s="3" t="s">
        <v>300</v>
      </c>
      <c r="C157" s="3">
        <v>15.0</v>
      </c>
      <c r="D157" s="10">
        <v>9.0</v>
      </c>
      <c r="E157" s="11">
        <v>2013.0</v>
      </c>
      <c r="F157" s="13">
        <v>237904.12</v>
      </c>
      <c r="G157" s="13">
        <v>178904.24000000002</v>
      </c>
      <c r="H157" s="13">
        <v>58999.879999999976</v>
      </c>
      <c r="I157" s="14">
        <v>0.24799856345489088</v>
      </c>
      <c r="J157" s="3" t="s">
        <v>4</v>
      </c>
      <c r="K157" s="3" t="s">
        <v>28</v>
      </c>
      <c r="L157" s="3" t="s">
        <v>33</v>
      </c>
    </row>
    <row r="158" ht="15.75" customHeight="1">
      <c r="A158" s="3">
        <v>1.96346127E8</v>
      </c>
      <c r="B158" s="3" t="s">
        <v>67</v>
      </c>
      <c r="C158" s="3">
        <v>43.0</v>
      </c>
      <c r="D158" s="10">
        <v>2.0</v>
      </c>
      <c r="E158" s="11">
        <v>2011.0</v>
      </c>
      <c r="F158" s="13">
        <v>310805.46</v>
      </c>
      <c r="G158" s="13">
        <v>198485.28</v>
      </c>
      <c r="H158" s="13">
        <v>112320.18000000002</v>
      </c>
      <c r="I158" s="14">
        <v>0.3613841918993315</v>
      </c>
      <c r="J158" s="3" t="s">
        <v>13</v>
      </c>
      <c r="K158" s="3" t="s">
        <v>23</v>
      </c>
      <c r="L158" s="3" t="s">
        <v>68</v>
      </c>
    </row>
    <row r="159" ht="15.75" customHeight="1">
      <c r="A159" s="3">
        <v>1.98537814E8</v>
      </c>
      <c r="B159" s="3" t="s">
        <v>221</v>
      </c>
      <c r="C159" s="3">
        <v>23.0</v>
      </c>
      <c r="D159" s="10">
        <v>11.0</v>
      </c>
      <c r="E159" s="11">
        <v>2011.0</v>
      </c>
      <c r="F159" s="13">
        <v>255665.34</v>
      </c>
      <c r="G159" s="13">
        <v>221002.13999999998</v>
      </c>
      <c r="H159" s="13">
        <v>34663.20000000001</v>
      </c>
      <c r="I159" s="14">
        <v>0.13558036455000122</v>
      </c>
      <c r="J159" s="3" t="s">
        <v>11</v>
      </c>
      <c r="K159" s="3" t="s">
        <v>28</v>
      </c>
      <c r="L159" s="3" t="s">
        <v>29</v>
      </c>
    </row>
    <row r="160" ht="15.75" customHeight="1">
      <c r="A160" s="3">
        <v>2.0035485E8</v>
      </c>
      <c r="B160" s="3" t="s">
        <v>536</v>
      </c>
      <c r="C160" s="3">
        <v>33.0</v>
      </c>
      <c r="D160" s="10">
        <v>4.0</v>
      </c>
      <c r="E160" s="11">
        <v>2014.0</v>
      </c>
      <c r="F160" s="13">
        <v>2120610.96</v>
      </c>
      <c r="G160" s="13">
        <v>1324301.94</v>
      </c>
      <c r="H160" s="13">
        <v>796309.02</v>
      </c>
      <c r="I160" s="14">
        <v>0.37550924475086184</v>
      </c>
      <c r="J160" s="3" t="s">
        <v>10</v>
      </c>
      <c r="K160" s="3" t="s">
        <v>28</v>
      </c>
      <c r="L160" s="3" t="s">
        <v>33</v>
      </c>
    </row>
    <row r="161" ht="15.75" customHeight="1">
      <c r="A161" s="3">
        <v>2.00432097E8</v>
      </c>
      <c r="B161" s="3" t="s">
        <v>578</v>
      </c>
      <c r="C161" s="3">
        <v>14.0</v>
      </c>
      <c r="D161" s="10">
        <v>1.0</v>
      </c>
      <c r="E161" s="11">
        <v>2012.0</v>
      </c>
      <c r="F161" s="13">
        <v>779871.09</v>
      </c>
      <c r="G161" s="13">
        <v>586464.18</v>
      </c>
      <c r="H161" s="13">
        <v>193406.90999999992</v>
      </c>
      <c r="I161" s="14">
        <v>0.24799856345489088</v>
      </c>
      <c r="J161" s="3" t="s">
        <v>4</v>
      </c>
      <c r="K161" s="3" t="s">
        <v>28</v>
      </c>
      <c r="L161" s="3" t="s">
        <v>33</v>
      </c>
    </row>
    <row r="162" ht="15.75" customHeight="1">
      <c r="A162" s="3">
        <v>2.00507199E8</v>
      </c>
      <c r="B162" s="3" t="s">
        <v>142</v>
      </c>
      <c r="C162" s="3">
        <v>16.0</v>
      </c>
      <c r="D162" s="10">
        <v>2.0</v>
      </c>
      <c r="E162" s="11">
        <v>2014.0</v>
      </c>
      <c r="F162" s="13">
        <v>2208253.1100000003</v>
      </c>
      <c r="G162" s="13">
        <v>1780139.36</v>
      </c>
      <c r="H162" s="13">
        <v>428113.75000000023</v>
      </c>
      <c r="I162" s="14">
        <v>0.19386987300563574</v>
      </c>
      <c r="J162" s="3" t="s">
        <v>7</v>
      </c>
      <c r="K162" s="3" t="s">
        <v>28</v>
      </c>
      <c r="L162" s="3" t="s">
        <v>98</v>
      </c>
    </row>
    <row r="163" ht="15.75" customHeight="1">
      <c r="A163" s="3">
        <v>2.01294267E8</v>
      </c>
      <c r="B163" s="3" t="s">
        <v>623</v>
      </c>
      <c r="C163" s="3">
        <v>31.0</v>
      </c>
      <c r="D163" s="10">
        <v>1.0</v>
      </c>
      <c r="E163" s="11">
        <v>2013.0</v>
      </c>
      <c r="F163" s="13">
        <v>961559.16</v>
      </c>
      <c r="G163" s="13">
        <v>614066.88</v>
      </c>
      <c r="H163" s="13">
        <v>347492.28</v>
      </c>
      <c r="I163" s="14">
        <v>0.3613841918993315</v>
      </c>
      <c r="J163" s="3" t="s">
        <v>13</v>
      </c>
      <c r="K163" s="3" t="s">
        <v>28</v>
      </c>
      <c r="L163" s="3" t="s">
        <v>33</v>
      </c>
    </row>
    <row r="164" ht="15.75" customHeight="1">
      <c r="A164" s="3">
        <v>2.02047002E8</v>
      </c>
      <c r="B164" s="3" t="s">
        <v>740</v>
      </c>
      <c r="C164" s="3">
        <v>37.0</v>
      </c>
      <c r="D164" s="10">
        <v>1.0</v>
      </c>
      <c r="E164" s="11">
        <v>2012.0</v>
      </c>
      <c r="F164" s="13">
        <v>3957971.6</v>
      </c>
      <c r="G164" s="13">
        <v>2383926.4899999998</v>
      </c>
      <c r="H164" s="13">
        <v>1574045.1100000003</v>
      </c>
      <c r="I164" s="14">
        <v>0.3976898444647759</v>
      </c>
      <c r="J164" s="3" t="s">
        <v>12</v>
      </c>
      <c r="K164" s="3" t="s">
        <v>28</v>
      </c>
      <c r="L164" s="3" t="s">
        <v>98</v>
      </c>
    </row>
    <row r="165" ht="15.75" customHeight="1">
      <c r="A165" s="3">
        <v>2.0303663E8</v>
      </c>
      <c r="B165" s="3" t="s">
        <v>288</v>
      </c>
      <c r="C165" s="3">
        <v>34.0</v>
      </c>
      <c r="D165" s="10">
        <v>6.0</v>
      </c>
      <c r="E165" s="11">
        <v>2015.0</v>
      </c>
      <c r="F165" s="13">
        <v>486308.4</v>
      </c>
      <c r="G165" s="13">
        <v>303695.1</v>
      </c>
      <c r="H165" s="13">
        <v>182613.30000000005</v>
      </c>
      <c r="I165" s="14">
        <v>0.3755092447508619</v>
      </c>
      <c r="J165" s="3" t="s">
        <v>10</v>
      </c>
      <c r="K165" s="3" t="s">
        <v>23</v>
      </c>
      <c r="L165" s="3" t="s">
        <v>68</v>
      </c>
    </row>
    <row r="166" ht="15.75" customHeight="1">
      <c r="A166" s="3">
        <v>2.03955876E8</v>
      </c>
      <c r="B166" s="3" t="s">
        <v>349</v>
      </c>
      <c r="C166" s="3">
        <v>33.0</v>
      </c>
      <c r="D166" s="10">
        <v>6.0</v>
      </c>
      <c r="E166" s="11">
        <v>2010.0</v>
      </c>
      <c r="F166" s="13">
        <v>808606.7</v>
      </c>
      <c r="G166" s="13">
        <v>460359.41</v>
      </c>
      <c r="H166" s="13">
        <v>348247.29</v>
      </c>
      <c r="I166" s="14">
        <v>0.4306757413709285</v>
      </c>
      <c r="J166" s="3" t="s">
        <v>3</v>
      </c>
      <c r="K166" s="3" t="s">
        <v>28</v>
      </c>
      <c r="L166" s="3" t="s">
        <v>29</v>
      </c>
    </row>
    <row r="167" ht="15.75" customHeight="1">
      <c r="A167" s="3">
        <v>2.04392325E8</v>
      </c>
      <c r="B167" s="3" t="s">
        <v>346</v>
      </c>
      <c r="C167" s="3">
        <v>37.0</v>
      </c>
      <c r="D167" s="10">
        <v>8.0</v>
      </c>
      <c r="E167" s="11">
        <v>2011.0</v>
      </c>
      <c r="F167" s="13">
        <v>2009634.06</v>
      </c>
      <c r="G167" s="13">
        <v>1620026.56</v>
      </c>
      <c r="H167" s="13">
        <v>389607.5</v>
      </c>
      <c r="I167" s="14">
        <v>0.19386987300563566</v>
      </c>
      <c r="J167" s="3" t="s">
        <v>7</v>
      </c>
      <c r="K167" s="3" t="s">
        <v>28</v>
      </c>
      <c r="L167" s="3" t="s">
        <v>98</v>
      </c>
    </row>
    <row r="168" ht="15.75" customHeight="1">
      <c r="A168" s="3">
        <v>2.04418504E8</v>
      </c>
      <c r="B168" s="3" t="s">
        <v>291</v>
      </c>
      <c r="C168" s="3">
        <v>27.0</v>
      </c>
      <c r="D168" s="10">
        <v>8.0</v>
      </c>
      <c r="E168" s="11">
        <v>2015.0</v>
      </c>
      <c r="F168" s="13">
        <v>128331.98</v>
      </c>
      <c r="G168" s="13">
        <v>75744.69</v>
      </c>
      <c r="H168" s="13">
        <v>52587.28999999999</v>
      </c>
      <c r="I168" s="14">
        <v>0.4097754121770738</v>
      </c>
      <c r="J168" s="3" t="s">
        <v>9</v>
      </c>
      <c r="K168" s="3" t="s">
        <v>28</v>
      </c>
      <c r="L168" s="3" t="s">
        <v>79</v>
      </c>
    </row>
    <row r="169" ht="15.75" customHeight="1">
      <c r="A169" s="3">
        <v>2.05354487E8</v>
      </c>
      <c r="B169" s="3" t="s">
        <v>123</v>
      </c>
      <c r="C169" s="3">
        <v>8.0</v>
      </c>
      <c r="D169" s="10">
        <v>2.0</v>
      </c>
      <c r="E169" s="11">
        <v>2012.0</v>
      </c>
      <c r="F169" s="13">
        <v>3414969.1999999997</v>
      </c>
      <c r="G169" s="13">
        <v>2056870.63</v>
      </c>
      <c r="H169" s="13">
        <v>1358098.5699999998</v>
      </c>
      <c r="I169" s="14">
        <v>0.39768984446477584</v>
      </c>
      <c r="J169" s="3" t="s">
        <v>12</v>
      </c>
      <c r="K169" s="3" t="s">
        <v>28</v>
      </c>
      <c r="L169" s="3" t="s">
        <v>33</v>
      </c>
    </row>
    <row r="170" ht="15.75" customHeight="1">
      <c r="A170" s="3">
        <v>2.08238399E8</v>
      </c>
      <c r="B170" s="3" t="s">
        <v>32</v>
      </c>
      <c r="C170" s="3">
        <v>47.0</v>
      </c>
      <c r="D170" s="10">
        <v>8.0</v>
      </c>
      <c r="E170" s="11">
        <v>2015.0</v>
      </c>
      <c r="F170" s="13">
        <v>535132.7999999999</v>
      </c>
      <c r="G170" s="13">
        <v>322315.92</v>
      </c>
      <c r="H170" s="13">
        <v>212816.87999999995</v>
      </c>
      <c r="I170" s="14">
        <v>0.3976898444647758</v>
      </c>
      <c r="J170" s="3" t="s">
        <v>12</v>
      </c>
      <c r="K170" s="3" t="s">
        <v>28</v>
      </c>
      <c r="L170" s="3" t="s">
        <v>33</v>
      </c>
    </row>
    <row r="171" ht="15.75" customHeight="1">
      <c r="A171" s="3">
        <v>2.08365428E8</v>
      </c>
      <c r="B171" s="3" t="s">
        <v>575</v>
      </c>
      <c r="C171" s="3">
        <v>32.0</v>
      </c>
      <c r="D171" s="10">
        <v>11.0</v>
      </c>
      <c r="E171" s="11">
        <v>2015.0</v>
      </c>
      <c r="F171" s="13">
        <v>5740416.15</v>
      </c>
      <c r="G171" s="13">
        <v>4627522.4</v>
      </c>
      <c r="H171" s="13">
        <v>1112893.75</v>
      </c>
      <c r="I171" s="14">
        <v>0.19386987300563566</v>
      </c>
      <c r="J171" s="3" t="s">
        <v>7</v>
      </c>
      <c r="K171" s="3" t="s">
        <v>28</v>
      </c>
      <c r="L171" s="3" t="s">
        <v>98</v>
      </c>
    </row>
    <row r="172" ht="15.75" customHeight="1">
      <c r="A172" s="3">
        <v>2.09357202E8</v>
      </c>
      <c r="B172" s="3" t="s">
        <v>650</v>
      </c>
      <c r="C172" s="3">
        <v>8.0</v>
      </c>
      <c r="D172" s="10">
        <v>1.0</v>
      </c>
      <c r="E172" s="11">
        <v>2015.0</v>
      </c>
      <c r="F172" s="13">
        <v>473727.1</v>
      </c>
      <c r="G172" s="13">
        <v>269704.33</v>
      </c>
      <c r="H172" s="13">
        <v>204022.76999999996</v>
      </c>
      <c r="I172" s="14">
        <v>0.43067574137092846</v>
      </c>
      <c r="J172" s="3" t="s">
        <v>3</v>
      </c>
      <c r="K172" s="3" t="s">
        <v>28</v>
      </c>
      <c r="L172" s="3" t="s">
        <v>98</v>
      </c>
    </row>
    <row r="173" ht="15.75" customHeight="1">
      <c r="A173" s="3">
        <v>2.09445178E8</v>
      </c>
      <c r="B173" s="3" t="s">
        <v>689</v>
      </c>
      <c r="C173" s="3">
        <v>33.0</v>
      </c>
      <c r="D173" s="10">
        <v>3.0</v>
      </c>
      <c r="E173" s="11">
        <v>2014.0</v>
      </c>
      <c r="F173" s="13">
        <v>3644936.4</v>
      </c>
      <c r="G173" s="13">
        <v>2195382.21</v>
      </c>
      <c r="H173" s="13">
        <v>1449554.19</v>
      </c>
      <c r="I173" s="14">
        <v>0.39768984446477584</v>
      </c>
      <c r="J173" s="3" t="s">
        <v>12</v>
      </c>
      <c r="K173" s="3" t="s">
        <v>28</v>
      </c>
      <c r="L173" s="3" t="s">
        <v>79</v>
      </c>
    </row>
    <row r="174" ht="15.75" customHeight="1">
      <c r="A174" s="3">
        <v>2.09598815E8</v>
      </c>
      <c r="B174" s="3" t="s">
        <v>215</v>
      </c>
      <c r="C174" s="3">
        <v>2.0</v>
      </c>
      <c r="D174" s="10">
        <v>1.0</v>
      </c>
      <c r="E174" s="11">
        <v>2013.0</v>
      </c>
      <c r="F174" s="13">
        <v>415482.56</v>
      </c>
      <c r="G174" s="13">
        <v>136263.68000000002</v>
      </c>
      <c r="H174" s="13">
        <v>279218.88</v>
      </c>
      <c r="I174" s="14">
        <v>0.6720351390922401</v>
      </c>
      <c r="J174" s="3" t="s">
        <v>5</v>
      </c>
      <c r="K174" s="3" t="s">
        <v>23</v>
      </c>
      <c r="L174" s="3" t="s">
        <v>68</v>
      </c>
    </row>
    <row r="175" ht="15.75" customHeight="1">
      <c r="A175" s="3">
        <v>2.09736573E8</v>
      </c>
      <c r="B175" s="3" t="s">
        <v>635</v>
      </c>
      <c r="C175" s="3">
        <v>31.0</v>
      </c>
      <c r="D175" s="10">
        <v>8.0</v>
      </c>
      <c r="E175" s="11">
        <v>2014.0</v>
      </c>
      <c r="F175" s="13">
        <v>2974727.2800000003</v>
      </c>
      <c r="G175" s="13">
        <v>2398017.2800000003</v>
      </c>
      <c r="H175" s="13">
        <v>576710.0</v>
      </c>
      <c r="I175" s="14">
        <v>0.19386987300563566</v>
      </c>
      <c r="J175" s="3" t="s">
        <v>7</v>
      </c>
      <c r="K175" s="3" t="s">
        <v>28</v>
      </c>
      <c r="L175" s="3" t="s">
        <v>33</v>
      </c>
    </row>
    <row r="176" ht="15.75" customHeight="1">
      <c r="A176" s="3">
        <v>2.11344611E8</v>
      </c>
      <c r="B176" s="3" t="s">
        <v>142</v>
      </c>
      <c r="C176" s="3">
        <v>22.0</v>
      </c>
      <c r="D176" s="10">
        <v>3.0</v>
      </c>
      <c r="E176" s="11">
        <v>2010.0</v>
      </c>
      <c r="F176" s="13">
        <v>64388.76</v>
      </c>
      <c r="G176" s="13">
        <v>41119.68</v>
      </c>
      <c r="H176" s="13">
        <v>23269.08</v>
      </c>
      <c r="I176" s="14">
        <v>0.3613841918993315</v>
      </c>
      <c r="J176" s="3" t="s">
        <v>13</v>
      </c>
      <c r="K176" s="3" t="s">
        <v>28</v>
      </c>
      <c r="L176" s="3" t="s">
        <v>98</v>
      </c>
    </row>
    <row r="177" ht="15.75" customHeight="1">
      <c r="A177" s="3">
        <v>2.12106788E8</v>
      </c>
      <c r="B177" s="3" t="s">
        <v>431</v>
      </c>
      <c r="C177" s="3">
        <v>34.0</v>
      </c>
      <c r="D177" s="10">
        <v>8.0</v>
      </c>
      <c r="E177" s="11">
        <v>2011.0</v>
      </c>
      <c r="F177" s="13">
        <v>3885770.0700000003</v>
      </c>
      <c r="G177" s="13">
        <v>3132436.3200000003</v>
      </c>
      <c r="H177" s="13">
        <v>753333.75</v>
      </c>
      <c r="I177" s="14">
        <v>0.19386987300563566</v>
      </c>
      <c r="J177" s="3" t="s">
        <v>7</v>
      </c>
      <c r="K177" s="3" t="s">
        <v>28</v>
      </c>
      <c r="L177" s="3" t="s">
        <v>29</v>
      </c>
    </row>
    <row r="178" ht="15.75" customHeight="1">
      <c r="A178" s="3">
        <v>2.12319648E8</v>
      </c>
      <c r="B178" s="3" t="s">
        <v>536</v>
      </c>
      <c r="C178" s="3">
        <v>15.0</v>
      </c>
      <c r="D178" s="10">
        <v>4.0</v>
      </c>
      <c r="E178" s="11">
        <v>2015.0</v>
      </c>
      <c r="F178" s="13">
        <v>425009.65</v>
      </c>
      <c r="G178" s="13">
        <v>284743.02999999997</v>
      </c>
      <c r="H178" s="13">
        <v>140266.62000000005</v>
      </c>
      <c r="I178" s="14">
        <v>0.33003161222339317</v>
      </c>
      <c r="J178" s="3" t="s">
        <v>6</v>
      </c>
      <c r="K178" s="3" t="s">
        <v>28</v>
      </c>
      <c r="L178" s="3" t="s">
        <v>33</v>
      </c>
    </row>
    <row r="179" ht="15.75" customHeight="1">
      <c r="A179" s="3">
        <v>2.12903726E8</v>
      </c>
      <c r="B179" s="3" t="s">
        <v>46</v>
      </c>
      <c r="C179" s="3">
        <v>0.0</v>
      </c>
      <c r="D179" s="10">
        <v>2.0</v>
      </c>
      <c r="E179" s="11">
        <v>2015.0</v>
      </c>
      <c r="F179" s="13">
        <v>758558.22</v>
      </c>
      <c r="G179" s="13">
        <v>655712.62</v>
      </c>
      <c r="H179" s="13">
        <v>102845.59999999998</v>
      </c>
      <c r="I179" s="14">
        <v>0.13558036455000116</v>
      </c>
      <c r="J179" s="3" t="s">
        <v>11</v>
      </c>
      <c r="K179" s="3" t="s">
        <v>28</v>
      </c>
      <c r="L179" s="3" t="s">
        <v>33</v>
      </c>
    </row>
    <row r="180" ht="15.75" customHeight="1">
      <c r="A180" s="3">
        <v>2.14033257E8</v>
      </c>
      <c r="B180" s="3" t="s">
        <v>593</v>
      </c>
      <c r="C180" s="3">
        <v>4.0</v>
      </c>
      <c r="D180" s="10">
        <v>11.0</v>
      </c>
      <c r="E180" s="11">
        <v>2015.0</v>
      </c>
      <c r="F180" s="13">
        <v>923414.16</v>
      </c>
      <c r="G180" s="13">
        <v>589706.88</v>
      </c>
      <c r="H180" s="13">
        <v>333707.28</v>
      </c>
      <c r="I180" s="14">
        <v>0.3613841918993315</v>
      </c>
      <c r="J180" s="3" t="s">
        <v>13</v>
      </c>
      <c r="K180" s="3" t="s">
        <v>28</v>
      </c>
      <c r="L180" s="3" t="s">
        <v>98</v>
      </c>
    </row>
    <row r="181" ht="15.75" customHeight="1">
      <c r="A181" s="3">
        <v>2.14292466E8</v>
      </c>
      <c r="B181" s="3" t="s">
        <v>689</v>
      </c>
      <c r="C181" s="3">
        <v>24.0</v>
      </c>
      <c r="D181" s="10">
        <v>3.0</v>
      </c>
      <c r="E181" s="11">
        <v>2012.0</v>
      </c>
      <c r="F181" s="13">
        <v>420815.64</v>
      </c>
      <c r="G181" s="13">
        <v>268739.52</v>
      </c>
      <c r="H181" s="13">
        <v>152076.12</v>
      </c>
      <c r="I181" s="14">
        <v>0.36138419189933146</v>
      </c>
      <c r="J181" s="3" t="s">
        <v>13</v>
      </c>
      <c r="K181" s="3" t="s">
        <v>28</v>
      </c>
      <c r="L181" s="3" t="s">
        <v>79</v>
      </c>
    </row>
    <row r="182" ht="15.75" customHeight="1">
      <c r="A182" s="3">
        <v>2.15540015E8</v>
      </c>
      <c r="B182" s="3" t="s">
        <v>590</v>
      </c>
      <c r="C182" s="3">
        <v>3.0</v>
      </c>
      <c r="D182" s="10">
        <v>12.0</v>
      </c>
      <c r="E182" s="11">
        <v>2012.0</v>
      </c>
      <c r="F182" s="13">
        <v>158147.55000000002</v>
      </c>
      <c r="G182" s="13">
        <v>109656.45</v>
      </c>
      <c r="H182" s="13">
        <v>48491.10000000002</v>
      </c>
      <c r="I182" s="14">
        <v>0.30661935641747223</v>
      </c>
      <c r="J182" s="3" t="s">
        <v>14</v>
      </c>
      <c r="K182" s="3" t="s">
        <v>28</v>
      </c>
      <c r="L182" s="3" t="s">
        <v>98</v>
      </c>
    </row>
    <row r="183" ht="15.75" customHeight="1">
      <c r="A183" s="3">
        <v>2.15584218E8</v>
      </c>
      <c r="B183" s="3" t="s">
        <v>97</v>
      </c>
      <c r="C183" s="3">
        <v>14.0</v>
      </c>
      <c r="D183" s="10">
        <v>6.0</v>
      </c>
      <c r="E183" s="11">
        <v>2017.0</v>
      </c>
      <c r="F183" s="13">
        <v>772764.96</v>
      </c>
      <c r="G183" s="13">
        <v>456104.88000000006</v>
      </c>
      <c r="H183" s="13">
        <v>316660.0799999999</v>
      </c>
      <c r="I183" s="14">
        <v>0.40977541217707375</v>
      </c>
      <c r="J183" s="3" t="s">
        <v>9</v>
      </c>
      <c r="K183" s="3" t="s">
        <v>28</v>
      </c>
      <c r="L183" s="3" t="s">
        <v>98</v>
      </c>
    </row>
    <row r="184" ht="15.75" customHeight="1">
      <c r="A184" s="3">
        <v>2.16278588E8</v>
      </c>
      <c r="B184" s="3" t="s">
        <v>434</v>
      </c>
      <c r="C184" s="3">
        <v>0.0</v>
      </c>
      <c r="D184" s="10">
        <v>12.0</v>
      </c>
      <c r="E184" s="11">
        <v>2015.0</v>
      </c>
      <c r="F184" s="13">
        <v>208835.55</v>
      </c>
      <c r="G184" s="13">
        <v>180521.55</v>
      </c>
      <c r="H184" s="13">
        <v>28314.0</v>
      </c>
      <c r="I184" s="14">
        <v>0.1355803645500012</v>
      </c>
      <c r="J184" s="3" t="s">
        <v>11</v>
      </c>
      <c r="K184" s="3" t="s">
        <v>28</v>
      </c>
      <c r="L184" s="3" t="s">
        <v>79</v>
      </c>
    </row>
    <row r="185" ht="15.75" customHeight="1">
      <c r="A185" s="3">
        <v>2.17165648E8</v>
      </c>
      <c r="B185" s="3" t="s">
        <v>671</v>
      </c>
      <c r="C185" s="3">
        <v>19.0</v>
      </c>
      <c r="D185" s="10">
        <v>5.0</v>
      </c>
      <c r="E185" s="11">
        <v>2014.0</v>
      </c>
      <c r="F185" s="13">
        <v>0.0</v>
      </c>
      <c r="G185" s="13">
        <v>0.0</v>
      </c>
      <c r="H185" s="13">
        <v>0.0</v>
      </c>
      <c r="I185" s="14">
        <v>0.0</v>
      </c>
      <c r="J185" s="3" t="s">
        <v>11</v>
      </c>
      <c r="K185" s="3" t="s">
        <v>28</v>
      </c>
      <c r="L185" s="3" t="s">
        <v>33</v>
      </c>
    </row>
    <row r="186" ht="15.75" customHeight="1">
      <c r="A186" s="3">
        <v>2.17248904E8</v>
      </c>
      <c r="B186" s="3" t="s">
        <v>650</v>
      </c>
      <c r="C186" s="3">
        <v>41.0</v>
      </c>
      <c r="D186" s="10">
        <v>5.0</v>
      </c>
      <c r="E186" s="11">
        <v>2012.0</v>
      </c>
      <c r="F186" s="13">
        <v>4970685.930000001</v>
      </c>
      <c r="G186" s="13">
        <v>4007019.68</v>
      </c>
      <c r="H186" s="13">
        <v>963666.2500000005</v>
      </c>
      <c r="I186" s="14">
        <v>0.19386987300563574</v>
      </c>
      <c r="J186" s="3" t="s">
        <v>7</v>
      </c>
      <c r="K186" s="3" t="s">
        <v>28</v>
      </c>
      <c r="L186" s="3" t="s">
        <v>98</v>
      </c>
    </row>
    <row r="187" ht="15.75" customHeight="1">
      <c r="A187" s="3">
        <v>2.1785916E8</v>
      </c>
      <c r="B187" s="3" t="s">
        <v>248</v>
      </c>
      <c r="C187" s="3">
        <v>15.0</v>
      </c>
      <c r="D187" s="10">
        <v>2.0</v>
      </c>
      <c r="E187" s="11">
        <v>2016.0</v>
      </c>
      <c r="F187" s="13">
        <v>390133.9</v>
      </c>
      <c r="G187" s="13">
        <v>261377.38</v>
      </c>
      <c r="H187" s="13">
        <v>128756.52000000002</v>
      </c>
      <c r="I187" s="14">
        <v>0.33003161222339306</v>
      </c>
      <c r="J187" s="3" t="s">
        <v>6</v>
      </c>
      <c r="K187" s="3" t="s">
        <v>28</v>
      </c>
      <c r="L187" s="3" t="s">
        <v>29</v>
      </c>
    </row>
    <row r="188" ht="15.75" customHeight="1">
      <c r="A188" s="3">
        <v>2.17920958E8</v>
      </c>
      <c r="B188" s="3" t="s">
        <v>346</v>
      </c>
      <c r="C188" s="3">
        <v>50.0</v>
      </c>
      <c r="D188" s="10">
        <v>5.0</v>
      </c>
      <c r="E188" s="11">
        <v>2011.0</v>
      </c>
      <c r="F188" s="13">
        <v>1661617.52</v>
      </c>
      <c r="G188" s="13">
        <v>1037664.7799999999</v>
      </c>
      <c r="H188" s="13">
        <v>623952.7400000001</v>
      </c>
      <c r="I188" s="14">
        <v>0.37550924475086184</v>
      </c>
      <c r="J188" s="3" t="s">
        <v>10</v>
      </c>
      <c r="K188" s="3" t="s">
        <v>28</v>
      </c>
      <c r="L188" s="3" t="s">
        <v>98</v>
      </c>
    </row>
    <row r="189" ht="15.75" customHeight="1">
      <c r="A189" s="3">
        <v>2.1945132E8</v>
      </c>
      <c r="B189" s="3" t="s">
        <v>740</v>
      </c>
      <c r="C189" s="3">
        <v>14.0</v>
      </c>
      <c r="D189" s="10">
        <v>6.0</v>
      </c>
      <c r="E189" s="11">
        <v>2014.0</v>
      </c>
      <c r="F189" s="13">
        <v>3956062.53</v>
      </c>
      <c r="G189" s="13">
        <v>3419698.13</v>
      </c>
      <c r="H189" s="13">
        <v>536364.3999999999</v>
      </c>
      <c r="I189" s="14">
        <v>0.13558036455000116</v>
      </c>
      <c r="J189" s="3" t="s">
        <v>11</v>
      </c>
      <c r="K189" s="3" t="s">
        <v>28</v>
      </c>
      <c r="L189" s="3" t="s">
        <v>98</v>
      </c>
    </row>
    <row r="190" ht="15.75" customHeight="1">
      <c r="A190" s="3">
        <v>2.20607459E8</v>
      </c>
      <c r="B190" s="3" t="s">
        <v>248</v>
      </c>
      <c r="C190" s="3">
        <v>3.0</v>
      </c>
      <c r="D190" s="10">
        <v>10.0</v>
      </c>
      <c r="E190" s="11">
        <v>2013.0</v>
      </c>
      <c r="F190" s="13">
        <v>309372.8</v>
      </c>
      <c r="G190" s="13">
        <v>176133.44</v>
      </c>
      <c r="H190" s="13">
        <v>133239.36</v>
      </c>
      <c r="I190" s="14">
        <v>0.4306757413709285</v>
      </c>
      <c r="J190" s="3" t="s">
        <v>3</v>
      </c>
      <c r="K190" s="3" t="s">
        <v>28</v>
      </c>
      <c r="L190" s="3" t="s">
        <v>29</v>
      </c>
    </row>
    <row r="191" ht="15.75" customHeight="1">
      <c r="A191" s="3">
        <v>2.21628844E8</v>
      </c>
      <c r="B191" s="3" t="s">
        <v>593</v>
      </c>
      <c r="C191" s="3">
        <v>35.0</v>
      </c>
      <c r="D191" s="10">
        <v>7.0</v>
      </c>
      <c r="E191" s="11">
        <v>2011.0</v>
      </c>
      <c r="F191" s="13">
        <v>410346.4</v>
      </c>
      <c r="G191" s="13">
        <v>134579.2</v>
      </c>
      <c r="H191" s="13">
        <v>275767.2</v>
      </c>
      <c r="I191" s="14">
        <v>0.6720351390922401</v>
      </c>
      <c r="J191" s="3" t="s">
        <v>5</v>
      </c>
      <c r="K191" s="3" t="s">
        <v>28</v>
      </c>
      <c r="L191" s="3" t="s">
        <v>98</v>
      </c>
    </row>
    <row r="192" ht="15.75" customHeight="1">
      <c r="A192" s="3">
        <v>2.22720611E8</v>
      </c>
      <c r="B192" s="3" t="s">
        <v>455</v>
      </c>
      <c r="C192" s="3">
        <v>16.0</v>
      </c>
      <c r="D192" s="10">
        <v>3.0</v>
      </c>
      <c r="E192" s="11">
        <v>2010.0</v>
      </c>
      <c r="F192" s="13">
        <v>1744328.24</v>
      </c>
      <c r="G192" s="13">
        <v>1089316.8599999999</v>
      </c>
      <c r="H192" s="13">
        <v>655011.3800000001</v>
      </c>
      <c r="I192" s="14">
        <v>0.3755092447508619</v>
      </c>
      <c r="J192" s="3" t="s">
        <v>10</v>
      </c>
      <c r="K192" s="3" t="s">
        <v>28</v>
      </c>
      <c r="L192" s="3" t="s">
        <v>33</v>
      </c>
    </row>
    <row r="193" ht="15.75" customHeight="1">
      <c r="A193" s="3">
        <v>2.23199975E8</v>
      </c>
      <c r="B193" s="3" t="s">
        <v>221</v>
      </c>
      <c r="C193" s="3">
        <v>44.0</v>
      </c>
      <c r="D193" s="10">
        <v>11.0</v>
      </c>
      <c r="E193" s="11">
        <v>2016.0</v>
      </c>
      <c r="F193" s="13">
        <v>412198.15</v>
      </c>
      <c r="G193" s="13">
        <v>276159.73</v>
      </c>
      <c r="H193" s="13">
        <v>136038.42000000004</v>
      </c>
      <c r="I193" s="14">
        <v>0.3300316122233931</v>
      </c>
      <c r="J193" s="3" t="s">
        <v>6</v>
      </c>
      <c r="K193" s="3" t="s">
        <v>28</v>
      </c>
      <c r="L193" s="3" t="s">
        <v>29</v>
      </c>
    </row>
    <row r="194" ht="15.75" customHeight="1">
      <c r="A194" s="3">
        <v>2.23869454E8</v>
      </c>
      <c r="B194" s="3" t="s">
        <v>364</v>
      </c>
      <c r="C194" s="3">
        <v>28.0</v>
      </c>
      <c r="D194" s="10">
        <v>5.0</v>
      </c>
      <c r="E194" s="11">
        <v>2010.0</v>
      </c>
      <c r="F194" s="13">
        <v>63453.33</v>
      </c>
      <c r="G194" s="13">
        <v>47062.92</v>
      </c>
      <c r="H194" s="13">
        <v>16390.410000000003</v>
      </c>
      <c r="I194" s="14">
        <v>0.25830653804930337</v>
      </c>
      <c r="J194" s="3" t="s">
        <v>8</v>
      </c>
      <c r="K194" s="3" t="s">
        <v>28</v>
      </c>
      <c r="L194" s="3" t="s">
        <v>29</v>
      </c>
    </row>
    <row r="195" ht="15.75" customHeight="1">
      <c r="A195" s="3">
        <v>2.2464708E8</v>
      </c>
      <c r="B195" s="3" t="s">
        <v>650</v>
      </c>
      <c r="C195" s="3">
        <v>37.0</v>
      </c>
      <c r="D195" s="10">
        <v>6.0</v>
      </c>
      <c r="E195" s="11">
        <v>2014.0</v>
      </c>
      <c r="F195" s="13">
        <v>4505070.78</v>
      </c>
      <c r="G195" s="13">
        <v>3631673.2800000003</v>
      </c>
      <c r="H195" s="13">
        <v>873397.5</v>
      </c>
      <c r="I195" s="14">
        <v>0.19386987300563566</v>
      </c>
      <c r="J195" s="3" t="s">
        <v>7</v>
      </c>
      <c r="K195" s="3" t="s">
        <v>28</v>
      </c>
      <c r="L195" s="3" t="s">
        <v>98</v>
      </c>
    </row>
    <row r="196" ht="15.75" customHeight="1">
      <c r="A196" s="3">
        <v>2.282112E8</v>
      </c>
      <c r="B196" s="3" t="s">
        <v>623</v>
      </c>
      <c r="C196" s="3">
        <v>3.0</v>
      </c>
      <c r="D196" s="10">
        <v>11.0</v>
      </c>
      <c r="E196" s="11">
        <v>2012.0</v>
      </c>
      <c r="F196" s="13">
        <v>708264.0</v>
      </c>
      <c r="G196" s="13">
        <v>426594.6</v>
      </c>
      <c r="H196" s="13">
        <v>281669.4</v>
      </c>
      <c r="I196" s="14">
        <v>0.3976898444647759</v>
      </c>
      <c r="J196" s="3" t="s">
        <v>12</v>
      </c>
      <c r="K196" s="3" t="s">
        <v>28</v>
      </c>
      <c r="L196" s="3" t="s">
        <v>33</v>
      </c>
    </row>
    <row r="197" ht="15.75" customHeight="1">
      <c r="A197" s="3">
        <v>2.29105556E8</v>
      </c>
      <c r="B197" s="3" t="s">
        <v>821</v>
      </c>
      <c r="C197" s="3">
        <v>50.0</v>
      </c>
      <c r="D197" s="10">
        <v>6.0</v>
      </c>
      <c r="E197" s="11">
        <v>2010.0</v>
      </c>
      <c r="F197" s="13">
        <v>2649469.1999999997</v>
      </c>
      <c r="G197" s="13">
        <v>2290253.2</v>
      </c>
      <c r="H197" s="13">
        <v>359215.99999999953</v>
      </c>
      <c r="I197" s="14">
        <v>0.13558036455000103</v>
      </c>
      <c r="J197" s="3" t="s">
        <v>11</v>
      </c>
      <c r="K197" s="3" t="s">
        <v>821</v>
      </c>
      <c r="L197" s="3" t="s">
        <v>821</v>
      </c>
    </row>
    <row r="198" ht="15.75" customHeight="1">
      <c r="A198" s="3">
        <v>2.29355323E8</v>
      </c>
      <c r="B198" s="3" t="s">
        <v>428</v>
      </c>
      <c r="C198" s="3">
        <v>12.0</v>
      </c>
      <c r="D198" s="10">
        <v>11.0</v>
      </c>
      <c r="E198" s="11">
        <v>2011.0</v>
      </c>
      <c r="F198" s="13">
        <v>29579.52</v>
      </c>
      <c r="G198" s="13">
        <v>17458.56</v>
      </c>
      <c r="H198" s="13">
        <v>12120.96</v>
      </c>
      <c r="I198" s="14">
        <v>0.4097754121770738</v>
      </c>
      <c r="J198" s="3" t="s">
        <v>9</v>
      </c>
      <c r="K198" s="3" t="s">
        <v>28</v>
      </c>
      <c r="L198" s="3" t="s">
        <v>79</v>
      </c>
    </row>
    <row r="199" ht="15.75" customHeight="1">
      <c r="A199" s="3">
        <v>2.29693067E8</v>
      </c>
      <c r="B199" s="3" t="s">
        <v>428</v>
      </c>
      <c r="C199" s="3">
        <v>0.0</v>
      </c>
      <c r="D199" s="10">
        <v>7.0</v>
      </c>
      <c r="E199" s="11">
        <v>2012.0</v>
      </c>
      <c r="F199" s="13">
        <v>60333.6</v>
      </c>
      <c r="G199" s="13">
        <v>36339.54</v>
      </c>
      <c r="H199" s="13">
        <v>23994.059999999998</v>
      </c>
      <c r="I199" s="14">
        <v>0.39768984446477584</v>
      </c>
      <c r="J199" s="3" t="s">
        <v>12</v>
      </c>
      <c r="K199" s="3" t="s">
        <v>28</v>
      </c>
      <c r="L199" s="3" t="s">
        <v>79</v>
      </c>
    </row>
    <row r="200" ht="15.75" customHeight="1">
      <c r="A200" s="3">
        <v>2.31341445E8</v>
      </c>
      <c r="B200" s="3" t="s">
        <v>123</v>
      </c>
      <c r="C200" s="3">
        <v>40.0</v>
      </c>
      <c r="D200" s="10">
        <v>8.0</v>
      </c>
      <c r="E200" s="11">
        <v>2015.0</v>
      </c>
      <c r="F200" s="13">
        <v>376231.05000000005</v>
      </c>
      <c r="G200" s="13">
        <v>252062.91</v>
      </c>
      <c r="H200" s="13">
        <v>124168.14000000004</v>
      </c>
      <c r="I200" s="14">
        <v>0.3300316122233931</v>
      </c>
      <c r="J200" s="3" t="s">
        <v>6</v>
      </c>
      <c r="K200" s="3" t="s">
        <v>28</v>
      </c>
      <c r="L200" s="3" t="s">
        <v>33</v>
      </c>
    </row>
    <row r="201" ht="15.75" customHeight="1">
      <c r="A201" s="3">
        <v>2.31369769E8</v>
      </c>
      <c r="B201" s="3" t="s">
        <v>650</v>
      </c>
      <c r="C201" s="3">
        <v>7.0</v>
      </c>
      <c r="D201" s="10">
        <v>5.0</v>
      </c>
      <c r="E201" s="11">
        <v>2015.0</v>
      </c>
      <c r="F201" s="13">
        <v>689666.08</v>
      </c>
      <c r="G201" s="13">
        <v>226186.24000000002</v>
      </c>
      <c r="H201" s="13">
        <v>463479.83999999997</v>
      </c>
      <c r="I201" s="14">
        <v>0.6720351390922401</v>
      </c>
      <c r="J201" s="3" t="s">
        <v>5</v>
      </c>
      <c r="K201" s="3" t="s">
        <v>28</v>
      </c>
      <c r="L201" s="3" t="s">
        <v>98</v>
      </c>
    </row>
    <row r="202" ht="15.75" customHeight="1">
      <c r="A202" s="3">
        <v>2.31450879E8</v>
      </c>
      <c r="B202" s="3" t="s">
        <v>67</v>
      </c>
      <c r="C202" s="3">
        <v>50.0</v>
      </c>
      <c r="D202" s="10">
        <v>1.0</v>
      </c>
      <c r="E202" s="11">
        <v>2010.0</v>
      </c>
      <c r="F202" s="13">
        <v>34204.64</v>
      </c>
      <c r="G202" s="13">
        <v>11217.920000000002</v>
      </c>
      <c r="H202" s="13">
        <v>22986.719999999998</v>
      </c>
      <c r="I202" s="14">
        <v>0.6720351390922401</v>
      </c>
      <c r="J202" s="3" t="s">
        <v>5</v>
      </c>
      <c r="K202" s="3" t="s">
        <v>23</v>
      </c>
      <c r="L202" s="3" t="s">
        <v>68</v>
      </c>
    </row>
    <row r="203" ht="15.75" customHeight="1">
      <c r="A203" s="3">
        <v>2.3186115E8</v>
      </c>
      <c r="B203" s="3" t="s">
        <v>97</v>
      </c>
      <c r="C203" s="3">
        <v>15.0</v>
      </c>
      <c r="D203" s="10">
        <v>10.0</v>
      </c>
      <c r="E203" s="11">
        <v>2014.0</v>
      </c>
      <c r="F203" s="13">
        <v>752858.4</v>
      </c>
      <c r="G203" s="13">
        <v>453454.25999999995</v>
      </c>
      <c r="H203" s="13">
        <v>299404.1400000001</v>
      </c>
      <c r="I203" s="14">
        <v>0.39768984446477595</v>
      </c>
      <c r="J203" s="3" t="s">
        <v>12</v>
      </c>
      <c r="K203" s="3" t="s">
        <v>28</v>
      </c>
      <c r="L203" s="3" t="s">
        <v>98</v>
      </c>
    </row>
    <row r="204" ht="15.75" customHeight="1">
      <c r="A204" s="3">
        <v>2.32196319E8</v>
      </c>
      <c r="B204" s="3" t="s">
        <v>575</v>
      </c>
      <c r="C204" s="3">
        <v>28.0</v>
      </c>
      <c r="D204" s="10">
        <v>7.0</v>
      </c>
      <c r="E204" s="11">
        <v>2017.0</v>
      </c>
      <c r="F204" s="13">
        <v>604784.35</v>
      </c>
      <c r="G204" s="13">
        <v>454798.7</v>
      </c>
      <c r="H204" s="13">
        <v>149985.64999999997</v>
      </c>
      <c r="I204" s="14">
        <v>0.24799856345489094</v>
      </c>
      <c r="J204" s="3" t="s">
        <v>4</v>
      </c>
      <c r="K204" s="3" t="s">
        <v>28</v>
      </c>
      <c r="L204" s="3" t="s">
        <v>98</v>
      </c>
    </row>
    <row r="205" ht="15.75" customHeight="1">
      <c r="A205" s="3">
        <v>2.33440434E8</v>
      </c>
      <c r="B205" s="3" t="s">
        <v>101</v>
      </c>
      <c r="C205" s="3">
        <v>43.0</v>
      </c>
      <c r="D205" s="10">
        <v>1.0</v>
      </c>
      <c r="E205" s="11">
        <v>2016.0</v>
      </c>
      <c r="F205" s="13">
        <v>5904521.07</v>
      </c>
      <c r="G205" s="13">
        <v>4759812.32</v>
      </c>
      <c r="H205" s="13">
        <v>1144708.75</v>
      </c>
      <c r="I205" s="14">
        <v>0.19386987300563566</v>
      </c>
      <c r="J205" s="3" t="s">
        <v>7</v>
      </c>
      <c r="K205" s="3" t="s">
        <v>28</v>
      </c>
      <c r="L205" s="3" t="s">
        <v>79</v>
      </c>
    </row>
    <row r="206" ht="15.75" customHeight="1">
      <c r="A206" s="3">
        <v>2.33709084E8</v>
      </c>
      <c r="B206" s="3" t="s">
        <v>413</v>
      </c>
      <c r="C206" s="3">
        <v>18.0</v>
      </c>
      <c r="D206" s="10">
        <v>9.0</v>
      </c>
      <c r="E206" s="11">
        <v>2014.0</v>
      </c>
      <c r="F206" s="13">
        <v>936092.48</v>
      </c>
      <c r="G206" s="13">
        <v>307005.44</v>
      </c>
      <c r="H206" s="13">
        <v>629087.04</v>
      </c>
      <c r="I206" s="14">
        <v>0.6720351390922402</v>
      </c>
      <c r="J206" s="3" t="s">
        <v>5</v>
      </c>
      <c r="K206" s="3" t="s">
        <v>28</v>
      </c>
      <c r="L206" s="3" t="s">
        <v>29</v>
      </c>
    </row>
    <row r="207" ht="15.75" customHeight="1">
      <c r="A207" s="3">
        <v>2.33811223E8</v>
      </c>
      <c r="B207" s="3" t="s">
        <v>689</v>
      </c>
      <c r="C207" s="3">
        <v>0.0</v>
      </c>
      <c r="D207" s="10">
        <v>7.0</v>
      </c>
      <c r="E207" s="11">
        <v>2017.0</v>
      </c>
      <c r="F207" s="13">
        <v>3843862.4</v>
      </c>
      <c r="G207" s="13">
        <v>2315197.36</v>
      </c>
      <c r="H207" s="13">
        <v>1528665.04</v>
      </c>
      <c r="I207" s="14">
        <v>0.39768984446477584</v>
      </c>
      <c r="J207" s="3" t="s">
        <v>12</v>
      </c>
      <c r="K207" s="3" t="s">
        <v>28</v>
      </c>
      <c r="L207" s="3" t="s">
        <v>79</v>
      </c>
    </row>
    <row r="208" ht="15.75" customHeight="1">
      <c r="A208" s="3">
        <v>2.34082448E8</v>
      </c>
      <c r="B208" s="3" t="s">
        <v>488</v>
      </c>
      <c r="C208" s="3">
        <v>0.0</v>
      </c>
      <c r="D208" s="10">
        <v>3.0</v>
      </c>
      <c r="E208" s="11">
        <v>2014.0</v>
      </c>
      <c r="F208" s="13">
        <v>989311.84</v>
      </c>
      <c r="G208" s="13">
        <v>324459.52</v>
      </c>
      <c r="H208" s="13">
        <v>664852.32</v>
      </c>
      <c r="I208" s="14">
        <v>0.6720351390922401</v>
      </c>
      <c r="J208" s="3" t="s">
        <v>5</v>
      </c>
      <c r="K208" s="3" t="s">
        <v>28</v>
      </c>
      <c r="L208" s="3" t="s">
        <v>33</v>
      </c>
    </row>
    <row r="209" ht="15.75" customHeight="1">
      <c r="A209" s="3">
        <v>2.36042392E8</v>
      </c>
      <c r="B209" s="3" t="s">
        <v>291</v>
      </c>
      <c r="C209" s="3">
        <v>38.0</v>
      </c>
      <c r="D209" s="10">
        <v>12.0</v>
      </c>
      <c r="E209" s="11">
        <v>2013.0</v>
      </c>
      <c r="F209" s="13">
        <v>5889543.24</v>
      </c>
      <c r="G209" s="13">
        <v>4747738.24</v>
      </c>
      <c r="H209" s="13">
        <v>1141805.0</v>
      </c>
      <c r="I209" s="14">
        <v>0.19386987300563566</v>
      </c>
      <c r="J209" s="3" t="s">
        <v>7</v>
      </c>
      <c r="K209" s="3" t="s">
        <v>28</v>
      </c>
      <c r="L209" s="3" t="s">
        <v>79</v>
      </c>
    </row>
    <row r="210" ht="15.75" customHeight="1">
      <c r="A210" s="3">
        <v>2.38170993E8</v>
      </c>
      <c r="B210" s="3" t="s">
        <v>542</v>
      </c>
      <c r="C210" s="3">
        <v>47.0</v>
      </c>
      <c r="D210" s="10">
        <v>12.0</v>
      </c>
      <c r="E210" s="11">
        <v>2012.0</v>
      </c>
      <c r="F210" s="13">
        <v>424392.80000000005</v>
      </c>
      <c r="G210" s="13">
        <v>284329.76</v>
      </c>
      <c r="H210" s="13">
        <v>140063.04000000004</v>
      </c>
      <c r="I210" s="14">
        <v>0.3300316122233931</v>
      </c>
      <c r="J210" s="3" t="s">
        <v>6</v>
      </c>
      <c r="K210" s="3" t="s">
        <v>28</v>
      </c>
      <c r="L210" s="3" t="s">
        <v>29</v>
      </c>
    </row>
    <row r="211" ht="15.75" customHeight="1">
      <c r="A211" s="3">
        <v>2.39048612E8</v>
      </c>
      <c r="B211" s="3" t="s">
        <v>623</v>
      </c>
      <c r="C211" s="3">
        <v>9.0</v>
      </c>
      <c r="D211" s="10">
        <v>7.0</v>
      </c>
      <c r="E211" s="11">
        <v>2016.0</v>
      </c>
      <c r="F211" s="13">
        <v>707046.23</v>
      </c>
      <c r="G211" s="13">
        <v>490252.17000000004</v>
      </c>
      <c r="H211" s="13">
        <v>216794.05999999994</v>
      </c>
      <c r="I211" s="14">
        <v>0.30661935641747207</v>
      </c>
      <c r="J211" s="3" t="s">
        <v>14</v>
      </c>
      <c r="K211" s="3" t="s">
        <v>28</v>
      </c>
      <c r="L211" s="3" t="s">
        <v>33</v>
      </c>
    </row>
    <row r="212" ht="15.75" customHeight="1">
      <c r="A212" s="3">
        <v>2.39386355E8</v>
      </c>
      <c r="B212" s="3" t="s">
        <v>623</v>
      </c>
      <c r="C212" s="3">
        <v>47.0</v>
      </c>
      <c r="D212" s="10">
        <v>3.0</v>
      </c>
      <c r="E212" s="11">
        <v>2017.0</v>
      </c>
      <c r="F212" s="13">
        <v>5598452.37</v>
      </c>
      <c r="G212" s="13">
        <v>4513081.12</v>
      </c>
      <c r="H212" s="13">
        <v>1085371.25</v>
      </c>
      <c r="I212" s="14">
        <v>0.19386987300563566</v>
      </c>
      <c r="J212" s="3" t="s">
        <v>7</v>
      </c>
      <c r="K212" s="3" t="s">
        <v>28</v>
      </c>
      <c r="L212" s="3" t="s">
        <v>33</v>
      </c>
    </row>
    <row r="213" ht="15.75" customHeight="1">
      <c r="A213" s="3">
        <v>2.39554154E8</v>
      </c>
      <c r="B213" s="3" t="s">
        <v>349</v>
      </c>
      <c r="C213" s="3">
        <v>26.0</v>
      </c>
      <c r="D213" s="10">
        <v>1.0</v>
      </c>
      <c r="E213" s="11">
        <v>2012.0</v>
      </c>
      <c r="F213" s="13">
        <v>5374436.13</v>
      </c>
      <c r="G213" s="13">
        <v>4332494.88</v>
      </c>
      <c r="H213" s="13">
        <v>1041941.25</v>
      </c>
      <c r="I213" s="14">
        <v>0.19386987300563566</v>
      </c>
      <c r="J213" s="3" t="s">
        <v>7</v>
      </c>
      <c r="K213" s="3" t="s">
        <v>28</v>
      </c>
      <c r="L213" s="3" t="s">
        <v>29</v>
      </c>
    </row>
    <row r="214" ht="15.75" customHeight="1">
      <c r="A214" s="3">
        <v>2.41392648E8</v>
      </c>
      <c r="B214" s="3" t="s">
        <v>536</v>
      </c>
      <c r="C214" s="3">
        <v>22.0</v>
      </c>
      <c r="D214" s="10">
        <v>2.0</v>
      </c>
      <c r="E214" s="11">
        <v>2017.0</v>
      </c>
      <c r="F214" s="13">
        <v>1539694.08</v>
      </c>
      <c r="G214" s="13">
        <v>1157852.1600000001</v>
      </c>
      <c r="H214" s="13">
        <v>381841.9199999999</v>
      </c>
      <c r="I214" s="14">
        <v>0.24799856345489094</v>
      </c>
      <c r="J214" s="3" t="s">
        <v>4</v>
      </c>
      <c r="K214" s="3" t="s">
        <v>28</v>
      </c>
      <c r="L214" s="3" t="s">
        <v>33</v>
      </c>
    </row>
    <row r="215" ht="15.75" customHeight="1">
      <c r="A215" s="3">
        <v>2.42168128E8</v>
      </c>
      <c r="B215" s="3" t="s">
        <v>218</v>
      </c>
      <c r="C215" s="3">
        <v>1.0</v>
      </c>
      <c r="D215" s="10">
        <v>5.0</v>
      </c>
      <c r="E215" s="11">
        <v>2010.0</v>
      </c>
      <c r="F215" s="13">
        <v>84698.25</v>
      </c>
      <c r="G215" s="13">
        <v>56745.15</v>
      </c>
      <c r="H215" s="13">
        <v>27953.1</v>
      </c>
      <c r="I215" s="14">
        <v>0.330031612223393</v>
      </c>
      <c r="J215" s="3" t="s">
        <v>6</v>
      </c>
      <c r="K215" s="3" t="s">
        <v>28</v>
      </c>
      <c r="L215" s="3" t="s">
        <v>98</v>
      </c>
    </row>
    <row r="216" ht="15.75" customHeight="1">
      <c r="A216" s="3">
        <v>2.42265546E8</v>
      </c>
      <c r="B216" s="3" t="s">
        <v>434</v>
      </c>
      <c r="C216" s="3">
        <v>32.0</v>
      </c>
      <c r="D216" s="10">
        <v>12.0</v>
      </c>
      <c r="E216" s="11">
        <v>2011.0</v>
      </c>
      <c r="F216" s="13">
        <v>5728.62</v>
      </c>
      <c r="G216" s="13">
        <v>4248.88</v>
      </c>
      <c r="H216" s="13">
        <v>1479.7399999999998</v>
      </c>
      <c r="I216" s="14">
        <v>0.2583065380493033</v>
      </c>
      <c r="J216" s="3" t="s">
        <v>8</v>
      </c>
      <c r="K216" s="3" t="s">
        <v>28</v>
      </c>
      <c r="L216" s="3" t="s">
        <v>79</v>
      </c>
    </row>
    <row r="217" ht="15.75" customHeight="1">
      <c r="A217" s="3">
        <v>2.43070638E8</v>
      </c>
      <c r="B217" s="3" t="s">
        <v>455</v>
      </c>
      <c r="C217" s="3">
        <v>17.0</v>
      </c>
      <c r="D217" s="10">
        <v>5.0</v>
      </c>
      <c r="E217" s="11">
        <v>2011.0</v>
      </c>
      <c r="F217" s="13">
        <v>5768418.180000001</v>
      </c>
      <c r="G217" s="13">
        <v>4650095.680000001</v>
      </c>
      <c r="H217" s="13">
        <v>1118322.5</v>
      </c>
      <c r="I217" s="14">
        <v>0.19386987300563563</v>
      </c>
      <c r="J217" s="3" t="s">
        <v>7</v>
      </c>
      <c r="K217" s="3" t="s">
        <v>28</v>
      </c>
      <c r="L217" s="3" t="s">
        <v>33</v>
      </c>
    </row>
    <row r="218" ht="15.75" customHeight="1">
      <c r="A218" s="3">
        <v>2.43144452E8</v>
      </c>
      <c r="B218" s="3" t="s">
        <v>288</v>
      </c>
      <c r="C218" s="3">
        <v>32.0</v>
      </c>
      <c r="D218" s="10">
        <v>6.0</v>
      </c>
      <c r="E218" s="11">
        <v>2014.0</v>
      </c>
      <c r="F218" s="13">
        <v>144195.69999999998</v>
      </c>
      <c r="G218" s="13">
        <v>82094.11</v>
      </c>
      <c r="H218" s="13">
        <v>62101.58999999998</v>
      </c>
      <c r="I218" s="14">
        <v>0.43067574137092846</v>
      </c>
      <c r="J218" s="3" t="s">
        <v>3</v>
      </c>
      <c r="K218" s="3" t="s">
        <v>23</v>
      </c>
      <c r="L218" s="3" t="s">
        <v>68</v>
      </c>
    </row>
    <row r="219" ht="15.75" customHeight="1">
      <c r="A219" s="3">
        <v>2.4322642E8</v>
      </c>
      <c r="B219" s="3" t="s">
        <v>821</v>
      </c>
      <c r="C219" s="3">
        <v>16.0</v>
      </c>
      <c r="D219" s="10">
        <v>6.0</v>
      </c>
      <c r="E219" s="11">
        <v>2013.0</v>
      </c>
      <c r="F219" s="13">
        <v>235257.1</v>
      </c>
      <c r="G219" s="13">
        <v>157614.82</v>
      </c>
      <c r="H219" s="13">
        <v>77642.28</v>
      </c>
      <c r="I219" s="14">
        <v>0.33003161222339306</v>
      </c>
      <c r="J219" s="3" t="s">
        <v>6</v>
      </c>
      <c r="K219" s="3" t="s">
        <v>821</v>
      </c>
      <c r="L219" s="3" t="s">
        <v>821</v>
      </c>
    </row>
    <row r="220" ht="15.75" customHeight="1">
      <c r="A220" s="3">
        <v>2.43340575E8</v>
      </c>
      <c r="B220" s="3" t="s">
        <v>488</v>
      </c>
      <c r="C220" s="3">
        <v>29.0</v>
      </c>
      <c r="D220" s="10">
        <v>8.0</v>
      </c>
      <c r="E220" s="11">
        <v>2016.0</v>
      </c>
      <c r="F220" s="13">
        <v>414665.55000000005</v>
      </c>
      <c r="G220" s="13">
        <v>277812.81</v>
      </c>
      <c r="H220" s="13">
        <v>136852.74000000005</v>
      </c>
      <c r="I220" s="14">
        <v>0.3300316122233931</v>
      </c>
      <c r="J220" s="3" t="s">
        <v>6</v>
      </c>
      <c r="K220" s="3" t="s">
        <v>28</v>
      </c>
      <c r="L220" s="3" t="s">
        <v>33</v>
      </c>
    </row>
    <row r="221" ht="15.75" customHeight="1">
      <c r="A221" s="3">
        <v>2.43391644E8</v>
      </c>
      <c r="B221" s="3" t="s">
        <v>653</v>
      </c>
      <c r="C221" s="3">
        <v>21.0</v>
      </c>
      <c r="D221" s="10">
        <v>6.0</v>
      </c>
      <c r="E221" s="11">
        <v>2010.0</v>
      </c>
      <c r="F221" s="13">
        <v>314742.23000000004</v>
      </c>
      <c r="G221" s="13">
        <v>218236.17</v>
      </c>
      <c r="H221" s="13">
        <v>96506.06000000003</v>
      </c>
      <c r="I221" s="14">
        <v>0.30661935641747223</v>
      </c>
      <c r="J221" s="3" t="s">
        <v>14</v>
      </c>
      <c r="K221" s="3" t="s">
        <v>28</v>
      </c>
      <c r="L221" s="3" t="s">
        <v>33</v>
      </c>
    </row>
    <row r="222" ht="15.75" customHeight="1">
      <c r="A222" s="3">
        <v>2.43521249E8</v>
      </c>
      <c r="B222" s="3" t="s">
        <v>689</v>
      </c>
      <c r="C222" s="3">
        <v>31.0</v>
      </c>
      <c r="D222" s="10">
        <v>2.0</v>
      </c>
      <c r="E222" s="11">
        <v>2016.0</v>
      </c>
      <c r="F222" s="13">
        <v>963588.7999999999</v>
      </c>
      <c r="G222" s="13">
        <v>580379.32</v>
      </c>
      <c r="H222" s="13">
        <v>383209.48</v>
      </c>
      <c r="I222" s="14">
        <v>0.39768984446477584</v>
      </c>
      <c r="J222" s="3" t="s">
        <v>12</v>
      </c>
      <c r="K222" s="3" t="s">
        <v>28</v>
      </c>
      <c r="L222" s="3" t="s">
        <v>79</v>
      </c>
    </row>
    <row r="223" ht="15.75" customHeight="1">
      <c r="A223" s="3">
        <v>2.43684327E8</v>
      </c>
      <c r="B223" s="3" t="s">
        <v>364</v>
      </c>
      <c r="C223" s="3">
        <v>7.0</v>
      </c>
      <c r="D223" s="10">
        <v>5.0</v>
      </c>
      <c r="E223" s="11">
        <v>2017.0</v>
      </c>
      <c r="F223" s="13">
        <v>117939.36</v>
      </c>
      <c r="G223" s="13">
        <v>73652.04</v>
      </c>
      <c r="H223" s="13">
        <v>44287.32000000001</v>
      </c>
      <c r="I223" s="14">
        <v>0.37550924475086184</v>
      </c>
      <c r="J223" s="3" t="s">
        <v>10</v>
      </c>
      <c r="K223" s="3" t="s">
        <v>28</v>
      </c>
      <c r="L223" s="3" t="s">
        <v>29</v>
      </c>
    </row>
    <row r="224" ht="15.75" customHeight="1">
      <c r="A224" s="3">
        <v>2.44023358E8</v>
      </c>
      <c r="B224" s="3" t="s">
        <v>101</v>
      </c>
      <c r="C224" s="3">
        <v>32.0</v>
      </c>
      <c r="D224" s="10">
        <v>12.0</v>
      </c>
      <c r="E224" s="11">
        <v>2016.0</v>
      </c>
      <c r="F224" s="13">
        <v>37438.05</v>
      </c>
      <c r="G224" s="13">
        <v>25082.309999999998</v>
      </c>
      <c r="H224" s="13">
        <v>12355.740000000005</v>
      </c>
      <c r="I224" s="14">
        <v>0.33003161222339317</v>
      </c>
      <c r="J224" s="3" t="s">
        <v>6</v>
      </c>
      <c r="K224" s="3" t="s">
        <v>28</v>
      </c>
      <c r="L224" s="3" t="s">
        <v>79</v>
      </c>
    </row>
    <row r="225" ht="15.75" customHeight="1">
      <c r="A225" s="3">
        <v>2.45440852E8</v>
      </c>
      <c r="B225" s="3" t="s">
        <v>270</v>
      </c>
      <c r="C225" s="3">
        <v>19.0</v>
      </c>
      <c r="D225" s="10">
        <v>11.0</v>
      </c>
      <c r="E225" s="11">
        <v>2015.0</v>
      </c>
      <c r="F225" s="13">
        <v>108425.73</v>
      </c>
      <c r="G225" s="13">
        <v>93725.33</v>
      </c>
      <c r="H225" s="13">
        <v>14700.399999999994</v>
      </c>
      <c r="I225" s="14">
        <v>0.13558036455000114</v>
      </c>
      <c r="J225" s="3" t="s">
        <v>11</v>
      </c>
      <c r="K225" s="3" t="s">
        <v>28</v>
      </c>
      <c r="L225" s="3" t="s">
        <v>79</v>
      </c>
    </row>
    <row r="226" ht="15.75" customHeight="1">
      <c r="A226" s="3">
        <v>2.45556294E8</v>
      </c>
      <c r="B226" s="3" t="s">
        <v>46</v>
      </c>
      <c r="C226" s="3">
        <v>20.0</v>
      </c>
      <c r="D226" s="10">
        <v>6.0</v>
      </c>
      <c r="E226" s="11">
        <v>2010.0</v>
      </c>
      <c r="F226" s="13">
        <v>361164.87</v>
      </c>
      <c r="G226" s="13">
        <v>250424.73</v>
      </c>
      <c r="H226" s="13">
        <v>110740.13999999998</v>
      </c>
      <c r="I226" s="14">
        <v>0.3066193564174721</v>
      </c>
      <c r="J226" s="3" t="s">
        <v>14</v>
      </c>
      <c r="K226" s="3" t="s">
        <v>28</v>
      </c>
      <c r="L226" s="3" t="s">
        <v>33</v>
      </c>
    </row>
    <row r="227" ht="15.75" customHeight="1">
      <c r="A227" s="3">
        <v>2.46603858E8</v>
      </c>
      <c r="B227" s="3" t="s">
        <v>413</v>
      </c>
      <c r="C227" s="3">
        <v>41.0</v>
      </c>
      <c r="D227" s="10">
        <v>3.0</v>
      </c>
      <c r="E227" s="11">
        <v>2012.0</v>
      </c>
      <c r="F227" s="13">
        <v>1931112.4</v>
      </c>
      <c r="G227" s="13">
        <v>1163128.6099999999</v>
      </c>
      <c r="H227" s="13">
        <v>767983.79</v>
      </c>
      <c r="I227" s="14">
        <v>0.3976898444647759</v>
      </c>
      <c r="J227" s="3" t="s">
        <v>12</v>
      </c>
      <c r="K227" s="3" t="s">
        <v>28</v>
      </c>
      <c r="L227" s="3" t="s">
        <v>29</v>
      </c>
    </row>
    <row r="228" ht="15.75" customHeight="1">
      <c r="A228" s="3">
        <v>2.46922719E8</v>
      </c>
      <c r="B228" s="3" t="s">
        <v>32</v>
      </c>
      <c r="C228" s="3">
        <v>16.0</v>
      </c>
      <c r="D228" s="10">
        <v>7.0</v>
      </c>
      <c r="E228" s="11">
        <v>2015.0</v>
      </c>
      <c r="F228" s="13">
        <v>5714367.75</v>
      </c>
      <c r="G228" s="13">
        <v>4606524.0</v>
      </c>
      <c r="H228" s="13">
        <v>1107843.75</v>
      </c>
      <c r="I228" s="14">
        <v>0.19386987300563566</v>
      </c>
      <c r="J228" s="3" t="s">
        <v>7</v>
      </c>
      <c r="K228" s="3" t="s">
        <v>28</v>
      </c>
      <c r="L228" s="3" t="s">
        <v>33</v>
      </c>
    </row>
    <row r="229" ht="15.75" customHeight="1">
      <c r="A229" s="3">
        <v>2.49039304E8</v>
      </c>
      <c r="B229" s="3" t="s">
        <v>593</v>
      </c>
      <c r="C229" s="3">
        <v>45.0</v>
      </c>
      <c r="D229" s="10">
        <v>3.0</v>
      </c>
      <c r="E229" s="11">
        <v>2014.0</v>
      </c>
      <c r="F229" s="13">
        <v>788633.14</v>
      </c>
      <c r="G229" s="13">
        <v>465470.67000000004</v>
      </c>
      <c r="H229" s="13">
        <v>323162.47</v>
      </c>
      <c r="I229" s="14">
        <v>0.4097754121770738</v>
      </c>
      <c r="J229" s="3" t="s">
        <v>9</v>
      </c>
      <c r="K229" s="3" t="s">
        <v>28</v>
      </c>
      <c r="L229" s="3" t="s">
        <v>98</v>
      </c>
    </row>
    <row r="230" ht="15.75" customHeight="1">
      <c r="A230" s="3">
        <v>2.49606645E8</v>
      </c>
      <c r="B230" s="3" t="s">
        <v>428</v>
      </c>
      <c r="C230" s="3">
        <v>46.0</v>
      </c>
      <c r="D230" s="10">
        <v>6.0</v>
      </c>
      <c r="E230" s="11">
        <v>2012.0</v>
      </c>
      <c r="F230" s="13">
        <v>28064.64</v>
      </c>
      <c r="G230" s="13">
        <v>20815.36</v>
      </c>
      <c r="H230" s="13">
        <v>7249.279999999999</v>
      </c>
      <c r="I230" s="14">
        <v>0.2583065380493033</v>
      </c>
      <c r="J230" s="3" t="s">
        <v>8</v>
      </c>
      <c r="K230" s="3" t="s">
        <v>28</v>
      </c>
      <c r="L230" s="3" t="s">
        <v>79</v>
      </c>
    </row>
    <row r="231" ht="15.75" customHeight="1">
      <c r="A231" s="3">
        <v>2.49765861E8</v>
      </c>
      <c r="B231" s="3" t="s">
        <v>746</v>
      </c>
      <c r="C231" s="3">
        <v>11.0</v>
      </c>
      <c r="D231" s="10">
        <v>11.0</v>
      </c>
      <c r="E231" s="11">
        <v>2016.0</v>
      </c>
      <c r="F231" s="13">
        <v>13441.44</v>
      </c>
      <c r="G231" s="13">
        <v>4408.320000000001</v>
      </c>
      <c r="H231" s="13">
        <v>9033.119999999999</v>
      </c>
      <c r="I231" s="14">
        <v>0.67203513909224</v>
      </c>
      <c r="J231" s="3" t="s">
        <v>5</v>
      </c>
      <c r="K231" s="3" t="s">
        <v>28</v>
      </c>
      <c r="L231" s="3" t="s">
        <v>29</v>
      </c>
    </row>
    <row r="232" ht="15.75" customHeight="1">
      <c r="A232" s="3">
        <v>2.50848186E8</v>
      </c>
      <c r="B232" s="3" t="s">
        <v>434</v>
      </c>
      <c r="C232" s="3">
        <v>36.0</v>
      </c>
      <c r="D232" s="10">
        <v>1.0</v>
      </c>
      <c r="E232" s="11">
        <v>2013.0</v>
      </c>
      <c r="F232" s="13">
        <v>44476.96</v>
      </c>
      <c r="G232" s="13">
        <v>14586.880000000001</v>
      </c>
      <c r="H232" s="13">
        <v>29890.079999999998</v>
      </c>
      <c r="I232" s="14">
        <v>0.6720351390922401</v>
      </c>
      <c r="J232" s="3" t="s">
        <v>5</v>
      </c>
      <c r="K232" s="3" t="s">
        <v>28</v>
      </c>
      <c r="L232" s="3" t="s">
        <v>79</v>
      </c>
    </row>
    <row r="233" ht="15.75" customHeight="1">
      <c r="A233" s="3">
        <v>2.51208674E8</v>
      </c>
      <c r="B233" s="3" t="s">
        <v>67</v>
      </c>
      <c r="C233" s="3">
        <v>47.0</v>
      </c>
      <c r="D233" s="10">
        <v>6.0</v>
      </c>
      <c r="E233" s="11">
        <v>2015.0</v>
      </c>
      <c r="F233" s="13">
        <v>2988668.76</v>
      </c>
      <c r="G233" s="13">
        <v>2583463.96</v>
      </c>
      <c r="H233" s="13">
        <v>405204.7999999998</v>
      </c>
      <c r="I233" s="14">
        <v>0.13558036455000114</v>
      </c>
      <c r="J233" s="3" t="s">
        <v>11</v>
      </c>
      <c r="K233" s="3" t="s">
        <v>23</v>
      </c>
      <c r="L233" s="3" t="s">
        <v>68</v>
      </c>
    </row>
    <row r="234" ht="15.75" customHeight="1">
      <c r="A234" s="3">
        <v>2.51823222E8</v>
      </c>
      <c r="B234" s="3" t="s">
        <v>746</v>
      </c>
      <c r="C234" s="3">
        <v>28.0</v>
      </c>
      <c r="D234" s="10">
        <v>9.0</v>
      </c>
      <c r="E234" s="11">
        <v>2010.0</v>
      </c>
      <c r="F234" s="13">
        <v>977181.76</v>
      </c>
      <c r="G234" s="13">
        <v>320481.28</v>
      </c>
      <c r="H234" s="13">
        <v>656700.48</v>
      </c>
      <c r="I234" s="14">
        <v>0.6720351390922401</v>
      </c>
      <c r="J234" s="3" t="s">
        <v>5</v>
      </c>
      <c r="K234" s="3" t="s">
        <v>28</v>
      </c>
      <c r="L234" s="3" t="s">
        <v>29</v>
      </c>
    </row>
    <row r="235" ht="15.75" customHeight="1">
      <c r="A235" s="3">
        <v>2.51907765E8</v>
      </c>
      <c r="B235" s="3" t="s">
        <v>821</v>
      </c>
      <c r="C235" s="3">
        <v>37.0</v>
      </c>
      <c r="D235" s="10">
        <v>3.0</v>
      </c>
      <c r="E235" s="11">
        <v>2015.0</v>
      </c>
      <c r="F235" s="13">
        <v>604369.38</v>
      </c>
      <c r="G235" s="13">
        <v>385959.83999999997</v>
      </c>
      <c r="H235" s="13">
        <v>218409.54000000004</v>
      </c>
      <c r="I235" s="14">
        <v>0.3613841918993316</v>
      </c>
      <c r="J235" s="3" t="s">
        <v>13</v>
      </c>
      <c r="K235" s="3" t="s">
        <v>821</v>
      </c>
      <c r="L235" s="3" t="s">
        <v>821</v>
      </c>
    </row>
    <row r="236" ht="15.75" customHeight="1">
      <c r="A236" s="3">
        <v>2.52541625E8</v>
      </c>
      <c r="B236" s="3" t="s">
        <v>821</v>
      </c>
      <c r="C236" s="3">
        <v>26.0</v>
      </c>
      <c r="D236" s="10">
        <v>6.0</v>
      </c>
      <c r="E236" s="11">
        <v>2017.0</v>
      </c>
      <c r="F236" s="13">
        <v>391599.52</v>
      </c>
      <c r="G236" s="13">
        <v>244550.27999999997</v>
      </c>
      <c r="H236" s="13">
        <v>147049.24000000005</v>
      </c>
      <c r="I236" s="14">
        <v>0.3755092447508619</v>
      </c>
      <c r="J236" s="3" t="s">
        <v>10</v>
      </c>
      <c r="K236" s="3" t="s">
        <v>821</v>
      </c>
      <c r="L236" s="3" t="s">
        <v>821</v>
      </c>
    </row>
    <row r="237" ht="15.75" customHeight="1">
      <c r="A237" s="3">
        <v>2.53055322E8</v>
      </c>
      <c r="B237" s="3" t="s">
        <v>590</v>
      </c>
      <c r="C237" s="3">
        <v>12.0</v>
      </c>
      <c r="D237" s="10">
        <v>5.0</v>
      </c>
      <c r="E237" s="11">
        <v>2016.0</v>
      </c>
      <c r="F237" s="13">
        <v>168352.6</v>
      </c>
      <c r="G237" s="13">
        <v>112790.92</v>
      </c>
      <c r="H237" s="13">
        <v>55561.68000000001</v>
      </c>
      <c r="I237" s="14">
        <v>0.33003161222339306</v>
      </c>
      <c r="J237" s="3" t="s">
        <v>6</v>
      </c>
      <c r="K237" s="3" t="s">
        <v>28</v>
      </c>
      <c r="L237" s="3" t="s">
        <v>98</v>
      </c>
    </row>
    <row r="238" ht="15.75" customHeight="1">
      <c r="A238" s="3">
        <v>2.53211104E8</v>
      </c>
      <c r="B238" s="3" t="s">
        <v>593</v>
      </c>
      <c r="C238" s="3">
        <v>11.0</v>
      </c>
      <c r="D238" s="10">
        <v>12.0</v>
      </c>
      <c r="E238" s="11">
        <v>2010.0</v>
      </c>
      <c r="F238" s="13">
        <v>6282874.08</v>
      </c>
      <c r="G238" s="13">
        <v>5064814.08</v>
      </c>
      <c r="H238" s="13">
        <v>1218060.0</v>
      </c>
      <c r="I238" s="14">
        <v>0.19386987300563566</v>
      </c>
      <c r="J238" s="3" t="s">
        <v>7</v>
      </c>
      <c r="K238" s="3" t="s">
        <v>28</v>
      </c>
      <c r="L238" s="3" t="s">
        <v>98</v>
      </c>
    </row>
    <row r="239" ht="15.75" customHeight="1">
      <c r="A239" s="3">
        <v>2.55047452E8</v>
      </c>
      <c r="B239" s="3" t="s">
        <v>215</v>
      </c>
      <c r="C239" s="3">
        <v>29.0</v>
      </c>
      <c r="D239" s="10">
        <v>10.0</v>
      </c>
      <c r="E239" s="11">
        <v>2012.0</v>
      </c>
      <c r="F239" s="13">
        <v>467505.12000000005</v>
      </c>
      <c r="G239" s="13">
        <v>298556.16</v>
      </c>
      <c r="H239" s="13">
        <v>168948.96000000008</v>
      </c>
      <c r="I239" s="14">
        <v>0.36138419189933163</v>
      </c>
      <c r="J239" s="3" t="s">
        <v>13</v>
      </c>
      <c r="K239" s="3" t="s">
        <v>23</v>
      </c>
      <c r="L239" s="3" t="s">
        <v>68</v>
      </c>
    </row>
    <row r="240" ht="15.75" customHeight="1">
      <c r="A240" s="3">
        <v>2.56095016E8</v>
      </c>
      <c r="B240" s="3" t="s">
        <v>488</v>
      </c>
      <c r="C240" s="3">
        <v>50.0</v>
      </c>
      <c r="D240" s="10">
        <v>7.0</v>
      </c>
      <c r="E240" s="11">
        <v>2014.0</v>
      </c>
      <c r="F240" s="13">
        <v>1993353.81</v>
      </c>
      <c r="G240" s="13">
        <v>1606902.56</v>
      </c>
      <c r="H240" s="13">
        <v>386451.25</v>
      </c>
      <c r="I240" s="14">
        <v>0.19386987300563566</v>
      </c>
      <c r="J240" s="3" t="s">
        <v>7</v>
      </c>
      <c r="K240" s="3" t="s">
        <v>28</v>
      </c>
      <c r="L240" s="3" t="s">
        <v>33</v>
      </c>
    </row>
    <row r="241" ht="15.75" customHeight="1">
      <c r="A241" s="3">
        <v>2.59006392E8</v>
      </c>
      <c r="B241" s="3" t="s">
        <v>206</v>
      </c>
      <c r="C241" s="3">
        <v>15.0</v>
      </c>
      <c r="D241" s="10">
        <v>5.0</v>
      </c>
      <c r="E241" s="11">
        <v>2013.0</v>
      </c>
      <c r="F241" s="13">
        <v>2996868.4200000004</v>
      </c>
      <c r="G241" s="13">
        <v>2415865.9200000004</v>
      </c>
      <c r="H241" s="13">
        <v>581002.5</v>
      </c>
      <c r="I241" s="14">
        <v>0.19386987300563563</v>
      </c>
      <c r="J241" s="3" t="s">
        <v>7</v>
      </c>
      <c r="K241" s="3" t="s">
        <v>28</v>
      </c>
      <c r="L241" s="3" t="s">
        <v>33</v>
      </c>
    </row>
    <row r="242" ht="15.75" customHeight="1">
      <c r="A242" s="3">
        <v>2.59032571E8</v>
      </c>
      <c r="B242" s="3" t="s">
        <v>101</v>
      </c>
      <c r="C242" s="3">
        <v>4.0</v>
      </c>
      <c r="D242" s="10">
        <v>5.0</v>
      </c>
      <c r="E242" s="11">
        <v>2017.0</v>
      </c>
      <c r="F242" s="13">
        <v>361886.94</v>
      </c>
      <c r="G242" s="13">
        <v>213594.57</v>
      </c>
      <c r="H242" s="13">
        <v>148292.37</v>
      </c>
      <c r="I242" s="14">
        <v>0.40977541217707386</v>
      </c>
      <c r="J242" s="3" t="s">
        <v>9</v>
      </c>
      <c r="K242" s="3" t="s">
        <v>28</v>
      </c>
      <c r="L242" s="3" t="s">
        <v>79</v>
      </c>
    </row>
    <row r="243" ht="15.75" customHeight="1">
      <c r="A243" s="3">
        <v>2.60630738E8</v>
      </c>
      <c r="B243" s="3" t="s">
        <v>821</v>
      </c>
      <c r="C243" s="3">
        <v>44.0</v>
      </c>
      <c r="D243" s="10">
        <v>11.0</v>
      </c>
      <c r="E243" s="11">
        <v>2015.0</v>
      </c>
      <c r="F243" s="13">
        <v>2309290.4</v>
      </c>
      <c r="G243" s="13">
        <v>1390909.0599999998</v>
      </c>
      <c r="H243" s="13">
        <v>918381.3400000001</v>
      </c>
      <c r="I243" s="14">
        <v>0.3976898444647759</v>
      </c>
      <c r="J243" s="3" t="s">
        <v>12</v>
      </c>
      <c r="K243" s="3" t="s">
        <v>821</v>
      </c>
      <c r="L243" s="3" t="s">
        <v>821</v>
      </c>
    </row>
    <row r="244" ht="15.75" customHeight="1">
      <c r="A244" s="3">
        <v>2.6118735E8</v>
      </c>
      <c r="B244" s="3" t="s">
        <v>364</v>
      </c>
      <c r="C244" s="3">
        <v>1.0</v>
      </c>
      <c r="D244" s="10">
        <v>10.0</v>
      </c>
      <c r="E244" s="11">
        <v>2012.0</v>
      </c>
      <c r="F244" s="13">
        <v>1092362.8800000001</v>
      </c>
      <c r="G244" s="13">
        <v>358256.64</v>
      </c>
      <c r="H244" s="13">
        <v>734106.2400000001</v>
      </c>
      <c r="I244" s="14">
        <v>0.6720351390922401</v>
      </c>
      <c r="J244" s="3" t="s">
        <v>5</v>
      </c>
      <c r="K244" s="3" t="s">
        <v>28</v>
      </c>
      <c r="L244" s="3" t="s">
        <v>29</v>
      </c>
    </row>
    <row r="245" ht="15.75" customHeight="1">
      <c r="A245" s="3">
        <v>2.61640536E8</v>
      </c>
      <c r="B245" s="3" t="s">
        <v>123</v>
      </c>
      <c r="C245" s="3">
        <v>40.0</v>
      </c>
      <c r="D245" s="10">
        <v>6.0</v>
      </c>
      <c r="E245" s="11">
        <v>2015.0</v>
      </c>
      <c r="F245" s="13">
        <v>2742580.08</v>
      </c>
      <c r="G245" s="13">
        <v>2062424.1600000001</v>
      </c>
      <c r="H245" s="13">
        <v>680155.9199999999</v>
      </c>
      <c r="I245" s="14">
        <v>0.24799856345489096</v>
      </c>
      <c r="J245" s="3" t="s">
        <v>4</v>
      </c>
      <c r="K245" s="3" t="s">
        <v>28</v>
      </c>
      <c r="L245" s="3" t="s">
        <v>33</v>
      </c>
    </row>
    <row r="246" ht="15.75" customHeight="1">
      <c r="A246" s="3">
        <v>2.62177836E8</v>
      </c>
      <c r="B246" s="3" t="s">
        <v>671</v>
      </c>
      <c r="C246" s="3">
        <v>41.0</v>
      </c>
      <c r="D246" s="10">
        <v>12.0</v>
      </c>
      <c r="E246" s="11">
        <v>2012.0</v>
      </c>
      <c r="F246" s="13">
        <v>28950.99</v>
      </c>
      <c r="G246" s="13">
        <v>21472.76</v>
      </c>
      <c r="H246" s="13">
        <v>7478.230000000003</v>
      </c>
      <c r="I246" s="14">
        <v>0.2583065380493034</v>
      </c>
      <c r="J246" s="3" t="s">
        <v>8</v>
      </c>
      <c r="K246" s="3" t="s">
        <v>28</v>
      </c>
      <c r="L246" s="3" t="s">
        <v>33</v>
      </c>
    </row>
    <row r="247" ht="15.75" customHeight="1">
      <c r="A247" s="3">
        <v>2.63098371E8</v>
      </c>
      <c r="B247" s="3" t="s">
        <v>482</v>
      </c>
      <c r="C247" s="3">
        <v>26.0</v>
      </c>
      <c r="D247" s="10">
        <v>6.0</v>
      </c>
      <c r="E247" s="11">
        <v>2014.0</v>
      </c>
      <c r="F247" s="13">
        <v>450250.57</v>
      </c>
      <c r="G247" s="13">
        <v>312195.03</v>
      </c>
      <c r="H247" s="13">
        <v>138055.53999999998</v>
      </c>
      <c r="I247" s="14">
        <v>0.3066193564174721</v>
      </c>
      <c r="J247" s="3" t="s">
        <v>14</v>
      </c>
      <c r="K247" s="3" t="s">
        <v>28</v>
      </c>
      <c r="L247" s="3" t="s">
        <v>79</v>
      </c>
    </row>
    <row r="248" ht="15.75" customHeight="1">
      <c r="A248" s="3">
        <v>2.6342796E8</v>
      </c>
      <c r="B248" s="3" t="s">
        <v>78</v>
      </c>
      <c r="C248" s="3">
        <v>45.0</v>
      </c>
      <c r="D248" s="10">
        <v>8.0</v>
      </c>
      <c r="E248" s="11">
        <v>2011.0</v>
      </c>
      <c r="F248" s="13">
        <v>28381.86</v>
      </c>
      <c r="G248" s="13">
        <v>21050.64</v>
      </c>
      <c r="H248" s="13">
        <v>7331.220000000001</v>
      </c>
      <c r="I248" s="14">
        <v>0.25830653804930337</v>
      </c>
      <c r="J248" s="3" t="s">
        <v>8</v>
      </c>
      <c r="K248" s="3" t="s">
        <v>28</v>
      </c>
      <c r="L248" s="3" t="s">
        <v>79</v>
      </c>
    </row>
    <row r="249" ht="15.75" customHeight="1">
      <c r="A249" s="3">
        <v>2.63647687E8</v>
      </c>
      <c r="B249" s="3" t="s">
        <v>821</v>
      </c>
      <c r="C249" s="3">
        <v>7.0</v>
      </c>
      <c r="D249" s="10">
        <v>3.0</v>
      </c>
      <c r="E249" s="11">
        <v>2012.0</v>
      </c>
      <c r="F249" s="13">
        <v>881233.92</v>
      </c>
      <c r="G249" s="13">
        <v>289013.76</v>
      </c>
      <c r="H249" s="13">
        <v>592220.16</v>
      </c>
      <c r="I249" s="14">
        <v>0.6720351390922401</v>
      </c>
      <c r="J249" s="3" t="s">
        <v>5</v>
      </c>
      <c r="K249" s="3" t="s">
        <v>821</v>
      </c>
      <c r="L249" s="3" t="s">
        <v>821</v>
      </c>
    </row>
    <row r="250" ht="15.75" customHeight="1">
      <c r="A250" s="3">
        <v>2.63852393E8</v>
      </c>
      <c r="B250" s="3" t="s">
        <v>821</v>
      </c>
      <c r="C250" s="3">
        <v>19.0</v>
      </c>
      <c r="D250" s="10">
        <v>6.0</v>
      </c>
      <c r="E250" s="11">
        <v>2012.0</v>
      </c>
      <c r="F250" s="13">
        <v>2205874.48</v>
      </c>
      <c r="G250" s="13">
        <v>1377548.22</v>
      </c>
      <c r="H250" s="13">
        <v>828326.26</v>
      </c>
      <c r="I250" s="14">
        <v>0.3755092447508618</v>
      </c>
      <c r="J250" s="3" t="s">
        <v>10</v>
      </c>
      <c r="K250" s="3" t="s">
        <v>821</v>
      </c>
      <c r="L250" s="3" t="s">
        <v>821</v>
      </c>
    </row>
    <row r="251" ht="15.75" customHeight="1">
      <c r="A251" s="3">
        <v>2.63882005E8</v>
      </c>
      <c r="B251" s="3" t="s">
        <v>653</v>
      </c>
      <c r="C251" s="3">
        <v>24.0</v>
      </c>
      <c r="D251" s="10">
        <v>2.0</v>
      </c>
      <c r="E251" s="11">
        <v>2011.0</v>
      </c>
      <c r="F251" s="13">
        <v>351319.80000000005</v>
      </c>
      <c r="G251" s="13">
        <v>235373.16</v>
      </c>
      <c r="H251" s="13">
        <v>115946.64000000004</v>
      </c>
      <c r="I251" s="14">
        <v>0.3300316122233931</v>
      </c>
      <c r="J251" s="3" t="s">
        <v>6</v>
      </c>
      <c r="K251" s="3" t="s">
        <v>28</v>
      </c>
      <c r="L251" s="3" t="s">
        <v>33</v>
      </c>
    </row>
    <row r="252" ht="15.75" customHeight="1">
      <c r="A252" s="3">
        <v>2.63977277E8</v>
      </c>
      <c r="B252" s="3" t="s">
        <v>364</v>
      </c>
      <c r="C252" s="3">
        <v>26.0</v>
      </c>
      <c r="D252" s="10">
        <v>12.0</v>
      </c>
      <c r="E252" s="11">
        <v>2016.0</v>
      </c>
      <c r="F252" s="13">
        <v>3644822.37</v>
      </c>
      <c r="G252" s="13">
        <v>2938201.12</v>
      </c>
      <c r="H252" s="13">
        <v>706621.25</v>
      </c>
      <c r="I252" s="14">
        <v>0.19386987300563566</v>
      </c>
      <c r="J252" s="3" t="s">
        <v>7</v>
      </c>
      <c r="K252" s="3" t="s">
        <v>28</v>
      </c>
      <c r="L252" s="3" t="s">
        <v>29</v>
      </c>
    </row>
    <row r="253" ht="15.75" customHeight="1">
      <c r="A253" s="3">
        <v>2.64163959E8</v>
      </c>
      <c r="B253" s="3" t="s">
        <v>428</v>
      </c>
      <c r="C253" s="3">
        <v>17.0</v>
      </c>
      <c r="D253" s="10">
        <v>9.0</v>
      </c>
      <c r="E253" s="11">
        <v>2016.0</v>
      </c>
      <c r="F253" s="13">
        <v>39858.0</v>
      </c>
      <c r="G253" s="13">
        <v>26703.6</v>
      </c>
      <c r="H253" s="13">
        <v>13154.400000000001</v>
      </c>
      <c r="I253" s="14">
        <v>0.33003161222339306</v>
      </c>
      <c r="J253" s="3" t="s">
        <v>6</v>
      </c>
      <c r="K253" s="3" t="s">
        <v>28</v>
      </c>
      <c r="L253" s="3" t="s">
        <v>79</v>
      </c>
    </row>
    <row r="254" ht="15.75" customHeight="1">
      <c r="A254" s="3">
        <v>2.64526593E8</v>
      </c>
      <c r="B254" s="3" t="s">
        <v>590</v>
      </c>
      <c r="C254" s="3">
        <v>7.0</v>
      </c>
      <c r="D254" s="10">
        <v>9.0</v>
      </c>
      <c r="E254" s="11">
        <v>2014.0</v>
      </c>
      <c r="F254" s="13">
        <v>666262.9600000001</v>
      </c>
      <c r="G254" s="13">
        <v>461973.84</v>
      </c>
      <c r="H254" s="13">
        <v>204289.12000000005</v>
      </c>
      <c r="I254" s="14">
        <v>0.30661935641747223</v>
      </c>
      <c r="J254" s="3" t="s">
        <v>14</v>
      </c>
      <c r="K254" s="3" t="s">
        <v>28</v>
      </c>
      <c r="L254" s="3" t="s">
        <v>98</v>
      </c>
    </row>
    <row r="255" ht="15.75" customHeight="1">
      <c r="A255" s="3">
        <v>2.64856183E8</v>
      </c>
      <c r="B255" s="3" t="s">
        <v>215</v>
      </c>
      <c r="C255" s="3">
        <v>26.0</v>
      </c>
      <c r="D255" s="10">
        <v>11.0</v>
      </c>
      <c r="E255" s="11">
        <v>2011.0</v>
      </c>
      <c r="F255" s="13">
        <v>53041.05</v>
      </c>
      <c r="G255" s="13">
        <v>39340.2</v>
      </c>
      <c r="H255" s="13">
        <v>13700.850000000006</v>
      </c>
      <c r="I255" s="14">
        <v>0.2583065380493034</v>
      </c>
      <c r="J255" s="3" t="s">
        <v>8</v>
      </c>
      <c r="K255" s="3" t="s">
        <v>23</v>
      </c>
      <c r="L255" s="3" t="s">
        <v>68</v>
      </c>
    </row>
    <row r="256" ht="15.75" customHeight="1">
      <c r="A256" s="3">
        <v>2.6492871E8</v>
      </c>
      <c r="B256" s="3" t="s">
        <v>248</v>
      </c>
      <c r="C256" s="3">
        <v>3.0</v>
      </c>
      <c r="D256" s="10">
        <v>1.0</v>
      </c>
      <c r="E256" s="11">
        <v>2016.0</v>
      </c>
      <c r="F256" s="13">
        <v>781024.16</v>
      </c>
      <c r="G256" s="13">
        <v>256148.48</v>
      </c>
      <c r="H256" s="13">
        <v>524875.68</v>
      </c>
      <c r="I256" s="14">
        <v>0.6720351390922401</v>
      </c>
      <c r="J256" s="3" t="s">
        <v>5</v>
      </c>
      <c r="K256" s="3" t="s">
        <v>28</v>
      </c>
      <c r="L256" s="3" t="s">
        <v>29</v>
      </c>
    </row>
    <row r="257" ht="15.75" customHeight="1">
      <c r="A257" s="3">
        <v>2.64959609E8</v>
      </c>
      <c r="B257" s="3" t="s">
        <v>288</v>
      </c>
      <c r="C257" s="3">
        <v>47.0</v>
      </c>
      <c r="D257" s="10">
        <v>9.0</v>
      </c>
      <c r="E257" s="11">
        <v>2013.0</v>
      </c>
      <c r="F257" s="13">
        <v>959880.78</v>
      </c>
      <c r="G257" s="13">
        <v>612995.04</v>
      </c>
      <c r="H257" s="13">
        <v>346885.74</v>
      </c>
      <c r="I257" s="14">
        <v>0.36138419189933146</v>
      </c>
      <c r="J257" s="3" t="s">
        <v>13</v>
      </c>
      <c r="K257" s="3" t="s">
        <v>23</v>
      </c>
      <c r="L257" s="3" t="s">
        <v>68</v>
      </c>
    </row>
    <row r="258" ht="15.75" customHeight="1">
      <c r="A258" s="3">
        <v>2.65191352E8</v>
      </c>
      <c r="B258" s="3" t="s">
        <v>635</v>
      </c>
      <c r="C258" s="3">
        <v>39.0</v>
      </c>
      <c r="D258" s="10">
        <v>8.0</v>
      </c>
      <c r="E258" s="11">
        <v>2014.0</v>
      </c>
      <c r="F258" s="13">
        <v>742912.02</v>
      </c>
      <c r="G258" s="13">
        <v>474435.36</v>
      </c>
      <c r="H258" s="13">
        <v>268476.66000000003</v>
      </c>
      <c r="I258" s="14">
        <v>0.3613841918993315</v>
      </c>
      <c r="J258" s="3" t="s">
        <v>13</v>
      </c>
      <c r="K258" s="3" t="s">
        <v>28</v>
      </c>
      <c r="L258" s="3" t="s">
        <v>33</v>
      </c>
    </row>
    <row r="259" ht="15.75" customHeight="1">
      <c r="A259" s="3">
        <v>2.65914475E8</v>
      </c>
      <c r="B259" s="3" t="s">
        <v>455</v>
      </c>
      <c r="C259" s="3">
        <v>40.0</v>
      </c>
      <c r="D259" s="10">
        <v>1.0</v>
      </c>
      <c r="E259" s="11">
        <v>2015.0</v>
      </c>
      <c r="F259" s="13">
        <v>3872280.4</v>
      </c>
      <c r="G259" s="13">
        <v>2332313.81</v>
      </c>
      <c r="H259" s="13">
        <v>1539966.5899999999</v>
      </c>
      <c r="I259" s="14">
        <v>0.39768984446477584</v>
      </c>
      <c r="J259" s="3" t="s">
        <v>12</v>
      </c>
      <c r="K259" s="3" t="s">
        <v>28</v>
      </c>
      <c r="L259" s="3" t="s">
        <v>33</v>
      </c>
    </row>
    <row r="260" ht="15.75" customHeight="1">
      <c r="A260" s="3">
        <v>2.66614854E8</v>
      </c>
      <c r="B260" s="3" t="s">
        <v>635</v>
      </c>
      <c r="C260" s="3">
        <v>17.0</v>
      </c>
      <c r="D260" s="10">
        <v>9.0</v>
      </c>
      <c r="E260" s="11">
        <v>2013.0</v>
      </c>
      <c r="F260" s="13">
        <v>4086471.05</v>
      </c>
      <c r="G260" s="13">
        <v>3073032.1</v>
      </c>
      <c r="H260" s="13">
        <v>1013438.9499999997</v>
      </c>
      <c r="I260" s="14">
        <v>0.24799856345489094</v>
      </c>
      <c r="J260" s="3" t="s">
        <v>4</v>
      </c>
      <c r="K260" s="3" t="s">
        <v>28</v>
      </c>
      <c r="L260" s="3" t="s">
        <v>33</v>
      </c>
    </row>
    <row r="261" ht="15.75" customHeight="1">
      <c r="A261" s="3">
        <v>2.66638886E8</v>
      </c>
      <c r="B261" s="3" t="s">
        <v>46</v>
      </c>
      <c r="C261" s="3">
        <v>28.0</v>
      </c>
      <c r="D261" s="10">
        <v>5.0</v>
      </c>
      <c r="E261" s="11">
        <v>2014.0</v>
      </c>
      <c r="F261" s="13">
        <v>2156507.29</v>
      </c>
      <c r="G261" s="13">
        <v>1621696.58</v>
      </c>
      <c r="H261" s="13">
        <v>534810.71</v>
      </c>
      <c r="I261" s="14">
        <v>0.24799856345489096</v>
      </c>
      <c r="J261" s="3" t="s">
        <v>4</v>
      </c>
      <c r="K261" s="3" t="s">
        <v>28</v>
      </c>
      <c r="L261" s="3" t="s">
        <v>33</v>
      </c>
    </row>
    <row r="262" ht="15.75" customHeight="1">
      <c r="A262" s="3">
        <v>2.68373954E8</v>
      </c>
      <c r="B262" s="3" t="s">
        <v>78</v>
      </c>
      <c r="C262" s="3">
        <v>3.0</v>
      </c>
      <c r="D262" s="10">
        <v>2.0</v>
      </c>
      <c r="E262" s="11">
        <v>2010.0</v>
      </c>
      <c r="F262" s="13">
        <v>4344873.12</v>
      </c>
      <c r="G262" s="13">
        <v>3502533.12</v>
      </c>
      <c r="H262" s="13">
        <v>842340.0</v>
      </c>
      <c r="I262" s="14">
        <v>0.19386987300563566</v>
      </c>
      <c r="J262" s="3" t="s">
        <v>7</v>
      </c>
      <c r="K262" s="3" t="s">
        <v>28</v>
      </c>
      <c r="L262" s="3" t="s">
        <v>79</v>
      </c>
    </row>
    <row r="263" ht="15.75" customHeight="1">
      <c r="A263" s="3">
        <v>2.70358788E8</v>
      </c>
      <c r="B263" s="3" t="s">
        <v>32</v>
      </c>
      <c r="C263" s="3">
        <v>44.0</v>
      </c>
      <c r="D263" s="10">
        <v>12.0</v>
      </c>
      <c r="E263" s="11">
        <v>2014.0</v>
      </c>
      <c r="F263" s="13">
        <v>191128.6</v>
      </c>
      <c r="G263" s="13">
        <v>128050.12</v>
      </c>
      <c r="H263" s="13">
        <v>63078.48000000001</v>
      </c>
      <c r="I263" s="14">
        <v>0.3300316122233931</v>
      </c>
      <c r="J263" s="3" t="s">
        <v>6</v>
      </c>
      <c r="K263" s="3" t="s">
        <v>28</v>
      </c>
      <c r="L263" s="3" t="s">
        <v>33</v>
      </c>
    </row>
    <row r="264" ht="15.75" customHeight="1">
      <c r="A264" s="3">
        <v>2.72361218E8</v>
      </c>
      <c r="B264" s="3" t="s">
        <v>578</v>
      </c>
      <c r="C264" s="3">
        <v>7.0</v>
      </c>
      <c r="D264" s="10">
        <v>6.0</v>
      </c>
      <c r="E264" s="11">
        <v>2010.0</v>
      </c>
      <c r="F264" s="13">
        <v>1005807.3600000001</v>
      </c>
      <c r="G264" s="13">
        <v>642324.48</v>
      </c>
      <c r="H264" s="13">
        <v>363482.8800000001</v>
      </c>
      <c r="I264" s="14">
        <v>0.3613841918993316</v>
      </c>
      <c r="J264" s="3" t="s">
        <v>13</v>
      </c>
      <c r="K264" s="3" t="s">
        <v>28</v>
      </c>
      <c r="L264" s="3" t="s">
        <v>33</v>
      </c>
    </row>
    <row r="265" ht="15.75" customHeight="1">
      <c r="A265" s="3">
        <v>2.72425591E8</v>
      </c>
      <c r="B265" s="3" t="s">
        <v>221</v>
      </c>
      <c r="C265" s="3">
        <v>17.0</v>
      </c>
      <c r="D265" s="10">
        <v>3.0</v>
      </c>
      <c r="E265" s="11">
        <v>2011.0</v>
      </c>
      <c r="F265" s="13">
        <v>52630.53</v>
      </c>
      <c r="G265" s="13">
        <v>39035.72</v>
      </c>
      <c r="H265" s="13">
        <v>13594.809999999998</v>
      </c>
      <c r="I265" s="14">
        <v>0.25830653804930326</v>
      </c>
      <c r="J265" s="3" t="s">
        <v>8</v>
      </c>
      <c r="K265" s="3" t="s">
        <v>28</v>
      </c>
      <c r="L265" s="3" t="s">
        <v>29</v>
      </c>
    </row>
    <row r="266" ht="15.75" customHeight="1">
      <c r="A266" s="3">
        <v>2.73662412E8</v>
      </c>
      <c r="B266" s="3" t="s">
        <v>142</v>
      </c>
      <c r="C266" s="3">
        <v>3.0</v>
      </c>
      <c r="D266" s="10">
        <v>7.0</v>
      </c>
      <c r="E266" s="11">
        <v>2010.0</v>
      </c>
      <c r="F266" s="13">
        <v>693587.16</v>
      </c>
      <c r="G266" s="13">
        <v>599550.36</v>
      </c>
      <c r="H266" s="13">
        <v>94036.80000000005</v>
      </c>
      <c r="I266" s="14">
        <v>0.13558036455000125</v>
      </c>
      <c r="J266" s="3" t="s">
        <v>11</v>
      </c>
      <c r="K266" s="3" t="s">
        <v>28</v>
      </c>
      <c r="L266" s="3" t="s">
        <v>98</v>
      </c>
    </row>
    <row r="267" ht="15.75" customHeight="1">
      <c r="A267" s="3">
        <v>2.73940503E8</v>
      </c>
      <c r="B267" s="3" t="s">
        <v>590</v>
      </c>
      <c r="C267" s="3">
        <v>35.0</v>
      </c>
      <c r="D267" s="10">
        <v>9.0</v>
      </c>
      <c r="E267" s="11">
        <v>2011.0</v>
      </c>
      <c r="F267" s="13">
        <v>809840.8999999999</v>
      </c>
      <c r="G267" s="13">
        <v>461062.07</v>
      </c>
      <c r="H267" s="13">
        <v>348778.8299999999</v>
      </c>
      <c r="I267" s="14">
        <v>0.43067574137092846</v>
      </c>
      <c r="J267" s="3" t="s">
        <v>3</v>
      </c>
      <c r="K267" s="3" t="s">
        <v>28</v>
      </c>
      <c r="L267" s="3" t="s">
        <v>98</v>
      </c>
    </row>
    <row r="268" ht="15.75" customHeight="1">
      <c r="A268" s="3">
        <v>2.74694526E8</v>
      </c>
      <c r="B268" s="3" t="s">
        <v>455</v>
      </c>
      <c r="C268" s="3">
        <v>28.0</v>
      </c>
      <c r="D268" s="10">
        <v>4.0</v>
      </c>
      <c r="E268" s="11">
        <v>2017.0</v>
      </c>
      <c r="F268" s="13">
        <v>577749.37</v>
      </c>
      <c r="G268" s="13">
        <v>400600.23000000004</v>
      </c>
      <c r="H268" s="13">
        <v>177149.13999999996</v>
      </c>
      <c r="I268" s="14">
        <v>0.30661935641747207</v>
      </c>
      <c r="J268" s="3" t="s">
        <v>14</v>
      </c>
      <c r="K268" s="3" t="s">
        <v>28</v>
      </c>
      <c r="L268" s="3" t="s">
        <v>33</v>
      </c>
    </row>
    <row r="269" ht="15.75" customHeight="1">
      <c r="A269" s="3">
        <v>2.74989354E8</v>
      </c>
      <c r="B269" s="3" t="s">
        <v>686</v>
      </c>
      <c r="C269" s="3">
        <v>43.0</v>
      </c>
      <c r="D269" s="10">
        <v>5.0</v>
      </c>
      <c r="E269" s="11">
        <v>2012.0</v>
      </c>
      <c r="F269" s="13">
        <v>658535.28</v>
      </c>
      <c r="G269" s="13">
        <v>420551.04</v>
      </c>
      <c r="H269" s="13">
        <v>237984.24000000005</v>
      </c>
      <c r="I269" s="14">
        <v>0.3613841918993316</v>
      </c>
      <c r="J269" s="3" t="s">
        <v>13</v>
      </c>
      <c r="K269" s="3" t="s">
        <v>28</v>
      </c>
      <c r="L269" s="3" t="s">
        <v>29</v>
      </c>
    </row>
    <row r="270" ht="15.75" customHeight="1">
      <c r="A270" s="3">
        <v>2.76784074E8</v>
      </c>
      <c r="B270" s="3" t="s">
        <v>291</v>
      </c>
      <c r="C270" s="3">
        <v>25.0</v>
      </c>
      <c r="D270" s="10">
        <v>3.0</v>
      </c>
      <c r="E270" s="11">
        <v>2015.0</v>
      </c>
      <c r="F270" s="13">
        <v>591532.64</v>
      </c>
      <c r="G270" s="13">
        <v>194001.92</v>
      </c>
      <c r="H270" s="13">
        <v>397530.72</v>
      </c>
      <c r="I270" s="14">
        <v>0.6720351390922401</v>
      </c>
      <c r="J270" s="3" t="s">
        <v>5</v>
      </c>
      <c r="K270" s="3" t="s">
        <v>28</v>
      </c>
      <c r="L270" s="3" t="s">
        <v>79</v>
      </c>
    </row>
    <row r="271" ht="15.75" customHeight="1">
      <c r="A271" s="3">
        <v>2.76850593E8</v>
      </c>
      <c r="B271" s="3" t="s">
        <v>455</v>
      </c>
      <c r="C271" s="3">
        <v>13.0</v>
      </c>
      <c r="D271" s="10">
        <v>8.0</v>
      </c>
      <c r="E271" s="11">
        <v>2011.0</v>
      </c>
      <c r="F271" s="13">
        <v>1301162.16</v>
      </c>
      <c r="G271" s="13">
        <v>812563.74</v>
      </c>
      <c r="H271" s="13">
        <v>488598.4199999999</v>
      </c>
      <c r="I271" s="14">
        <v>0.3755092447508618</v>
      </c>
      <c r="J271" s="3" t="s">
        <v>10</v>
      </c>
      <c r="K271" s="3" t="s">
        <v>28</v>
      </c>
      <c r="L271" s="3" t="s">
        <v>33</v>
      </c>
    </row>
    <row r="272" ht="15.75" customHeight="1">
      <c r="A272" s="3">
        <v>2.78513133E8</v>
      </c>
      <c r="B272" s="3" t="s">
        <v>536</v>
      </c>
      <c r="C272" s="3">
        <v>11.0</v>
      </c>
      <c r="D272" s="10">
        <v>10.0</v>
      </c>
      <c r="E272" s="11">
        <v>2010.0</v>
      </c>
      <c r="F272" s="13">
        <v>66056.4</v>
      </c>
      <c r="G272" s="13">
        <v>48993.6</v>
      </c>
      <c r="H272" s="13">
        <v>17062.799999999996</v>
      </c>
      <c r="I272" s="14">
        <v>0.25830653804930326</v>
      </c>
      <c r="J272" s="3" t="s">
        <v>8</v>
      </c>
      <c r="K272" s="3" t="s">
        <v>28</v>
      </c>
      <c r="L272" s="3" t="s">
        <v>33</v>
      </c>
    </row>
    <row r="273" ht="15.75" customHeight="1">
      <c r="A273" s="3">
        <v>2.79338395E8</v>
      </c>
      <c r="B273" s="3" t="s">
        <v>593</v>
      </c>
      <c r="C273" s="3">
        <v>45.0</v>
      </c>
      <c r="D273" s="10">
        <v>1.0</v>
      </c>
      <c r="E273" s="11">
        <v>2014.0</v>
      </c>
      <c r="F273" s="13">
        <v>265970.1</v>
      </c>
      <c r="G273" s="13">
        <v>151423.23</v>
      </c>
      <c r="H273" s="13">
        <v>114546.86999999997</v>
      </c>
      <c r="I273" s="14">
        <v>0.43067574137092846</v>
      </c>
      <c r="J273" s="3" t="s">
        <v>3</v>
      </c>
      <c r="K273" s="3" t="s">
        <v>28</v>
      </c>
      <c r="L273" s="3" t="s">
        <v>98</v>
      </c>
    </row>
    <row r="274" ht="15.75" customHeight="1">
      <c r="A274" s="3">
        <v>2.79703605E8</v>
      </c>
      <c r="B274" s="3" t="s">
        <v>346</v>
      </c>
      <c r="C274" s="3">
        <v>9.0</v>
      </c>
      <c r="D274" s="10">
        <v>1.0</v>
      </c>
      <c r="E274" s="11">
        <v>2010.0</v>
      </c>
      <c r="F274" s="13">
        <v>2391207.7600000002</v>
      </c>
      <c r="G274" s="13">
        <v>1493287.14</v>
      </c>
      <c r="H274" s="13">
        <v>897920.6200000003</v>
      </c>
      <c r="I274" s="14">
        <v>0.3755092447508619</v>
      </c>
      <c r="J274" s="3" t="s">
        <v>10</v>
      </c>
      <c r="K274" s="3" t="s">
        <v>28</v>
      </c>
      <c r="L274" s="3" t="s">
        <v>98</v>
      </c>
    </row>
    <row r="275" ht="15.75" customHeight="1">
      <c r="A275" s="3">
        <v>2.79816472E8</v>
      </c>
      <c r="B275" s="3" t="s">
        <v>578</v>
      </c>
      <c r="C275" s="3">
        <v>36.0</v>
      </c>
      <c r="D275" s="10">
        <v>3.0</v>
      </c>
      <c r="E275" s="11">
        <v>2014.0</v>
      </c>
      <c r="F275" s="13">
        <v>422188.86000000004</v>
      </c>
      <c r="G275" s="13">
        <v>269616.48</v>
      </c>
      <c r="H275" s="13">
        <v>152572.38000000006</v>
      </c>
      <c r="I275" s="14">
        <v>0.36138419189933163</v>
      </c>
      <c r="J275" s="3" t="s">
        <v>13</v>
      </c>
      <c r="K275" s="3" t="s">
        <v>28</v>
      </c>
      <c r="L275" s="3" t="s">
        <v>33</v>
      </c>
    </row>
    <row r="276" ht="15.75" customHeight="1">
      <c r="A276" s="3">
        <v>2.8019241E8</v>
      </c>
      <c r="B276" s="3" t="s">
        <v>267</v>
      </c>
      <c r="C276" s="3">
        <v>43.0</v>
      </c>
      <c r="D276" s="10">
        <v>7.0</v>
      </c>
      <c r="E276" s="11">
        <v>2011.0</v>
      </c>
      <c r="F276" s="13">
        <v>826091.2</v>
      </c>
      <c r="G276" s="13">
        <v>470313.76</v>
      </c>
      <c r="H276" s="13">
        <v>355777.43999999994</v>
      </c>
      <c r="I276" s="14">
        <v>0.4306757413709285</v>
      </c>
      <c r="J276" s="3" t="s">
        <v>3</v>
      </c>
      <c r="K276" s="3" t="s">
        <v>28</v>
      </c>
      <c r="L276" s="3" t="s">
        <v>29</v>
      </c>
    </row>
    <row r="277" ht="15.75" customHeight="1">
      <c r="A277" s="3">
        <v>2.80477797E8</v>
      </c>
      <c r="B277" s="3" t="s">
        <v>300</v>
      </c>
      <c r="C277" s="3">
        <v>1.0</v>
      </c>
      <c r="D277" s="10">
        <v>10.0</v>
      </c>
      <c r="E277" s="11">
        <v>2011.0</v>
      </c>
      <c r="F277" s="13">
        <v>1741867.5999999999</v>
      </c>
      <c r="G277" s="13">
        <v>991687.48</v>
      </c>
      <c r="H277" s="13">
        <v>750180.1199999999</v>
      </c>
      <c r="I277" s="14">
        <v>0.4306757413709285</v>
      </c>
      <c r="J277" s="3" t="s">
        <v>3</v>
      </c>
      <c r="K277" s="3" t="s">
        <v>28</v>
      </c>
      <c r="L277" s="3" t="s">
        <v>33</v>
      </c>
    </row>
    <row r="278" ht="15.75" customHeight="1">
      <c r="A278" s="3">
        <v>2.81100928E8</v>
      </c>
      <c r="B278" s="3" t="s">
        <v>373</v>
      </c>
      <c r="C278" s="3">
        <v>48.0</v>
      </c>
      <c r="D278" s="10">
        <v>9.0</v>
      </c>
      <c r="E278" s="11">
        <v>2012.0</v>
      </c>
      <c r="F278" s="13">
        <v>437294.28</v>
      </c>
      <c r="G278" s="13">
        <v>279263.04</v>
      </c>
      <c r="H278" s="13">
        <v>158031.24000000005</v>
      </c>
      <c r="I278" s="14">
        <v>0.3613841918993316</v>
      </c>
      <c r="J278" s="3" t="s">
        <v>13</v>
      </c>
      <c r="K278" s="3" t="s">
        <v>28</v>
      </c>
      <c r="L278" s="3" t="s">
        <v>33</v>
      </c>
    </row>
    <row r="279" ht="15.75" customHeight="1">
      <c r="A279" s="3">
        <v>2.82917964E8</v>
      </c>
      <c r="B279" s="3" t="s">
        <v>593</v>
      </c>
      <c r="C279" s="3">
        <v>7.0</v>
      </c>
      <c r="D279" s="10">
        <v>1.0</v>
      </c>
      <c r="E279" s="11">
        <v>2015.0</v>
      </c>
      <c r="F279" s="13">
        <v>369236.07</v>
      </c>
      <c r="G279" s="13">
        <v>297652.32</v>
      </c>
      <c r="H279" s="13">
        <v>71583.75</v>
      </c>
      <c r="I279" s="14">
        <v>0.19386987300563566</v>
      </c>
      <c r="J279" s="3" t="s">
        <v>7</v>
      </c>
      <c r="K279" s="3" t="s">
        <v>28</v>
      </c>
      <c r="L279" s="3" t="s">
        <v>98</v>
      </c>
    </row>
    <row r="280" ht="15.75" customHeight="1">
      <c r="A280" s="3">
        <v>2.84108436E8</v>
      </c>
      <c r="B280" s="3" t="s">
        <v>455</v>
      </c>
      <c r="C280" s="3">
        <v>5.0</v>
      </c>
      <c r="D280" s="10">
        <v>3.0</v>
      </c>
      <c r="E280" s="11">
        <v>2014.0</v>
      </c>
      <c r="F280" s="13">
        <v>1247768.8</v>
      </c>
      <c r="G280" s="13">
        <v>751543.82</v>
      </c>
      <c r="H280" s="13">
        <v>496224.9800000001</v>
      </c>
      <c r="I280" s="14">
        <v>0.3976898444647759</v>
      </c>
      <c r="J280" s="3" t="s">
        <v>12</v>
      </c>
      <c r="K280" s="3" t="s">
        <v>28</v>
      </c>
      <c r="L280" s="3" t="s">
        <v>33</v>
      </c>
    </row>
    <row r="281" ht="15.75" customHeight="1">
      <c r="A281" s="3">
        <v>2.84310567E8</v>
      </c>
      <c r="B281" s="3" t="s">
        <v>575</v>
      </c>
      <c r="C281" s="3">
        <v>44.0</v>
      </c>
      <c r="D281" s="10">
        <v>7.0</v>
      </c>
      <c r="E281" s="11">
        <v>2016.0</v>
      </c>
      <c r="F281" s="13">
        <v>1167324.0</v>
      </c>
      <c r="G281" s="13">
        <v>703091.1</v>
      </c>
      <c r="H281" s="13">
        <v>464232.9</v>
      </c>
      <c r="I281" s="14">
        <v>0.39768984446477584</v>
      </c>
      <c r="J281" s="3" t="s">
        <v>12</v>
      </c>
      <c r="K281" s="3" t="s">
        <v>28</v>
      </c>
      <c r="L281" s="3" t="s">
        <v>98</v>
      </c>
    </row>
    <row r="282" ht="15.75" customHeight="1">
      <c r="A282" s="3">
        <v>2.84403264E8</v>
      </c>
      <c r="B282" s="3" t="s">
        <v>686</v>
      </c>
      <c r="C282" s="3">
        <v>20.0</v>
      </c>
      <c r="D282" s="10">
        <v>12.0</v>
      </c>
      <c r="E282" s="11">
        <v>2016.0</v>
      </c>
      <c r="F282" s="13">
        <v>15560.06</v>
      </c>
      <c r="G282" s="13">
        <v>9183.93</v>
      </c>
      <c r="H282" s="13">
        <v>6376.129999999999</v>
      </c>
      <c r="I282" s="14">
        <v>0.4097754121770738</v>
      </c>
      <c r="J282" s="3" t="s">
        <v>9</v>
      </c>
      <c r="K282" s="3" t="s">
        <v>28</v>
      </c>
      <c r="L282" s="3" t="s">
        <v>29</v>
      </c>
    </row>
    <row r="283" ht="15.75" customHeight="1">
      <c r="A283" s="3">
        <v>2.84435451E8</v>
      </c>
      <c r="B283" s="3" t="s">
        <v>488</v>
      </c>
      <c r="C283" s="3">
        <v>0.0</v>
      </c>
      <c r="D283" s="10">
        <v>6.0</v>
      </c>
      <c r="E283" s="11">
        <v>2013.0</v>
      </c>
      <c r="F283" s="13">
        <v>786651.25</v>
      </c>
      <c r="G283" s="13">
        <v>545448.75</v>
      </c>
      <c r="H283" s="13">
        <v>241202.5</v>
      </c>
      <c r="I283" s="14">
        <v>0.3066193564174722</v>
      </c>
      <c r="J283" s="3" t="s">
        <v>14</v>
      </c>
      <c r="K283" s="3" t="s">
        <v>28</v>
      </c>
      <c r="L283" s="3" t="s">
        <v>33</v>
      </c>
    </row>
    <row r="284" ht="15.75" customHeight="1">
      <c r="A284" s="3">
        <v>2.84595954E8</v>
      </c>
      <c r="B284" s="3" t="s">
        <v>623</v>
      </c>
      <c r="C284" s="3">
        <v>2.0</v>
      </c>
      <c r="D284" s="10">
        <v>10.0</v>
      </c>
      <c r="E284" s="11">
        <v>2016.0</v>
      </c>
      <c r="F284" s="13">
        <v>3113738.4</v>
      </c>
      <c r="G284" s="13">
        <v>1875436.2599999998</v>
      </c>
      <c r="H284" s="13">
        <v>1238302.1400000001</v>
      </c>
      <c r="I284" s="14">
        <v>0.3976898444647759</v>
      </c>
      <c r="J284" s="3" t="s">
        <v>12</v>
      </c>
      <c r="K284" s="3" t="s">
        <v>28</v>
      </c>
      <c r="L284" s="3" t="s">
        <v>33</v>
      </c>
    </row>
    <row r="285" ht="15.75" customHeight="1">
      <c r="A285" s="3">
        <v>2.85343968E8</v>
      </c>
      <c r="B285" s="3" t="s">
        <v>635</v>
      </c>
      <c r="C285" s="3">
        <v>5.0</v>
      </c>
      <c r="D285" s="10">
        <v>8.0</v>
      </c>
      <c r="E285" s="11">
        <v>2014.0</v>
      </c>
      <c r="F285" s="13">
        <v>1305812.56</v>
      </c>
      <c r="G285" s="13">
        <v>770722.68</v>
      </c>
      <c r="H285" s="13">
        <v>535089.88</v>
      </c>
      <c r="I285" s="14">
        <v>0.40977541217707386</v>
      </c>
      <c r="J285" s="3" t="s">
        <v>9</v>
      </c>
      <c r="K285" s="3" t="s">
        <v>28</v>
      </c>
      <c r="L285" s="3" t="s">
        <v>33</v>
      </c>
    </row>
    <row r="286" ht="15.75" customHeight="1">
      <c r="A286" s="3">
        <v>2.87151563E8</v>
      </c>
      <c r="B286" s="3" t="s">
        <v>689</v>
      </c>
      <c r="C286" s="3">
        <v>9.0</v>
      </c>
      <c r="D286" s="10">
        <v>8.0</v>
      </c>
      <c r="E286" s="11">
        <v>2014.0</v>
      </c>
      <c r="F286" s="13">
        <v>276492.59</v>
      </c>
      <c r="G286" s="13">
        <v>191714.61000000002</v>
      </c>
      <c r="H286" s="13">
        <v>84777.98000000001</v>
      </c>
      <c r="I286" s="14">
        <v>0.3066193564174722</v>
      </c>
      <c r="J286" s="3" t="s">
        <v>14</v>
      </c>
      <c r="K286" s="3" t="s">
        <v>28</v>
      </c>
      <c r="L286" s="3" t="s">
        <v>79</v>
      </c>
    </row>
    <row r="287" ht="15.75" customHeight="1">
      <c r="A287" s="3">
        <v>2.87917602E8</v>
      </c>
      <c r="B287" s="3" t="s">
        <v>291</v>
      </c>
      <c r="C287" s="3">
        <v>33.0</v>
      </c>
      <c r="D287" s="10">
        <v>12.0</v>
      </c>
      <c r="E287" s="11">
        <v>2012.0</v>
      </c>
      <c r="F287" s="13">
        <v>5802.83</v>
      </c>
      <c r="G287" s="13">
        <v>4023.57</v>
      </c>
      <c r="H287" s="13">
        <v>1779.2599999999998</v>
      </c>
      <c r="I287" s="14">
        <v>0.3066193564174721</v>
      </c>
      <c r="J287" s="3" t="s">
        <v>14</v>
      </c>
      <c r="K287" s="3" t="s">
        <v>28</v>
      </c>
      <c r="L287" s="3" t="s">
        <v>79</v>
      </c>
    </row>
    <row r="288" ht="15.75" customHeight="1">
      <c r="A288" s="3">
        <v>2.88073384E8</v>
      </c>
      <c r="B288" s="3" t="s">
        <v>300</v>
      </c>
      <c r="C288" s="3">
        <v>32.0</v>
      </c>
      <c r="D288" s="10">
        <v>1.0</v>
      </c>
      <c r="E288" s="11">
        <v>2015.0</v>
      </c>
      <c r="F288" s="13">
        <v>1575332.8800000001</v>
      </c>
      <c r="G288" s="13">
        <v>983780.82</v>
      </c>
      <c r="H288" s="13">
        <v>591552.0600000002</v>
      </c>
      <c r="I288" s="14">
        <v>0.3755092447508619</v>
      </c>
      <c r="J288" s="3" t="s">
        <v>10</v>
      </c>
      <c r="K288" s="3" t="s">
        <v>28</v>
      </c>
      <c r="L288" s="3" t="s">
        <v>33</v>
      </c>
    </row>
    <row r="289" ht="15.75" customHeight="1">
      <c r="A289" s="3">
        <v>2.88656175E8</v>
      </c>
      <c r="B289" s="3" t="s">
        <v>123</v>
      </c>
      <c r="C289" s="3">
        <v>30.0</v>
      </c>
      <c r="D289" s="10">
        <v>11.0</v>
      </c>
      <c r="E289" s="11">
        <v>2015.0</v>
      </c>
      <c r="F289" s="13">
        <v>5621244.720000001</v>
      </c>
      <c r="G289" s="13">
        <v>4531454.720000001</v>
      </c>
      <c r="H289" s="13">
        <v>1089790.0</v>
      </c>
      <c r="I289" s="14">
        <v>0.19386987300563563</v>
      </c>
      <c r="J289" s="3" t="s">
        <v>7</v>
      </c>
      <c r="K289" s="3" t="s">
        <v>28</v>
      </c>
      <c r="L289" s="3" t="s">
        <v>33</v>
      </c>
    </row>
    <row r="290" ht="15.75" customHeight="1">
      <c r="A290" s="3">
        <v>2.90317428E8</v>
      </c>
      <c r="B290" s="3" t="s">
        <v>373</v>
      </c>
      <c r="C290" s="3">
        <v>41.0</v>
      </c>
      <c r="D290" s="10">
        <v>2.0</v>
      </c>
      <c r="E290" s="11">
        <v>2016.0</v>
      </c>
      <c r="F290" s="13">
        <v>98300.37</v>
      </c>
      <c r="G290" s="13">
        <v>84972.77</v>
      </c>
      <c r="H290" s="13">
        <v>13327.599999999991</v>
      </c>
      <c r="I290" s="14">
        <v>0.1355803645500011</v>
      </c>
      <c r="J290" s="3" t="s">
        <v>11</v>
      </c>
      <c r="K290" s="3" t="s">
        <v>28</v>
      </c>
      <c r="L290" s="3" t="s">
        <v>33</v>
      </c>
    </row>
    <row r="291" ht="15.75" customHeight="1">
      <c r="A291" s="3">
        <v>2.91160714E8</v>
      </c>
      <c r="B291" s="3" t="s">
        <v>46</v>
      </c>
      <c r="C291" s="3">
        <v>46.0</v>
      </c>
      <c r="D291" s="10">
        <v>4.0</v>
      </c>
      <c r="E291" s="11">
        <v>2012.0</v>
      </c>
      <c r="F291" s="13">
        <v>4275816.0</v>
      </c>
      <c r="G291" s="13">
        <v>2575367.4</v>
      </c>
      <c r="H291" s="13">
        <v>1700448.6</v>
      </c>
      <c r="I291" s="14">
        <v>0.39768984446477584</v>
      </c>
      <c r="J291" s="3" t="s">
        <v>12</v>
      </c>
      <c r="K291" s="3" t="s">
        <v>28</v>
      </c>
      <c r="L291" s="3" t="s">
        <v>33</v>
      </c>
    </row>
    <row r="292" ht="15.75" customHeight="1">
      <c r="A292" s="3">
        <v>2.91179597E8</v>
      </c>
      <c r="B292" s="3" t="s">
        <v>428</v>
      </c>
      <c r="C292" s="3">
        <v>7.0</v>
      </c>
      <c r="D292" s="10">
        <v>2.0</v>
      </c>
      <c r="E292" s="11">
        <v>2017.0</v>
      </c>
      <c r="F292" s="13">
        <v>3587273.36</v>
      </c>
      <c r="G292" s="13">
        <v>2697634.72</v>
      </c>
      <c r="H292" s="13">
        <v>889638.6399999997</v>
      </c>
      <c r="I292" s="14">
        <v>0.2479985634548909</v>
      </c>
      <c r="J292" s="3" t="s">
        <v>4</v>
      </c>
      <c r="K292" s="3" t="s">
        <v>28</v>
      </c>
      <c r="L292" s="3" t="s">
        <v>79</v>
      </c>
    </row>
    <row r="293" ht="15.75" customHeight="1">
      <c r="A293" s="3">
        <v>2.91305768E8</v>
      </c>
      <c r="B293" s="3" t="s">
        <v>123</v>
      </c>
      <c r="C293" s="3">
        <v>1.0</v>
      </c>
      <c r="D293" s="10">
        <v>1.0</v>
      </c>
      <c r="E293" s="11">
        <v>2013.0</v>
      </c>
      <c r="F293" s="13">
        <v>25237.65</v>
      </c>
      <c r="G293" s="13">
        <v>18718.6</v>
      </c>
      <c r="H293" s="13">
        <v>6519.050000000003</v>
      </c>
      <c r="I293" s="14">
        <v>0.2583065380493034</v>
      </c>
      <c r="J293" s="3" t="s">
        <v>8</v>
      </c>
      <c r="K293" s="3" t="s">
        <v>28</v>
      </c>
      <c r="L293" s="3" t="s">
        <v>33</v>
      </c>
    </row>
    <row r="294" ht="15.75" customHeight="1">
      <c r="A294" s="3">
        <v>2.91531503E8</v>
      </c>
      <c r="B294" s="3" t="s">
        <v>650</v>
      </c>
      <c r="C294" s="3">
        <v>3.0</v>
      </c>
      <c r="D294" s="10">
        <v>10.0</v>
      </c>
      <c r="E294" s="11">
        <v>2013.0</v>
      </c>
      <c r="F294" s="13">
        <v>451012.25</v>
      </c>
      <c r="G294" s="13">
        <v>302163.95</v>
      </c>
      <c r="H294" s="13">
        <v>148848.3</v>
      </c>
      <c r="I294" s="14">
        <v>0.330031612223393</v>
      </c>
      <c r="J294" s="3" t="s">
        <v>6</v>
      </c>
      <c r="K294" s="3" t="s">
        <v>28</v>
      </c>
      <c r="L294" s="3" t="s">
        <v>98</v>
      </c>
    </row>
    <row r="295" ht="15.75" customHeight="1">
      <c r="A295" s="3">
        <v>2.91611325E8</v>
      </c>
      <c r="B295" s="3" t="s">
        <v>346</v>
      </c>
      <c r="C295" s="3">
        <v>9.0</v>
      </c>
      <c r="D295" s="10">
        <v>2.0</v>
      </c>
      <c r="E295" s="11">
        <v>2017.0</v>
      </c>
      <c r="F295" s="13">
        <v>476965.08</v>
      </c>
      <c r="G295" s="13">
        <v>304597.44</v>
      </c>
      <c r="H295" s="13">
        <v>172367.64</v>
      </c>
      <c r="I295" s="14">
        <v>0.3613841918993315</v>
      </c>
      <c r="J295" s="3" t="s">
        <v>13</v>
      </c>
      <c r="K295" s="3" t="s">
        <v>28</v>
      </c>
      <c r="L295" s="3" t="s">
        <v>98</v>
      </c>
    </row>
    <row r="296" ht="15.75" customHeight="1">
      <c r="A296" s="3">
        <v>2.91995418E8</v>
      </c>
      <c r="B296" s="3" t="s">
        <v>821</v>
      </c>
      <c r="C296" s="3">
        <v>35.0</v>
      </c>
      <c r="D296" s="10">
        <v>5.0</v>
      </c>
      <c r="E296" s="11">
        <v>2010.0</v>
      </c>
      <c r="F296" s="13">
        <v>63332.04</v>
      </c>
      <c r="G296" s="13">
        <v>46972.96</v>
      </c>
      <c r="H296" s="13">
        <v>16359.080000000002</v>
      </c>
      <c r="I296" s="14">
        <v>0.25830653804930337</v>
      </c>
      <c r="J296" s="3" t="s">
        <v>8</v>
      </c>
      <c r="K296" s="3" t="s">
        <v>821</v>
      </c>
      <c r="L296" s="3" t="s">
        <v>821</v>
      </c>
    </row>
    <row r="297" ht="15.75" customHeight="1">
      <c r="A297" s="3">
        <v>2.92424571E8</v>
      </c>
      <c r="B297" s="3" t="s">
        <v>821</v>
      </c>
      <c r="C297" s="3">
        <v>12.0</v>
      </c>
      <c r="D297" s="10">
        <v>5.0</v>
      </c>
      <c r="E297" s="11">
        <v>2012.0</v>
      </c>
      <c r="F297" s="13">
        <v>1654364.8</v>
      </c>
      <c r="G297" s="13">
        <v>996440.72</v>
      </c>
      <c r="H297" s="13">
        <v>657924.0800000001</v>
      </c>
      <c r="I297" s="14">
        <v>0.3976898444647759</v>
      </c>
      <c r="J297" s="3" t="s">
        <v>12</v>
      </c>
      <c r="K297" s="3" t="s">
        <v>821</v>
      </c>
      <c r="L297" s="3" t="s">
        <v>821</v>
      </c>
    </row>
    <row r="298" ht="15.75" customHeight="1">
      <c r="A298" s="3">
        <v>2.93178594E8</v>
      </c>
      <c r="B298" s="3" t="s">
        <v>623</v>
      </c>
      <c r="C298" s="3">
        <v>5.0</v>
      </c>
      <c r="D298" s="10">
        <v>5.0</v>
      </c>
      <c r="E298" s="11">
        <v>2010.0</v>
      </c>
      <c r="F298" s="13">
        <v>565244.68</v>
      </c>
      <c r="G298" s="13">
        <v>391929.72000000003</v>
      </c>
      <c r="H298" s="13">
        <v>173314.96000000002</v>
      </c>
      <c r="I298" s="14">
        <v>0.3066193564174722</v>
      </c>
      <c r="J298" s="3" t="s">
        <v>14</v>
      </c>
      <c r="K298" s="3" t="s">
        <v>28</v>
      </c>
      <c r="L298" s="3" t="s">
        <v>33</v>
      </c>
    </row>
    <row r="299" ht="15.75" customHeight="1">
      <c r="A299" s="3">
        <v>2.95168149E8</v>
      </c>
      <c r="B299" s="3" t="s">
        <v>653</v>
      </c>
      <c r="C299" s="3">
        <v>49.0</v>
      </c>
      <c r="D299" s="10">
        <v>5.0</v>
      </c>
      <c r="E299" s="11">
        <v>2016.0</v>
      </c>
      <c r="F299" s="13">
        <v>52891.77</v>
      </c>
      <c r="G299" s="13">
        <v>39229.48</v>
      </c>
      <c r="H299" s="13">
        <v>13662.289999999994</v>
      </c>
      <c r="I299" s="14">
        <v>0.2583065380493032</v>
      </c>
      <c r="J299" s="3" t="s">
        <v>8</v>
      </c>
      <c r="K299" s="3" t="s">
        <v>28</v>
      </c>
      <c r="L299" s="3" t="s">
        <v>33</v>
      </c>
    </row>
    <row r="300" ht="15.75" customHeight="1">
      <c r="A300" s="3">
        <v>2.95787847E8</v>
      </c>
      <c r="B300" s="3" t="s">
        <v>428</v>
      </c>
      <c r="C300" s="3">
        <v>29.0</v>
      </c>
      <c r="D300" s="10">
        <v>1.0</v>
      </c>
      <c r="E300" s="11">
        <v>2015.0</v>
      </c>
      <c r="F300" s="13">
        <v>2310794.56</v>
      </c>
      <c r="G300" s="13">
        <v>1443069.8399999999</v>
      </c>
      <c r="H300" s="13">
        <v>867724.7200000002</v>
      </c>
      <c r="I300" s="14">
        <v>0.3755092447508619</v>
      </c>
      <c r="J300" s="3" t="s">
        <v>10</v>
      </c>
      <c r="K300" s="3" t="s">
        <v>28</v>
      </c>
      <c r="L300" s="3" t="s">
        <v>79</v>
      </c>
    </row>
    <row r="301" ht="15.75" customHeight="1">
      <c r="A301" s="3">
        <v>2.96073234E8</v>
      </c>
      <c r="B301" s="3" t="s">
        <v>455</v>
      </c>
      <c r="C301" s="3">
        <v>38.0</v>
      </c>
      <c r="D301" s="10">
        <v>4.0</v>
      </c>
      <c r="E301" s="11">
        <v>2015.0</v>
      </c>
      <c r="F301" s="13">
        <v>894501.12</v>
      </c>
      <c r="G301" s="13">
        <v>558607.6799999999</v>
      </c>
      <c r="H301" s="13">
        <v>335893.44000000006</v>
      </c>
      <c r="I301" s="14">
        <v>0.3755092447508619</v>
      </c>
      <c r="J301" s="3" t="s">
        <v>10</v>
      </c>
      <c r="K301" s="3" t="s">
        <v>28</v>
      </c>
      <c r="L301" s="3" t="s">
        <v>33</v>
      </c>
    </row>
    <row r="302" ht="15.75" customHeight="1">
      <c r="A302" s="3">
        <v>2.98228013E8</v>
      </c>
      <c r="B302" s="3" t="s">
        <v>686</v>
      </c>
      <c r="C302" s="3">
        <v>35.0</v>
      </c>
      <c r="D302" s="10">
        <v>9.0</v>
      </c>
      <c r="E302" s="11">
        <v>2010.0</v>
      </c>
      <c r="F302" s="13">
        <v>177323.06</v>
      </c>
      <c r="G302" s="13">
        <v>104660.43000000001</v>
      </c>
      <c r="H302" s="13">
        <v>72662.62999999999</v>
      </c>
      <c r="I302" s="14">
        <v>0.4097754121770738</v>
      </c>
      <c r="J302" s="3" t="s">
        <v>9</v>
      </c>
      <c r="K302" s="3" t="s">
        <v>28</v>
      </c>
      <c r="L302" s="3" t="s">
        <v>29</v>
      </c>
    </row>
    <row r="303" ht="15.75" customHeight="1">
      <c r="A303" s="3">
        <v>2.98978602E8</v>
      </c>
      <c r="B303" s="3" t="s">
        <v>270</v>
      </c>
      <c r="C303" s="3">
        <v>12.0</v>
      </c>
      <c r="D303" s="10">
        <v>1.0</v>
      </c>
      <c r="E303" s="11">
        <v>2014.0</v>
      </c>
      <c r="F303" s="13">
        <v>357017.76</v>
      </c>
      <c r="G303" s="13">
        <v>117089.28000000001</v>
      </c>
      <c r="H303" s="13">
        <v>239928.47999999998</v>
      </c>
      <c r="I303" s="14">
        <v>0.67203513909224</v>
      </c>
      <c r="J303" s="3" t="s">
        <v>5</v>
      </c>
      <c r="K303" s="3" t="s">
        <v>28</v>
      </c>
      <c r="L303" s="3" t="s">
        <v>79</v>
      </c>
    </row>
    <row r="304" ht="15.75" customHeight="1">
      <c r="A304" s="3">
        <v>2.99335229E8</v>
      </c>
      <c r="B304" s="3" t="s">
        <v>590</v>
      </c>
      <c r="C304" s="3">
        <v>12.0</v>
      </c>
      <c r="D304" s="10">
        <v>12.0</v>
      </c>
      <c r="E304" s="11">
        <v>2011.0</v>
      </c>
      <c r="F304" s="13">
        <v>3847797.1999999997</v>
      </c>
      <c r="G304" s="13">
        <v>2317567.33</v>
      </c>
      <c r="H304" s="13">
        <v>1530229.8699999996</v>
      </c>
      <c r="I304" s="14">
        <v>0.3976898444647758</v>
      </c>
      <c r="J304" s="3" t="s">
        <v>12</v>
      </c>
      <c r="K304" s="3" t="s">
        <v>28</v>
      </c>
      <c r="L304" s="3" t="s">
        <v>98</v>
      </c>
    </row>
    <row r="305" ht="15.75" customHeight="1">
      <c r="A305" s="3">
        <v>2.99739491E8</v>
      </c>
      <c r="B305" s="3" t="s">
        <v>821</v>
      </c>
      <c r="C305" s="3">
        <v>38.0</v>
      </c>
      <c r="D305" s="10">
        <v>7.0</v>
      </c>
      <c r="E305" s="11">
        <v>2016.0</v>
      </c>
      <c r="F305" s="13">
        <v>78661.23</v>
      </c>
      <c r="G305" s="13">
        <v>58342.52</v>
      </c>
      <c r="H305" s="13">
        <v>20318.71</v>
      </c>
      <c r="I305" s="14">
        <v>0.2583065380493033</v>
      </c>
      <c r="J305" s="3" t="s">
        <v>8</v>
      </c>
      <c r="K305" s="3" t="s">
        <v>821</v>
      </c>
      <c r="L305" s="3" t="s">
        <v>821</v>
      </c>
    </row>
    <row r="306" ht="15.75" customHeight="1">
      <c r="A306" s="3">
        <v>3.02015721E8</v>
      </c>
      <c r="B306" s="3" t="s">
        <v>635</v>
      </c>
      <c r="C306" s="3">
        <v>26.0</v>
      </c>
      <c r="D306" s="10">
        <v>3.0</v>
      </c>
      <c r="E306" s="11">
        <v>2014.0</v>
      </c>
      <c r="F306" s="13">
        <v>515155.04</v>
      </c>
      <c r="G306" s="13">
        <v>321709.56</v>
      </c>
      <c r="H306" s="13">
        <v>193445.47999999998</v>
      </c>
      <c r="I306" s="14">
        <v>0.3755092447508618</v>
      </c>
      <c r="J306" s="3" t="s">
        <v>10</v>
      </c>
      <c r="K306" s="3" t="s">
        <v>28</v>
      </c>
      <c r="L306" s="3" t="s">
        <v>33</v>
      </c>
    </row>
    <row r="307" ht="15.75" customHeight="1">
      <c r="A307" s="3">
        <v>3.02442729E8</v>
      </c>
      <c r="B307" s="3" t="s">
        <v>455</v>
      </c>
      <c r="C307" s="3">
        <v>25.0</v>
      </c>
      <c r="D307" s="10">
        <v>12.0</v>
      </c>
      <c r="E307" s="11">
        <v>2012.0</v>
      </c>
      <c r="F307" s="13">
        <v>2138991.12</v>
      </c>
      <c r="G307" s="13">
        <v>1335780.18</v>
      </c>
      <c r="H307" s="13">
        <v>803210.9400000002</v>
      </c>
      <c r="I307" s="14">
        <v>0.37550924475086184</v>
      </c>
      <c r="J307" s="3" t="s">
        <v>10</v>
      </c>
      <c r="K307" s="3" t="s">
        <v>28</v>
      </c>
      <c r="L307" s="3" t="s">
        <v>33</v>
      </c>
    </row>
    <row r="308" ht="15.75" customHeight="1">
      <c r="A308" s="3">
        <v>3.02744853E8</v>
      </c>
      <c r="B308" s="3" t="s">
        <v>346</v>
      </c>
      <c r="C308" s="3">
        <v>17.0</v>
      </c>
      <c r="D308" s="10">
        <v>10.0</v>
      </c>
      <c r="E308" s="11">
        <v>2014.0</v>
      </c>
      <c r="F308" s="13">
        <v>636268.05</v>
      </c>
      <c r="G308" s="13">
        <v>441175.95</v>
      </c>
      <c r="H308" s="13">
        <v>195092.10000000003</v>
      </c>
      <c r="I308" s="14">
        <v>0.3066193564174722</v>
      </c>
      <c r="J308" s="3" t="s">
        <v>14</v>
      </c>
      <c r="K308" s="3" t="s">
        <v>28</v>
      </c>
      <c r="L308" s="3" t="s">
        <v>98</v>
      </c>
    </row>
    <row r="309" ht="15.75" customHeight="1">
      <c r="A309" s="3">
        <v>3.03534495E8</v>
      </c>
      <c r="B309" s="3" t="s">
        <v>349</v>
      </c>
      <c r="C309" s="3">
        <v>5.0</v>
      </c>
      <c r="D309" s="10">
        <v>8.0</v>
      </c>
      <c r="E309" s="11">
        <v>2011.0</v>
      </c>
      <c r="F309" s="13">
        <v>13593.81</v>
      </c>
      <c r="G309" s="13">
        <v>10082.44</v>
      </c>
      <c r="H309" s="13">
        <v>3511.369999999999</v>
      </c>
      <c r="I309" s="14">
        <v>0.25830653804930326</v>
      </c>
      <c r="J309" s="3" t="s">
        <v>8</v>
      </c>
      <c r="K309" s="3" t="s">
        <v>28</v>
      </c>
      <c r="L309" s="3" t="s">
        <v>29</v>
      </c>
    </row>
    <row r="310" ht="15.75" customHeight="1">
      <c r="A310" s="3">
        <v>3.05569112E8</v>
      </c>
      <c r="B310" s="3" t="s">
        <v>671</v>
      </c>
      <c r="C310" s="3">
        <v>50.0</v>
      </c>
      <c r="D310" s="10">
        <v>4.0</v>
      </c>
      <c r="E310" s="11">
        <v>2011.0</v>
      </c>
      <c r="F310" s="13">
        <v>546142.7</v>
      </c>
      <c r="G310" s="13">
        <v>322346.85000000003</v>
      </c>
      <c r="H310" s="13">
        <v>223795.84999999992</v>
      </c>
      <c r="I310" s="14">
        <v>0.40977541217707375</v>
      </c>
      <c r="J310" s="3" t="s">
        <v>9</v>
      </c>
      <c r="K310" s="3" t="s">
        <v>28</v>
      </c>
      <c r="L310" s="3" t="s">
        <v>33</v>
      </c>
    </row>
    <row r="311" ht="15.75" customHeight="1">
      <c r="A311" s="3">
        <v>3.05616748E8</v>
      </c>
      <c r="B311" s="3" t="s">
        <v>488</v>
      </c>
      <c r="C311" s="3">
        <v>25.0</v>
      </c>
      <c r="D311" s="10">
        <v>6.0</v>
      </c>
      <c r="E311" s="11">
        <v>2010.0</v>
      </c>
      <c r="F311" s="13">
        <v>1571959.4</v>
      </c>
      <c r="G311" s="13">
        <v>894954.62</v>
      </c>
      <c r="H311" s="13">
        <v>677004.7799999999</v>
      </c>
      <c r="I311" s="14">
        <v>0.4306757413709285</v>
      </c>
      <c r="J311" s="3" t="s">
        <v>3</v>
      </c>
      <c r="K311" s="3" t="s">
        <v>28</v>
      </c>
      <c r="L311" s="3" t="s">
        <v>33</v>
      </c>
    </row>
    <row r="312" ht="15.75" customHeight="1">
      <c r="A312" s="3">
        <v>3.06256616E8</v>
      </c>
      <c r="B312" s="3" t="s">
        <v>373</v>
      </c>
      <c r="C312" s="3">
        <v>4.0</v>
      </c>
      <c r="D312" s="10">
        <v>11.0</v>
      </c>
      <c r="E312" s="11">
        <v>2012.0</v>
      </c>
      <c r="F312" s="13">
        <v>571537.89</v>
      </c>
      <c r="G312" s="13">
        <v>396293.31</v>
      </c>
      <c r="H312" s="13">
        <v>175244.58000000002</v>
      </c>
      <c r="I312" s="14">
        <v>0.3066193564174722</v>
      </c>
      <c r="J312" s="3" t="s">
        <v>14</v>
      </c>
      <c r="K312" s="3" t="s">
        <v>28</v>
      </c>
      <c r="L312" s="3" t="s">
        <v>33</v>
      </c>
    </row>
    <row r="313" ht="15.75" customHeight="1">
      <c r="A313" s="3">
        <v>3.06839406E8</v>
      </c>
      <c r="B313" s="3" t="s">
        <v>221</v>
      </c>
      <c r="C313" s="3">
        <v>2.0</v>
      </c>
      <c r="D313" s="10">
        <v>9.0</v>
      </c>
      <c r="E313" s="11">
        <v>2013.0</v>
      </c>
      <c r="F313" s="13">
        <v>2413417.12</v>
      </c>
      <c r="G313" s="13">
        <v>1507156.68</v>
      </c>
      <c r="H313" s="13">
        <v>906260.4400000002</v>
      </c>
      <c r="I313" s="14">
        <v>0.37550924475086184</v>
      </c>
      <c r="J313" s="3" t="s">
        <v>10</v>
      </c>
      <c r="K313" s="3" t="s">
        <v>28</v>
      </c>
      <c r="L313" s="3" t="s">
        <v>29</v>
      </c>
    </row>
    <row r="314" ht="15.75" customHeight="1">
      <c r="A314" s="3">
        <v>3.07305467E8</v>
      </c>
      <c r="B314" s="3" t="s">
        <v>821</v>
      </c>
      <c r="C314" s="3">
        <v>12.0</v>
      </c>
      <c r="D314" s="10">
        <v>7.0</v>
      </c>
      <c r="E314" s="11">
        <v>2013.0</v>
      </c>
      <c r="F314" s="13">
        <v>68771.43000000001</v>
      </c>
      <c r="G314" s="13">
        <v>51007.32</v>
      </c>
      <c r="H314" s="13">
        <v>17764.110000000008</v>
      </c>
      <c r="I314" s="14">
        <v>0.2583065380493034</v>
      </c>
      <c r="J314" s="3" t="s">
        <v>8</v>
      </c>
      <c r="K314" s="3" t="s">
        <v>821</v>
      </c>
      <c r="L314" s="3" t="s">
        <v>821</v>
      </c>
    </row>
    <row r="315" ht="15.75" customHeight="1">
      <c r="A315" s="3">
        <v>3.07721745E8</v>
      </c>
      <c r="B315" s="3" t="s">
        <v>373</v>
      </c>
      <c r="C315" s="3">
        <v>18.0</v>
      </c>
      <c r="D315" s="10">
        <v>12.0</v>
      </c>
      <c r="E315" s="11">
        <v>2010.0</v>
      </c>
      <c r="F315" s="13">
        <v>85139.64000000001</v>
      </c>
      <c r="G315" s="13">
        <v>54371.52</v>
      </c>
      <c r="H315" s="13">
        <v>30768.120000000017</v>
      </c>
      <c r="I315" s="14">
        <v>0.36138419189933163</v>
      </c>
      <c r="J315" s="3" t="s">
        <v>13</v>
      </c>
      <c r="K315" s="3" t="s">
        <v>28</v>
      </c>
      <c r="L315" s="3" t="s">
        <v>33</v>
      </c>
    </row>
    <row r="316" ht="15.75" customHeight="1">
      <c r="A316" s="3">
        <v>3.08582627E8</v>
      </c>
      <c r="B316" s="3" t="s">
        <v>635</v>
      </c>
      <c r="C316" s="3">
        <v>48.0</v>
      </c>
      <c r="D316" s="10">
        <v>12.0</v>
      </c>
      <c r="E316" s="11">
        <v>2012.0</v>
      </c>
      <c r="F316" s="13">
        <v>252054.40000000002</v>
      </c>
      <c r="G316" s="13">
        <v>168868.47999999998</v>
      </c>
      <c r="H316" s="13">
        <v>83185.92000000004</v>
      </c>
      <c r="I316" s="14">
        <v>0.33003161222339317</v>
      </c>
      <c r="J316" s="3" t="s">
        <v>6</v>
      </c>
      <c r="K316" s="3" t="s">
        <v>28</v>
      </c>
      <c r="L316" s="3" t="s">
        <v>33</v>
      </c>
    </row>
    <row r="317" ht="15.75" customHeight="1">
      <c r="A317" s="3">
        <v>3.09148681E8</v>
      </c>
      <c r="B317" s="3" t="s">
        <v>671</v>
      </c>
      <c r="C317" s="3">
        <v>12.0</v>
      </c>
      <c r="D317" s="10">
        <v>4.0</v>
      </c>
      <c r="E317" s="11">
        <v>2012.0</v>
      </c>
      <c r="F317" s="13">
        <v>1883853.13</v>
      </c>
      <c r="G317" s="13">
        <v>1416660.26</v>
      </c>
      <c r="H317" s="13">
        <v>467192.8699999999</v>
      </c>
      <c r="I317" s="14">
        <v>0.24799856345489094</v>
      </c>
      <c r="J317" s="3" t="s">
        <v>4</v>
      </c>
      <c r="K317" s="3" t="s">
        <v>28</v>
      </c>
      <c r="L317" s="3" t="s">
        <v>33</v>
      </c>
    </row>
    <row r="318" ht="15.75" customHeight="1">
      <c r="A318" s="3">
        <v>3.09188163E8</v>
      </c>
      <c r="B318" s="3" t="s">
        <v>101</v>
      </c>
      <c r="C318" s="3">
        <v>19.0</v>
      </c>
      <c r="D318" s="10">
        <v>7.0</v>
      </c>
      <c r="E318" s="11">
        <v>2015.0</v>
      </c>
      <c r="F318" s="13">
        <v>42012.99</v>
      </c>
      <c r="G318" s="13">
        <v>31160.76</v>
      </c>
      <c r="H318" s="13">
        <v>10852.23</v>
      </c>
      <c r="I318" s="14">
        <v>0.2583065380493033</v>
      </c>
      <c r="J318" s="3" t="s">
        <v>8</v>
      </c>
      <c r="K318" s="3" t="s">
        <v>28</v>
      </c>
      <c r="L318" s="3" t="s">
        <v>79</v>
      </c>
    </row>
    <row r="319" ht="15.75" customHeight="1">
      <c r="A319" s="3">
        <v>3.09285581E8</v>
      </c>
      <c r="B319" s="3" t="s">
        <v>364</v>
      </c>
      <c r="C319" s="3">
        <v>50.0</v>
      </c>
      <c r="D319" s="10">
        <v>2.0</v>
      </c>
      <c r="E319" s="11">
        <v>2017.0</v>
      </c>
      <c r="F319" s="13">
        <v>272242.63</v>
      </c>
      <c r="G319" s="13">
        <v>188767.77000000002</v>
      </c>
      <c r="H319" s="13">
        <v>83474.85999999999</v>
      </c>
      <c r="I319" s="14">
        <v>0.3066193564174721</v>
      </c>
      <c r="J319" s="3" t="s">
        <v>14</v>
      </c>
      <c r="K319" s="3" t="s">
        <v>28</v>
      </c>
      <c r="L319" s="3" t="s">
        <v>29</v>
      </c>
    </row>
    <row r="320" ht="15.75" customHeight="1">
      <c r="A320" s="3">
        <v>3.09342658E8</v>
      </c>
      <c r="B320" s="3" t="s">
        <v>373</v>
      </c>
      <c r="C320" s="3">
        <v>31.0</v>
      </c>
      <c r="D320" s="10">
        <v>2.0</v>
      </c>
      <c r="E320" s="11">
        <v>2011.0</v>
      </c>
      <c r="F320" s="13">
        <v>18144.06</v>
      </c>
      <c r="G320" s="13">
        <v>12580.74</v>
      </c>
      <c r="H320" s="13">
        <v>5563.3200000000015</v>
      </c>
      <c r="I320" s="14">
        <v>0.30661935641747223</v>
      </c>
      <c r="J320" s="3" t="s">
        <v>14</v>
      </c>
      <c r="K320" s="3" t="s">
        <v>28</v>
      </c>
      <c r="L320" s="3" t="s">
        <v>33</v>
      </c>
    </row>
    <row r="321" ht="15.75" customHeight="1">
      <c r="A321" s="3">
        <v>3.09655511E8</v>
      </c>
      <c r="B321" s="3" t="s">
        <v>206</v>
      </c>
      <c r="C321" s="3">
        <v>16.0</v>
      </c>
      <c r="D321" s="10">
        <v>5.0</v>
      </c>
      <c r="E321" s="11">
        <v>2014.0</v>
      </c>
      <c r="F321" s="13">
        <v>0.0</v>
      </c>
      <c r="G321" s="13">
        <v>0.0</v>
      </c>
      <c r="H321" s="13">
        <v>0.0</v>
      </c>
      <c r="I321" s="14">
        <v>0.0</v>
      </c>
      <c r="J321" s="3" t="s">
        <v>14</v>
      </c>
      <c r="K321" s="3" t="s">
        <v>28</v>
      </c>
      <c r="L321" s="3" t="s">
        <v>33</v>
      </c>
    </row>
    <row r="322" ht="15.75" customHeight="1">
      <c r="A322" s="3">
        <v>3.1058892E8</v>
      </c>
      <c r="B322" s="3" t="s">
        <v>455</v>
      </c>
      <c r="C322" s="3">
        <v>23.0</v>
      </c>
      <c r="D322" s="10">
        <v>12.0</v>
      </c>
      <c r="E322" s="11">
        <v>2012.0</v>
      </c>
      <c r="F322" s="13">
        <v>3942669.6</v>
      </c>
      <c r="G322" s="13">
        <v>2374709.94</v>
      </c>
      <c r="H322" s="13">
        <v>1567959.6600000001</v>
      </c>
      <c r="I322" s="14">
        <v>0.3976898444647759</v>
      </c>
      <c r="J322" s="3" t="s">
        <v>12</v>
      </c>
      <c r="K322" s="3" t="s">
        <v>28</v>
      </c>
      <c r="L322" s="3" t="s">
        <v>33</v>
      </c>
    </row>
    <row r="323" ht="15.75" customHeight="1">
      <c r="A323" s="3">
        <v>3.11221492E8</v>
      </c>
      <c r="B323" s="3" t="s">
        <v>686</v>
      </c>
      <c r="C323" s="3">
        <v>26.0</v>
      </c>
      <c r="D323" s="10">
        <v>4.0</v>
      </c>
      <c r="E323" s="11">
        <v>2016.0</v>
      </c>
      <c r="F323" s="13">
        <v>57939.3</v>
      </c>
      <c r="G323" s="13">
        <v>42973.2</v>
      </c>
      <c r="H323" s="13">
        <v>14966.100000000006</v>
      </c>
      <c r="I323" s="14">
        <v>0.2583065380493034</v>
      </c>
      <c r="J323" s="3" t="s">
        <v>8</v>
      </c>
      <c r="K323" s="3" t="s">
        <v>28</v>
      </c>
      <c r="L323" s="3" t="s">
        <v>29</v>
      </c>
    </row>
    <row r="324" ht="15.75" customHeight="1">
      <c r="A324" s="3">
        <v>3.1168884E8</v>
      </c>
      <c r="B324" s="3" t="s">
        <v>746</v>
      </c>
      <c r="C324" s="3">
        <v>23.0</v>
      </c>
      <c r="D324" s="10">
        <v>1.0</v>
      </c>
      <c r="E324" s="11">
        <v>2015.0</v>
      </c>
      <c r="F324" s="13">
        <v>368520.57</v>
      </c>
      <c r="G324" s="13">
        <v>255525.03</v>
      </c>
      <c r="H324" s="13">
        <v>112995.54000000001</v>
      </c>
      <c r="I324" s="14">
        <v>0.3066193564174722</v>
      </c>
      <c r="J324" s="3" t="s">
        <v>14</v>
      </c>
      <c r="K324" s="3" t="s">
        <v>28</v>
      </c>
      <c r="L324" s="3" t="s">
        <v>29</v>
      </c>
    </row>
    <row r="325" ht="15.75" customHeight="1">
      <c r="A325" s="3">
        <v>3.11921012E8</v>
      </c>
      <c r="B325" s="3" t="s">
        <v>97</v>
      </c>
      <c r="C325" s="3">
        <v>11.0</v>
      </c>
      <c r="D325" s="10">
        <v>8.0</v>
      </c>
      <c r="E325" s="11">
        <v>2010.0</v>
      </c>
      <c r="F325" s="13">
        <v>152504.30000000002</v>
      </c>
      <c r="G325" s="13">
        <v>102173.06</v>
      </c>
      <c r="H325" s="13">
        <v>50331.24000000002</v>
      </c>
      <c r="I325" s="14">
        <v>0.3300316122233931</v>
      </c>
      <c r="J325" s="3" t="s">
        <v>6</v>
      </c>
      <c r="K325" s="3" t="s">
        <v>28</v>
      </c>
      <c r="L325" s="3" t="s">
        <v>98</v>
      </c>
    </row>
    <row r="326" ht="15.75" customHeight="1">
      <c r="A326" s="3">
        <v>3.11956632E8</v>
      </c>
      <c r="B326" s="3" t="s">
        <v>248</v>
      </c>
      <c r="C326" s="3">
        <v>6.0</v>
      </c>
      <c r="D326" s="10">
        <v>1.0</v>
      </c>
      <c r="E326" s="11">
        <v>2017.0</v>
      </c>
      <c r="F326" s="13">
        <v>1641686.0</v>
      </c>
      <c r="G326" s="13">
        <v>988804.1499999999</v>
      </c>
      <c r="H326" s="13">
        <v>652881.8500000001</v>
      </c>
      <c r="I326" s="14">
        <v>0.3976898444647759</v>
      </c>
      <c r="J326" s="3" t="s">
        <v>12</v>
      </c>
      <c r="K326" s="3" t="s">
        <v>28</v>
      </c>
      <c r="L326" s="3" t="s">
        <v>29</v>
      </c>
    </row>
    <row r="327" ht="15.75" customHeight="1">
      <c r="A327" s="3">
        <v>3.13178002E8</v>
      </c>
      <c r="B327" s="3" t="s">
        <v>142</v>
      </c>
      <c r="C327" s="3">
        <v>48.0</v>
      </c>
      <c r="D327" s="10">
        <v>10.0</v>
      </c>
      <c r="E327" s="11">
        <v>2013.0</v>
      </c>
      <c r="F327" s="13">
        <v>246028.25000000003</v>
      </c>
      <c r="G327" s="13">
        <v>164831.15</v>
      </c>
      <c r="H327" s="13">
        <v>81197.10000000003</v>
      </c>
      <c r="I327" s="14">
        <v>0.33003161222339317</v>
      </c>
      <c r="J327" s="3" t="s">
        <v>6</v>
      </c>
      <c r="K327" s="3" t="s">
        <v>28</v>
      </c>
      <c r="L327" s="3" t="s">
        <v>98</v>
      </c>
    </row>
    <row r="328" ht="15.75" customHeight="1">
      <c r="A328" s="3">
        <v>3.13705861E8</v>
      </c>
      <c r="B328" s="3" t="s">
        <v>488</v>
      </c>
      <c r="C328" s="3">
        <v>42.0</v>
      </c>
      <c r="D328" s="10">
        <v>5.0</v>
      </c>
      <c r="E328" s="11">
        <v>2016.0</v>
      </c>
      <c r="F328" s="13">
        <v>12968.7</v>
      </c>
      <c r="G328" s="13">
        <v>9618.8</v>
      </c>
      <c r="H328" s="13">
        <v>3349.9000000000015</v>
      </c>
      <c r="I328" s="14">
        <v>0.2583065380493034</v>
      </c>
      <c r="J328" s="3" t="s">
        <v>8</v>
      </c>
      <c r="K328" s="3" t="s">
        <v>28</v>
      </c>
      <c r="L328" s="3" t="s">
        <v>33</v>
      </c>
    </row>
    <row r="329" ht="15.75" customHeight="1">
      <c r="A329" s="3">
        <v>3.13821303E8</v>
      </c>
      <c r="B329" s="3" t="s">
        <v>346</v>
      </c>
      <c r="C329" s="3">
        <v>43.0</v>
      </c>
      <c r="D329" s="10">
        <v>12.0</v>
      </c>
      <c r="E329" s="11">
        <v>2010.0</v>
      </c>
      <c r="F329" s="13">
        <v>3615517.9200000004</v>
      </c>
      <c r="G329" s="13">
        <v>2914577.9200000004</v>
      </c>
      <c r="H329" s="13">
        <v>700940.0</v>
      </c>
      <c r="I329" s="14">
        <v>0.19386987300563563</v>
      </c>
      <c r="J329" s="3" t="s">
        <v>7</v>
      </c>
      <c r="K329" s="3" t="s">
        <v>28</v>
      </c>
      <c r="L329" s="3" t="s">
        <v>98</v>
      </c>
    </row>
    <row r="330" ht="15.75" customHeight="1">
      <c r="A330" s="3">
        <v>3.14782178E8</v>
      </c>
      <c r="B330" s="3" t="s">
        <v>373</v>
      </c>
      <c r="C330" s="3">
        <v>27.0</v>
      </c>
      <c r="D330" s="10">
        <v>6.0</v>
      </c>
      <c r="E330" s="11">
        <v>2012.0</v>
      </c>
      <c r="F330" s="13">
        <v>2526250.88</v>
      </c>
      <c r="G330" s="13">
        <v>1577620.3199999998</v>
      </c>
      <c r="H330" s="13">
        <v>948630.56</v>
      </c>
      <c r="I330" s="14">
        <v>0.37550924475086184</v>
      </c>
      <c r="J330" s="3" t="s">
        <v>10</v>
      </c>
      <c r="K330" s="3" t="s">
        <v>28</v>
      </c>
      <c r="L330" s="3" t="s">
        <v>33</v>
      </c>
    </row>
    <row r="331" ht="15.75" customHeight="1">
      <c r="A331" s="3">
        <v>3.15066277E8</v>
      </c>
      <c r="B331" s="3" t="s">
        <v>650</v>
      </c>
      <c r="C331" s="3">
        <v>49.0</v>
      </c>
      <c r="D331" s="10">
        <v>10.0</v>
      </c>
      <c r="E331" s="11">
        <v>2013.0</v>
      </c>
      <c r="F331" s="13">
        <v>605437.4400000001</v>
      </c>
      <c r="G331" s="13">
        <v>386641.92</v>
      </c>
      <c r="H331" s="13">
        <v>218795.52000000008</v>
      </c>
      <c r="I331" s="14">
        <v>0.3613841918993316</v>
      </c>
      <c r="J331" s="3" t="s">
        <v>13</v>
      </c>
      <c r="K331" s="3" t="s">
        <v>28</v>
      </c>
      <c r="L331" s="3" t="s">
        <v>98</v>
      </c>
    </row>
    <row r="332" ht="15.75" customHeight="1">
      <c r="A332" s="3">
        <v>3.16466176E8</v>
      </c>
      <c r="B332" s="3" t="s">
        <v>248</v>
      </c>
      <c r="C332" s="3">
        <v>11.0</v>
      </c>
      <c r="D332" s="10">
        <v>5.0</v>
      </c>
      <c r="E332" s="11">
        <v>2014.0</v>
      </c>
      <c r="F332" s="13">
        <v>2100699.12</v>
      </c>
      <c r="G332" s="13">
        <v>1311867.18</v>
      </c>
      <c r="H332" s="13">
        <v>788831.9400000002</v>
      </c>
      <c r="I332" s="14">
        <v>0.37550924475086184</v>
      </c>
      <c r="J332" s="3" t="s">
        <v>10</v>
      </c>
      <c r="K332" s="3" t="s">
        <v>28</v>
      </c>
      <c r="L332" s="3" t="s">
        <v>29</v>
      </c>
    </row>
    <row r="333" ht="15.75" customHeight="1">
      <c r="A333" s="3">
        <v>3.17006051E8</v>
      </c>
      <c r="B333" s="3" t="s">
        <v>300</v>
      </c>
      <c r="C333" s="3">
        <v>36.0</v>
      </c>
      <c r="D333" s="10">
        <v>4.0</v>
      </c>
      <c r="E333" s="11">
        <v>2017.0</v>
      </c>
      <c r="F333" s="13">
        <v>379125.5</v>
      </c>
      <c r="G333" s="13">
        <v>254002.1</v>
      </c>
      <c r="H333" s="13">
        <v>125123.4</v>
      </c>
      <c r="I333" s="14">
        <v>0.33003161222339306</v>
      </c>
      <c r="J333" s="3" t="s">
        <v>6</v>
      </c>
      <c r="K333" s="3" t="s">
        <v>28</v>
      </c>
      <c r="L333" s="3" t="s">
        <v>33</v>
      </c>
    </row>
    <row r="334" ht="15.75" customHeight="1">
      <c r="A334" s="3">
        <v>3.18523538E8</v>
      </c>
      <c r="B334" s="3" t="s">
        <v>248</v>
      </c>
      <c r="C334" s="3">
        <v>29.0</v>
      </c>
      <c r="D334" s="10">
        <v>10.0</v>
      </c>
      <c r="E334" s="11">
        <v>2015.0</v>
      </c>
      <c r="F334" s="13">
        <v>1449773.5999999999</v>
      </c>
      <c r="G334" s="13">
        <v>825391.28</v>
      </c>
      <c r="H334" s="13">
        <v>624382.3199999998</v>
      </c>
      <c r="I334" s="14">
        <v>0.43067574137092846</v>
      </c>
      <c r="J334" s="3" t="s">
        <v>3</v>
      </c>
      <c r="K334" s="3" t="s">
        <v>28</v>
      </c>
      <c r="L334" s="3" t="s">
        <v>29</v>
      </c>
    </row>
    <row r="335" ht="15.75" customHeight="1">
      <c r="A335" s="3">
        <v>3.20431125E8</v>
      </c>
      <c r="B335" s="3" t="s">
        <v>46</v>
      </c>
      <c r="C335" s="3">
        <v>37.0</v>
      </c>
      <c r="D335" s="10">
        <v>3.0</v>
      </c>
      <c r="E335" s="11">
        <v>2015.0</v>
      </c>
      <c r="F335" s="13">
        <v>73310.25</v>
      </c>
      <c r="G335" s="13">
        <v>49115.549999999996</v>
      </c>
      <c r="H335" s="13">
        <v>24194.700000000004</v>
      </c>
      <c r="I335" s="14">
        <v>0.3300316122233931</v>
      </c>
      <c r="J335" s="3" t="s">
        <v>6</v>
      </c>
      <c r="K335" s="3" t="s">
        <v>28</v>
      </c>
      <c r="L335" s="3" t="s">
        <v>33</v>
      </c>
    </row>
    <row r="336" ht="15.75" customHeight="1">
      <c r="A336" s="3">
        <v>3.21628463E8</v>
      </c>
      <c r="B336" s="3" t="s">
        <v>575</v>
      </c>
      <c r="C336" s="3">
        <v>17.0</v>
      </c>
      <c r="D336" s="10">
        <v>4.0</v>
      </c>
      <c r="E336" s="11">
        <v>2011.0</v>
      </c>
      <c r="F336" s="13">
        <v>3918735.28</v>
      </c>
      <c r="G336" s="13">
        <v>2946894.56</v>
      </c>
      <c r="H336" s="13">
        <v>971840.7199999997</v>
      </c>
      <c r="I336" s="14">
        <v>0.24799856345489094</v>
      </c>
      <c r="J336" s="3" t="s">
        <v>4</v>
      </c>
      <c r="K336" s="3" t="s">
        <v>28</v>
      </c>
      <c r="L336" s="3" t="s">
        <v>98</v>
      </c>
    </row>
    <row r="337" ht="15.75" customHeight="1">
      <c r="A337" s="3">
        <v>3.22524106E8</v>
      </c>
      <c r="B337" s="3" t="s">
        <v>218</v>
      </c>
      <c r="C337" s="3">
        <v>0.0</v>
      </c>
      <c r="D337" s="10">
        <v>5.0</v>
      </c>
      <c r="E337" s="11">
        <v>2015.0</v>
      </c>
      <c r="F337" s="13">
        <v>186158.5</v>
      </c>
      <c r="G337" s="13">
        <v>105984.55</v>
      </c>
      <c r="H337" s="13">
        <v>80173.95</v>
      </c>
      <c r="I337" s="14">
        <v>0.4306757413709285</v>
      </c>
      <c r="J337" s="3" t="s">
        <v>3</v>
      </c>
      <c r="K337" s="3" t="s">
        <v>28</v>
      </c>
      <c r="L337" s="3" t="s">
        <v>98</v>
      </c>
    </row>
    <row r="338" ht="15.75" customHeight="1">
      <c r="A338" s="3">
        <v>3.23293578E8</v>
      </c>
      <c r="B338" s="3" t="s">
        <v>78</v>
      </c>
      <c r="C338" s="3">
        <v>40.0</v>
      </c>
      <c r="D338" s="10">
        <v>12.0</v>
      </c>
      <c r="E338" s="11">
        <v>2015.0</v>
      </c>
      <c r="F338" s="13">
        <v>1770871.2999999998</v>
      </c>
      <c r="G338" s="13">
        <v>1008199.99</v>
      </c>
      <c r="H338" s="13">
        <v>762671.3099999998</v>
      </c>
      <c r="I338" s="14">
        <v>0.43067574137092846</v>
      </c>
      <c r="J338" s="3" t="s">
        <v>3</v>
      </c>
      <c r="K338" s="3" t="s">
        <v>28</v>
      </c>
      <c r="L338" s="3" t="s">
        <v>79</v>
      </c>
    </row>
    <row r="339" ht="15.75" customHeight="1">
      <c r="A339" s="3">
        <v>3.25314033E8</v>
      </c>
      <c r="B339" s="3" t="s">
        <v>215</v>
      </c>
      <c r="C339" s="3">
        <v>24.0</v>
      </c>
      <c r="D339" s="10">
        <v>1.0</v>
      </c>
      <c r="E339" s="11">
        <v>2012.0</v>
      </c>
      <c r="F339" s="13">
        <v>710975.68</v>
      </c>
      <c r="G339" s="13">
        <v>233175.04</v>
      </c>
      <c r="H339" s="13">
        <v>477800.64</v>
      </c>
      <c r="I339" s="14">
        <v>0.6720351390922401</v>
      </c>
      <c r="J339" s="3" t="s">
        <v>5</v>
      </c>
      <c r="K339" s="3" t="s">
        <v>23</v>
      </c>
      <c r="L339" s="3" t="s">
        <v>68</v>
      </c>
    </row>
    <row r="340" ht="15.75" customHeight="1">
      <c r="A340" s="3">
        <v>3.27072703E8</v>
      </c>
      <c r="B340" s="3" t="s">
        <v>650</v>
      </c>
      <c r="C340" s="3">
        <v>15.0</v>
      </c>
      <c r="D340" s="10">
        <v>11.0</v>
      </c>
      <c r="E340" s="11">
        <v>2013.0</v>
      </c>
      <c r="F340" s="13">
        <v>3032419.1999999997</v>
      </c>
      <c r="G340" s="13">
        <v>1826456.88</v>
      </c>
      <c r="H340" s="13">
        <v>1205962.3199999998</v>
      </c>
      <c r="I340" s="14">
        <v>0.39768984446477584</v>
      </c>
      <c r="J340" s="3" t="s">
        <v>12</v>
      </c>
      <c r="K340" s="3" t="s">
        <v>28</v>
      </c>
      <c r="L340" s="3" t="s">
        <v>98</v>
      </c>
    </row>
    <row r="341" ht="15.75" customHeight="1">
      <c r="A341" s="3">
        <v>3.27604424E8</v>
      </c>
      <c r="B341" s="3" t="s">
        <v>346</v>
      </c>
      <c r="C341" s="3">
        <v>22.0</v>
      </c>
      <c r="D341" s="10">
        <v>4.0</v>
      </c>
      <c r="E341" s="11">
        <v>2013.0</v>
      </c>
      <c r="F341" s="13">
        <v>203275.80000000002</v>
      </c>
      <c r="G341" s="13">
        <v>136188.36</v>
      </c>
      <c r="H341" s="13">
        <v>67087.44000000003</v>
      </c>
      <c r="I341" s="14">
        <v>0.33003161222339317</v>
      </c>
      <c r="J341" s="3" t="s">
        <v>6</v>
      </c>
      <c r="K341" s="3" t="s">
        <v>28</v>
      </c>
      <c r="L341" s="3" t="s">
        <v>98</v>
      </c>
    </row>
    <row r="342" ht="15.75" customHeight="1">
      <c r="A342" s="3">
        <v>3.28322827E8</v>
      </c>
      <c r="B342" s="3" t="s">
        <v>46</v>
      </c>
      <c r="C342" s="3">
        <v>19.0</v>
      </c>
      <c r="D342" s="10">
        <v>6.0</v>
      </c>
      <c r="E342" s="11">
        <v>2012.0</v>
      </c>
      <c r="F342" s="13">
        <v>3006187.1999999997</v>
      </c>
      <c r="G342" s="13">
        <v>1810657.0799999998</v>
      </c>
      <c r="H342" s="13">
        <v>1195530.1199999999</v>
      </c>
      <c r="I342" s="14">
        <v>0.39768984446477584</v>
      </c>
      <c r="J342" s="3" t="s">
        <v>12</v>
      </c>
      <c r="K342" s="3" t="s">
        <v>28</v>
      </c>
      <c r="L342" s="3" t="s">
        <v>33</v>
      </c>
    </row>
    <row r="343" ht="15.75" customHeight="1">
      <c r="A343" s="3">
        <v>3.28721082E8</v>
      </c>
      <c r="B343" s="3" t="s">
        <v>821</v>
      </c>
      <c r="C343" s="3">
        <v>4.0</v>
      </c>
      <c r="D343" s="10">
        <v>12.0</v>
      </c>
      <c r="E343" s="11">
        <v>2016.0</v>
      </c>
      <c r="F343" s="13">
        <v>1206963.84</v>
      </c>
      <c r="G343" s="13">
        <v>753737.7599999999</v>
      </c>
      <c r="H343" s="13">
        <v>453226.0800000002</v>
      </c>
      <c r="I343" s="14">
        <v>0.37550924475086195</v>
      </c>
      <c r="J343" s="3" t="s">
        <v>10</v>
      </c>
      <c r="K343" s="3" t="s">
        <v>821</v>
      </c>
      <c r="L343" s="3" t="s">
        <v>821</v>
      </c>
    </row>
    <row r="344" ht="15.75" customHeight="1">
      <c r="A344" s="3">
        <v>3.29529607E8</v>
      </c>
      <c r="B344" s="3" t="s">
        <v>740</v>
      </c>
      <c r="C344" s="3">
        <v>5.0</v>
      </c>
      <c r="D344" s="10">
        <v>1.0</v>
      </c>
      <c r="E344" s="11">
        <v>2011.0</v>
      </c>
      <c r="F344" s="13">
        <v>1743553.5999999999</v>
      </c>
      <c r="G344" s="13">
        <v>1050160.04</v>
      </c>
      <c r="H344" s="13">
        <v>693393.5599999998</v>
      </c>
      <c r="I344" s="14">
        <v>0.3976898444647758</v>
      </c>
      <c r="J344" s="3" t="s">
        <v>12</v>
      </c>
      <c r="K344" s="3" t="s">
        <v>28</v>
      </c>
      <c r="L344" s="3" t="s">
        <v>98</v>
      </c>
    </row>
    <row r="345" ht="15.75" customHeight="1">
      <c r="A345" s="3">
        <v>3.30590474E8</v>
      </c>
      <c r="B345" s="3" t="s">
        <v>542</v>
      </c>
      <c r="C345" s="3">
        <v>44.0</v>
      </c>
      <c r="D345" s="10">
        <v>1.0</v>
      </c>
      <c r="E345" s="11">
        <v>2012.0</v>
      </c>
      <c r="F345" s="13">
        <v>5159536.83</v>
      </c>
      <c r="G345" s="13">
        <v>4159258.08</v>
      </c>
      <c r="H345" s="13">
        <v>1000278.75</v>
      </c>
      <c r="I345" s="14">
        <v>0.19386987300563566</v>
      </c>
      <c r="J345" s="3" t="s">
        <v>7</v>
      </c>
      <c r="K345" s="3" t="s">
        <v>28</v>
      </c>
      <c r="L345" s="3" t="s">
        <v>29</v>
      </c>
    </row>
    <row r="346" ht="15.75" customHeight="1">
      <c r="A346" s="3">
        <v>3.32268464E8</v>
      </c>
      <c r="B346" s="3" t="s">
        <v>575</v>
      </c>
      <c r="C346" s="3">
        <v>38.0</v>
      </c>
      <c r="D346" s="10">
        <v>11.0</v>
      </c>
      <c r="E346" s="11">
        <v>2013.0</v>
      </c>
      <c r="F346" s="13">
        <v>920918.8999999999</v>
      </c>
      <c r="G346" s="13">
        <v>524301.47</v>
      </c>
      <c r="H346" s="13">
        <v>396617.42999999993</v>
      </c>
      <c r="I346" s="14">
        <v>0.4306757413709285</v>
      </c>
      <c r="J346" s="3" t="s">
        <v>3</v>
      </c>
      <c r="K346" s="3" t="s">
        <v>28</v>
      </c>
      <c r="L346" s="3" t="s">
        <v>98</v>
      </c>
    </row>
    <row r="347" ht="15.75" customHeight="1">
      <c r="A347" s="3">
        <v>3.32353007E8</v>
      </c>
      <c r="B347" s="3" t="s">
        <v>346</v>
      </c>
      <c r="C347" s="3">
        <v>47.0</v>
      </c>
      <c r="D347" s="10">
        <v>10.0</v>
      </c>
      <c r="E347" s="11">
        <v>2010.0</v>
      </c>
      <c r="F347" s="13">
        <v>4151214.0</v>
      </c>
      <c r="G347" s="13">
        <v>2500318.3499999996</v>
      </c>
      <c r="H347" s="13">
        <v>1650895.6500000004</v>
      </c>
      <c r="I347" s="14">
        <v>0.39768984446477595</v>
      </c>
      <c r="J347" s="3" t="s">
        <v>12</v>
      </c>
      <c r="K347" s="3" t="s">
        <v>28</v>
      </c>
      <c r="L347" s="3" t="s">
        <v>98</v>
      </c>
    </row>
    <row r="348" ht="15.75" customHeight="1">
      <c r="A348" s="3">
        <v>3.3330444E8</v>
      </c>
      <c r="B348" s="3" t="s">
        <v>215</v>
      </c>
      <c r="C348" s="3">
        <v>24.0</v>
      </c>
      <c r="D348" s="10">
        <v>6.0</v>
      </c>
      <c r="E348" s="11">
        <v>2017.0</v>
      </c>
      <c r="F348" s="13">
        <v>441296.94</v>
      </c>
      <c r="G348" s="13">
        <v>381465.74</v>
      </c>
      <c r="H348" s="13">
        <v>59831.20000000001</v>
      </c>
      <c r="I348" s="14">
        <v>0.13558036455000122</v>
      </c>
      <c r="J348" s="3" t="s">
        <v>11</v>
      </c>
      <c r="K348" s="3" t="s">
        <v>23</v>
      </c>
      <c r="L348" s="3" t="s">
        <v>68</v>
      </c>
    </row>
    <row r="349" ht="15.75" customHeight="1">
      <c r="A349" s="3">
        <v>3.34539973E8</v>
      </c>
      <c r="B349" s="3" t="s">
        <v>373</v>
      </c>
      <c r="C349" s="3">
        <v>23.0</v>
      </c>
      <c r="D349" s="10">
        <v>4.0</v>
      </c>
      <c r="E349" s="11">
        <v>2010.0</v>
      </c>
      <c r="F349" s="13">
        <v>728569.76</v>
      </c>
      <c r="G349" s="13">
        <v>238945.28000000003</v>
      </c>
      <c r="H349" s="13">
        <v>489624.48</v>
      </c>
      <c r="I349" s="14">
        <v>0.6720351390922401</v>
      </c>
      <c r="J349" s="3" t="s">
        <v>5</v>
      </c>
      <c r="K349" s="3" t="s">
        <v>28</v>
      </c>
      <c r="L349" s="3" t="s">
        <v>33</v>
      </c>
    </row>
    <row r="350" ht="15.75" customHeight="1">
      <c r="A350" s="3">
        <v>3.36111962E8</v>
      </c>
      <c r="B350" s="3" t="s">
        <v>821</v>
      </c>
      <c r="C350" s="3">
        <v>23.0</v>
      </c>
      <c r="D350" s="10">
        <v>5.0</v>
      </c>
      <c r="E350" s="11">
        <v>2012.0</v>
      </c>
      <c r="F350" s="13">
        <v>151527.42</v>
      </c>
      <c r="G350" s="13">
        <v>105066.18000000001</v>
      </c>
      <c r="H350" s="13">
        <v>46461.240000000005</v>
      </c>
      <c r="I350" s="14">
        <v>0.3066193564174722</v>
      </c>
      <c r="J350" s="3" t="s">
        <v>14</v>
      </c>
      <c r="K350" s="3" t="s">
        <v>821</v>
      </c>
      <c r="L350" s="3" t="s">
        <v>821</v>
      </c>
    </row>
    <row r="351" ht="15.75" customHeight="1">
      <c r="A351" s="3">
        <v>3.36813628E8</v>
      </c>
      <c r="B351" s="3" t="s">
        <v>686</v>
      </c>
      <c r="C351" s="3">
        <v>38.0</v>
      </c>
      <c r="D351" s="10">
        <v>1.0</v>
      </c>
      <c r="E351" s="11">
        <v>2010.0</v>
      </c>
      <c r="F351" s="13">
        <v>4149902.4</v>
      </c>
      <c r="G351" s="13">
        <v>2499528.36</v>
      </c>
      <c r="H351" s="13">
        <v>1650374.04</v>
      </c>
      <c r="I351" s="14">
        <v>0.39768984446477584</v>
      </c>
      <c r="J351" s="3" t="s">
        <v>12</v>
      </c>
      <c r="K351" s="3" t="s">
        <v>28</v>
      </c>
      <c r="L351" s="3" t="s">
        <v>29</v>
      </c>
    </row>
    <row r="352" ht="15.75" customHeight="1">
      <c r="A352" s="3">
        <v>3.37354791E8</v>
      </c>
      <c r="B352" s="3" t="s">
        <v>542</v>
      </c>
      <c r="C352" s="3">
        <v>50.0</v>
      </c>
      <c r="D352" s="10">
        <v>12.0</v>
      </c>
      <c r="E352" s="11">
        <v>2011.0</v>
      </c>
      <c r="F352" s="13">
        <v>4211984.8</v>
      </c>
      <c r="G352" s="13">
        <v>2536921.2199999997</v>
      </c>
      <c r="H352" s="13">
        <v>1675063.58</v>
      </c>
      <c r="I352" s="14">
        <v>0.3976898444647759</v>
      </c>
      <c r="J352" s="3" t="s">
        <v>12</v>
      </c>
      <c r="K352" s="3" t="s">
        <v>28</v>
      </c>
      <c r="L352" s="3" t="s">
        <v>29</v>
      </c>
    </row>
    <row r="353" ht="15.75" customHeight="1">
      <c r="A353" s="3">
        <v>3.39786803E8</v>
      </c>
      <c r="B353" s="3" t="s">
        <v>434</v>
      </c>
      <c r="C353" s="3">
        <v>38.0</v>
      </c>
      <c r="D353" s="10">
        <v>9.0</v>
      </c>
      <c r="E353" s="11">
        <v>2011.0</v>
      </c>
      <c r="F353" s="13">
        <v>6069928.41</v>
      </c>
      <c r="G353" s="13">
        <v>4893152.16</v>
      </c>
      <c r="H353" s="13">
        <v>1176776.25</v>
      </c>
      <c r="I353" s="14">
        <v>0.19386987300563566</v>
      </c>
      <c r="J353" s="3" t="s">
        <v>7</v>
      </c>
      <c r="K353" s="3" t="s">
        <v>28</v>
      </c>
      <c r="L353" s="3" t="s">
        <v>79</v>
      </c>
    </row>
    <row r="354" ht="15.75" customHeight="1">
      <c r="A354" s="3">
        <v>3.39999663E8</v>
      </c>
      <c r="B354" s="3" t="s">
        <v>455</v>
      </c>
      <c r="C354" s="3">
        <v>18.0</v>
      </c>
      <c r="D354" s="10">
        <v>5.0</v>
      </c>
      <c r="E354" s="11">
        <v>2015.0</v>
      </c>
      <c r="F354" s="13">
        <v>352612.38</v>
      </c>
      <c r="G354" s="13">
        <v>225183.84</v>
      </c>
      <c r="H354" s="13">
        <v>127428.54000000001</v>
      </c>
      <c r="I354" s="14">
        <v>0.3613841918993315</v>
      </c>
      <c r="J354" s="3" t="s">
        <v>13</v>
      </c>
      <c r="K354" s="3" t="s">
        <v>28</v>
      </c>
      <c r="L354" s="3" t="s">
        <v>33</v>
      </c>
    </row>
    <row r="355" ht="15.75" customHeight="1">
      <c r="A355" s="3">
        <v>3.40213811E8</v>
      </c>
      <c r="B355" s="3" t="s">
        <v>270</v>
      </c>
      <c r="C355" s="3">
        <v>36.0</v>
      </c>
      <c r="D355" s="10">
        <v>6.0</v>
      </c>
      <c r="E355" s="11">
        <v>2010.0</v>
      </c>
      <c r="F355" s="13">
        <v>3700175.22</v>
      </c>
      <c r="G355" s="13">
        <v>2982822.72</v>
      </c>
      <c r="H355" s="13">
        <v>717352.5</v>
      </c>
      <c r="I355" s="14">
        <v>0.19386987300563566</v>
      </c>
      <c r="J355" s="3" t="s">
        <v>7</v>
      </c>
      <c r="K355" s="3" t="s">
        <v>28</v>
      </c>
      <c r="L355" s="3" t="s">
        <v>79</v>
      </c>
    </row>
    <row r="356" ht="15.75" customHeight="1">
      <c r="A356" s="3">
        <v>3.41398274E8</v>
      </c>
      <c r="B356" s="3" t="s">
        <v>288</v>
      </c>
      <c r="C356" s="3">
        <v>44.0</v>
      </c>
      <c r="D356" s="10">
        <v>1.0</v>
      </c>
      <c r="E356" s="11">
        <v>2017.0</v>
      </c>
      <c r="F356" s="13">
        <v>944622.78</v>
      </c>
      <c r="G356" s="13">
        <v>603251.04</v>
      </c>
      <c r="H356" s="13">
        <v>341371.74</v>
      </c>
      <c r="I356" s="14">
        <v>0.36138419189933146</v>
      </c>
      <c r="J356" s="3" t="s">
        <v>13</v>
      </c>
      <c r="K356" s="3" t="s">
        <v>23</v>
      </c>
      <c r="L356" s="3" t="s">
        <v>68</v>
      </c>
    </row>
    <row r="357" ht="15.75" customHeight="1">
      <c r="A357" s="3">
        <v>3.43185698E8</v>
      </c>
      <c r="B357" s="3" t="s">
        <v>248</v>
      </c>
      <c r="C357" s="3">
        <v>49.0</v>
      </c>
      <c r="D357" s="10">
        <v>3.0</v>
      </c>
      <c r="E357" s="11">
        <v>2013.0</v>
      </c>
      <c r="F357" s="13">
        <v>3340056.0900000003</v>
      </c>
      <c r="G357" s="13">
        <v>2692519.8400000003</v>
      </c>
      <c r="H357" s="13">
        <v>647536.25</v>
      </c>
      <c r="I357" s="14">
        <v>0.19386987300563566</v>
      </c>
      <c r="J357" s="3" t="s">
        <v>7</v>
      </c>
      <c r="K357" s="3" t="s">
        <v>28</v>
      </c>
      <c r="L357" s="3" t="s">
        <v>29</v>
      </c>
    </row>
    <row r="358" ht="15.75" customHeight="1">
      <c r="A358" s="3">
        <v>3.43730294E8</v>
      </c>
      <c r="B358" s="3" t="s">
        <v>413</v>
      </c>
      <c r="C358" s="3">
        <v>27.0</v>
      </c>
      <c r="D358" s="10">
        <v>5.0</v>
      </c>
      <c r="E358" s="11">
        <v>2017.0</v>
      </c>
      <c r="F358" s="13">
        <v>4094157.27</v>
      </c>
      <c r="G358" s="13">
        <v>3300423.52</v>
      </c>
      <c r="H358" s="13">
        <v>793733.75</v>
      </c>
      <c r="I358" s="14">
        <v>0.19386987300563566</v>
      </c>
      <c r="J358" s="3" t="s">
        <v>7</v>
      </c>
      <c r="K358" s="3" t="s">
        <v>28</v>
      </c>
      <c r="L358" s="3" t="s">
        <v>29</v>
      </c>
    </row>
    <row r="359" ht="15.75" customHeight="1">
      <c r="A359" s="3">
        <v>3.4388951E8</v>
      </c>
      <c r="B359" s="3" t="s">
        <v>740</v>
      </c>
      <c r="C359" s="3">
        <v>42.0</v>
      </c>
      <c r="D359" s="10">
        <v>2.0</v>
      </c>
      <c r="E359" s="11">
        <v>2014.0</v>
      </c>
      <c r="F359" s="13">
        <v>161472.35</v>
      </c>
      <c r="G359" s="13">
        <v>108181.37</v>
      </c>
      <c r="H359" s="13">
        <v>53290.98000000001</v>
      </c>
      <c r="I359" s="14">
        <v>0.3300316122233931</v>
      </c>
      <c r="J359" s="3" t="s">
        <v>6</v>
      </c>
      <c r="K359" s="3" t="s">
        <v>28</v>
      </c>
      <c r="L359" s="3" t="s">
        <v>98</v>
      </c>
    </row>
    <row r="360" ht="15.75" customHeight="1">
      <c r="A360" s="3">
        <v>3.44160735E8</v>
      </c>
      <c r="B360" s="3" t="s">
        <v>512</v>
      </c>
      <c r="C360" s="3">
        <v>42.0</v>
      </c>
      <c r="D360" s="10">
        <v>10.0</v>
      </c>
      <c r="E360" s="11">
        <v>2010.0</v>
      </c>
      <c r="F360" s="13">
        <v>1545804.96</v>
      </c>
      <c r="G360" s="13">
        <v>1336224.16</v>
      </c>
      <c r="H360" s="13">
        <v>209580.80000000005</v>
      </c>
      <c r="I360" s="14">
        <v>0.13558036455000122</v>
      </c>
      <c r="J360" s="3" t="s">
        <v>11</v>
      </c>
      <c r="K360" s="3" t="s">
        <v>28</v>
      </c>
      <c r="L360" s="3" t="s">
        <v>79</v>
      </c>
    </row>
    <row r="361" ht="15.75" customHeight="1">
      <c r="A361" s="3">
        <v>3.46498763E8</v>
      </c>
      <c r="B361" s="3" t="s">
        <v>482</v>
      </c>
      <c r="C361" s="3">
        <v>15.0</v>
      </c>
      <c r="D361" s="10">
        <v>3.0</v>
      </c>
      <c r="E361" s="11">
        <v>2011.0</v>
      </c>
      <c r="F361" s="13">
        <v>853338.34</v>
      </c>
      <c r="G361" s="13">
        <v>503661.27</v>
      </c>
      <c r="H361" s="13">
        <v>349677.06999999995</v>
      </c>
      <c r="I361" s="14">
        <v>0.4097754121770738</v>
      </c>
      <c r="J361" s="3" t="s">
        <v>9</v>
      </c>
      <c r="K361" s="3" t="s">
        <v>28</v>
      </c>
      <c r="L361" s="3" t="s">
        <v>79</v>
      </c>
    </row>
    <row r="362" ht="15.75" customHeight="1">
      <c r="A362" s="3">
        <v>3.47609412E8</v>
      </c>
      <c r="B362" s="3" t="s">
        <v>689</v>
      </c>
      <c r="C362" s="3">
        <v>7.0</v>
      </c>
      <c r="D362" s="10">
        <v>9.0</v>
      </c>
      <c r="E362" s="11">
        <v>2014.0</v>
      </c>
      <c r="F362" s="13">
        <v>1838426.0</v>
      </c>
      <c r="G362" s="13">
        <v>1107302.65</v>
      </c>
      <c r="H362" s="13">
        <v>731123.3500000001</v>
      </c>
      <c r="I362" s="14">
        <v>0.3976898444647759</v>
      </c>
      <c r="J362" s="3" t="s">
        <v>12</v>
      </c>
      <c r="K362" s="3" t="s">
        <v>28</v>
      </c>
      <c r="L362" s="3" t="s">
        <v>79</v>
      </c>
    </row>
    <row r="363" ht="15.75" customHeight="1">
      <c r="A363" s="3">
        <v>3.48080623E8</v>
      </c>
      <c r="B363" s="3" t="s">
        <v>46</v>
      </c>
      <c r="C363" s="3">
        <v>16.0</v>
      </c>
      <c r="D363" s="10">
        <v>5.0</v>
      </c>
      <c r="E363" s="11">
        <v>2010.0</v>
      </c>
      <c r="F363" s="13">
        <v>556306.68</v>
      </c>
      <c r="G363" s="13">
        <v>355266.24</v>
      </c>
      <c r="H363" s="13">
        <v>201040.44000000006</v>
      </c>
      <c r="I363" s="14">
        <v>0.3613841918993316</v>
      </c>
      <c r="J363" s="3" t="s">
        <v>13</v>
      </c>
      <c r="K363" s="3" t="s">
        <v>28</v>
      </c>
      <c r="L363" s="3" t="s">
        <v>33</v>
      </c>
    </row>
    <row r="364" ht="15.75" customHeight="1">
      <c r="A364" s="3">
        <v>3.4906038E8</v>
      </c>
      <c r="B364" s="3" t="s">
        <v>536</v>
      </c>
      <c r="C364" s="3">
        <v>12.0</v>
      </c>
      <c r="D364" s="10">
        <v>9.0</v>
      </c>
      <c r="E364" s="11">
        <v>2016.0</v>
      </c>
      <c r="F364" s="13">
        <v>913391.84</v>
      </c>
      <c r="G364" s="13">
        <v>570404.76</v>
      </c>
      <c r="H364" s="13">
        <v>342987.07999999996</v>
      </c>
      <c r="I364" s="14">
        <v>0.3755092447508618</v>
      </c>
      <c r="J364" s="3" t="s">
        <v>10</v>
      </c>
      <c r="K364" s="3" t="s">
        <v>28</v>
      </c>
      <c r="L364" s="3" t="s">
        <v>33</v>
      </c>
    </row>
    <row r="365" ht="15.75" customHeight="1">
      <c r="A365" s="3">
        <v>3.49212729E8</v>
      </c>
      <c r="B365" s="3" t="s">
        <v>142</v>
      </c>
      <c r="C365" s="3">
        <v>46.0</v>
      </c>
      <c r="D365" s="10">
        <v>7.0</v>
      </c>
      <c r="E365" s="11">
        <v>2016.0</v>
      </c>
      <c r="F365" s="13">
        <v>3654411.1799999997</v>
      </c>
      <c r="G365" s="13">
        <v>3158944.78</v>
      </c>
      <c r="H365" s="13">
        <v>495466.3999999999</v>
      </c>
      <c r="I365" s="14">
        <v>0.13558036455000116</v>
      </c>
      <c r="J365" s="3" t="s">
        <v>11</v>
      </c>
      <c r="K365" s="3" t="s">
        <v>28</v>
      </c>
      <c r="L365" s="3" t="s">
        <v>98</v>
      </c>
    </row>
    <row r="366" ht="15.75" customHeight="1">
      <c r="A366" s="3">
        <v>3.50550401E8</v>
      </c>
      <c r="B366" s="3" t="s">
        <v>635</v>
      </c>
      <c r="C366" s="3">
        <v>28.0</v>
      </c>
      <c r="D366" s="10">
        <v>3.0</v>
      </c>
      <c r="E366" s="11">
        <v>2012.0</v>
      </c>
      <c r="F366" s="13">
        <v>1970897.5999999999</v>
      </c>
      <c r="G366" s="13">
        <v>1187091.64</v>
      </c>
      <c r="H366" s="13">
        <v>783805.96</v>
      </c>
      <c r="I366" s="14">
        <v>0.39768984446477584</v>
      </c>
      <c r="J366" s="3" t="s">
        <v>12</v>
      </c>
      <c r="K366" s="3" t="s">
        <v>28</v>
      </c>
      <c r="L366" s="3" t="s">
        <v>33</v>
      </c>
    </row>
    <row r="367" ht="15.75" customHeight="1">
      <c r="A367" s="3">
        <v>3.50977408E8</v>
      </c>
      <c r="B367" s="3" t="s">
        <v>536</v>
      </c>
      <c r="C367" s="3">
        <v>27.0</v>
      </c>
      <c r="D367" s="10">
        <v>12.0</v>
      </c>
      <c r="E367" s="11">
        <v>2010.0</v>
      </c>
      <c r="F367" s="13">
        <v>379926.8</v>
      </c>
      <c r="G367" s="13">
        <v>228833.77</v>
      </c>
      <c r="H367" s="13">
        <v>151093.03</v>
      </c>
      <c r="I367" s="14">
        <v>0.39768984446477584</v>
      </c>
      <c r="J367" s="3" t="s">
        <v>12</v>
      </c>
      <c r="K367" s="3" t="s">
        <v>28</v>
      </c>
      <c r="L367" s="3" t="s">
        <v>33</v>
      </c>
    </row>
    <row r="368" ht="15.75" customHeight="1">
      <c r="A368" s="3">
        <v>3.51247346E8</v>
      </c>
      <c r="B368" s="3" t="s">
        <v>482</v>
      </c>
      <c r="C368" s="3">
        <v>40.0</v>
      </c>
      <c r="D368" s="10">
        <v>3.0</v>
      </c>
      <c r="E368" s="11">
        <v>2016.0</v>
      </c>
      <c r="F368" s="13">
        <v>61297.5</v>
      </c>
      <c r="G368" s="13">
        <v>42502.5</v>
      </c>
      <c r="H368" s="13">
        <v>18795.0</v>
      </c>
      <c r="I368" s="14">
        <v>0.3066193564174722</v>
      </c>
      <c r="J368" s="3" t="s">
        <v>14</v>
      </c>
      <c r="K368" s="3" t="s">
        <v>28</v>
      </c>
      <c r="L368" s="3" t="s">
        <v>79</v>
      </c>
    </row>
    <row r="369" ht="15.75" customHeight="1">
      <c r="A369" s="3">
        <v>3.52342545E8</v>
      </c>
      <c r="B369" s="3" t="s">
        <v>671</v>
      </c>
      <c r="C369" s="3">
        <v>36.0</v>
      </c>
      <c r="D369" s="10">
        <v>2.0</v>
      </c>
      <c r="E369" s="11">
        <v>2017.0</v>
      </c>
      <c r="F369" s="13">
        <v>739097.52</v>
      </c>
      <c r="G369" s="13">
        <v>471999.36</v>
      </c>
      <c r="H369" s="13">
        <v>267098.16000000003</v>
      </c>
      <c r="I369" s="14">
        <v>0.3613841918993315</v>
      </c>
      <c r="J369" s="3" t="s">
        <v>13</v>
      </c>
      <c r="K369" s="3" t="s">
        <v>28</v>
      </c>
      <c r="L369" s="3" t="s">
        <v>33</v>
      </c>
    </row>
    <row r="370" ht="15.75" customHeight="1">
      <c r="A370" s="3">
        <v>3.5319184E8</v>
      </c>
      <c r="B370" s="3" t="s">
        <v>248</v>
      </c>
      <c r="C370" s="3">
        <v>31.0</v>
      </c>
      <c r="D370" s="10">
        <v>6.0</v>
      </c>
      <c r="E370" s="11">
        <v>2013.0</v>
      </c>
      <c r="F370" s="13">
        <v>674148.3200000001</v>
      </c>
      <c r="G370" s="13">
        <v>221096.96000000002</v>
      </c>
      <c r="H370" s="13">
        <v>453051.36000000004</v>
      </c>
      <c r="I370" s="14">
        <v>0.6720351390922401</v>
      </c>
      <c r="J370" s="3" t="s">
        <v>5</v>
      </c>
      <c r="K370" s="3" t="s">
        <v>28</v>
      </c>
      <c r="L370" s="3" t="s">
        <v>29</v>
      </c>
    </row>
    <row r="371" ht="15.75" customHeight="1">
      <c r="A371" s="3">
        <v>3.53320157E8</v>
      </c>
      <c r="B371" s="3" t="s">
        <v>488</v>
      </c>
      <c r="C371" s="3">
        <v>3.0</v>
      </c>
      <c r="D371" s="10">
        <v>8.0</v>
      </c>
      <c r="E371" s="11">
        <v>2012.0</v>
      </c>
      <c r="F371" s="13">
        <v>1810445.2</v>
      </c>
      <c r="G371" s="13">
        <v>1090449.53</v>
      </c>
      <c r="H371" s="13">
        <v>719995.6699999999</v>
      </c>
      <c r="I371" s="14">
        <v>0.3976898444647758</v>
      </c>
      <c r="J371" s="3" t="s">
        <v>12</v>
      </c>
      <c r="K371" s="3" t="s">
        <v>28</v>
      </c>
      <c r="L371" s="3" t="s">
        <v>33</v>
      </c>
    </row>
    <row r="372" ht="15.75" customHeight="1">
      <c r="A372" s="3">
        <v>3.53383243E8</v>
      </c>
      <c r="B372" s="3" t="s">
        <v>821</v>
      </c>
      <c r="C372" s="3">
        <v>25.0</v>
      </c>
      <c r="D372" s="10">
        <v>5.0</v>
      </c>
      <c r="E372" s="11">
        <v>2014.0</v>
      </c>
      <c r="F372" s="13">
        <v>1829248.8900000001</v>
      </c>
      <c r="G372" s="13">
        <v>1474612.6400000001</v>
      </c>
      <c r="H372" s="13">
        <v>354636.25</v>
      </c>
      <c r="I372" s="14">
        <v>0.19386987300563566</v>
      </c>
      <c r="J372" s="3" t="s">
        <v>7</v>
      </c>
      <c r="K372" s="3" t="s">
        <v>821</v>
      </c>
      <c r="L372" s="3" t="s">
        <v>821</v>
      </c>
    </row>
    <row r="373" ht="15.75" customHeight="1">
      <c r="A373" s="3">
        <v>3.53415429E8</v>
      </c>
      <c r="B373" s="3" t="s">
        <v>218</v>
      </c>
      <c r="C373" s="3">
        <v>4.0</v>
      </c>
      <c r="D373" s="10">
        <v>12.0</v>
      </c>
      <c r="E373" s="11">
        <v>2010.0</v>
      </c>
      <c r="F373" s="13">
        <v>190757.82</v>
      </c>
      <c r="G373" s="13">
        <v>132267.78</v>
      </c>
      <c r="H373" s="13">
        <v>58490.04000000001</v>
      </c>
      <c r="I373" s="14">
        <v>0.3066193564174722</v>
      </c>
      <c r="J373" s="3" t="s">
        <v>14</v>
      </c>
      <c r="K373" s="3" t="s">
        <v>28</v>
      </c>
      <c r="L373" s="3" t="s">
        <v>98</v>
      </c>
    </row>
    <row r="374" ht="15.75" customHeight="1">
      <c r="A374" s="3">
        <v>3.5347594E8</v>
      </c>
      <c r="B374" s="3" t="s">
        <v>512</v>
      </c>
      <c r="C374" s="3">
        <v>2.0</v>
      </c>
      <c r="D374" s="10">
        <v>10.0</v>
      </c>
      <c r="E374" s="11">
        <v>2014.0</v>
      </c>
      <c r="F374" s="13">
        <v>19615.2</v>
      </c>
      <c r="G374" s="13">
        <v>13600.800000000001</v>
      </c>
      <c r="H374" s="13">
        <v>6014.4</v>
      </c>
      <c r="I374" s="14">
        <v>0.3066193564174721</v>
      </c>
      <c r="J374" s="3" t="s">
        <v>14</v>
      </c>
      <c r="K374" s="3" t="s">
        <v>28</v>
      </c>
      <c r="L374" s="3" t="s">
        <v>79</v>
      </c>
    </row>
    <row r="375" ht="15.75" customHeight="1">
      <c r="A375" s="3">
        <v>3.53492677E8</v>
      </c>
      <c r="B375" s="3" t="s">
        <v>346</v>
      </c>
      <c r="C375" s="3">
        <v>36.0</v>
      </c>
      <c r="D375" s="10">
        <v>4.0</v>
      </c>
      <c r="E375" s="11">
        <v>2016.0</v>
      </c>
      <c r="F375" s="13">
        <v>48450.69</v>
      </c>
      <c r="G375" s="13">
        <v>35935.56</v>
      </c>
      <c r="H375" s="13">
        <v>12515.130000000005</v>
      </c>
      <c r="I375" s="14">
        <v>0.2583065380493034</v>
      </c>
      <c r="J375" s="3" t="s">
        <v>8</v>
      </c>
      <c r="K375" s="3" t="s">
        <v>28</v>
      </c>
      <c r="L375" s="3" t="s">
        <v>98</v>
      </c>
    </row>
    <row r="376" ht="15.75" customHeight="1">
      <c r="A376" s="3">
        <v>3.54270303E8</v>
      </c>
      <c r="B376" s="3" t="s">
        <v>623</v>
      </c>
      <c r="C376" s="3">
        <v>44.0</v>
      </c>
      <c r="D376" s="10">
        <v>10.0</v>
      </c>
      <c r="E376" s="11">
        <v>2012.0</v>
      </c>
      <c r="F376" s="13">
        <v>818058.6</v>
      </c>
      <c r="G376" s="13">
        <v>482838.30000000005</v>
      </c>
      <c r="H376" s="13">
        <v>335220.29999999993</v>
      </c>
      <c r="I376" s="14">
        <v>0.4097754121770738</v>
      </c>
      <c r="J376" s="3" t="s">
        <v>9</v>
      </c>
      <c r="K376" s="3" t="s">
        <v>28</v>
      </c>
      <c r="L376" s="3" t="s">
        <v>33</v>
      </c>
    </row>
    <row r="377" ht="15.75" customHeight="1">
      <c r="A377" s="3">
        <v>3.54655683E8</v>
      </c>
      <c r="B377" s="3" t="s">
        <v>536</v>
      </c>
      <c r="C377" s="3">
        <v>7.0</v>
      </c>
      <c r="D377" s="10">
        <v>7.0</v>
      </c>
      <c r="E377" s="11">
        <v>2012.0</v>
      </c>
      <c r="F377" s="13">
        <v>443799.85000000003</v>
      </c>
      <c r="G377" s="13">
        <v>297331.87</v>
      </c>
      <c r="H377" s="13">
        <v>146467.98000000004</v>
      </c>
      <c r="I377" s="14">
        <v>0.3300316122233931</v>
      </c>
      <c r="J377" s="3" t="s">
        <v>6</v>
      </c>
      <c r="K377" s="3" t="s">
        <v>28</v>
      </c>
      <c r="L377" s="3" t="s">
        <v>33</v>
      </c>
    </row>
    <row r="378" ht="15.75" customHeight="1">
      <c r="A378" s="3">
        <v>3.54667699E8</v>
      </c>
      <c r="B378" s="3" t="s">
        <v>206</v>
      </c>
      <c r="C378" s="3">
        <v>38.0</v>
      </c>
      <c r="D378" s="10">
        <v>11.0</v>
      </c>
      <c r="E378" s="11">
        <v>2012.0</v>
      </c>
      <c r="F378" s="13">
        <v>1893718.6800000002</v>
      </c>
      <c r="G378" s="13">
        <v>1526583.6800000002</v>
      </c>
      <c r="H378" s="13">
        <v>367135.0</v>
      </c>
      <c r="I378" s="14">
        <v>0.19386987300563566</v>
      </c>
      <c r="J378" s="3" t="s">
        <v>7</v>
      </c>
      <c r="K378" s="3" t="s">
        <v>28</v>
      </c>
      <c r="L378" s="3" t="s">
        <v>33</v>
      </c>
    </row>
    <row r="379" ht="15.75" customHeight="1">
      <c r="A379" s="3">
        <v>3.54931628E8</v>
      </c>
      <c r="B379" s="3" t="s">
        <v>364</v>
      </c>
      <c r="C379" s="3">
        <v>9.0</v>
      </c>
      <c r="D379" s="10">
        <v>5.0</v>
      </c>
      <c r="E379" s="11">
        <v>2010.0</v>
      </c>
      <c r="F379" s="13">
        <v>82629.03</v>
      </c>
      <c r="G379" s="13">
        <v>57293.37</v>
      </c>
      <c r="H379" s="13">
        <v>25335.659999999996</v>
      </c>
      <c r="I379" s="14">
        <v>0.3066193564174721</v>
      </c>
      <c r="J379" s="3" t="s">
        <v>14</v>
      </c>
      <c r="K379" s="3" t="s">
        <v>28</v>
      </c>
      <c r="L379" s="3" t="s">
        <v>29</v>
      </c>
    </row>
    <row r="380" ht="15.75" customHeight="1">
      <c r="A380" s="3">
        <v>3.55534589E8</v>
      </c>
      <c r="B380" s="3" t="s">
        <v>300</v>
      </c>
      <c r="C380" s="3">
        <v>6.0</v>
      </c>
      <c r="D380" s="10">
        <v>1.0</v>
      </c>
      <c r="E380" s="11">
        <v>2015.0</v>
      </c>
      <c r="F380" s="13">
        <v>1031603.2</v>
      </c>
      <c r="G380" s="13">
        <v>338329.60000000003</v>
      </c>
      <c r="H380" s="13">
        <v>693273.5999999999</v>
      </c>
      <c r="I380" s="14">
        <v>0.67203513909224</v>
      </c>
      <c r="J380" s="3" t="s">
        <v>5</v>
      </c>
      <c r="K380" s="3" t="s">
        <v>28</v>
      </c>
      <c r="L380" s="3" t="s">
        <v>33</v>
      </c>
    </row>
    <row r="381" ht="15.75" customHeight="1">
      <c r="A381" s="3">
        <v>3.56413495E8</v>
      </c>
      <c r="B381" s="3" t="s">
        <v>123</v>
      </c>
      <c r="C381" s="3">
        <v>6.0</v>
      </c>
      <c r="D381" s="10">
        <v>1.0</v>
      </c>
      <c r="E381" s="11">
        <v>2010.0</v>
      </c>
      <c r="F381" s="13">
        <v>778723.4400000001</v>
      </c>
      <c r="G381" s="13">
        <v>539951.76</v>
      </c>
      <c r="H381" s="13">
        <v>238771.68000000005</v>
      </c>
      <c r="I381" s="14">
        <v>0.30661935641747223</v>
      </c>
      <c r="J381" s="3" t="s">
        <v>14</v>
      </c>
      <c r="K381" s="3" t="s">
        <v>28</v>
      </c>
      <c r="L381" s="3" t="s">
        <v>33</v>
      </c>
    </row>
    <row r="382" ht="15.75" customHeight="1">
      <c r="A382" s="3">
        <v>3.5743488E8</v>
      </c>
      <c r="B382" s="3" t="s">
        <v>488</v>
      </c>
      <c r="C382" s="3">
        <v>38.0</v>
      </c>
      <c r="D382" s="10">
        <v>5.0</v>
      </c>
      <c r="E382" s="11">
        <v>2015.0</v>
      </c>
      <c r="F382" s="13">
        <v>777778.7999999999</v>
      </c>
      <c r="G382" s="13">
        <v>468464.06999999995</v>
      </c>
      <c r="H382" s="13">
        <v>309314.73</v>
      </c>
      <c r="I382" s="14">
        <v>0.39768984446477584</v>
      </c>
      <c r="J382" s="3" t="s">
        <v>12</v>
      </c>
      <c r="K382" s="3" t="s">
        <v>28</v>
      </c>
      <c r="L382" s="3" t="s">
        <v>33</v>
      </c>
    </row>
    <row r="383" ht="15.75" customHeight="1">
      <c r="A383" s="3">
        <v>3.57482516E8</v>
      </c>
      <c r="B383" s="3" t="s">
        <v>364</v>
      </c>
      <c r="C383" s="3">
        <v>14.0</v>
      </c>
      <c r="D383" s="10">
        <v>7.0</v>
      </c>
      <c r="E383" s="11">
        <v>2014.0</v>
      </c>
      <c r="F383" s="13">
        <v>278768.75</v>
      </c>
      <c r="G383" s="13">
        <v>186766.25</v>
      </c>
      <c r="H383" s="13">
        <v>92002.5</v>
      </c>
      <c r="I383" s="14">
        <v>0.33003161222339306</v>
      </c>
      <c r="J383" s="3" t="s">
        <v>6</v>
      </c>
      <c r="K383" s="3" t="s">
        <v>28</v>
      </c>
      <c r="L383" s="3" t="s">
        <v>29</v>
      </c>
    </row>
    <row r="384" ht="15.75" customHeight="1">
      <c r="A384" s="3">
        <v>3.57930982E8</v>
      </c>
      <c r="B384" s="3" t="s">
        <v>32</v>
      </c>
      <c r="C384" s="3">
        <v>49.0</v>
      </c>
      <c r="D384" s="10">
        <v>1.0</v>
      </c>
      <c r="E384" s="11">
        <v>2016.0</v>
      </c>
      <c r="F384" s="13">
        <v>938278.08</v>
      </c>
      <c r="G384" s="13">
        <v>307722.24000000005</v>
      </c>
      <c r="H384" s="13">
        <v>630555.8399999999</v>
      </c>
      <c r="I384" s="14">
        <v>0.67203513909224</v>
      </c>
      <c r="J384" s="3" t="s">
        <v>5</v>
      </c>
      <c r="K384" s="3" t="s">
        <v>28</v>
      </c>
      <c r="L384" s="3" t="s">
        <v>33</v>
      </c>
    </row>
    <row r="385" ht="15.75" customHeight="1">
      <c r="A385" s="3">
        <v>3.57943856E8</v>
      </c>
      <c r="B385" s="3" t="s">
        <v>542</v>
      </c>
      <c r="C385" s="3">
        <v>21.0</v>
      </c>
      <c r="D385" s="10">
        <v>2.0</v>
      </c>
      <c r="E385" s="11">
        <v>2013.0</v>
      </c>
      <c r="F385" s="13">
        <v>611650.88</v>
      </c>
      <c r="G385" s="13">
        <v>381970.31999999995</v>
      </c>
      <c r="H385" s="13">
        <v>229680.56000000006</v>
      </c>
      <c r="I385" s="14">
        <v>0.3755092447508619</v>
      </c>
      <c r="J385" s="3" t="s">
        <v>10</v>
      </c>
      <c r="K385" s="3" t="s">
        <v>28</v>
      </c>
      <c r="L385" s="3" t="s">
        <v>29</v>
      </c>
    </row>
    <row r="386" ht="15.75" customHeight="1">
      <c r="A386" s="3">
        <v>3.58594453E8</v>
      </c>
      <c r="B386" s="3" t="s">
        <v>349</v>
      </c>
      <c r="C386" s="3">
        <v>44.0</v>
      </c>
      <c r="D386" s="10">
        <v>12.0</v>
      </c>
      <c r="E386" s="11">
        <v>2016.0</v>
      </c>
      <c r="F386" s="13">
        <v>750998.76</v>
      </c>
      <c r="G386" s="13">
        <v>479599.68</v>
      </c>
      <c r="H386" s="13">
        <v>271399.08</v>
      </c>
      <c r="I386" s="14">
        <v>0.3613841918993315</v>
      </c>
      <c r="J386" s="3" t="s">
        <v>13</v>
      </c>
      <c r="K386" s="3" t="s">
        <v>28</v>
      </c>
      <c r="L386" s="3" t="s">
        <v>29</v>
      </c>
    </row>
    <row r="387" ht="15.75" customHeight="1">
      <c r="A387" s="3">
        <v>3.58624064E8</v>
      </c>
      <c r="B387" s="3" t="s">
        <v>593</v>
      </c>
      <c r="C387" s="3">
        <v>49.0</v>
      </c>
      <c r="D387" s="10">
        <v>8.0</v>
      </c>
      <c r="E387" s="11">
        <v>2015.0</v>
      </c>
      <c r="F387" s="13">
        <v>402696.8</v>
      </c>
      <c r="G387" s="13">
        <v>132070.40000000002</v>
      </c>
      <c r="H387" s="13">
        <v>270626.39999999997</v>
      </c>
      <c r="I387" s="14">
        <v>0.67203513909224</v>
      </c>
      <c r="J387" s="3" t="s">
        <v>5</v>
      </c>
      <c r="K387" s="3" t="s">
        <v>28</v>
      </c>
      <c r="L387" s="3" t="s">
        <v>98</v>
      </c>
    </row>
    <row r="388" ht="15.75" customHeight="1">
      <c r="A388" s="3">
        <v>3.59197413E8</v>
      </c>
      <c r="B388" s="3" t="s">
        <v>288</v>
      </c>
      <c r="C388" s="3">
        <v>41.0</v>
      </c>
      <c r="D388" s="10">
        <v>1.0</v>
      </c>
      <c r="E388" s="11">
        <v>2014.0</v>
      </c>
      <c r="F388" s="13">
        <v>855698.56</v>
      </c>
      <c r="G388" s="13">
        <v>534375.84</v>
      </c>
      <c r="H388" s="13">
        <v>321322.7200000001</v>
      </c>
      <c r="I388" s="14">
        <v>0.3755092447508619</v>
      </c>
      <c r="J388" s="3" t="s">
        <v>10</v>
      </c>
      <c r="K388" s="3" t="s">
        <v>23</v>
      </c>
      <c r="L388" s="3" t="s">
        <v>68</v>
      </c>
    </row>
    <row r="389" ht="15.75" customHeight="1">
      <c r="A389" s="3">
        <v>3.59893071E8</v>
      </c>
      <c r="B389" s="3" t="s">
        <v>373</v>
      </c>
      <c r="C389" s="3">
        <v>15.0</v>
      </c>
      <c r="D389" s="10">
        <v>7.0</v>
      </c>
      <c r="E389" s="11">
        <v>2011.0</v>
      </c>
      <c r="F389" s="13">
        <v>1419200.72</v>
      </c>
      <c r="G389" s="13">
        <v>837647.16</v>
      </c>
      <c r="H389" s="13">
        <v>581553.5599999999</v>
      </c>
      <c r="I389" s="14">
        <v>0.4097754121770738</v>
      </c>
      <c r="J389" s="3" t="s">
        <v>9</v>
      </c>
      <c r="K389" s="3" t="s">
        <v>28</v>
      </c>
      <c r="L389" s="3" t="s">
        <v>33</v>
      </c>
    </row>
    <row r="390" ht="15.75" customHeight="1">
      <c r="A390" s="3">
        <v>3.61311852E8</v>
      </c>
      <c r="B390" s="3" t="s">
        <v>291</v>
      </c>
      <c r="C390" s="3">
        <v>40.0</v>
      </c>
      <c r="D390" s="10">
        <v>1.0</v>
      </c>
      <c r="E390" s="11">
        <v>2017.0</v>
      </c>
      <c r="F390" s="13">
        <v>2313092.08</v>
      </c>
      <c r="G390" s="13">
        <v>1444504.6199999999</v>
      </c>
      <c r="H390" s="13">
        <v>868587.4600000002</v>
      </c>
      <c r="I390" s="14">
        <v>0.3755092447508619</v>
      </c>
      <c r="J390" s="3" t="s">
        <v>10</v>
      </c>
      <c r="K390" s="3" t="s">
        <v>28</v>
      </c>
      <c r="L390" s="3" t="s">
        <v>79</v>
      </c>
    </row>
    <row r="391" ht="15.75" customHeight="1">
      <c r="A391" s="3">
        <v>3.61659038E8</v>
      </c>
      <c r="B391" s="3" t="s">
        <v>434</v>
      </c>
      <c r="C391" s="3">
        <v>34.0</v>
      </c>
      <c r="D391" s="10">
        <v>6.0</v>
      </c>
      <c r="E391" s="11">
        <v>2012.0</v>
      </c>
      <c r="F391" s="13">
        <v>370465.69999999995</v>
      </c>
      <c r="G391" s="13">
        <v>210915.11</v>
      </c>
      <c r="H391" s="13">
        <v>159550.58999999997</v>
      </c>
      <c r="I391" s="14">
        <v>0.4306757413709285</v>
      </c>
      <c r="J391" s="3" t="s">
        <v>3</v>
      </c>
      <c r="K391" s="3" t="s">
        <v>28</v>
      </c>
      <c r="L391" s="3" t="s">
        <v>79</v>
      </c>
    </row>
    <row r="392" ht="15.75" customHeight="1">
      <c r="A392" s="3">
        <v>3.61725556E8</v>
      </c>
      <c r="B392" s="3" t="s">
        <v>623</v>
      </c>
      <c r="C392" s="3">
        <v>21.0</v>
      </c>
      <c r="D392" s="10">
        <v>6.0</v>
      </c>
      <c r="E392" s="11">
        <v>2016.0</v>
      </c>
      <c r="F392" s="13">
        <v>228779.1</v>
      </c>
      <c r="G392" s="13">
        <v>135031.05000000002</v>
      </c>
      <c r="H392" s="13">
        <v>93748.04999999999</v>
      </c>
      <c r="I392" s="14">
        <v>0.4097754121770738</v>
      </c>
      <c r="J392" s="3" t="s">
        <v>9</v>
      </c>
      <c r="K392" s="3" t="s">
        <v>28</v>
      </c>
      <c r="L392" s="3" t="s">
        <v>33</v>
      </c>
    </row>
    <row r="393" ht="15.75" customHeight="1">
      <c r="A393" s="3">
        <v>3.62258565E8</v>
      </c>
      <c r="B393" s="3" t="s">
        <v>67</v>
      </c>
      <c r="C393" s="3">
        <v>15.0</v>
      </c>
      <c r="D393" s="10">
        <v>11.0</v>
      </c>
      <c r="E393" s="11">
        <v>2014.0</v>
      </c>
      <c r="F393" s="13">
        <v>85966.62</v>
      </c>
      <c r="G393" s="13">
        <v>63760.88</v>
      </c>
      <c r="H393" s="13">
        <v>22205.739999999998</v>
      </c>
      <c r="I393" s="14">
        <v>0.2583065380493033</v>
      </c>
      <c r="J393" s="3" t="s">
        <v>8</v>
      </c>
      <c r="K393" s="3" t="s">
        <v>23</v>
      </c>
      <c r="L393" s="3" t="s">
        <v>68</v>
      </c>
    </row>
    <row r="394" ht="15.75" customHeight="1">
      <c r="A394" s="3">
        <v>3.64715468E8</v>
      </c>
      <c r="B394" s="3" t="s">
        <v>206</v>
      </c>
      <c r="C394" s="3">
        <v>4.0</v>
      </c>
      <c r="D394" s="10">
        <v>2.0</v>
      </c>
      <c r="E394" s="11">
        <v>2012.0</v>
      </c>
      <c r="F394" s="13">
        <v>2739932.4</v>
      </c>
      <c r="G394" s="13">
        <v>1650289.1099999999</v>
      </c>
      <c r="H394" s="13">
        <v>1089643.29</v>
      </c>
      <c r="I394" s="14">
        <v>0.3976898444647759</v>
      </c>
      <c r="J394" s="3" t="s">
        <v>12</v>
      </c>
      <c r="K394" s="3" t="s">
        <v>28</v>
      </c>
      <c r="L394" s="3" t="s">
        <v>33</v>
      </c>
    </row>
    <row r="395" ht="15.75" customHeight="1">
      <c r="A395" s="3">
        <v>3.64854514E8</v>
      </c>
      <c r="B395" s="3" t="s">
        <v>821</v>
      </c>
      <c r="C395" s="3">
        <v>20.0</v>
      </c>
      <c r="D395" s="10">
        <v>9.0</v>
      </c>
      <c r="E395" s="11">
        <v>2012.0</v>
      </c>
      <c r="F395" s="13">
        <v>1892390.64</v>
      </c>
      <c r="G395" s="13">
        <v>1181780.46</v>
      </c>
      <c r="H395" s="13">
        <v>710610.1799999999</v>
      </c>
      <c r="I395" s="14">
        <v>0.3755092447508618</v>
      </c>
      <c r="J395" s="3" t="s">
        <v>10</v>
      </c>
      <c r="K395" s="3" t="s">
        <v>821</v>
      </c>
      <c r="L395" s="3" t="s">
        <v>821</v>
      </c>
    </row>
    <row r="396" ht="15.75" customHeight="1">
      <c r="A396" s="3">
        <v>3.67328155E8</v>
      </c>
      <c r="B396" s="3" t="s">
        <v>270</v>
      </c>
      <c r="C396" s="3">
        <v>44.0</v>
      </c>
      <c r="D396" s="10">
        <v>6.0</v>
      </c>
      <c r="E396" s="11">
        <v>2011.0</v>
      </c>
      <c r="F396" s="13">
        <v>6294435.13</v>
      </c>
      <c r="G396" s="13">
        <v>4733424.26</v>
      </c>
      <c r="H396" s="13">
        <v>1561010.87</v>
      </c>
      <c r="I396" s="14">
        <v>0.24799856345489102</v>
      </c>
      <c r="J396" s="3" t="s">
        <v>4</v>
      </c>
      <c r="K396" s="3" t="s">
        <v>28</v>
      </c>
      <c r="L396" s="3" t="s">
        <v>79</v>
      </c>
    </row>
    <row r="397" ht="15.75" customHeight="1">
      <c r="A397" s="3">
        <v>3.68865811E8</v>
      </c>
      <c r="B397" s="3" t="s">
        <v>291</v>
      </c>
      <c r="C397" s="3">
        <v>35.0</v>
      </c>
      <c r="D397" s="10">
        <v>9.0</v>
      </c>
      <c r="E397" s="11">
        <v>2013.0</v>
      </c>
      <c r="F397" s="13">
        <v>2894628.45</v>
      </c>
      <c r="G397" s="13">
        <v>2333447.2</v>
      </c>
      <c r="H397" s="13">
        <v>561181.25</v>
      </c>
      <c r="I397" s="14">
        <v>0.19386987300563566</v>
      </c>
      <c r="J397" s="3" t="s">
        <v>7</v>
      </c>
      <c r="K397" s="3" t="s">
        <v>28</v>
      </c>
      <c r="L397" s="3" t="s">
        <v>79</v>
      </c>
    </row>
    <row r="398" ht="15.75" customHeight="1">
      <c r="A398" s="3">
        <v>3.69170081E8</v>
      </c>
      <c r="B398" s="3" t="s">
        <v>686</v>
      </c>
      <c r="C398" s="3">
        <v>5.0</v>
      </c>
      <c r="D398" s="10">
        <v>3.0</v>
      </c>
      <c r="E398" s="11">
        <v>2011.0</v>
      </c>
      <c r="F398" s="13">
        <v>1145186.08</v>
      </c>
      <c r="G398" s="13">
        <v>715158.12</v>
      </c>
      <c r="H398" s="13">
        <v>430027.9600000001</v>
      </c>
      <c r="I398" s="14">
        <v>0.37550924475086184</v>
      </c>
      <c r="J398" s="3" t="s">
        <v>10</v>
      </c>
      <c r="K398" s="3" t="s">
        <v>28</v>
      </c>
      <c r="L398" s="3" t="s">
        <v>29</v>
      </c>
    </row>
    <row r="399" ht="15.75" customHeight="1">
      <c r="A399" s="3">
        <v>3.70484149E8</v>
      </c>
      <c r="B399" s="3" t="s">
        <v>821</v>
      </c>
      <c r="C399" s="3">
        <v>23.0</v>
      </c>
      <c r="D399" s="10">
        <v>12.0</v>
      </c>
      <c r="E399" s="11">
        <v>2015.0</v>
      </c>
      <c r="F399" s="13">
        <v>158862.6</v>
      </c>
      <c r="G399" s="13">
        <v>106432.92</v>
      </c>
      <c r="H399" s="13">
        <v>52429.68000000001</v>
      </c>
      <c r="I399" s="14">
        <v>0.33003161222339306</v>
      </c>
      <c r="J399" s="3" t="s">
        <v>6</v>
      </c>
      <c r="K399" s="3" t="s">
        <v>821</v>
      </c>
      <c r="L399" s="3" t="s">
        <v>821</v>
      </c>
    </row>
    <row r="400" ht="15.75" customHeight="1">
      <c r="A400" s="3">
        <v>3.71814954E8</v>
      </c>
      <c r="B400" s="3" t="s">
        <v>593</v>
      </c>
      <c r="C400" s="3">
        <v>24.0</v>
      </c>
      <c r="D400" s="10">
        <v>9.0</v>
      </c>
      <c r="E400" s="11">
        <v>2014.0</v>
      </c>
      <c r="F400" s="13">
        <v>585350.26</v>
      </c>
      <c r="G400" s="13">
        <v>405870.54000000004</v>
      </c>
      <c r="H400" s="13">
        <v>179479.71999999997</v>
      </c>
      <c r="I400" s="14">
        <v>0.3066193564174721</v>
      </c>
      <c r="J400" s="3" t="s">
        <v>14</v>
      </c>
      <c r="K400" s="3" t="s">
        <v>28</v>
      </c>
      <c r="L400" s="3" t="s">
        <v>98</v>
      </c>
    </row>
    <row r="401" ht="15.75" customHeight="1">
      <c r="A401" s="3">
        <v>3.74663245E8</v>
      </c>
      <c r="B401" s="3" t="s">
        <v>821</v>
      </c>
      <c r="C401" s="3">
        <v>17.0</v>
      </c>
      <c r="D401" s="10">
        <v>11.0</v>
      </c>
      <c r="E401" s="11">
        <v>2011.0</v>
      </c>
      <c r="F401" s="13">
        <v>22792.350000000002</v>
      </c>
      <c r="G401" s="13">
        <v>18373.600000000002</v>
      </c>
      <c r="H401" s="13">
        <v>4418.75</v>
      </c>
      <c r="I401" s="14">
        <v>0.19386987300563566</v>
      </c>
      <c r="J401" s="3" t="s">
        <v>7</v>
      </c>
      <c r="K401" s="3" t="s">
        <v>821</v>
      </c>
      <c r="L401" s="3" t="s">
        <v>821</v>
      </c>
    </row>
    <row r="402" ht="15.75" customHeight="1">
      <c r="A402" s="3">
        <v>3.74848639E8</v>
      </c>
      <c r="B402" s="3" t="s">
        <v>671</v>
      </c>
      <c r="C402" s="3">
        <v>21.0</v>
      </c>
      <c r="D402" s="10">
        <v>8.0</v>
      </c>
      <c r="E402" s="11">
        <v>2012.0</v>
      </c>
      <c r="F402" s="13">
        <v>535144.16</v>
      </c>
      <c r="G402" s="13">
        <v>175508.48</v>
      </c>
      <c r="H402" s="13">
        <v>359635.68000000005</v>
      </c>
      <c r="I402" s="14">
        <v>0.6720351390922402</v>
      </c>
      <c r="J402" s="3" t="s">
        <v>5</v>
      </c>
      <c r="K402" s="3" t="s">
        <v>28</v>
      </c>
      <c r="L402" s="3" t="s">
        <v>33</v>
      </c>
    </row>
    <row r="403" ht="15.75" customHeight="1">
      <c r="A403" s="3">
        <v>3.78216636E8</v>
      </c>
      <c r="B403" s="3" t="s">
        <v>431</v>
      </c>
      <c r="C403" s="3">
        <v>41.0</v>
      </c>
      <c r="D403" s="10">
        <v>6.0</v>
      </c>
      <c r="E403" s="11">
        <v>2016.0</v>
      </c>
      <c r="F403" s="13">
        <v>170695.36000000002</v>
      </c>
      <c r="G403" s="13">
        <v>55982.08</v>
      </c>
      <c r="H403" s="13">
        <v>114713.28000000001</v>
      </c>
      <c r="I403" s="14">
        <v>0.6720351390922401</v>
      </c>
      <c r="J403" s="3" t="s">
        <v>5</v>
      </c>
      <c r="K403" s="3" t="s">
        <v>28</v>
      </c>
      <c r="L403" s="3" t="s">
        <v>29</v>
      </c>
    </row>
    <row r="404" ht="15.75" customHeight="1">
      <c r="A404" s="3">
        <v>3.78714883E8</v>
      </c>
      <c r="B404" s="3" t="s">
        <v>488</v>
      </c>
      <c r="C404" s="3">
        <v>30.0</v>
      </c>
      <c r="D404" s="10">
        <v>11.0</v>
      </c>
      <c r="E404" s="11">
        <v>2012.0</v>
      </c>
      <c r="F404" s="13">
        <v>3936986.0</v>
      </c>
      <c r="G404" s="13">
        <v>2371286.65</v>
      </c>
      <c r="H404" s="13">
        <v>1565699.35</v>
      </c>
      <c r="I404" s="14">
        <v>0.39768984446477584</v>
      </c>
      <c r="J404" s="3" t="s">
        <v>12</v>
      </c>
      <c r="K404" s="3" t="s">
        <v>28</v>
      </c>
      <c r="L404" s="3" t="s">
        <v>33</v>
      </c>
    </row>
    <row r="405" ht="15.75" customHeight="1">
      <c r="A405" s="3">
        <v>3.7887324E8</v>
      </c>
      <c r="B405" s="3" t="s">
        <v>46</v>
      </c>
      <c r="C405" s="3">
        <v>3.0</v>
      </c>
      <c r="D405" s="10">
        <v>11.0</v>
      </c>
      <c r="E405" s="11">
        <v>2012.0</v>
      </c>
      <c r="F405" s="13">
        <v>278341.7</v>
      </c>
      <c r="G405" s="13">
        <v>186480.13999999998</v>
      </c>
      <c r="H405" s="13">
        <v>91861.56000000003</v>
      </c>
      <c r="I405" s="14">
        <v>0.3300316122233931</v>
      </c>
      <c r="J405" s="3" t="s">
        <v>6</v>
      </c>
      <c r="K405" s="3" t="s">
        <v>28</v>
      </c>
      <c r="L405" s="3" t="s">
        <v>33</v>
      </c>
    </row>
    <row r="406" ht="15.75" customHeight="1">
      <c r="A406" s="3">
        <v>3.79900634E8</v>
      </c>
      <c r="B406" s="3" t="s">
        <v>291</v>
      </c>
      <c r="C406" s="3">
        <v>25.0</v>
      </c>
      <c r="D406" s="10">
        <v>11.0</v>
      </c>
      <c r="E406" s="11">
        <v>2010.0</v>
      </c>
      <c r="F406" s="13">
        <v>1081325.6</v>
      </c>
      <c r="G406" s="13">
        <v>354636.80000000005</v>
      </c>
      <c r="H406" s="13">
        <v>726688.8</v>
      </c>
      <c r="I406" s="14">
        <v>0.6720351390922401</v>
      </c>
      <c r="J406" s="3" t="s">
        <v>5</v>
      </c>
      <c r="K406" s="3" t="s">
        <v>28</v>
      </c>
      <c r="L406" s="3" t="s">
        <v>79</v>
      </c>
    </row>
    <row r="407" ht="15.75" customHeight="1">
      <c r="A407" s="3">
        <v>3.80379998E8</v>
      </c>
      <c r="B407" s="3" t="s">
        <v>32</v>
      </c>
      <c r="C407" s="3">
        <v>2.0</v>
      </c>
      <c r="D407" s="10">
        <v>7.0</v>
      </c>
      <c r="E407" s="11">
        <v>2017.0</v>
      </c>
      <c r="F407" s="13">
        <v>1168804.23</v>
      </c>
      <c r="G407" s="13">
        <v>878942.4600000001</v>
      </c>
      <c r="H407" s="13">
        <v>289861.7699999999</v>
      </c>
      <c r="I407" s="14">
        <v>0.2479985634548909</v>
      </c>
      <c r="J407" s="3" t="s">
        <v>4</v>
      </c>
      <c r="K407" s="3" t="s">
        <v>28</v>
      </c>
      <c r="L407" s="3" t="s">
        <v>33</v>
      </c>
    </row>
    <row r="408" ht="15.75" customHeight="1">
      <c r="A408" s="3">
        <v>3.80498874E8</v>
      </c>
      <c r="B408" s="3" t="s">
        <v>142</v>
      </c>
      <c r="C408" s="3">
        <v>19.0</v>
      </c>
      <c r="D408" s="10">
        <v>4.0</v>
      </c>
      <c r="E408" s="11">
        <v>2014.0</v>
      </c>
      <c r="F408" s="13">
        <v>756982.56</v>
      </c>
      <c r="G408" s="13">
        <v>248263.68000000002</v>
      </c>
      <c r="H408" s="13">
        <v>508718.88</v>
      </c>
      <c r="I408" s="14">
        <v>0.6720351390922401</v>
      </c>
      <c r="J408" s="3" t="s">
        <v>5</v>
      </c>
      <c r="K408" s="3" t="s">
        <v>28</v>
      </c>
      <c r="L408" s="3" t="s">
        <v>98</v>
      </c>
    </row>
    <row r="409" ht="15.75" customHeight="1">
      <c r="A409" s="3">
        <v>3.80610454E8</v>
      </c>
      <c r="B409" s="3" t="s">
        <v>635</v>
      </c>
      <c r="C409" s="3">
        <v>8.0</v>
      </c>
      <c r="D409" s="10">
        <v>12.0</v>
      </c>
      <c r="E409" s="11">
        <v>2011.0</v>
      </c>
      <c r="F409" s="13">
        <v>4196117.9399999995</v>
      </c>
      <c r="G409" s="13">
        <v>3627206.7399999998</v>
      </c>
      <c r="H409" s="13">
        <v>568911.1999999997</v>
      </c>
      <c r="I409" s="14">
        <v>0.13558036455000114</v>
      </c>
      <c r="J409" s="3" t="s">
        <v>11</v>
      </c>
      <c r="K409" s="3" t="s">
        <v>28</v>
      </c>
      <c r="L409" s="3" t="s">
        <v>33</v>
      </c>
    </row>
    <row r="410" ht="15.75" customHeight="1">
      <c r="A410" s="3">
        <v>3.80684268E8</v>
      </c>
      <c r="B410" s="3" t="s">
        <v>434</v>
      </c>
      <c r="C410" s="3">
        <v>24.0</v>
      </c>
      <c r="D410" s="10">
        <v>1.0</v>
      </c>
      <c r="E410" s="11">
        <v>2015.0</v>
      </c>
      <c r="F410" s="13">
        <v>782150.7999999999</v>
      </c>
      <c r="G410" s="13">
        <v>471097.37</v>
      </c>
      <c r="H410" s="13">
        <v>311053.42999999993</v>
      </c>
      <c r="I410" s="14">
        <v>0.3976898444647758</v>
      </c>
      <c r="J410" s="3" t="s">
        <v>12</v>
      </c>
      <c r="K410" s="3" t="s">
        <v>28</v>
      </c>
      <c r="L410" s="3" t="s">
        <v>79</v>
      </c>
    </row>
    <row r="411" ht="15.75" customHeight="1">
      <c r="A411" s="3">
        <v>3.80733191E8</v>
      </c>
      <c r="B411" s="3" t="s">
        <v>46</v>
      </c>
      <c r="C411" s="3">
        <v>37.0</v>
      </c>
      <c r="D411" s="10">
        <v>3.0</v>
      </c>
      <c r="E411" s="11">
        <v>2013.0</v>
      </c>
      <c r="F411" s="13">
        <v>1599839.76</v>
      </c>
      <c r="G411" s="13">
        <v>999085.1399999999</v>
      </c>
      <c r="H411" s="13">
        <v>600754.6200000001</v>
      </c>
      <c r="I411" s="14">
        <v>0.3755092447508619</v>
      </c>
      <c r="J411" s="3" t="s">
        <v>10</v>
      </c>
      <c r="K411" s="3" t="s">
        <v>28</v>
      </c>
      <c r="L411" s="3" t="s">
        <v>33</v>
      </c>
    </row>
    <row r="412" ht="15.75" customHeight="1">
      <c r="A412" s="3">
        <v>3.81759297E8</v>
      </c>
      <c r="B412" s="3" t="s">
        <v>488</v>
      </c>
      <c r="C412" s="3">
        <v>21.0</v>
      </c>
      <c r="D412" s="10">
        <v>3.0</v>
      </c>
      <c r="E412" s="11">
        <v>2012.0</v>
      </c>
      <c r="F412" s="13">
        <v>1083401.92</v>
      </c>
      <c r="G412" s="13">
        <v>355317.76</v>
      </c>
      <c r="H412" s="13">
        <v>728084.1599999999</v>
      </c>
      <c r="I412" s="14">
        <v>0.6720351390922401</v>
      </c>
      <c r="J412" s="3" t="s">
        <v>5</v>
      </c>
      <c r="K412" s="3" t="s">
        <v>28</v>
      </c>
      <c r="L412" s="3" t="s">
        <v>33</v>
      </c>
    </row>
    <row r="413" ht="15.75" customHeight="1">
      <c r="A413" s="3">
        <v>3.81774747E8</v>
      </c>
      <c r="B413" s="3" t="s">
        <v>542</v>
      </c>
      <c r="C413" s="3">
        <v>17.0</v>
      </c>
      <c r="D413" s="10">
        <v>10.0</v>
      </c>
      <c r="E413" s="11">
        <v>2014.0</v>
      </c>
      <c r="F413" s="13">
        <v>41854.38</v>
      </c>
      <c r="G413" s="13">
        <v>31043.12</v>
      </c>
      <c r="H413" s="13">
        <v>10811.259999999998</v>
      </c>
      <c r="I413" s="14">
        <v>0.2583065380493033</v>
      </c>
      <c r="J413" s="3" t="s">
        <v>8</v>
      </c>
      <c r="K413" s="3" t="s">
        <v>28</v>
      </c>
      <c r="L413" s="3" t="s">
        <v>29</v>
      </c>
    </row>
    <row r="414" ht="15.75" customHeight="1">
      <c r="A414" s="3">
        <v>3.82581126E8</v>
      </c>
      <c r="B414" s="3" t="s">
        <v>364</v>
      </c>
      <c r="C414" s="3">
        <v>39.0</v>
      </c>
      <c r="D414" s="10">
        <v>2.0</v>
      </c>
      <c r="E414" s="11">
        <v>2013.0</v>
      </c>
      <c r="F414" s="13">
        <v>254343.76</v>
      </c>
      <c r="G414" s="13">
        <v>176357.04</v>
      </c>
      <c r="H414" s="13">
        <v>77986.72</v>
      </c>
      <c r="I414" s="14">
        <v>0.3066193564174722</v>
      </c>
      <c r="J414" s="3" t="s">
        <v>14</v>
      </c>
      <c r="K414" s="3" t="s">
        <v>28</v>
      </c>
      <c r="L414" s="3" t="s">
        <v>29</v>
      </c>
    </row>
    <row r="415" ht="15.75" customHeight="1">
      <c r="A415" s="3">
        <v>3.83611094E8</v>
      </c>
      <c r="B415" s="3" t="s">
        <v>97</v>
      </c>
      <c r="C415" s="3">
        <v>35.0</v>
      </c>
      <c r="D415" s="10">
        <v>7.0</v>
      </c>
      <c r="E415" s="11">
        <v>2016.0</v>
      </c>
      <c r="F415" s="13">
        <v>863530.56</v>
      </c>
      <c r="G415" s="13">
        <v>283207.68000000005</v>
      </c>
      <c r="H415" s="13">
        <v>580322.88</v>
      </c>
      <c r="I415" s="14">
        <v>0.6720351390922401</v>
      </c>
      <c r="J415" s="3" t="s">
        <v>5</v>
      </c>
      <c r="K415" s="3" t="s">
        <v>28</v>
      </c>
      <c r="L415" s="3" t="s">
        <v>98</v>
      </c>
    </row>
    <row r="416" ht="15.75" customHeight="1">
      <c r="A416" s="3">
        <v>3.84128224E8</v>
      </c>
      <c r="B416" s="3" t="s">
        <v>542</v>
      </c>
      <c r="C416" s="3">
        <v>37.0</v>
      </c>
      <c r="D416" s="10">
        <v>3.0</v>
      </c>
      <c r="E416" s="11">
        <v>2010.0</v>
      </c>
      <c r="F416" s="13">
        <v>623495.91</v>
      </c>
      <c r="G416" s="13">
        <v>468869.82</v>
      </c>
      <c r="H416" s="13">
        <v>154626.09000000003</v>
      </c>
      <c r="I416" s="14">
        <v>0.24799856345489102</v>
      </c>
      <c r="J416" s="3" t="s">
        <v>4</v>
      </c>
      <c r="K416" s="3" t="s">
        <v>28</v>
      </c>
      <c r="L416" s="3" t="s">
        <v>29</v>
      </c>
    </row>
    <row r="417" ht="15.75" customHeight="1">
      <c r="A417" s="3">
        <v>3.84483993E8</v>
      </c>
      <c r="B417" s="3" t="s">
        <v>78</v>
      </c>
      <c r="C417" s="3">
        <v>45.0</v>
      </c>
      <c r="D417" s="10">
        <v>5.0</v>
      </c>
      <c r="E417" s="11">
        <v>2011.0</v>
      </c>
      <c r="F417" s="13">
        <v>957020.72</v>
      </c>
      <c r="G417" s="13">
        <v>564857.16</v>
      </c>
      <c r="H417" s="13">
        <v>392163.55999999994</v>
      </c>
      <c r="I417" s="14">
        <v>0.4097754121770738</v>
      </c>
      <c r="J417" s="3" t="s">
        <v>9</v>
      </c>
      <c r="K417" s="3" t="s">
        <v>28</v>
      </c>
      <c r="L417" s="3" t="s">
        <v>79</v>
      </c>
    </row>
    <row r="418" ht="15.75" customHeight="1">
      <c r="A418" s="3">
        <v>3.84601581E8</v>
      </c>
      <c r="B418" s="3" t="s">
        <v>434</v>
      </c>
      <c r="C418" s="3">
        <v>24.0</v>
      </c>
      <c r="D418" s="10">
        <v>9.0</v>
      </c>
      <c r="E418" s="11">
        <v>2016.0</v>
      </c>
      <c r="F418" s="13">
        <v>9413.97</v>
      </c>
      <c r="G418" s="13">
        <v>6982.28</v>
      </c>
      <c r="H418" s="13">
        <v>2431.6899999999996</v>
      </c>
      <c r="I418" s="14">
        <v>0.2583065380493033</v>
      </c>
      <c r="J418" s="3" t="s">
        <v>8</v>
      </c>
      <c r="K418" s="3" t="s">
        <v>28</v>
      </c>
      <c r="L418" s="3" t="s">
        <v>79</v>
      </c>
    </row>
    <row r="419" ht="15.75" customHeight="1">
      <c r="A419" s="3">
        <v>3.84976232E8</v>
      </c>
      <c r="B419" s="3" t="s">
        <v>349</v>
      </c>
      <c r="C419" s="3">
        <v>44.0</v>
      </c>
      <c r="D419" s="10">
        <v>2.0</v>
      </c>
      <c r="E419" s="11">
        <v>2015.0</v>
      </c>
      <c r="F419" s="13">
        <v>1222321.1700000002</v>
      </c>
      <c r="G419" s="13">
        <v>985349.92</v>
      </c>
      <c r="H419" s="13">
        <v>236971.25000000012</v>
      </c>
      <c r="I419" s="14">
        <v>0.19386987300563574</v>
      </c>
      <c r="J419" s="3" t="s">
        <v>7</v>
      </c>
      <c r="K419" s="3" t="s">
        <v>28</v>
      </c>
      <c r="L419" s="3" t="s">
        <v>29</v>
      </c>
    </row>
    <row r="420" ht="15.75" customHeight="1">
      <c r="A420" s="3">
        <v>3.85080945E8</v>
      </c>
      <c r="B420" s="3" t="s">
        <v>215</v>
      </c>
      <c r="C420" s="3">
        <v>1.0</v>
      </c>
      <c r="D420" s="10">
        <v>11.0</v>
      </c>
      <c r="E420" s="11">
        <v>2015.0</v>
      </c>
      <c r="F420" s="13">
        <v>1252140.8</v>
      </c>
      <c r="G420" s="13">
        <v>754177.12</v>
      </c>
      <c r="H420" s="13">
        <v>497963.68000000005</v>
      </c>
      <c r="I420" s="14">
        <v>0.3976898444647759</v>
      </c>
      <c r="J420" s="3" t="s">
        <v>12</v>
      </c>
      <c r="K420" s="3" t="s">
        <v>23</v>
      </c>
      <c r="L420" s="3" t="s">
        <v>68</v>
      </c>
    </row>
    <row r="421" ht="15.75" customHeight="1">
      <c r="A421" s="3">
        <v>3.85340154E8</v>
      </c>
      <c r="B421" s="3" t="s">
        <v>291</v>
      </c>
      <c r="C421" s="3">
        <v>21.0</v>
      </c>
      <c r="D421" s="10">
        <v>2.0</v>
      </c>
      <c r="E421" s="11">
        <v>2012.0</v>
      </c>
      <c r="F421" s="13">
        <v>4183566.8</v>
      </c>
      <c r="G421" s="13">
        <v>2519804.77</v>
      </c>
      <c r="H421" s="13">
        <v>1663762.0299999998</v>
      </c>
      <c r="I421" s="14">
        <v>0.3976898444647758</v>
      </c>
      <c r="J421" s="3" t="s">
        <v>12</v>
      </c>
      <c r="K421" s="3" t="s">
        <v>28</v>
      </c>
      <c r="L421" s="3" t="s">
        <v>79</v>
      </c>
    </row>
    <row r="422" ht="15.75" customHeight="1">
      <c r="A422" s="3">
        <v>3.86009633E8</v>
      </c>
      <c r="B422" s="3" t="s">
        <v>431</v>
      </c>
      <c r="C422" s="3">
        <v>5.0</v>
      </c>
      <c r="D422" s="10">
        <v>3.0</v>
      </c>
      <c r="E422" s="11">
        <v>2013.0</v>
      </c>
      <c r="F422" s="13">
        <v>627931.5900000001</v>
      </c>
      <c r="G422" s="13">
        <v>435395.61</v>
      </c>
      <c r="H422" s="13">
        <v>192535.9800000001</v>
      </c>
      <c r="I422" s="14">
        <v>0.3066193564174723</v>
      </c>
      <c r="J422" s="3" t="s">
        <v>14</v>
      </c>
      <c r="K422" s="3" t="s">
        <v>28</v>
      </c>
      <c r="L422" s="3" t="s">
        <v>29</v>
      </c>
    </row>
    <row r="423" ht="15.75" customHeight="1">
      <c r="A423" s="3">
        <v>3.86319911E8</v>
      </c>
      <c r="B423" s="3" t="s">
        <v>671</v>
      </c>
      <c r="C423" s="3">
        <v>17.0</v>
      </c>
      <c r="D423" s="10">
        <v>12.0</v>
      </c>
      <c r="E423" s="11">
        <v>2010.0</v>
      </c>
      <c r="F423" s="13">
        <v>1463724.06</v>
      </c>
      <c r="G423" s="13">
        <v>863925.93</v>
      </c>
      <c r="H423" s="13">
        <v>599798.13</v>
      </c>
      <c r="I423" s="14">
        <v>0.40977541217707386</v>
      </c>
      <c r="J423" s="3" t="s">
        <v>9</v>
      </c>
      <c r="K423" s="3" t="s">
        <v>28</v>
      </c>
      <c r="L423" s="3" t="s">
        <v>33</v>
      </c>
    </row>
    <row r="424" ht="15.75" customHeight="1">
      <c r="A424" s="3">
        <v>3.86440074E8</v>
      </c>
      <c r="B424" s="3" t="s">
        <v>575</v>
      </c>
      <c r="C424" s="3">
        <v>20.0</v>
      </c>
      <c r="D424" s="10">
        <v>4.0</v>
      </c>
      <c r="E424" s="11">
        <v>2014.0</v>
      </c>
      <c r="F424" s="13">
        <v>413553.80000000005</v>
      </c>
      <c r="G424" s="13">
        <v>286750.2</v>
      </c>
      <c r="H424" s="13">
        <v>126803.60000000003</v>
      </c>
      <c r="I424" s="14">
        <v>0.30661935641747223</v>
      </c>
      <c r="J424" s="3" t="s">
        <v>14</v>
      </c>
      <c r="K424" s="3" t="s">
        <v>28</v>
      </c>
      <c r="L424" s="3" t="s">
        <v>98</v>
      </c>
    </row>
    <row r="425" ht="15.75" customHeight="1">
      <c r="A425" s="3">
        <v>3.86601865E8</v>
      </c>
      <c r="B425" s="3" t="s">
        <v>431</v>
      </c>
      <c r="C425" s="3">
        <v>9.0</v>
      </c>
      <c r="D425" s="10">
        <v>7.0</v>
      </c>
      <c r="E425" s="11">
        <v>2016.0</v>
      </c>
      <c r="F425" s="13">
        <v>452628.28</v>
      </c>
      <c r="G425" s="13">
        <v>267152.34</v>
      </c>
      <c r="H425" s="13">
        <v>185475.94</v>
      </c>
      <c r="I425" s="14">
        <v>0.40977541217707386</v>
      </c>
      <c r="J425" s="3" t="s">
        <v>9</v>
      </c>
      <c r="K425" s="3" t="s">
        <v>28</v>
      </c>
      <c r="L425" s="3" t="s">
        <v>29</v>
      </c>
    </row>
    <row r="426" ht="15.75" customHeight="1">
      <c r="A426" s="3">
        <v>3.87098824E8</v>
      </c>
      <c r="B426" s="3" t="s">
        <v>746</v>
      </c>
      <c r="C426" s="3">
        <v>12.0</v>
      </c>
      <c r="D426" s="10">
        <v>12.0</v>
      </c>
      <c r="E426" s="11">
        <v>2013.0</v>
      </c>
      <c r="F426" s="13">
        <v>817218.27</v>
      </c>
      <c r="G426" s="13">
        <v>566643.3300000001</v>
      </c>
      <c r="H426" s="13">
        <v>250574.93999999994</v>
      </c>
      <c r="I426" s="14">
        <v>0.30661935641747207</v>
      </c>
      <c r="J426" s="3" t="s">
        <v>14</v>
      </c>
      <c r="K426" s="3" t="s">
        <v>28</v>
      </c>
      <c r="L426" s="3" t="s">
        <v>29</v>
      </c>
    </row>
    <row r="427" ht="15.75" customHeight="1">
      <c r="A427" s="3">
        <v>3.8872832E8</v>
      </c>
      <c r="B427" s="3" t="s">
        <v>123</v>
      </c>
      <c r="C427" s="3">
        <v>40.0</v>
      </c>
      <c r="D427" s="10">
        <v>3.0</v>
      </c>
      <c r="E427" s="11">
        <v>2012.0</v>
      </c>
      <c r="F427" s="13">
        <v>336133.74000000005</v>
      </c>
      <c r="G427" s="13">
        <v>214660.32</v>
      </c>
      <c r="H427" s="13">
        <v>121473.42000000004</v>
      </c>
      <c r="I427" s="14">
        <v>0.3613841918993316</v>
      </c>
      <c r="J427" s="3" t="s">
        <v>13</v>
      </c>
      <c r="K427" s="3" t="s">
        <v>28</v>
      </c>
      <c r="L427" s="3" t="s">
        <v>33</v>
      </c>
    </row>
    <row r="428" ht="15.75" customHeight="1">
      <c r="A428" s="3">
        <v>3.91026866E8</v>
      </c>
      <c r="B428" s="3" t="s">
        <v>671</v>
      </c>
      <c r="C428" s="3">
        <v>5.0</v>
      </c>
      <c r="D428" s="10">
        <v>1.0</v>
      </c>
      <c r="E428" s="11">
        <v>2017.0</v>
      </c>
      <c r="F428" s="13">
        <v>1046656.7999999999</v>
      </c>
      <c r="G428" s="13">
        <v>630412.02</v>
      </c>
      <c r="H428" s="13">
        <v>416244.7799999999</v>
      </c>
      <c r="I428" s="14">
        <v>0.3976898444647758</v>
      </c>
      <c r="J428" s="3" t="s">
        <v>12</v>
      </c>
      <c r="K428" s="3" t="s">
        <v>28</v>
      </c>
      <c r="L428" s="3" t="s">
        <v>33</v>
      </c>
    </row>
    <row r="429" ht="15.75" customHeight="1">
      <c r="A429" s="3">
        <v>3.91200673E8</v>
      </c>
      <c r="B429" s="3" t="s">
        <v>270</v>
      </c>
      <c r="C429" s="3">
        <v>25.0</v>
      </c>
      <c r="D429" s="10">
        <v>1.0</v>
      </c>
      <c r="E429" s="11">
        <v>2012.0</v>
      </c>
      <c r="F429" s="13">
        <v>2492180.67</v>
      </c>
      <c r="G429" s="13">
        <v>2009021.9200000002</v>
      </c>
      <c r="H429" s="13">
        <v>483158.74999999977</v>
      </c>
      <c r="I429" s="14">
        <v>0.19386987300563557</v>
      </c>
      <c r="J429" s="3" t="s">
        <v>7</v>
      </c>
      <c r="K429" s="3" t="s">
        <v>28</v>
      </c>
      <c r="L429" s="3" t="s">
        <v>79</v>
      </c>
    </row>
    <row r="430" ht="15.75" customHeight="1">
      <c r="A430" s="3">
        <v>3.91849982E8</v>
      </c>
      <c r="B430" s="3" t="s">
        <v>288</v>
      </c>
      <c r="C430" s="3">
        <v>11.0</v>
      </c>
      <c r="D430" s="10">
        <v>11.0</v>
      </c>
      <c r="E430" s="11">
        <v>2016.0</v>
      </c>
      <c r="F430" s="13">
        <v>1228440.4</v>
      </c>
      <c r="G430" s="13">
        <v>699380.92</v>
      </c>
      <c r="H430" s="13">
        <v>529059.4799999999</v>
      </c>
      <c r="I430" s="14">
        <v>0.43067574137092846</v>
      </c>
      <c r="J430" s="3" t="s">
        <v>3</v>
      </c>
      <c r="K430" s="3" t="s">
        <v>23</v>
      </c>
      <c r="L430" s="3" t="s">
        <v>68</v>
      </c>
    </row>
    <row r="431" ht="15.75" customHeight="1">
      <c r="A431" s="3">
        <v>3.92217338E8</v>
      </c>
      <c r="B431" s="3" t="s">
        <v>542</v>
      </c>
      <c r="C431" s="3">
        <v>3.0</v>
      </c>
      <c r="D431" s="10">
        <v>3.0</v>
      </c>
      <c r="E431" s="11">
        <v>2016.0</v>
      </c>
      <c r="F431" s="13">
        <v>714226.9800000001</v>
      </c>
      <c r="G431" s="13">
        <v>456116.64</v>
      </c>
      <c r="H431" s="13">
        <v>258110.34000000008</v>
      </c>
      <c r="I431" s="14">
        <v>0.3613841918993316</v>
      </c>
      <c r="J431" s="3" t="s">
        <v>13</v>
      </c>
      <c r="K431" s="3" t="s">
        <v>28</v>
      </c>
      <c r="L431" s="3" t="s">
        <v>29</v>
      </c>
    </row>
    <row r="432" ht="15.75" customHeight="1">
      <c r="A432" s="3">
        <v>3.92252957E8</v>
      </c>
      <c r="B432" s="3" t="s">
        <v>671</v>
      </c>
      <c r="C432" s="3">
        <v>49.0</v>
      </c>
      <c r="D432" s="10">
        <v>1.0</v>
      </c>
      <c r="E432" s="11">
        <v>2015.0</v>
      </c>
      <c r="F432" s="13">
        <v>1074165.4</v>
      </c>
      <c r="G432" s="13">
        <v>611548.42</v>
      </c>
      <c r="H432" s="13">
        <v>462616.97999999986</v>
      </c>
      <c r="I432" s="14">
        <v>0.43067574137092846</v>
      </c>
      <c r="J432" s="3" t="s">
        <v>3</v>
      </c>
      <c r="K432" s="3" t="s">
        <v>28</v>
      </c>
      <c r="L432" s="3" t="s">
        <v>33</v>
      </c>
    </row>
    <row r="433" ht="15.75" customHeight="1">
      <c r="A433" s="3">
        <v>3.92518174E8</v>
      </c>
      <c r="B433" s="3" t="s">
        <v>635</v>
      </c>
      <c r="C433" s="3">
        <v>8.0</v>
      </c>
      <c r="D433" s="10">
        <v>6.0</v>
      </c>
      <c r="E433" s="11">
        <v>2011.0</v>
      </c>
      <c r="F433" s="13">
        <v>570792.3</v>
      </c>
      <c r="G433" s="13">
        <v>336895.65</v>
      </c>
      <c r="H433" s="13">
        <v>233896.65000000002</v>
      </c>
      <c r="I433" s="14">
        <v>0.40977541217707386</v>
      </c>
      <c r="J433" s="3" t="s">
        <v>9</v>
      </c>
      <c r="K433" s="3" t="s">
        <v>28</v>
      </c>
      <c r="L433" s="3" t="s">
        <v>33</v>
      </c>
    </row>
    <row r="434" ht="15.75" customHeight="1">
      <c r="A434" s="3">
        <v>3.92676532E8</v>
      </c>
      <c r="B434" s="3" t="s">
        <v>215</v>
      </c>
      <c r="C434" s="3">
        <v>32.0</v>
      </c>
      <c r="D434" s="10">
        <v>7.0</v>
      </c>
      <c r="E434" s="11">
        <v>2011.0</v>
      </c>
      <c r="F434" s="13">
        <v>116631.9</v>
      </c>
      <c r="G434" s="13">
        <v>66401.37</v>
      </c>
      <c r="H434" s="13">
        <v>50230.53</v>
      </c>
      <c r="I434" s="14">
        <v>0.43067574137092857</v>
      </c>
      <c r="J434" s="3" t="s">
        <v>3</v>
      </c>
      <c r="K434" s="3" t="s">
        <v>23</v>
      </c>
      <c r="L434" s="3" t="s">
        <v>68</v>
      </c>
    </row>
    <row r="435" ht="15.75" customHeight="1">
      <c r="A435" s="3">
        <v>3.92752492E8</v>
      </c>
      <c r="B435" s="3" t="s">
        <v>512</v>
      </c>
      <c r="C435" s="3">
        <v>26.0</v>
      </c>
      <c r="D435" s="10">
        <v>5.0</v>
      </c>
      <c r="E435" s="11">
        <v>2010.0</v>
      </c>
      <c r="F435" s="13">
        <v>248867.85</v>
      </c>
      <c r="G435" s="13">
        <v>172560.15</v>
      </c>
      <c r="H435" s="13">
        <v>76307.70000000001</v>
      </c>
      <c r="I435" s="14">
        <v>0.3066193564174722</v>
      </c>
      <c r="J435" s="3" t="s">
        <v>14</v>
      </c>
      <c r="K435" s="3" t="s">
        <v>28</v>
      </c>
      <c r="L435" s="3" t="s">
        <v>79</v>
      </c>
    </row>
    <row r="436" ht="15.75" customHeight="1">
      <c r="A436" s="3">
        <v>3.93709933E8</v>
      </c>
      <c r="B436" s="3" t="s">
        <v>270</v>
      </c>
      <c r="C436" s="3">
        <v>44.0</v>
      </c>
      <c r="D436" s="10">
        <v>3.0</v>
      </c>
      <c r="E436" s="11">
        <v>2017.0</v>
      </c>
      <c r="F436" s="13">
        <v>59460.090000000004</v>
      </c>
      <c r="G436" s="13">
        <v>44101.159999999996</v>
      </c>
      <c r="H436" s="13">
        <v>15358.930000000008</v>
      </c>
      <c r="I436" s="14">
        <v>0.2583065380493034</v>
      </c>
      <c r="J436" s="3" t="s">
        <v>8</v>
      </c>
      <c r="K436" s="3" t="s">
        <v>28</v>
      </c>
      <c r="L436" s="3" t="s">
        <v>79</v>
      </c>
    </row>
    <row r="437" ht="15.75" customHeight="1">
      <c r="A437" s="3">
        <v>3.93842971E8</v>
      </c>
      <c r="B437" s="3" t="s">
        <v>635</v>
      </c>
      <c r="C437" s="3">
        <v>19.0</v>
      </c>
      <c r="D437" s="10">
        <v>1.0</v>
      </c>
      <c r="E437" s="11">
        <v>2010.0</v>
      </c>
      <c r="F437" s="13">
        <v>627485.76</v>
      </c>
      <c r="G437" s="13">
        <v>205793.28000000003</v>
      </c>
      <c r="H437" s="13">
        <v>421692.48</v>
      </c>
      <c r="I437" s="14">
        <v>0.6720351390922401</v>
      </c>
      <c r="J437" s="3" t="s">
        <v>5</v>
      </c>
      <c r="K437" s="3" t="s">
        <v>28</v>
      </c>
      <c r="L437" s="3" t="s">
        <v>33</v>
      </c>
    </row>
    <row r="438" ht="15.75" customHeight="1">
      <c r="A438" s="3">
        <v>3.9385842E8</v>
      </c>
      <c r="B438" s="3" t="s">
        <v>650</v>
      </c>
      <c r="C438" s="3">
        <v>15.0</v>
      </c>
      <c r="D438" s="10">
        <v>8.0</v>
      </c>
      <c r="E438" s="11">
        <v>2012.0</v>
      </c>
      <c r="F438" s="13">
        <v>2929.62</v>
      </c>
      <c r="G438" s="13">
        <v>2172.88</v>
      </c>
      <c r="H438" s="13">
        <v>756.7399999999998</v>
      </c>
      <c r="I438" s="14">
        <v>0.25830653804930326</v>
      </c>
      <c r="J438" s="3" t="s">
        <v>8</v>
      </c>
      <c r="K438" s="3" t="s">
        <v>28</v>
      </c>
      <c r="L438" s="3" t="s">
        <v>98</v>
      </c>
    </row>
    <row r="439" ht="15.75" customHeight="1">
      <c r="A439" s="3">
        <v>3.94110763E8</v>
      </c>
      <c r="B439" s="3" t="s">
        <v>101</v>
      </c>
      <c r="C439" s="3">
        <v>3.0</v>
      </c>
      <c r="D439" s="10">
        <v>12.0</v>
      </c>
      <c r="E439" s="11">
        <v>2011.0</v>
      </c>
      <c r="F439" s="13">
        <v>768451.28</v>
      </c>
      <c r="G439" s="13">
        <v>453558.84</v>
      </c>
      <c r="H439" s="13">
        <v>314892.44</v>
      </c>
      <c r="I439" s="14">
        <v>0.40977541217707386</v>
      </c>
      <c r="J439" s="3" t="s">
        <v>9</v>
      </c>
      <c r="K439" s="3" t="s">
        <v>28</v>
      </c>
      <c r="L439" s="3" t="s">
        <v>79</v>
      </c>
    </row>
    <row r="440" ht="15.75" customHeight="1">
      <c r="A440" s="3">
        <v>3.94356667E8</v>
      </c>
      <c r="B440" s="3" t="s">
        <v>746</v>
      </c>
      <c r="C440" s="3">
        <v>5.0</v>
      </c>
      <c r="D440" s="10">
        <v>7.0</v>
      </c>
      <c r="E440" s="11">
        <v>2016.0</v>
      </c>
      <c r="F440" s="13">
        <v>5183102.12</v>
      </c>
      <c r="G440" s="13">
        <v>3897700.24</v>
      </c>
      <c r="H440" s="13">
        <v>1285401.88</v>
      </c>
      <c r="I440" s="14">
        <v>0.24799856345489096</v>
      </c>
      <c r="J440" s="3" t="s">
        <v>4</v>
      </c>
      <c r="K440" s="3" t="s">
        <v>28</v>
      </c>
      <c r="L440" s="3" t="s">
        <v>29</v>
      </c>
    </row>
    <row r="441" ht="15.75" customHeight="1">
      <c r="A441" s="3">
        <v>3.9445666E8</v>
      </c>
      <c r="B441" s="3" t="s">
        <v>488</v>
      </c>
      <c r="C441" s="3">
        <v>9.0</v>
      </c>
      <c r="D441" s="10">
        <v>1.0</v>
      </c>
      <c r="E441" s="11">
        <v>2016.0</v>
      </c>
      <c r="F441" s="13">
        <v>68538.18000000001</v>
      </c>
      <c r="G441" s="13">
        <v>50834.32</v>
      </c>
      <c r="H441" s="13">
        <v>17703.860000000008</v>
      </c>
      <c r="I441" s="14">
        <v>0.2583065380493034</v>
      </c>
      <c r="J441" s="3" t="s">
        <v>8</v>
      </c>
      <c r="K441" s="3" t="s">
        <v>28</v>
      </c>
      <c r="L441" s="3" t="s">
        <v>33</v>
      </c>
    </row>
    <row r="442" ht="15.75" customHeight="1">
      <c r="A442" s="3">
        <v>3.95562589E8</v>
      </c>
      <c r="B442" s="3" t="s">
        <v>635</v>
      </c>
      <c r="C442" s="3">
        <v>50.0</v>
      </c>
      <c r="D442" s="10">
        <v>10.0</v>
      </c>
      <c r="E442" s="11">
        <v>2010.0</v>
      </c>
      <c r="F442" s="13">
        <v>218981.75</v>
      </c>
      <c r="G442" s="13">
        <v>146710.85</v>
      </c>
      <c r="H442" s="13">
        <v>72270.9</v>
      </c>
      <c r="I442" s="14">
        <v>0.330031612223393</v>
      </c>
      <c r="J442" s="3" t="s">
        <v>6</v>
      </c>
      <c r="K442" s="3" t="s">
        <v>28</v>
      </c>
      <c r="L442" s="3" t="s">
        <v>33</v>
      </c>
    </row>
    <row r="443" ht="15.75" customHeight="1">
      <c r="A443" s="3">
        <v>3.96462953E8</v>
      </c>
      <c r="B443" s="3" t="s">
        <v>364</v>
      </c>
      <c r="C443" s="3">
        <v>36.0</v>
      </c>
      <c r="D443" s="10">
        <v>1.0</v>
      </c>
      <c r="E443" s="11">
        <v>2016.0</v>
      </c>
      <c r="F443" s="13">
        <v>86061.69</v>
      </c>
      <c r="G443" s="13">
        <v>59673.51</v>
      </c>
      <c r="H443" s="13">
        <v>26388.18</v>
      </c>
      <c r="I443" s="14">
        <v>0.3066193564174722</v>
      </c>
      <c r="J443" s="3" t="s">
        <v>14</v>
      </c>
      <c r="K443" s="3" t="s">
        <v>28</v>
      </c>
      <c r="L443" s="3" t="s">
        <v>29</v>
      </c>
    </row>
    <row r="444" ht="15.75" customHeight="1">
      <c r="A444" s="3">
        <v>3.96552217E8</v>
      </c>
      <c r="B444" s="3" t="s">
        <v>215</v>
      </c>
      <c r="C444" s="3">
        <v>47.0</v>
      </c>
      <c r="D444" s="10">
        <v>3.0</v>
      </c>
      <c r="E444" s="11">
        <v>2014.0</v>
      </c>
      <c r="F444" s="13">
        <v>816103.04</v>
      </c>
      <c r="G444" s="13">
        <v>267653.12000000005</v>
      </c>
      <c r="H444" s="13">
        <v>548449.9199999999</v>
      </c>
      <c r="I444" s="14">
        <v>0.67203513909224</v>
      </c>
      <c r="J444" s="3" t="s">
        <v>5</v>
      </c>
      <c r="K444" s="3" t="s">
        <v>23</v>
      </c>
      <c r="L444" s="3" t="s">
        <v>68</v>
      </c>
    </row>
    <row r="445" ht="15.75" customHeight="1">
      <c r="A445" s="3">
        <v>3.96718728E8</v>
      </c>
      <c r="B445" s="3" t="s">
        <v>123</v>
      </c>
      <c r="C445" s="3">
        <v>39.0</v>
      </c>
      <c r="D445" s="10">
        <v>2.0</v>
      </c>
      <c r="E445" s="11">
        <v>2010.0</v>
      </c>
      <c r="F445" s="13">
        <v>551023.66</v>
      </c>
      <c r="G445" s="13">
        <v>382069.14</v>
      </c>
      <c r="H445" s="13">
        <v>168954.52000000002</v>
      </c>
      <c r="I445" s="14">
        <v>0.3066193564174722</v>
      </c>
      <c r="J445" s="3" t="s">
        <v>14</v>
      </c>
      <c r="K445" s="3" t="s">
        <v>28</v>
      </c>
      <c r="L445" s="3" t="s">
        <v>33</v>
      </c>
    </row>
    <row r="446" ht="15.75" customHeight="1">
      <c r="A446" s="3">
        <v>3.96832883E8</v>
      </c>
      <c r="B446" s="3" t="s">
        <v>206</v>
      </c>
      <c r="C446" s="3">
        <v>2.0</v>
      </c>
      <c r="D446" s="10">
        <v>3.0</v>
      </c>
      <c r="E446" s="11">
        <v>2013.0</v>
      </c>
      <c r="F446" s="13">
        <v>42744.79</v>
      </c>
      <c r="G446" s="13">
        <v>29638.41</v>
      </c>
      <c r="H446" s="13">
        <v>13106.380000000001</v>
      </c>
      <c r="I446" s="14">
        <v>0.3066193564174722</v>
      </c>
      <c r="J446" s="3" t="s">
        <v>14</v>
      </c>
      <c r="K446" s="3" t="s">
        <v>28</v>
      </c>
      <c r="L446" s="3" t="s">
        <v>33</v>
      </c>
    </row>
    <row r="447" ht="15.75" customHeight="1">
      <c r="A447" s="3">
        <v>3.97874438E8</v>
      </c>
      <c r="B447" s="3" t="s">
        <v>650</v>
      </c>
      <c r="C447" s="3">
        <v>33.0</v>
      </c>
      <c r="D447" s="10">
        <v>10.0</v>
      </c>
      <c r="E447" s="11">
        <v>2014.0</v>
      </c>
      <c r="F447" s="13">
        <v>414855.35000000003</v>
      </c>
      <c r="G447" s="13">
        <v>277939.97</v>
      </c>
      <c r="H447" s="13">
        <v>136915.38000000006</v>
      </c>
      <c r="I447" s="14">
        <v>0.33003161222339317</v>
      </c>
      <c r="J447" s="3" t="s">
        <v>6</v>
      </c>
      <c r="K447" s="3" t="s">
        <v>28</v>
      </c>
      <c r="L447" s="3" t="s">
        <v>98</v>
      </c>
    </row>
    <row r="448" ht="15.75" customHeight="1">
      <c r="A448" s="3">
        <v>3.98104035E8</v>
      </c>
      <c r="B448" s="3" t="s">
        <v>455</v>
      </c>
      <c r="C448" s="3">
        <v>48.0</v>
      </c>
      <c r="D448" s="10">
        <v>6.0</v>
      </c>
      <c r="E448" s="11">
        <v>2012.0</v>
      </c>
      <c r="F448" s="13">
        <v>1706802.08</v>
      </c>
      <c r="G448" s="13">
        <v>1065882.1199999999</v>
      </c>
      <c r="H448" s="13">
        <v>640919.9600000002</v>
      </c>
      <c r="I448" s="14">
        <v>0.3755092447508619</v>
      </c>
      <c r="J448" s="3" t="s">
        <v>10</v>
      </c>
      <c r="K448" s="3" t="s">
        <v>28</v>
      </c>
      <c r="L448" s="3" t="s">
        <v>33</v>
      </c>
    </row>
    <row r="449" ht="15.75" customHeight="1">
      <c r="A449" s="3">
        <v>3.98333632E8</v>
      </c>
      <c r="B449" s="3" t="s">
        <v>291</v>
      </c>
      <c r="C449" s="3">
        <v>11.0</v>
      </c>
      <c r="D449" s="10">
        <v>2.0</v>
      </c>
      <c r="E449" s="11">
        <v>2010.0</v>
      </c>
      <c r="F449" s="13">
        <v>952185.2999999999</v>
      </c>
      <c r="G449" s="13">
        <v>542102.19</v>
      </c>
      <c r="H449" s="13">
        <v>410083.11</v>
      </c>
      <c r="I449" s="14">
        <v>0.43067574137092857</v>
      </c>
      <c r="J449" s="3" t="s">
        <v>3</v>
      </c>
      <c r="K449" s="3" t="s">
        <v>28</v>
      </c>
      <c r="L449" s="3" t="s">
        <v>79</v>
      </c>
    </row>
    <row r="450" ht="15.75" customHeight="1">
      <c r="A450" s="3">
        <v>3.98645198E8</v>
      </c>
      <c r="B450" s="3" t="s">
        <v>346</v>
      </c>
      <c r="C450" s="3">
        <v>9.0</v>
      </c>
      <c r="D450" s="10">
        <v>5.0</v>
      </c>
      <c r="E450" s="11">
        <v>2014.0</v>
      </c>
      <c r="F450" s="13">
        <v>1743051.84</v>
      </c>
      <c r="G450" s="13">
        <v>1088519.76</v>
      </c>
      <c r="H450" s="13">
        <v>654532.0800000001</v>
      </c>
      <c r="I450" s="14">
        <v>0.37550924475086184</v>
      </c>
      <c r="J450" s="3" t="s">
        <v>10</v>
      </c>
      <c r="K450" s="3" t="s">
        <v>28</v>
      </c>
      <c r="L450" s="3" t="s">
        <v>98</v>
      </c>
    </row>
    <row r="451" ht="15.75" customHeight="1">
      <c r="A451" s="3">
        <v>3.99115979E8</v>
      </c>
      <c r="B451" s="3" t="s">
        <v>671</v>
      </c>
      <c r="C451" s="3">
        <v>23.0</v>
      </c>
      <c r="D451" s="10">
        <v>6.0</v>
      </c>
      <c r="E451" s="11">
        <v>2015.0</v>
      </c>
      <c r="F451" s="13">
        <v>946236.52</v>
      </c>
      <c r="G451" s="13">
        <v>558492.06</v>
      </c>
      <c r="H451" s="13">
        <v>387744.45999999996</v>
      </c>
      <c r="I451" s="14">
        <v>0.4097754121770738</v>
      </c>
      <c r="J451" s="3" t="s">
        <v>9</v>
      </c>
      <c r="K451" s="3" t="s">
        <v>28</v>
      </c>
      <c r="L451" s="3" t="s">
        <v>33</v>
      </c>
    </row>
    <row r="452" ht="15.75" customHeight="1">
      <c r="A452" s="3">
        <v>3.99256312E8</v>
      </c>
      <c r="B452" s="3" t="s">
        <v>653</v>
      </c>
      <c r="C452" s="3">
        <v>25.0</v>
      </c>
      <c r="D452" s="10">
        <v>12.0</v>
      </c>
      <c r="E452" s="11">
        <v>2014.0</v>
      </c>
      <c r="F452" s="13">
        <v>71561.1</v>
      </c>
      <c r="G452" s="13">
        <v>53076.4</v>
      </c>
      <c r="H452" s="13">
        <v>18484.700000000004</v>
      </c>
      <c r="I452" s="14">
        <v>0.25830653804930337</v>
      </c>
      <c r="J452" s="3" t="s">
        <v>8</v>
      </c>
      <c r="K452" s="3" t="s">
        <v>28</v>
      </c>
      <c r="L452" s="3" t="s">
        <v>33</v>
      </c>
    </row>
    <row r="453" ht="15.75" customHeight="1">
      <c r="A453" s="3">
        <v>4.00267398E8</v>
      </c>
      <c r="B453" s="3" t="s">
        <v>78</v>
      </c>
      <c r="C453" s="3">
        <v>9.0</v>
      </c>
      <c r="D453" s="10">
        <v>7.0</v>
      </c>
      <c r="E453" s="11">
        <v>2013.0</v>
      </c>
      <c r="F453" s="13">
        <v>1048682.34</v>
      </c>
      <c r="G453" s="13">
        <v>669705.12</v>
      </c>
      <c r="H453" s="13">
        <v>378977.2200000001</v>
      </c>
      <c r="I453" s="14">
        <v>0.3613841918993316</v>
      </c>
      <c r="J453" s="3" t="s">
        <v>13</v>
      </c>
      <c r="K453" s="3" t="s">
        <v>28</v>
      </c>
      <c r="L453" s="3" t="s">
        <v>79</v>
      </c>
    </row>
    <row r="454" ht="15.75" customHeight="1">
      <c r="A454" s="3">
        <v>4.00904691E8</v>
      </c>
      <c r="B454" s="3" t="s">
        <v>413</v>
      </c>
      <c r="C454" s="3">
        <v>14.0</v>
      </c>
      <c r="D454" s="10">
        <v>6.0</v>
      </c>
      <c r="E454" s="11">
        <v>2010.0</v>
      </c>
      <c r="F454" s="13">
        <v>1123533.4</v>
      </c>
      <c r="G454" s="13">
        <v>639654.82</v>
      </c>
      <c r="H454" s="13">
        <v>483878.57999999996</v>
      </c>
      <c r="I454" s="14">
        <v>0.4306757413709285</v>
      </c>
      <c r="J454" s="3" t="s">
        <v>3</v>
      </c>
      <c r="K454" s="3" t="s">
        <v>28</v>
      </c>
      <c r="L454" s="3" t="s">
        <v>29</v>
      </c>
    </row>
    <row r="455" ht="15.75" customHeight="1">
      <c r="A455" s="3">
        <v>4.01993882E8</v>
      </c>
      <c r="B455" s="3" t="s">
        <v>740</v>
      </c>
      <c r="C455" s="3">
        <v>21.0</v>
      </c>
      <c r="D455" s="10">
        <v>3.0</v>
      </c>
      <c r="E455" s="11">
        <v>2011.0</v>
      </c>
      <c r="F455" s="13">
        <v>1599934.5999999999</v>
      </c>
      <c r="G455" s="13">
        <v>910881.58</v>
      </c>
      <c r="H455" s="13">
        <v>689053.0199999999</v>
      </c>
      <c r="I455" s="14">
        <v>0.4306757413709285</v>
      </c>
      <c r="J455" s="3" t="s">
        <v>3</v>
      </c>
      <c r="K455" s="3" t="s">
        <v>28</v>
      </c>
      <c r="L455" s="3" t="s">
        <v>98</v>
      </c>
    </row>
    <row r="456" ht="15.75" customHeight="1">
      <c r="A456" s="3">
        <v>4.03337991E8</v>
      </c>
      <c r="B456" s="3" t="s">
        <v>46</v>
      </c>
      <c r="C456" s="3">
        <v>40.0</v>
      </c>
      <c r="D456" s="10">
        <v>10.0</v>
      </c>
      <c r="E456" s="11">
        <v>2016.0</v>
      </c>
      <c r="F456" s="13">
        <v>851797.74</v>
      </c>
      <c r="G456" s="13">
        <v>502751.97000000003</v>
      </c>
      <c r="H456" s="13">
        <v>349045.76999999996</v>
      </c>
      <c r="I456" s="14">
        <v>0.4097754121770738</v>
      </c>
      <c r="J456" s="3" t="s">
        <v>9</v>
      </c>
      <c r="K456" s="3" t="s">
        <v>28</v>
      </c>
      <c r="L456" s="3" t="s">
        <v>33</v>
      </c>
    </row>
    <row r="457" ht="15.75" customHeight="1">
      <c r="A457" s="3">
        <v>4.03665006E8</v>
      </c>
      <c r="B457" s="3" t="s">
        <v>97</v>
      </c>
      <c r="C457" s="3">
        <v>34.0</v>
      </c>
      <c r="D457" s="10">
        <v>1.0</v>
      </c>
      <c r="E457" s="11">
        <v>2016.0</v>
      </c>
      <c r="F457" s="13">
        <v>350934.0</v>
      </c>
      <c r="G457" s="13">
        <v>224112.0</v>
      </c>
      <c r="H457" s="13">
        <v>126822.0</v>
      </c>
      <c r="I457" s="14">
        <v>0.3613841918993315</v>
      </c>
      <c r="J457" s="3" t="s">
        <v>13</v>
      </c>
      <c r="K457" s="3" t="s">
        <v>28</v>
      </c>
      <c r="L457" s="3" t="s">
        <v>98</v>
      </c>
    </row>
    <row r="458" ht="15.75" customHeight="1">
      <c r="A458" s="3">
        <v>4.04789817E8</v>
      </c>
      <c r="B458" s="3" t="s">
        <v>578</v>
      </c>
      <c r="C458" s="3">
        <v>36.0</v>
      </c>
      <c r="D458" s="10">
        <v>8.0</v>
      </c>
      <c r="E458" s="11">
        <v>2015.0</v>
      </c>
      <c r="F458" s="13">
        <v>1316478.96</v>
      </c>
      <c r="G458" s="13">
        <v>822128.94</v>
      </c>
      <c r="H458" s="13">
        <v>494350.02</v>
      </c>
      <c r="I458" s="14">
        <v>0.37550924475086184</v>
      </c>
      <c r="J458" s="3" t="s">
        <v>10</v>
      </c>
      <c r="K458" s="3" t="s">
        <v>28</v>
      </c>
      <c r="L458" s="3" t="s">
        <v>33</v>
      </c>
    </row>
    <row r="459" ht="15.75" customHeight="1">
      <c r="A459" s="3">
        <v>4.05986297E8</v>
      </c>
      <c r="B459" s="3" t="s">
        <v>291</v>
      </c>
      <c r="C459" s="3">
        <v>24.0</v>
      </c>
      <c r="D459" s="10">
        <v>12.0</v>
      </c>
      <c r="E459" s="11">
        <v>2014.0</v>
      </c>
      <c r="F459" s="13">
        <v>2354192.16</v>
      </c>
      <c r="G459" s="13">
        <v>1470171.24</v>
      </c>
      <c r="H459" s="13">
        <v>884020.9200000002</v>
      </c>
      <c r="I459" s="14">
        <v>0.37550924475086184</v>
      </c>
      <c r="J459" s="3" t="s">
        <v>10</v>
      </c>
      <c r="K459" s="3" t="s">
        <v>28</v>
      </c>
      <c r="L459" s="3" t="s">
        <v>79</v>
      </c>
    </row>
    <row r="460" ht="15.75" customHeight="1">
      <c r="A460" s="3">
        <v>4.06270396E8</v>
      </c>
      <c r="B460" s="3" t="s">
        <v>590</v>
      </c>
      <c r="C460" s="3">
        <v>46.0</v>
      </c>
      <c r="D460" s="10">
        <v>4.0</v>
      </c>
      <c r="E460" s="11">
        <v>2016.0</v>
      </c>
      <c r="F460" s="13">
        <v>502445.94000000006</v>
      </c>
      <c r="G460" s="13">
        <v>320869.92</v>
      </c>
      <c r="H460" s="13">
        <v>181576.02000000008</v>
      </c>
      <c r="I460" s="14">
        <v>0.36138419189933163</v>
      </c>
      <c r="J460" s="3" t="s">
        <v>13</v>
      </c>
      <c r="K460" s="3" t="s">
        <v>28</v>
      </c>
      <c r="L460" s="3" t="s">
        <v>98</v>
      </c>
    </row>
    <row r="461" ht="15.75" customHeight="1">
      <c r="A461" s="3">
        <v>4.06564366E8</v>
      </c>
      <c r="B461" s="3" t="s">
        <v>32</v>
      </c>
      <c r="C461" s="3">
        <v>18.0</v>
      </c>
      <c r="D461" s="10">
        <v>8.0</v>
      </c>
      <c r="E461" s="11">
        <v>2014.0</v>
      </c>
      <c r="F461" s="13">
        <v>44061.16</v>
      </c>
      <c r="G461" s="13">
        <v>26005.980000000003</v>
      </c>
      <c r="H461" s="13">
        <v>18055.18</v>
      </c>
      <c r="I461" s="14">
        <v>0.40977541217707386</v>
      </c>
      <c r="J461" s="3" t="s">
        <v>9</v>
      </c>
      <c r="K461" s="3" t="s">
        <v>28</v>
      </c>
      <c r="L461" s="3" t="s">
        <v>33</v>
      </c>
    </row>
    <row r="462" ht="15.75" customHeight="1">
      <c r="A462" s="3">
        <v>4.07220542E8</v>
      </c>
      <c r="B462" s="3" t="s">
        <v>686</v>
      </c>
      <c r="C462" s="3">
        <v>36.0</v>
      </c>
      <c r="D462" s="10">
        <v>5.0</v>
      </c>
      <c r="E462" s="11">
        <v>2016.0</v>
      </c>
      <c r="F462" s="13">
        <v>918039.1</v>
      </c>
      <c r="G462" s="13">
        <v>522661.93</v>
      </c>
      <c r="H462" s="13">
        <v>395377.17</v>
      </c>
      <c r="I462" s="14">
        <v>0.4306757413709285</v>
      </c>
      <c r="J462" s="3" t="s">
        <v>3</v>
      </c>
      <c r="K462" s="3" t="s">
        <v>28</v>
      </c>
      <c r="L462" s="3" t="s">
        <v>29</v>
      </c>
    </row>
    <row r="463" ht="15.75" customHeight="1">
      <c r="A463" s="3">
        <v>4.08540618E8</v>
      </c>
      <c r="B463" s="3" t="s">
        <v>623</v>
      </c>
      <c r="C463" s="3">
        <v>44.0</v>
      </c>
      <c r="D463" s="10">
        <v>9.0</v>
      </c>
      <c r="E463" s="11">
        <v>2013.0</v>
      </c>
      <c r="F463" s="13">
        <v>786014.12</v>
      </c>
      <c r="G463" s="13">
        <v>463924.86000000004</v>
      </c>
      <c r="H463" s="13">
        <v>322089.25999999995</v>
      </c>
      <c r="I463" s="14">
        <v>0.4097754121770738</v>
      </c>
      <c r="J463" s="3" t="s">
        <v>9</v>
      </c>
      <c r="K463" s="3" t="s">
        <v>28</v>
      </c>
      <c r="L463" s="3" t="s">
        <v>33</v>
      </c>
    </row>
    <row r="464" ht="15.75" customHeight="1">
      <c r="A464" s="3">
        <v>4.09112679E8</v>
      </c>
      <c r="B464" s="3" t="s">
        <v>488</v>
      </c>
      <c r="C464" s="3">
        <v>49.0</v>
      </c>
      <c r="D464" s="10">
        <v>3.0</v>
      </c>
      <c r="E464" s="11">
        <v>2013.0</v>
      </c>
      <c r="F464" s="13">
        <v>676015.28</v>
      </c>
      <c r="G464" s="13">
        <v>399000.84</v>
      </c>
      <c r="H464" s="13">
        <v>277014.44</v>
      </c>
      <c r="I464" s="14">
        <v>0.40977541217707386</v>
      </c>
      <c r="J464" s="3" t="s">
        <v>9</v>
      </c>
      <c r="K464" s="3" t="s">
        <v>28</v>
      </c>
      <c r="L464" s="3" t="s">
        <v>33</v>
      </c>
    </row>
    <row r="465" ht="15.75" customHeight="1">
      <c r="A465" s="3">
        <v>4.09514796E8</v>
      </c>
      <c r="B465" s="3" t="s">
        <v>123</v>
      </c>
      <c r="C465" s="3">
        <v>45.0</v>
      </c>
      <c r="D465" s="10">
        <v>7.0</v>
      </c>
      <c r="E465" s="11">
        <v>2014.0</v>
      </c>
      <c r="F465" s="13">
        <v>276492.59</v>
      </c>
      <c r="G465" s="13">
        <v>191714.61000000002</v>
      </c>
      <c r="H465" s="13">
        <v>84777.98000000001</v>
      </c>
      <c r="I465" s="14">
        <v>0.3066193564174722</v>
      </c>
      <c r="J465" s="3" t="s">
        <v>14</v>
      </c>
      <c r="K465" s="3" t="s">
        <v>28</v>
      </c>
      <c r="L465" s="3" t="s">
        <v>33</v>
      </c>
    </row>
    <row r="466" ht="15.75" customHeight="1">
      <c r="A466" s="3">
        <v>4.10229337E8</v>
      </c>
      <c r="B466" s="3" t="s">
        <v>578</v>
      </c>
      <c r="C466" s="3">
        <v>31.0</v>
      </c>
      <c r="D466" s="10">
        <v>11.0</v>
      </c>
      <c r="E466" s="11">
        <v>2016.0</v>
      </c>
      <c r="F466" s="13">
        <v>3146646.72</v>
      </c>
      <c r="G466" s="13">
        <v>2536606.72</v>
      </c>
      <c r="H466" s="13">
        <v>610040.0</v>
      </c>
      <c r="I466" s="14">
        <v>0.19386987300563566</v>
      </c>
      <c r="J466" s="3" t="s">
        <v>7</v>
      </c>
      <c r="K466" s="3" t="s">
        <v>28</v>
      </c>
      <c r="L466" s="3" t="s">
        <v>33</v>
      </c>
    </row>
    <row r="467" ht="15.75" customHeight="1">
      <c r="A467" s="3">
        <v>4.10291135E8</v>
      </c>
      <c r="B467" s="3" t="s">
        <v>653</v>
      </c>
      <c r="C467" s="3">
        <v>16.0</v>
      </c>
      <c r="D467" s="10">
        <v>2.0</v>
      </c>
      <c r="E467" s="11">
        <v>2012.0</v>
      </c>
      <c r="F467" s="13">
        <v>254915.87000000002</v>
      </c>
      <c r="G467" s="13">
        <v>176753.73</v>
      </c>
      <c r="H467" s="13">
        <v>78162.14000000001</v>
      </c>
      <c r="I467" s="14">
        <v>0.3066193564174722</v>
      </c>
      <c r="J467" s="3" t="s">
        <v>14</v>
      </c>
      <c r="K467" s="3" t="s">
        <v>28</v>
      </c>
      <c r="L467" s="3" t="s">
        <v>33</v>
      </c>
    </row>
    <row r="468" ht="15.75" customHeight="1">
      <c r="A468" s="3">
        <v>4.10514724E8</v>
      </c>
      <c r="B468" s="3" t="s">
        <v>635</v>
      </c>
      <c r="C468" s="3">
        <v>40.0</v>
      </c>
      <c r="D468" s="10">
        <v>3.0</v>
      </c>
      <c r="E468" s="11">
        <v>2017.0</v>
      </c>
      <c r="F468" s="13">
        <v>6045833.640000001</v>
      </c>
      <c r="G468" s="13">
        <v>4873728.640000001</v>
      </c>
      <c r="H468" s="13">
        <v>1172105.0</v>
      </c>
      <c r="I468" s="14">
        <v>0.19386987300563566</v>
      </c>
      <c r="J468" s="3" t="s">
        <v>7</v>
      </c>
      <c r="K468" s="3" t="s">
        <v>28</v>
      </c>
      <c r="L468" s="3" t="s">
        <v>33</v>
      </c>
    </row>
    <row r="469" ht="15.75" customHeight="1">
      <c r="A469" s="3">
        <v>4.10740888E8</v>
      </c>
      <c r="B469" s="3" t="s">
        <v>123</v>
      </c>
      <c r="C469" s="3">
        <v>39.0</v>
      </c>
      <c r="D469" s="10">
        <v>7.0</v>
      </c>
      <c r="E469" s="11">
        <v>2012.0</v>
      </c>
      <c r="F469" s="13">
        <v>2620358.79</v>
      </c>
      <c r="G469" s="13">
        <v>2265089.59</v>
      </c>
      <c r="H469" s="13">
        <v>355269.2000000002</v>
      </c>
      <c r="I469" s="14">
        <v>0.13558036455000125</v>
      </c>
      <c r="J469" s="3" t="s">
        <v>11</v>
      </c>
      <c r="K469" s="3" t="s">
        <v>28</v>
      </c>
      <c r="L469" s="3" t="s">
        <v>33</v>
      </c>
    </row>
    <row r="470" ht="15.75" customHeight="1">
      <c r="A470" s="3">
        <v>4.12215459E8</v>
      </c>
      <c r="B470" s="3" t="s">
        <v>300</v>
      </c>
      <c r="C470" s="3">
        <v>7.0</v>
      </c>
      <c r="D470" s="10">
        <v>1.0</v>
      </c>
      <c r="E470" s="11">
        <v>2013.0</v>
      </c>
      <c r="F470" s="13">
        <v>528443.2999999999</v>
      </c>
      <c r="G470" s="13">
        <v>300855.59</v>
      </c>
      <c r="H470" s="13">
        <v>227587.7099999999</v>
      </c>
      <c r="I470" s="14">
        <v>0.4306757413709284</v>
      </c>
      <c r="J470" s="3" t="s">
        <v>3</v>
      </c>
      <c r="K470" s="3" t="s">
        <v>28</v>
      </c>
      <c r="L470" s="3" t="s">
        <v>33</v>
      </c>
    </row>
    <row r="471" ht="15.75" customHeight="1">
      <c r="A471" s="3">
        <v>4.12416303E8</v>
      </c>
      <c r="B471" s="3" t="s">
        <v>623</v>
      </c>
      <c r="C471" s="3">
        <v>8.0</v>
      </c>
      <c r="D471" s="10">
        <v>6.0</v>
      </c>
      <c r="E471" s="11">
        <v>2016.0</v>
      </c>
      <c r="F471" s="13">
        <v>511581.12</v>
      </c>
      <c r="G471" s="13">
        <v>319477.68</v>
      </c>
      <c r="H471" s="13">
        <v>192103.44</v>
      </c>
      <c r="I471" s="14">
        <v>0.3755092447508618</v>
      </c>
      <c r="J471" s="3" t="s">
        <v>10</v>
      </c>
      <c r="K471" s="3" t="s">
        <v>28</v>
      </c>
      <c r="L471" s="3" t="s">
        <v>33</v>
      </c>
    </row>
    <row r="472" ht="15.75" customHeight="1">
      <c r="A472" s="3">
        <v>4.13078916E8</v>
      </c>
      <c r="B472" s="3" t="s">
        <v>97</v>
      </c>
      <c r="C472" s="3">
        <v>11.0</v>
      </c>
      <c r="D472" s="10">
        <v>12.0</v>
      </c>
      <c r="E472" s="11">
        <v>2012.0</v>
      </c>
      <c r="F472" s="13">
        <v>1245729.16</v>
      </c>
      <c r="G472" s="13">
        <v>735259.9800000001</v>
      </c>
      <c r="H472" s="13">
        <v>510469.1799999998</v>
      </c>
      <c r="I472" s="14">
        <v>0.40977541217707375</v>
      </c>
      <c r="J472" s="3" t="s">
        <v>9</v>
      </c>
      <c r="K472" s="3" t="s">
        <v>28</v>
      </c>
      <c r="L472" s="3" t="s">
        <v>98</v>
      </c>
    </row>
    <row r="473" ht="15.75" customHeight="1">
      <c r="A473" s="3">
        <v>4.13245427E8</v>
      </c>
      <c r="B473" s="3" t="s">
        <v>46</v>
      </c>
      <c r="C473" s="3">
        <v>3.0</v>
      </c>
      <c r="D473" s="10">
        <v>6.0</v>
      </c>
      <c r="E473" s="11">
        <v>2016.0</v>
      </c>
      <c r="F473" s="13">
        <v>68668.8</v>
      </c>
      <c r="G473" s="13">
        <v>50931.2</v>
      </c>
      <c r="H473" s="13">
        <v>17737.600000000006</v>
      </c>
      <c r="I473" s="14">
        <v>0.25830653804930337</v>
      </c>
      <c r="J473" s="3" t="s">
        <v>8</v>
      </c>
      <c r="K473" s="3" t="s">
        <v>28</v>
      </c>
      <c r="L473" s="3" t="s">
        <v>33</v>
      </c>
    </row>
    <row r="474" ht="15.75" customHeight="1">
      <c r="A474" s="3">
        <v>4.13951814E8</v>
      </c>
      <c r="B474" s="3" t="s">
        <v>78</v>
      </c>
      <c r="C474" s="3">
        <v>21.0</v>
      </c>
      <c r="D474" s="10">
        <v>5.0</v>
      </c>
      <c r="E474" s="11">
        <v>2015.0</v>
      </c>
      <c r="F474" s="13">
        <v>303442.75</v>
      </c>
      <c r="G474" s="13">
        <v>203297.05</v>
      </c>
      <c r="H474" s="13">
        <v>100145.70000000001</v>
      </c>
      <c r="I474" s="14">
        <v>0.33003161222339306</v>
      </c>
      <c r="J474" s="3" t="s">
        <v>6</v>
      </c>
      <c r="K474" s="3" t="s">
        <v>28</v>
      </c>
      <c r="L474" s="3" t="s">
        <v>79</v>
      </c>
    </row>
    <row r="475" ht="15.75" customHeight="1">
      <c r="A475" s="3">
        <v>4.14359509E8</v>
      </c>
      <c r="B475" s="3" t="s">
        <v>590</v>
      </c>
      <c r="C475" s="3">
        <v>12.0</v>
      </c>
      <c r="D475" s="10">
        <v>8.0</v>
      </c>
      <c r="E475" s="11">
        <v>2014.0</v>
      </c>
      <c r="F475" s="13">
        <v>1797681.76</v>
      </c>
      <c r="G475" s="13">
        <v>1122635.64</v>
      </c>
      <c r="H475" s="13">
        <v>675046.1200000001</v>
      </c>
      <c r="I475" s="14">
        <v>0.37550924475086184</v>
      </c>
      <c r="J475" s="3" t="s">
        <v>10</v>
      </c>
      <c r="K475" s="3" t="s">
        <v>28</v>
      </c>
      <c r="L475" s="3" t="s">
        <v>98</v>
      </c>
    </row>
    <row r="476" ht="15.75" customHeight="1">
      <c r="A476" s="3">
        <v>4.14579665E8</v>
      </c>
      <c r="B476" s="3" t="s">
        <v>267</v>
      </c>
      <c r="C476" s="3">
        <v>20.0</v>
      </c>
      <c r="D476" s="10">
        <v>6.0</v>
      </c>
      <c r="E476" s="11">
        <v>2017.0</v>
      </c>
      <c r="F476" s="13">
        <v>334302.78</v>
      </c>
      <c r="G476" s="13">
        <v>213491.04</v>
      </c>
      <c r="H476" s="13">
        <v>120811.74000000002</v>
      </c>
      <c r="I476" s="14">
        <v>0.3613841918993315</v>
      </c>
      <c r="J476" s="3" t="s">
        <v>13</v>
      </c>
      <c r="K476" s="3" t="s">
        <v>28</v>
      </c>
      <c r="L476" s="3" t="s">
        <v>29</v>
      </c>
    </row>
    <row r="477" ht="15.75" customHeight="1">
      <c r="A477" s="3">
        <v>4.15837943E8</v>
      </c>
      <c r="B477" s="3" t="s">
        <v>46</v>
      </c>
      <c r="C477" s="3">
        <v>44.0</v>
      </c>
      <c r="D477" s="10">
        <v>1.0</v>
      </c>
      <c r="E477" s="11">
        <v>2012.0</v>
      </c>
      <c r="F477" s="13">
        <v>1159737.04</v>
      </c>
      <c r="G477" s="13">
        <v>724245.0599999999</v>
      </c>
      <c r="H477" s="13">
        <v>435491.9800000001</v>
      </c>
      <c r="I477" s="14">
        <v>0.3755092447508619</v>
      </c>
      <c r="J477" s="3" t="s">
        <v>10</v>
      </c>
      <c r="K477" s="3" t="s">
        <v>28</v>
      </c>
      <c r="L477" s="3" t="s">
        <v>33</v>
      </c>
    </row>
    <row r="478" ht="15.75" customHeight="1">
      <c r="A478" s="3">
        <v>4.16682088E8</v>
      </c>
      <c r="B478" s="3" t="s">
        <v>542</v>
      </c>
      <c r="C478" s="3">
        <v>40.0</v>
      </c>
      <c r="D478" s="10">
        <v>7.0</v>
      </c>
      <c r="E478" s="11">
        <v>2012.0</v>
      </c>
      <c r="F478" s="13">
        <v>669236.64</v>
      </c>
      <c r="G478" s="13">
        <v>394999.92000000004</v>
      </c>
      <c r="H478" s="13">
        <v>274236.72</v>
      </c>
      <c r="I478" s="14">
        <v>0.4097754121770738</v>
      </c>
      <c r="J478" s="3" t="s">
        <v>9</v>
      </c>
      <c r="K478" s="3" t="s">
        <v>28</v>
      </c>
      <c r="L478" s="3" t="s">
        <v>29</v>
      </c>
    </row>
    <row r="479" ht="15.75" customHeight="1">
      <c r="A479" s="3">
        <v>4.16953313E8</v>
      </c>
      <c r="B479" s="3" t="s">
        <v>364</v>
      </c>
      <c r="C479" s="3">
        <v>39.0</v>
      </c>
      <c r="D479" s="10">
        <v>9.0</v>
      </c>
      <c r="E479" s="11">
        <v>2016.0</v>
      </c>
      <c r="F479" s="13">
        <v>218554.7</v>
      </c>
      <c r="G479" s="13">
        <v>146424.74</v>
      </c>
      <c r="H479" s="13">
        <v>72129.96000000002</v>
      </c>
      <c r="I479" s="14">
        <v>0.3300316122233931</v>
      </c>
      <c r="J479" s="3" t="s">
        <v>6</v>
      </c>
      <c r="K479" s="3" t="s">
        <v>28</v>
      </c>
      <c r="L479" s="3" t="s">
        <v>29</v>
      </c>
    </row>
    <row r="480" ht="15.75" customHeight="1">
      <c r="A480" s="3">
        <v>4.18404281E8</v>
      </c>
      <c r="B480" s="3" t="s">
        <v>67</v>
      </c>
      <c r="C480" s="3">
        <v>44.0</v>
      </c>
      <c r="D480" s="10">
        <v>3.0</v>
      </c>
      <c r="E480" s="11">
        <v>2011.0</v>
      </c>
      <c r="F480" s="13">
        <v>607115.8200000001</v>
      </c>
      <c r="G480" s="13">
        <v>387713.76</v>
      </c>
      <c r="H480" s="13">
        <v>219402.06000000006</v>
      </c>
      <c r="I480" s="14">
        <v>0.3613841918993316</v>
      </c>
      <c r="J480" s="3" t="s">
        <v>13</v>
      </c>
      <c r="K480" s="3" t="s">
        <v>23</v>
      </c>
      <c r="L480" s="3" t="s">
        <v>68</v>
      </c>
    </row>
    <row r="481" ht="15.75" customHeight="1">
      <c r="A481" s="3">
        <v>4.20875346E8</v>
      </c>
      <c r="B481" s="3" t="s">
        <v>431</v>
      </c>
      <c r="C481" s="3">
        <v>43.0</v>
      </c>
      <c r="D481" s="10">
        <v>1.0</v>
      </c>
      <c r="E481" s="11">
        <v>2012.0</v>
      </c>
      <c r="F481" s="13">
        <v>2283495.6</v>
      </c>
      <c r="G481" s="13">
        <v>1375372.5899999999</v>
      </c>
      <c r="H481" s="13">
        <v>908123.0100000002</v>
      </c>
      <c r="I481" s="14">
        <v>0.39768984446477595</v>
      </c>
      <c r="J481" s="3" t="s">
        <v>12</v>
      </c>
      <c r="K481" s="3" t="s">
        <v>28</v>
      </c>
      <c r="L481" s="3" t="s">
        <v>29</v>
      </c>
    </row>
    <row r="482" ht="15.75" customHeight="1">
      <c r="A482" s="3">
        <v>4.21456849E8</v>
      </c>
      <c r="B482" s="3" t="s">
        <v>821</v>
      </c>
      <c r="C482" s="3">
        <v>3.0</v>
      </c>
      <c r="D482" s="10">
        <v>12.0</v>
      </c>
      <c r="E482" s="11">
        <v>2013.0</v>
      </c>
      <c r="F482" s="13">
        <v>3080640.78</v>
      </c>
      <c r="G482" s="13">
        <v>2662966.38</v>
      </c>
      <c r="H482" s="13">
        <v>417674.3999999999</v>
      </c>
      <c r="I482" s="14">
        <v>0.13558036455000116</v>
      </c>
      <c r="J482" s="3" t="s">
        <v>11</v>
      </c>
      <c r="K482" s="3" t="s">
        <v>821</v>
      </c>
      <c r="L482" s="3" t="s">
        <v>821</v>
      </c>
    </row>
    <row r="483" ht="15.75" customHeight="1">
      <c r="A483" s="3">
        <v>4.21660268E8</v>
      </c>
      <c r="B483" s="3" t="s">
        <v>364</v>
      </c>
      <c r="C483" s="3">
        <v>28.0</v>
      </c>
      <c r="D483" s="10">
        <v>3.0</v>
      </c>
      <c r="E483" s="11">
        <v>2015.0</v>
      </c>
      <c r="F483" s="13">
        <v>5010688.46</v>
      </c>
      <c r="G483" s="13">
        <v>3768044.92</v>
      </c>
      <c r="H483" s="13">
        <v>1242643.54</v>
      </c>
      <c r="I483" s="14">
        <v>0.247998563454891</v>
      </c>
      <c r="J483" s="3" t="s">
        <v>4</v>
      </c>
      <c r="K483" s="3" t="s">
        <v>28</v>
      </c>
      <c r="L483" s="3" t="s">
        <v>29</v>
      </c>
    </row>
    <row r="484" ht="15.75" customHeight="1">
      <c r="A484" s="3">
        <v>4.22568786E8</v>
      </c>
      <c r="B484" s="3" t="s">
        <v>455</v>
      </c>
      <c r="C484" s="3">
        <v>33.0</v>
      </c>
      <c r="D484" s="10">
        <v>5.0</v>
      </c>
      <c r="E484" s="11">
        <v>2016.0</v>
      </c>
      <c r="F484" s="13">
        <v>2678579.61</v>
      </c>
      <c r="G484" s="13">
        <v>2315416.81</v>
      </c>
      <c r="H484" s="13">
        <v>363162.7999999998</v>
      </c>
      <c r="I484" s="14">
        <v>0.1355803645500011</v>
      </c>
      <c r="J484" s="3" t="s">
        <v>11</v>
      </c>
      <c r="K484" s="3" t="s">
        <v>28</v>
      </c>
      <c r="L484" s="3" t="s">
        <v>33</v>
      </c>
    </row>
    <row r="485" ht="15.75" customHeight="1">
      <c r="A485" s="3">
        <v>4.24181544E8</v>
      </c>
      <c r="B485" s="3" t="s">
        <v>67</v>
      </c>
      <c r="C485" s="3">
        <v>27.0</v>
      </c>
      <c r="D485" s="10">
        <v>2.0</v>
      </c>
      <c r="E485" s="11">
        <v>2013.0</v>
      </c>
      <c r="F485" s="13">
        <v>740520.0</v>
      </c>
      <c r="G485" s="13">
        <v>421596.0</v>
      </c>
      <c r="H485" s="13">
        <v>318924.0</v>
      </c>
      <c r="I485" s="14">
        <v>0.4306757413709285</v>
      </c>
      <c r="J485" s="3" t="s">
        <v>3</v>
      </c>
      <c r="K485" s="3" t="s">
        <v>23</v>
      </c>
      <c r="L485" s="3" t="s">
        <v>68</v>
      </c>
    </row>
    <row r="486" ht="15.75" customHeight="1">
      <c r="A486" s="3">
        <v>4.24297845E8</v>
      </c>
      <c r="B486" s="3" t="s">
        <v>635</v>
      </c>
      <c r="C486" s="3">
        <v>19.0</v>
      </c>
      <c r="D486" s="10">
        <v>12.0</v>
      </c>
      <c r="E486" s="11">
        <v>2011.0</v>
      </c>
      <c r="F486" s="13">
        <v>380359.2</v>
      </c>
      <c r="G486" s="13">
        <v>254828.63999999998</v>
      </c>
      <c r="H486" s="13">
        <v>125530.56000000003</v>
      </c>
      <c r="I486" s="14">
        <v>0.3300316122233931</v>
      </c>
      <c r="J486" s="3" t="s">
        <v>6</v>
      </c>
      <c r="K486" s="3" t="s">
        <v>28</v>
      </c>
      <c r="L486" s="3" t="s">
        <v>33</v>
      </c>
    </row>
    <row r="487" ht="15.75" customHeight="1">
      <c r="A487" s="3">
        <v>4.24541604E8</v>
      </c>
      <c r="B487" s="3" t="s">
        <v>689</v>
      </c>
      <c r="C487" s="3">
        <v>42.0</v>
      </c>
      <c r="D487" s="10">
        <v>4.0</v>
      </c>
      <c r="E487" s="11">
        <v>2013.0</v>
      </c>
      <c r="F487" s="13">
        <v>97681.5</v>
      </c>
      <c r="G487" s="13">
        <v>78744.0</v>
      </c>
      <c r="H487" s="13">
        <v>18937.5</v>
      </c>
      <c r="I487" s="14">
        <v>0.19386987300563566</v>
      </c>
      <c r="J487" s="3" t="s">
        <v>7</v>
      </c>
      <c r="K487" s="3" t="s">
        <v>28</v>
      </c>
      <c r="L487" s="3" t="s">
        <v>79</v>
      </c>
    </row>
    <row r="488" ht="15.75" customHeight="1">
      <c r="A488" s="3">
        <v>4.25547969E8</v>
      </c>
      <c r="B488" s="3" t="s">
        <v>46</v>
      </c>
      <c r="C488" s="3">
        <v>23.0</v>
      </c>
      <c r="D488" s="10">
        <v>8.0</v>
      </c>
      <c r="E488" s="11">
        <v>2010.0</v>
      </c>
      <c r="F488" s="13">
        <v>377464.75</v>
      </c>
      <c r="G488" s="13">
        <v>252889.44999999998</v>
      </c>
      <c r="H488" s="13">
        <v>124575.30000000002</v>
      </c>
      <c r="I488" s="14">
        <v>0.3300316122233931</v>
      </c>
      <c r="J488" s="3" t="s">
        <v>6</v>
      </c>
      <c r="K488" s="3" t="s">
        <v>28</v>
      </c>
      <c r="L488" s="3" t="s">
        <v>33</v>
      </c>
    </row>
    <row r="489" ht="15.75" customHeight="1">
      <c r="A489" s="3">
        <v>4.27432811E8</v>
      </c>
      <c r="B489" s="3" t="s">
        <v>267</v>
      </c>
      <c r="C489" s="3">
        <v>8.0</v>
      </c>
      <c r="D489" s="10">
        <v>12.0</v>
      </c>
      <c r="E489" s="11">
        <v>2015.0</v>
      </c>
      <c r="F489" s="13">
        <v>873062.7600000001</v>
      </c>
      <c r="G489" s="13">
        <v>557551.6799999999</v>
      </c>
      <c r="H489" s="13">
        <v>315511.0800000002</v>
      </c>
      <c r="I489" s="14">
        <v>0.3613841918993317</v>
      </c>
      <c r="J489" s="3" t="s">
        <v>13</v>
      </c>
      <c r="K489" s="3" t="s">
        <v>28</v>
      </c>
      <c r="L489" s="3" t="s">
        <v>29</v>
      </c>
    </row>
    <row r="490" ht="15.75" customHeight="1">
      <c r="A490" s="3">
        <v>4.28419864E8</v>
      </c>
      <c r="B490" s="3" t="s">
        <v>270</v>
      </c>
      <c r="C490" s="3">
        <v>31.0</v>
      </c>
      <c r="D490" s="10">
        <v>11.0</v>
      </c>
      <c r="E490" s="11">
        <v>2013.0</v>
      </c>
      <c r="F490" s="13">
        <v>5087903.73</v>
      </c>
      <c r="G490" s="13">
        <v>4101512.4800000004</v>
      </c>
      <c r="H490" s="13">
        <v>986391.25</v>
      </c>
      <c r="I490" s="14">
        <v>0.19386987300563566</v>
      </c>
      <c r="J490" s="3" t="s">
        <v>7</v>
      </c>
      <c r="K490" s="3" t="s">
        <v>28</v>
      </c>
      <c r="L490" s="3" t="s">
        <v>79</v>
      </c>
    </row>
    <row r="491" ht="15.75" customHeight="1">
      <c r="A491" s="3">
        <v>4.29123675E8</v>
      </c>
      <c r="B491" s="3" t="s">
        <v>821</v>
      </c>
      <c r="C491" s="3">
        <v>24.0</v>
      </c>
      <c r="D491" s="10">
        <v>10.0</v>
      </c>
      <c r="E491" s="11">
        <v>2014.0</v>
      </c>
      <c r="F491" s="13">
        <v>928601.8800000001</v>
      </c>
      <c r="G491" s="13">
        <v>593019.84</v>
      </c>
      <c r="H491" s="13">
        <v>335582.04000000015</v>
      </c>
      <c r="I491" s="14">
        <v>0.36138419189933163</v>
      </c>
      <c r="J491" s="3" t="s">
        <v>13</v>
      </c>
      <c r="K491" s="3" t="s">
        <v>821</v>
      </c>
      <c r="L491" s="3" t="s">
        <v>821</v>
      </c>
    </row>
    <row r="492" ht="15.75" customHeight="1">
      <c r="A492" s="3">
        <v>4.3068751E8</v>
      </c>
      <c r="B492" s="3" t="s">
        <v>746</v>
      </c>
      <c r="C492" s="3">
        <v>5.0</v>
      </c>
      <c r="D492" s="10">
        <v>6.0</v>
      </c>
      <c r="E492" s="11">
        <v>2013.0</v>
      </c>
      <c r="F492" s="13">
        <v>724127.8</v>
      </c>
      <c r="G492" s="13">
        <v>502096.2</v>
      </c>
      <c r="H492" s="13">
        <v>222031.60000000003</v>
      </c>
      <c r="I492" s="14">
        <v>0.3066193564174722</v>
      </c>
      <c r="J492" s="3" t="s">
        <v>14</v>
      </c>
      <c r="K492" s="3" t="s">
        <v>28</v>
      </c>
      <c r="L492" s="3" t="s">
        <v>29</v>
      </c>
    </row>
    <row r="493" ht="15.75" customHeight="1">
      <c r="A493" s="3">
        <v>4.31240689E8</v>
      </c>
      <c r="B493" s="3" t="s">
        <v>300</v>
      </c>
      <c r="C493" s="3">
        <v>48.0</v>
      </c>
      <c r="D493" s="10">
        <v>8.0</v>
      </c>
      <c r="E493" s="11">
        <v>2015.0</v>
      </c>
      <c r="F493" s="13">
        <v>526180.6</v>
      </c>
      <c r="G493" s="13">
        <v>299567.38</v>
      </c>
      <c r="H493" s="13">
        <v>226613.21999999997</v>
      </c>
      <c r="I493" s="14">
        <v>0.4306757413709285</v>
      </c>
      <c r="J493" s="3" t="s">
        <v>3</v>
      </c>
      <c r="K493" s="3" t="s">
        <v>28</v>
      </c>
      <c r="L493" s="3" t="s">
        <v>33</v>
      </c>
    </row>
    <row r="494" ht="15.75" customHeight="1">
      <c r="A494" s="3">
        <v>4.31432092E8</v>
      </c>
      <c r="B494" s="3" t="s">
        <v>536</v>
      </c>
      <c r="C494" s="3">
        <v>43.0</v>
      </c>
      <c r="D494" s="10">
        <v>8.0</v>
      </c>
      <c r="E494" s="11">
        <v>2016.0</v>
      </c>
      <c r="F494" s="13">
        <v>1005157.4400000001</v>
      </c>
      <c r="G494" s="13">
        <v>329656.32</v>
      </c>
      <c r="H494" s="13">
        <v>675501.1200000001</v>
      </c>
      <c r="I494" s="14">
        <v>0.6720351390922402</v>
      </c>
      <c r="J494" s="3" t="s">
        <v>5</v>
      </c>
      <c r="K494" s="3" t="s">
        <v>28</v>
      </c>
      <c r="L494" s="3" t="s">
        <v>33</v>
      </c>
    </row>
    <row r="495" ht="15.75" customHeight="1">
      <c r="A495" s="3">
        <v>4.31753098E8</v>
      </c>
      <c r="B495" s="3" t="s">
        <v>650</v>
      </c>
      <c r="C495" s="3">
        <v>47.0</v>
      </c>
      <c r="D495" s="10">
        <v>9.0</v>
      </c>
      <c r="E495" s="11">
        <v>2015.0</v>
      </c>
      <c r="F495" s="13">
        <v>198862.95</v>
      </c>
      <c r="G495" s="13">
        <v>133231.88999999998</v>
      </c>
      <c r="H495" s="13">
        <v>65631.06000000003</v>
      </c>
      <c r="I495" s="14">
        <v>0.33003161222339317</v>
      </c>
      <c r="J495" s="3" t="s">
        <v>6</v>
      </c>
      <c r="K495" s="3" t="s">
        <v>28</v>
      </c>
      <c r="L495" s="3" t="s">
        <v>98</v>
      </c>
    </row>
    <row r="496" ht="15.75" customHeight="1">
      <c r="A496" s="3">
        <v>4.32031619E8</v>
      </c>
      <c r="B496" s="3" t="s">
        <v>67</v>
      </c>
      <c r="C496" s="3">
        <v>24.0</v>
      </c>
      <c r="D496" s="10">
        <v>6.0</v>
      </c>
      <c r="E496" s="11">
        <v>2011.0</v>
      </c>
      <c r="F496" s="13">
        <v>313739.4</v>
      </c>
      <c r="G496" s="13">
        <v>210195.47999999998</v>
      </c>
      <c r="H496" s="13">
        <v>103543.92000000004</v>
      </c>
      <c r="I496" s="14">
        <v>0.33003161222339317</v>
      </c>
      <c r="J496" s="3" t="s">
        <v>6</v>
      </c>
      <c r="K496" s="3" t="s">
        <v>23</v>
      </c>
      <c r="L496" s="3" t="s">
        <v>68</v>
      </c>
    </row>
    <row r="497" ht="15.75" customHeight="1">
      <c r="A497" s="3">
        <v>4.33079183E8</v>
      </c>
      <c r="B497" s="3" t="s">
        <v>431</v>
      </c>
      <c r="C497" s="3">
        <v>45.0</v>
      </c>
      <c r="D497" s="10">
        <v>3.0</v>
      </c>
      <c r="E497" s="11">
        <v>2013.0</v>
      </c>
      <c r="F497" s="13">
        <v>4303846.890000001</v>
      </c>
      <c r="G497" s="13">
        <v>3469460.64</v>
      </c>
      <c r="H497" s="13">
        <v>834386.2500000005</v>
      </c>
      <c r="I497" s="14">
        <v>0.19386987300563574</v>
      </c>
      <c r="J497" s="3" t="s">
        <v>7</v>
      </c>
      <c r="K497" s="3" t="s">
        <v>28</v>
      </c>
      <c r="L497" s="3" t="s">
        <v>29</v>
      </c>
    </row>
    <row r="498" ht="15.75" customHeight="1">
      <c r="A498" s="3">
        <v>4.337345E8</v>
      </c>
      <c r="B498" s="3" t="s">
        <v>291</v>
      </c>
      <c r="C498" s="3">
        <v>20.0</v>
      </c>
      <c r="D498" s="10">
        <v>8.0</v>
      </c>
      <c r="E498" s="11">
        <v>2010.0</v>
      </c>
      <c r="F498" s="13">
        <v>346443.72000000003</v>
      </c>
      <c r="G498" s="13">
        <v>279278.72000000003</v>
      </c>
      <c r="H498" s="13">
        <v>67165.0</v>
      </c>
      <c r="I498" s="14">
        <v>0.19386987300563566</v>
      </c>
      <c r="J498" s="3" t="s">
        <v>7</v>
      </c>
      <c r="K498" s="3" t="s">
        <v>28</v>
      </c>
      <c r="L498" s="3" t="s">
        <v>79</v>
      </c>
    </row>
    <row r="499" ht="15.75" customHeight="1">
      <c r="A499" s="3">
        <v>4.34013879E8</v>
      </c>
      <c r="B499" s="3" t="s">
        <v>482</v>
      </c>
      <c r="C499" s="3">
        <v>39.0</v>
      </c>
      <c r="D499" s="10">
        <v>9.0</v>
      </c>
      <c r="E499" s="11">
        <v>2010.0</v>
      </c>
      <c r="F499" s="13">
        <v>1401663.2</v>
      </c>
      <c r="G499" s="13">
        <v>844235.98</v>
      </c>
      <c r="H499" s="13">
        <v>557427.22</v>
      </c>
      <c r="I499" s="14">
        <v>0.39768984446477584</v>
      </c>
      <c r="J499" s="3" t="s">
        <v>12</v>
      </c>
      <c r="K499" s="3" t="s">
        <v>28</v>
      </c>
      <c r="L499" s="3" t="s">
        <v>79</v>
      </c>
    </row>
    <row r="500" ht="15.75" customHeight="1">
      <c r="A500" s="3">
        <v>4.34275662E8</v>
      </c>
      <c r="B500" s="3" t="s">
        <v>123</v>
      </c>
      <c r="C500" s="3">
        <v>33.0</v>
      </c>
      <c r="D500" s="10">
        <v>7.0</v>
      </c>
      <c r="E500" s="11">
        <v>2012.0</v>
      </c>
      <c r="F500" s="13">
        <v>438915.54000000004</v>
      </c>
      <c r="G500" s="13">
        <v>353823.04000000004</v>
      </c>
      <c r="H500" s="13">
        <v>85092.5</v>
      </c>
      <c r="I500" s="14">
        <v>0.19386987300563566</v>
      </c>
      <c r="J500" s="3" t="s">
        <v>7</v>
      </c>
      <c r="K500" s="3" t="s">
        <v>28</v>
      </c>
      <c r="L500" s="3" t="s">
        <v>33</v>
      </c>
    </row>
    <row r="501" ht="15.75" customHeight="1">
      <c r="A501" s="3">
        <v>4.34485948E8</v>
      </c>
      <c r="B501" s="3" t="s">
        <v>623</v>
      </c>
      <c r="C501" s="3">
        <v>39.0</v>
      </c>
      <c r="D501" s="10">
        <v>9.0</v>
      </c>
      <c r="E501" s="11">
        <v>2010.0</v>
      </c>
      <c r="F501" s="13">
        <v>237180.46000000002</v>
      </c>
      <c r="G501" s="13">
        <v>164456.34</v>
      </c>
      <c r="H501" s="13">
        <v>72724.12000000002</v>
      </c>
      <c r="I501" s="14">
        <v>0.30661935641747223</v>
      </c>
      <c r="J501" s="3" t="s">
        <v>14</v>
      </c>
      <c r="K501" s="3" t="s">
        <v>28</v>
      </c>
      <c r="L501" s="3" t="s">
        <v>33</v>
      </c>
    </row>
    <row r="502" ht="15.75" customHeight="1">
      <c r="A502" s="3">
        <v>4.35463559E8</v>
      </c>
      <c r="B502" s="3" t="s">
        <v>455</v>
      </c>
      <c r="C502" s="3">
        <v>6.0</v>
      </c>
      <c r="D502" s="10">
        <v>10.0</v>
      </c>
      <c r="E502" s="11">
        <v>2013.0</v>
      </c>
      <c r="F502" s="13">
        <v>104342.55</v>
      </c>
      <c r="G502" s="13">
        <v>69906.20999999999</v>
      </c>
      <c r="H502" s="13">
        <v>34436.34000000001</v>
      </c>
      <c r="I502" s="14">
        <v>0.33003161222339317</v>
      </c>
      <c r="J502" s="3" t="s">
        <v>6</v>
      </c>
      <c r="K502" s="3" t="s">
        <v>28</v>
      </c>
      <c r="L502" s="3" t="s">
        <v>33</v>
      </c>
    </row>
    <row r="503" ht="15.75" customHeight="1">
      <c r="A503" s="3">
        <v>4.36606395E8</v>
      </c>
      <c r="B503" s="3" t="s">
        <v>821</v>
      </c>
      <c r="C503" s="3">
        <v>29.0</v>
      </c>
      <c r="D503" s="10">
        <v>11.0</v>
      </c>
      <c r="E503" s="11">
        <v>2013.0</v>
      </c>
      <c r="F503" s="13">
        <v>18458.050000000003</v>
      </c>
      <c r="G503" s="13">
        <v>12366.31</v>
      </c>
      <c r="H503" s="13">
        <v>6091.740000000003</v>
      </c>
      <c r="I503" s="14">
        <v>0.33003161222339317</v>
      </c>
      <c r="J503" s="3" t="s">
        <v>6</v>
      </c>
      <c r="K503" s="3" t="s">
        <v>821</v>
      </c>
      <c r="L503" s="3" t="s">
        <v>821</v>
      </c>
    </row>
    <row r="504" ht="15.75" customHeight="1">
      <c r="A504" s="3">
        <v>4.36969029E8</v>
      </c>
      <c r="B504" s="3" t="s">
        <v>671</v>
      </c>
      <c r="C504" s="3">
        <v>18.0</v>
      </c>
      <c r="D504" s="10">
        <v>11.0</v>
      </c>
      <c r="E504" s="11">
        <v>2011.0</v>
      </c>
      <c r="F504" s="13">
        <v>3248974.8899999997</v>
      </c>
      <c r="G504" s="13">
        <v>2808477.69</v>
      </c>
      <c r="H504" s="13">
        <v>440497.1999999997</v>
      </c>
      <c r="I504" s="14">
        <v>0.1355803645500011</v>
      </c>
      <c r="J504" s="3" t="s">
        <v>11</v>
      </c>
      <c r="K504" s="3" t="s">
        <v>28</v>
      </c>
      <c r="L504" s="3" t="s">
        <v>33</v>
      </c>
    </row>
    <row r="505" ht="15.75" customHeight="1">
      <c r="A505" s="3">
        <v>4.37083184E8</v>
      </c>
      <c r="B505" s="3" t="s">
        <v>686</v>
      </c>
      <c r="C505" s="3">
        <v>32.0</v>
      </c>
      <c r="D505" s="10">
        <v>1.0</v>
      </c>
      <c r="E505" s="11">
        <v>2015.0</v>
      </c>
      <c r="F505" s="13">
        <v>625240.98</v>
      </c>
      <c r="G505" s="13">
        <v>540470.58</v>
      </c>
      <c r="H505" s="13">
        <v>84770.40000000002</v>
      </c>
      <c r="I505" s="14">
        <v>0.13558036455000122</v>
      </c>
      <c r="J505" s="3" t="s">
        <v>11</v>
      </c>
      <c r="K505" s="3" t="s">
        <v>28</v>
      </c>
      <c r="L505" s="3" t="s">
        <v>29</v>
      </c>
    </row>
    <row r="506" ht="15.75" customHeight="1">
      <c r="A506" s="3">
        <v>4.37604176E8</v>
      </c>
      <c r="B506" s="3" t="s">
        <v>434</v>
      </c>
      <c r="C506" s="3">
        <v>45.0</v>
      </c>
      <c r="D506" s="10">
        <v>2.0</v>
      </c>
      <c r="E506" s="11">
        <v>2013.0</v>
      </c>
      <c r="F506" s="13">
        <v>862839.9</v>
      </c>
      <c r="G506" s="13">
        <v>551023.2</v>
      </c>
      <c r="H506" s="13">
        <v>311816.70000000007</v>
      </c>
      <c r="I506" s="14">
        <v>0.3613841918993316</v>
      </c>
      <c r="J506" s="3" t="s">
        <v>13</v>
      </c>
      <c r="K506" s="3" t="s">
        <v>28</v>
      </c>
      <c r="L506" s="3" t="s">
        <v>79</v>
      </c>
    </row>
    <row r="507" ht="15.75" customHeight="1">
      <c r="A507" s="3">
        <v>4.38683927E8</v>
      </c>
      <c r="B507" s="3" t="s">
        <v>590</v>
      </c>
      <c r="C507" s="3">
        <v>46.0</v>
      </c>
      <c r="D507" s="10">
        <v>6.0</v>
      </c>
      <c r="E507" s="11">
        <v>2011.0</v>
      </c>
      <c r="F507" s="13">
        <v>423116.21</v>
      </c>
      <c r="G507" s="13">
        <v>293380.59</v>
      </c>
      <c r="H507" s="13">
        <v>129735.62</v>
      </c>
      <c r="I507" s="14">
        <v>0.3066193564174721</v>
      </c>
      <c r="J507" s="3" t="s">
        <v>14</v>
      </c>
      <c r="K507" s="3" t="s">
        <v>28</v>
      </c>
      <c r="L507" s="3" t="s">
        <v>98</v>
      </c>
    </row>
    <row r="508" ht="15.75" customHeight="1">
      <c r="A508" s="3">
        <v>4.39114367E8</v>
      </c>
      <c r="B508" s="3" t="s">
        <v>746</v>
      </c>
      <c r="C508" s="3">
        <v>9.0</v>
      </c>
      <c r="D508" s="10">
        <v>6.0</v>
      </c>
      <c r="E508" s="11">
        <v>2012.0</v>
      </c>
      <c r="F508" s="13">
        <v>208738.42</v>
      </c>
      <c r="G508" s="13">
        <v>144735.18</v>
      </c>
      <c r="H508" s="13">
        <v>64003.24000000002</v>
      </c>
      <c r="I508" s="14">
        <v>0.30661935641747223</v>
      </c>
      <c r="J508" s="3" t="s">
        <v>14</v>
      </c>
      <c r="K508" s="3" t="s">
        <v>28</v>
      </c>
      <c r="L508" s="3" t="s">
        <v>29</v>
      </c>
    </row>
    <row r="509" ht="15.75" customHeight="1">
      <c r="A509" s="3">
        <v>4.39204919E8</v>
      </c>
      <c r="B509" s="3" t="s">
        <v>349</v>
      </c>
      <c r="C509" s="3">
        <v>8.0</v>
      </c>
      <c r="D509" s="10">
        <v>2.0</v>
      </c>
      <c r="E509" s="11">
        <v>2017.0</v>
      </c>
      <c r="F509" s="13">
        <v>443657.5</v>
      </c>
      <c r="G509" s="13">
        <v>297236.5</v>
      </c>
      <c r="H509" s="13">
        <v>146421.0</v>
      </c>
      <c r="I509" s="14">
        <v>0.33003161222339306</v>
      </c>
      <c r="J509" s="3" t="s">
        <v>6</v>
      </c>
      <c r="K509" s="3" t="s">
        <v>28</v>
      </c>
      <c r="L509" s="3" t="s">
        <v>29</v>
      </c>
    </row>
    <row r="510" ht="15.75" customHeight="1">
      <c r="A510" s="3">
        <v>4.3964008E8</v>
      </c>
      <c r="B510" s="3" t="s">
        <v>575</v>
      </c>
      <c r="C510" s="3">
        <v>26.0</v>
      </c>
      <c r="D510" s="10">
        <v>10.0</v>
      </c>
      <c r="E510" s="11">
        <v>2011.0</v>
      </c>
      <c r="F510" s="13">
        <v>1671106.7999999998</v>
      </c>
      <c r="G510" s="13">
        <v>951401.64</v>
      </c>
      <c r="H510" s="13">
        <v>719705.1599999998</v>
      </c>
      <c r="I510" s="14">
        <v>0.43067574137092846</v>
      </c>
      <c r="J510" s="3" t="s">
        <v>3</v>
      </c>
      <c r="K510" s="3" t="s">
        <v>28</v>
      </c>
      <c r="L510" s="3" t="s">
        <v>98</v>
      </c>
    </row>
    <row r="511" ht="15.75" customHeight="1">
      <c r="A511" s="3">
        <v>4.39725911E8</v>
      </c>
      <c r="B511" s="3" t="s">
        <v>67</v>
      </c>
      <c r="C511" s="3">
        <v>21.0</v>
      </c>
      <c r="D511" s="10">
        <v>3.0</v>
      </c>
      <c r="E511" s="11">
        <v>2015.0</v>
      </c>
      <c r="F511" s="13">
        <v>32878.92</v>
      </c>
      <c r="G511" s="13">
        <v>24386.079999999998</v>
      </c>
      <c r="H511" s="13">
        <v>8492.84</v>
      </c>
      <c r="I511" s="14">
        <v>0.2583065380493033</v>
      </c>
      <c r="J511" s="3" t="s">
        <v>8</v>
      </c>
      <c r="K511" s="3" t="s">
        <v>23</v>
      </c>
      <c r="L511" s="3" t="s">
        <v>68</v>
      </c>
    </row>
    <row r="512" ht="15.75" customHeight="1">
      <c r="A512" s="3">
        <v>4.42318427E8</v>
      </c>
      <c r="B512" s="3" t="s">
        <v>46</v>
      </c>
      <c r="C512" s="3">
        <v>11.0</v>
      </c>
      <c r="D512" s="10">
        <v>9.0</v>
      </c>
      <c r="E512" s="11">
        <v>2010.0</v>
      </c>
      <c r="F512" s="13">
        <v>180482.96</v>
      </c>
      <c r="G512" s="13">
        <v>112709.93999999999</v>
      </c>
      <c r="H512" s="13">
        <v>67773.02</v>
      </c>
      <c r="I512" s="14">
        <v>0.37550924475086184</v>
      </c>
      <c r="J512" s="3" t="s">
        <v>10</v>
      </c>
      <c r="K512" s="3" t="s">
        <v>28</v>
      </c>
      <c r="L512" s="3" t="s">
        <v>33</v>
      </c>
    </row>
    <row r="513" ht="15.75" customHeight="1">
      <c r="A513" s="3">
        <v>4.43125665E8</v>
      </c>
      <c r="B513" s="3" t="s">
        <v>635</v>
      </c>
      <c r="C513" s="3">
        <v>24.0</v>
      </c>
      <c r="D513" s="10">
        <v>6.0</v>
      </c>
      <c r="E513" s="11">
        <v>2013.0</v>
      </c>
      <c r="F513" s="13">
        <v>1971840.2</v>
      </c>
      <c r="G513" s="13">
        <v>1122616.46</v>
      </c>
      <c r="H513" s="13">
        <v>849223.74</v>
      </c>
      <c r="I513" s="14">
        <v>0.43067574137092857</v>
      </c>
      <c r="J513" s="3" t="s">
        <v>3</v>
      </c>
      <c r="K513" s="3" t="s">
        <v>28</v>
      </c>
      <c r="L513" s="3" t="s">
        <v>33</v>
      </c>
    </row>
    <row r="514" ht="15.75" customHeight="1">
      <c r="A514" s="3">
        <v>4.43347108E8</v>
      </c>
      <c r="B514" s="3" t="s">
        <v>46</v>
      </c>
      <c r="C514" s="3">
        <v>20.0</v>
      </c>
      <c r="D514" s="10">
        <v>3.0</v>
      </c>
      <c r="E514" s="11">
        <v>2015.0</v>
      </c>
      <c r="F514" s="13">
        <v>1052361.2</v>
      </c>
      <c r="G514" s="13">
        <v>599134.76</v>
      </c>
      <c r="H514" s="13">
        <v>453226.43999999994</v>
      </c>
      <c r="I514" s="14">
        <v>0.4306757413709285</v>
      </c>
      <c r="J514" s="3" t="s">
        <v>3</v>
      </c>
      <c r="K514" s="3" t="s">
        <v>28</v>
      </c>
      <c r="L514" s="3" t="s">
        <v>33</v>
      </c>
    </row>
    <row r="515" ht="15.75" customHeight="1">
      <c r="A515" s="3">
        <v>4.43544518E8</v>
      </c>
      <c r="B515" s="3" t="s">
        <v>46</v>
      </c>
      <c r="C515" s="3">
        <v>4.0</v>
      </c>
      <c r="D515" s="10">
        <v>4.0</v>
      </c>
      <c r="E515" s="11">
        <v>2016.0</v>
      </c>
      <c r="F515" s="13">
        <v>167688.30000000002</v>
      </c>
      <c r="G515" s="13">
        <v>112345.86</v>
      </c>
      <c r="H515" s="13">
        <v>55342.44000000002</v>
      </c>
      <c r="I515" s="14">
        <v>0.3300316122233931</v>
      </c>
      <c r="J515" s="3" t="s">
        <v>6</v>
      </c>
      <c r="K515" s="3" t="s">
        <v>28</v>
      </c>
      <c r="L515" s="3" t="s">
        <v>33</v>
      </c>
    </row>
    <row r="516" ht="15.75" customHeight="1">
      <c r="A516" s="3">
        <v>4.43551385E8</v>
      </c>
      <c r="B516" s="3" t="s">
        <v>686</v>
      </c>
      <c r="C516" s="3">
        <v>36.0</v>
      </c>
      <c r="D516" s="10">
        <v>4.0</v>
      </c>
      <c r="E516" s="11">
        <v>2013.0</v>
      </c>
      <c r="F516" s="13">
        <v>1420888.48</v>
      </c>
      <c r="G516" s="13">
        <v>887331.72</v>
      </c>
      <c r="H516" s="13">
        <v>533556.76</v>
      </c>
      <c r="I516" s="14">
        <v>0.37550924475086184</v>
      </c>
      <c r="J516" s="3" t="s">
        <v>10</v>
      </c>
      <c r="K516" s="3" t="s">
        <v>28</v>
      </c>
      <c r="L516" s="3" t="s">
        <v>29</v>
      </c>
    </row>
    <row r="517" ht="15.75" customHeight="1">
      <c r="A517" s="3">
        <v>4.44234168E8</v>
      </c>
      <c r="B517" s="3" t="s">
        <v>300</v>
      </c>
      <c r="C517" s="3">
        <v>39.0</v>
      </c>
      <c r="D517" s="10">
        <v>8.0</v>
      </c>
      <c r="E517" s="11">
        <v>2013.0</v>
      </c>
      <c r="F517" s="13">
        <v>1944467.76</v>
      </c>
      <c r="G517" s="13">
        <v>1214302.14</v>
      </c>
      <c r="H517" s="13">
        <v>730165.6200000001</v>
      </c>
      <c r="I517" s="14">
        <v>0.37550924475086184</v>
      </c>
      <c r="J517" s="3" t="s">
        <v>10</v>
      </c>
      <c r="K517" s="3" t="s">
        <v>28</v>
      </c>
      <c r="L517" s="3" t="s">
        <v>33</v>
      </c>
    </row>
    <row r="518" ht="15.75" customHeight="1">
      <c r="A518" s="3">
        <v>4.44798934E8</v>
      </c>
      <c r="B518" s="3" t="s">
        <v>578</v>
      </c>
      <c r="C518" s="3">
        <v>16.0</v>
      </c>
      <c r="D518" s="10">
        <v>1.0</v>
      </c>
      <c r="E518" s="11">
        <v>2014.0</v>
      </c>
      <c r="F518" s="13">
        <v>3170272.88</v>
      </c>
      <c r="G518" s="13">
        <v>2384049.7600000002</v>
      </c>
      <c r="H518" s="13">
        <v>786223.1199999996</v>
      </c>
      <c r="I518" s="14">
        <v>0.24799856345489088</v>
      </c>
      <c r="J518" s="3" t="s">
        <v>4</v>
      </c>
      <c r="K518" s="3" t="s">
        <v>28</v>
      </c>
      <c r="L518" s="3" t="s">
        <v>33</v>
      </c>
    </row>
    <row r="519" ht="15.75" customHeight="1">
      <c r="A519" s="3">
        <v>4.4480623E8</v>
      </c>
      <c r="B519" s="3" t="s">
        <v>218</v>
      </c>
      <c r="C519" s="3">
        <v>44.0</v>
      </c>
      <c r="D519" s="10">
        <v>2.0</v>
      </c>
      <c r="E519" s="11">
        <v>2013.0</v>
      </c>
      <c r="F519" s="13">
        <v>1419947.0999999999</v>
      </c>
      <c r="G519" s="13">
        <v>808410.33</v>
      </c>
      <c r="H519" s="13">
        <v>611536.7699999999</v>
      </c>
      <c r="I519" s="14">
        <v>0.4306757413709285</v>
      </c>
      <c r="J519" s="3" t="s">
        <v>3</v>
      </c>
      <c r="K519" s="3" t="s">
        <v>28</v>
      </c>
      <c r="L519" s="3" t="s">
        <v>98</v>
      </c>
    </row>
    <row r="520" ht="15.75" customHeight="1">
      <c r="A520" s="3">
        <v>4.45273578E8</v>
      </c>
      <c r="B520" s="3" t="s">
        <v>267</v>
      </c>
      <c r="C520" s="3">
        <v>41.0</v>
      </c>
      <c r="D520" s="10">
        <v>11.0</v>
      </c>
      <c r="E520" s="11">
        <v>2011.0</v>
      </c>
      <c r="F520" s="13">
        <v>3386943.21</v>
      </c>
      <c r="G520" s="13">
        <v>2730316.96</v>
      </c>
      <c r="H520" s="13">
        <v>656626.25</v>
      </c>
      <c r="I520" s="14">
        <v>0.19386987300563566</v>
      </c>
      <c r="J520" s="3" t="s">
        <v>7</v>
      </c>
      <c r="K520" s="3" t="s">
        <v>28</v>
      </c>
      <c r="L520" s="3" t="s">
        <v>29</v>
      </c>
    </row>
    <row r="521" ht="15.75" customHeight="1">
      <c r="A521" s="3">
        <v>4.45708739E8</v>
      </c>
      <c r="B521" s="3" t="s">
        <v>455</v>
      </c>
      <c r="C521" s="3">
        <v>8.0</v>
      </c>
      <c r="D521" s="10">
        <v>2.0</v>
      </c>
      <c r="E521" s="11">
        <v>2014.0</v>
      </c>
      <c r="F521" s="13">
        <v>324876.75</v>
      </c>
      <c r="G521" s="13">
        <v>225263.25</v>
      </c>
      <c r="H521" s="13">
        <v>99613.5</v>
      </c>
      <c r="I521" s="14">
        <v>0.3066193564174722</v>
      </c>
      <c r="J521" s="3" t="s">
        <v>14</v>
      </c>
      <c r="K521" s="3" t="s">
        <v>28</v>
      </c>
      <c r="L521" s="3" t="s">
        <v>33</v>
      </c>
    </row>
    <row r="522" ht="15.75" customHeight="1">
      <c r="A522" s="3">
        <v>4.45952498E8</v>
      </c>
      <c r="B522" s="3" t="s">
        <v>542</v>
      </c>
      <c r="C522" s="3">
        <v>31.0</v>
      </c>
      <c r="D522" s="10">
        <v>6.0</v>
      </c>
      <c r="E522" s="11">
        <v>2015.0</v>
      </c>
      <c r="F522" s="13">
        <v>1256621.3</v>
      </c>
      <c r="G522" s="13">
        <v>715424.99</v>
      </c>
      <c r="H522" s="13">
        <v>541196.31</v>
      </c>
      <c r="I522" s="14">
        <v>0.43067574137092857</v>
      </c>
      <c r="J522" s="3" t="s">
        <v>3</v>
      </c>
      <c r="K522" s="3" t="s">
        <v>28</v>
      </c>
      <c r="L522" s="3" t="s">
        <v>29</v>
      </c>
    </row>
    <row r="523" ht="15.75" customHeight="1">
      <c r="A523" s="3">
        <v>4.46019017E8</v>
      </c>
      <c r="B523" s="3" t="s">
        <v>740</v>
      </c>
      <c r="C523" s="3">
        <v>19.0</v>
      </c>
      <c r="D523" s="10">
        <v>11.0</v>
      </c>
      <c r="E523" s="11">
        <v>2011.0</v>
      </c>
      <c r="F523" s="13">
        <v>892623.64</v>
      </c>
      <c r="G523" s="13">
        <v>526848.42</v>
      </c>
      <c r="H523" s="13">
        <v>365775.22</v>
      </c>
      <c r="I523" s="14">
        <v>0.4097754121770738</v>
      </c>
      <c r="J523" s="3" t="s">
        <v>9</v>
      </c>
      <c r="K523" s="3" t="s">
        <v>28</v>
      </c>
      <c r="L523" s="3" t="s">
        <v>98</v>
      </c>
    </row>
    <row r="524" ht="15.75" customHeight="1">
      <c r="A524" s="3">
        <v>4.46045196E8</v>
      </c>
      <c r="B524" s="3" t="s">
        <v>671</v>
      </c>
      <c r="C524" s="3">
        <v>8.0</v>
      </c>
      <c r="D524" s="10">
        <v>10.0</v>
      </c>
      <c r="E524" s="11">
        <v>2015.0</v>
      </c>
      <c r="F524" s="13">
        <v>33028.2</v>
      </c>
      <c r="G524" s="13">
        <v>24496.8</v>
      </c>
      <c r="H524" s="13">
        <v>8531.399999999998</v>
      </c>
      <c r="I524" s="14">
        <v>0.25830653804930326</v>
      </c>
      <c r="J524" s="3" t="s">
        <v>8</v>
      </c>
      <c r="K524" s="3" t="s">
        <v>28</v>
      </c>
      <c r="L524" s="3" t="s">
        <v>33</v>
      </c>
    </row>
    <row r="525" ht="15.75" customHeight="1">
      <c r="A525" s="3">
        <v>4.4718331E8</v>
      </c>
      <c r="B525" s="3" t="s">
        <v>623</v>
      </c>
      <c r="C525" s="3">
        <v>28.0</v>
      </c>
      <c r="D525" s="10">
        <v>8.0</v>
      </c>
      <c r="E525" s="11">
        <v>2014.0</v>
      </c>
      <c r="F525" s="13">
        <v>146024.8</v>
      </c>
      <c r="G525" s="13">
        <v>87952.22</v>
      </c>
      <c r="H525" s="13">
        <v>58072.57999999999</v>
      </c>
      <c r="I525" s="14">
        <v>0.3976898444647758</v>
      </c>
      <c r="J525" s="3" t="s">
        <v>12</v>
      </c>
      <c r="K525" s="3" t="s">
        <v>28</v>
      </c>
      <c r="L525" s="3" t="s">
        <v>33</v>
      </c>
    </row>
    <row r="526" ht="15.75" customHeight="1">
      <c r="A526" s="3">
        <v>4.47536504E8</v>
      </c>
      <c r="B526" s="3" t="s">
        <v>635</v>
      </c>
      <c r="C526" s="3">
        <v>11.0</v>
      </c>
      <c r="D526" s="10">
        <v>4.0</v>
      </c>
      <c r="E526" s="11">
        <v>2010.0</v>
      </c>
      <c r="F526" s="13">
        <v>2047010.28</v>
      </c>
      <c r="G526" s="13">
        <v>1769475.88</v>
      </c>
      <c r="H526" s="13">
        <v>277534.40000000014</v>
      </c>
      <c r="I526" s="14">
        <v>0.13558036455000125</v>
      </c>
      <c r="J526" s="3" t="s">
        <v>11</v>
      </c>
      <c r="K526" s="3" t="s">
        <v>28</v>
      </c>
      <c r="L526" s="3" t="s">
        <v>33</v>
      </c>
    </row>
    <row r="527" ht="15.75" customHeight="1">
      <c r="A527" s="3">
        <v>4.47684133E8</v>
      </c>
      <c r="B527" s="3" t="s">
        <v>270</v>
      </c>
      <c r="C527" s="3">
        <v>42.0</v>
      </c>
      <c r="D527" s="10">
        <v>7.0</v>
      </c>
      <c r="E527" s="11">
        <v>2016.0</v>
      </c>
      <c r="F527" s="13">
        <v>1302728.04</v>
      </c>
      <c r="G527" s="13">
        <v>831942.72</v>
      </c>
      <c r="H527" s="13">
        <v>470785.32000000007</v>
      </c>
      <c r="I527" s="14">
        <v>0.3613841918993315</v>
      </c>
      <c r="J527" s="3" t="s">
        <v>13</v>
      </c>
      <c r="K527" s="3" t="s">
        <v>28</v>
      </c>
      <c r="L527" s="3" t="s">
        <v>79</v>
      </c>
    </row>
    <row r="528" ht="15.75" customHeight="1">
      <c r="A528" s="3">
        <v>4.4920634E8</v>
      </c>
      <c r="B528" s="3" t="s">
        <v>270</v>
      </c>
      <c r="C528" s="3">
        <v>37.0</v>
      </c>
      <c r="D528" s="10">
        <v>2.0</v>
      </c>
      <c r="E528" s="11">
        <v>2016.0</v>
      </c>
      <c r="F528" s="13">
        <v>1849860.0999999999</v>
      </c>
      <c r="G528" s="13">
        <v>1053170.23</v>
      </c>
      <c r="H528" s="13">
        <v>796689.8699999999</v>
      </c>
      <c r="I528" s="14">
        <v>0.4306757413709285</v>
      </c>
      <c r="J528" s="3" t="s">
        <v>3</v>
      </c>
      <c r="K528" s="3" t="s">
        <v>28</v>
      </c>
      <c r="L528" s="3" t="s">
        <v>79</v>
      </c>
    </row>
    <row r="529" ht="15.75" customHeight="1">
      <c r="A529" s="3">
        <v>4.50041043E8</v>
      </c>
      <c r="B529" s="3" t="s">
        <v>578</v>
      </c>
      <c r="C529" s="3">
        <v>27.0</v>
      </c>
      <c r="D529" s="10">
        <v>3.0</v>
      </c>
      <c r="E529" s="11">
        <v>2014.0</v>
      </c>
      <c r="F529" s="13">
        <v>2623200.0</v>
      </c>
      <c r="G529" s="13">
        <v>1579980.0</v>
      </c>
      <c r="H529" s="13">
        <v>1043220.0</v>
      </c>
      <c r="I529" s="14">
        <v>0.39768984446477584</v>
      </c>
      <c r="J529" s="3" t="s">
        <v>12</v>
      </c>
      <c r="K529" s="3" t="s">
        <v>28</v>
      </c>
      <c r="L529" s="3" t="s">
        <v>33</v>
      </c>
    </row>
    <row r="530" ht="15.75" customHeight="1">
      <c r="A530" s="3">
        <v>4.50550019E8</v>
      </c>
      <c r="B530" s="3" t="s">
        <v>593</v>
      </c>
      <c r="C530" s="3">
        <v>9.0</v>
      </c>
      <c r="D530" s="10">
        <v>12.0</v>
      </c>
      <c r="E530" s="11">
        <v>2011.0</v>
      </c>
      <c r="F530" s="13">
        <v>1689443.04</v>
      </c>
      <c r="G530" s="13">
        <v>1055041.5599999998</v>
      </c>
      <c r="H530" s="13">
        <v>634401.4800000002</v>
      </c>
      <c r="I530" s="14">
        <v>0.3755092447508619</v>
      </c>
      <c r="J530" s="3" t="s">
        <v>10</v>
      </c>
      <c r="K530" s="3" t="s">
        <v>28</v>
      </c>
      <c r="L530" s="3" t="s">
        <v>98</v>
      </c>
    </row>
    <row r="531" ht="15.75" customHeight="1">
      <c r="A531" s="3">
        <v>4.52471768E8</v>
      </c>
      <c r="B531" s="3" t="s">
        <v>686</v>
      </c>
      <c r="C531" s="3">
        <v>27.0</v>
      </c>
      <c r="D531" s="10">
        <v>1.0</v>
      </c>
      <c r="E531" s="11">
        <v>2015.0</v>
      </c>
      <c r="F531" s="13">
        <v>49504.98</v>
      </c>
      <c r="G531" s="13">
        <v>36717.52</v>
      </c>
      <c r="H531" s="13">
        <v>12787.460000000006</v>
      </c>
      <c r="I531" s="14">
        <v>0.2583065380493034</v>
      </c>
      <c r="J531" s="3" t="s">
        <v>8</v>
      </c>
      <c r="K531" s="3" t="s">
        <v>28</v>
      </c>
      <c r="L531" s="3" t="s">
        <v>29</v>
      </c>
    </row>
    <row r="532" ht="15.75" customHeight="1">
      <c r="A532" s="3">
        <v>4.52559745E8</v>
      </c>
      <c r="B532" s="3" t="s">
        <v>821</v>
      </c>
      <c r="C532" s="3">
        <v>1.0</v>
      </c>
      <c r="D532" s="10">
        <v>3.0</v>
      </c>
      <c r="E532" s="11">
        <v>2014.0</v>
      </c>
      <c r="F532" s="13">
        <v>206440.4</v>
      </c>
      <c r="G532" s="13">
        <v>121846.20000000001</v>
      </c>
      <c r="H532" s="13">
        <v>84594.19999999998</v>
      </c>
      <c r="I532" s="14">
        <v>0.4097754121770738</v>
      </c>
      <c r="J532" s="3" t="s">
        <v>9</v>
      </c>
      <c r="K532" s="3" t="s">
        <v>821</v>
      </c>
      <c r="L532" s="3" t="s">
        <v>821</v>
      </c>
    </row>
    <row r="533" ht="15.75" customHeight="1">
      <c r="A533" s="3">
        <v>4.54550588E8</v>
      </c>
      <c r="B533" s="3" t="s">
        <v>575</v>
      </c>
      <c r="C533" s="3">
        <v>31.0</v>
      </c>
      <c r="D533" s="10">
        <v>8.0</v>
      </c>
      <c r="E533" s="11">
        <v>2011.0</v>
      </c>
      <c r="F533" s="13">
        <v>97707.5</v>
      </c>
      <c r="G533" s="13">
        <v>55627.25</v>
      </c>
      <c r="H533" s="13">
        <v>42080.25</v>
      </c>
      <c r="I533" s="14">
        <v>0.4306757413709285</v>
      </c>
      <c r="J533" s="3" t="s">
        <v>3</v>
      </c>
      <c r="K533" s="3" t="s">
        <v>28</v>
      </c>
      <c r="L533" s="3" t="s">
        <v>98</v>
      </c>
    </row>
    <row r="534" ht="15.75" customHeight="1">
      <c r="A534" s="3">
        <v>4.55040681E8</v>
      </c>
      <c r="B534" s="3" t="s">
        <v>270</v>
      </c>
      <c r="C534" s="3">
        <v>1.0</v>
      </c>
      <c r="D534" s="10">
        <v>2.0</v>
      </c>
      <c r="E534" s="11">
        <v>2012.0</v>
      </c>
      <c r="F534" s="13">
        <v>847946.24</v>
      </c>
      <c r="G534" s="13">
        <v>500478.72000000003</v>
      </c>
      <c r="H534" s="13">
        <v>347467.51999999996</v>
      </c>
      <c r="I534" s="14">
        <v>0.4097754121770738</v>
      </c>
      <c r="J534" s="3" t="s">
        <v>9</v>
      </c>
      <c r="K534" s="3" t="s">
        <v>28</v>
      </c>
      <c r="L534" s="3" t="s">
        <v>79</v>
      </c>
    </row>
    <row r="535" ht="15.75" customHeight="1">
      <c r="A535" s="3">
        <v>4.56192958E8</v>
      </c>
      <c r="B535" s="3" t="s">
        <v>536</v>
      </c>
      <c r="C535" s="3">
        <v>30.0</v>
      </c>
      <c r="D535" s="10">
        <v>7.0</v>
      </c>
      <c r="E535" s="11">
        <v>2014.0</v>
      </c>
      <c r="F535" s="13">
        <v>530345.97</v>
      </c>
      <c r="G535" s="13">
        <v>367731.63</v>
      </c>
      <c r="H535" s="13">
        <v>162614.33999999997</v>
      </c>
      <c r="I535" s="14">
        <v>0.3066193564174721</v>
      </c>
      <c r="J535" s="3" t="s">
        <v>14</v>
      </c>
      <c r="K535" s="3" t="s">
        <v>28</v>
      </c>
      <c r="L535" s="3" t="s">
        <v>33</v>
      </c>
    </row>
    <row r="536" ht="15.75" customHeight="1">
      <c r="A536" s="3">
        <v>4.56527268E8</v>
      </c>
      <c r="B536" s="3" t="s">
        <v>101</v>
      </c>
      <c r="C536" s="3">
        <v>1.0</v>
      </c>
      <c r="D536" s="10">
        <v>12.0</v>
      </c>
      <c r="E536" s="11">
        <v>2012.0</v>
      </c>
      <c r="F536" s="13">
        <v>3528906.99</v>
      </c>
      <c r="G536" s="13">
        <v>2844758.24</v>
      </c>
      <c r="H536" s="13">
        <v>684148.75</v>
      </c>
      <c r="I536" s="14">
        <v>0.19386987300563566</v>
      </c>
      <c r="J536" s="3" t="s">
        <v>7</v>
      </c>
      <c r="K536" s="3" t="s">
        <v>28</v>
      </c>
      <c r="L536" s="3" t="s">
        <v>79</v>
      </c>
    </row>
    <row r="537" ht="15.75" customHeight="1">
      <c r="A537" s="3">
        <v>4.56934964E8</v>
      </c>
      <c r="B537" s="3" t="s">
        <v>623</v>
      </c>
      <c r="C537" s="3">
        <v>43.0</v>
      </c>
      <c r="D537" s="10">
        <v>3.0</v>
      </c>
      <c r="E537" s="11">
        <v>2012.0</v>
      </c>
      <c r="F537" s="13">
        <v>2558762.85</v>
      </c>
      <c r="G537" s="13">
        <v>2211844.85</v>
      </c>
      <c r="H537" s="13">
        <v>346918.0</v>
      </c>
      <c r="I537" s="14">
        <v>0.1355803645500012</v>
      </c>
      <c r="J537" s="3" t="s">
        <v>11</v>
      </c>
      <c r="K537" s="3" t="s">
        <v>28</v>
      </c>
      <c r="L537" s="3" t="s">
        <v>33</v>
      </c>
    </row>
    <row r="538" ht="15.75" customHeight="1">
      <c r="A538" s="3">
        <v>4.58816373E8</v>
      </c>
      <c r="B538" s="3" t="s">
        <v>821</v>
      </c>
      <c r="C538" s="3">
        <v>12.0</v>
      </c>
      <c r="D538" s="10">
        <v>4.0</v>
      </c>
      <c r="E538" s="11">
        <v>2015.0</v>
      </c>
      <c r="F538" s="13">
        <v>1833156.1500000001</v>
      </c>
      <c r="G538" s="13">
        <v>1477762.4000000001</v>
      </c>
      <c r="H538" s="13">
        <v>355393.75</v>
      </c>
      <c r="I538" s="14">
        <v>0.19386987300563566</v>
      </c>
      <c r="J538" s="3" t="s">
        <v>7</v>
      </c>
      <c r="K538" s="3" t="s">
        <v>821</v>
      </c>
      <c r="L538" s="3" t="s">
        <v>821</v>
      </c>
    </row>
    <row r="539" ht="15.75" customHeight="1">
      <c r="A539" s="3">
        <v>4.59277713E8</v>
      </c>
      <c r="B539" s="3" t="s">
        <v>671</v>
      </c>
      <c r="C539" s="3">
        <v>19.0</v>
      </c>
      <c r="D539" s="10">
        <v>11.0</v>
      </c>
      <c r="E539" s="11">
        <v>2013.0</v>
      </c>
      <c r="F539" s="13">
        <v>3938765.04</v>
      </c>
      <c r="G539" s="13">
        <v>3404745.84</v>
      </c>
      <c r="H539" s="13">
        <v>534019.2000000002</v>
      </c>
      <c r="I539" s="14">
        <v>0.13558036455000122</v>
      </c>
      <c r="J539" s="3" t="s">
        <v>11</v>
      </c>
      <c r="K539" s="3" t="s">
        <v>28</v>
      </c>
      <c r="L539" s="3" t="s">
        <v>33</v>
      </c>
    </row>
    <row r="540" ht="15.75" customHeight="1">
      <c r="A540" s="3">
        <v>4.59372985E8</v>
      </c>
      <c r="B540" s="3" t="s">
        <v>373</v>
      </c>
      <c r="C540" s="3">
        <v>21.0</v>
      </c>
      <c r="D540" s="10">
        <v>3.0</v>
      </c>
      <c r="E540" s="11">
        <v>2012.0</v>
      </c>
      <c r="F540" s="13">
        <v>1922003.12</v>
      </c>
      <c r="G540" s="13">
        <v>1200273.18</v>
      </c>
      <c r="H540" s="13">
        <v>721729.9400000002</v>
      </c>
      <c r="I540" s="14">
        <v>0.3755092447508619</v>
      </c>
      <c r="J540" s="3" t="s">
        <v>10</v>
      </c>
      <c r="K540" s="3" t="s">
        <v>28</v>
      </c>
      <c r="L540" s="3" t="s">
        <v>33</v>
      </c>
    </row>
    <row r="541" ht="15.75" customHeight="1">
      <c r="A541" s="3">
        <v>4.60693061E8</v>
      </c>
      <c r="B541" s="3" t="s">
        <v>288</v>
      </c>
      <c r="C541" s="3">
        <v>28.0</v>
      </c>
      <c r="D541" s="10">
        <v>1.0</v>
      </c>
      <c r="E541" s="11">
        <v>2017.0</v>
      </c>
      <c r="F541" s="13">
        <v>76216.77</v>
      </c>
      <c r="G541" s="13">
        <v>56529.479999999996</v>
      </c>
      <c r="H541" s="13">
        <v>19687.290000000008</v>
      </c>
      <c r="I541" s="14">
        <v>0.2583065380493034</v>
      </c>
      <c r="J541" s="3" t="s">
        <v>8</v>
      </c>
      <c r="K541" s="3" t="s">
        <v>23</v>
      </c>
      <c r="L541" s="3" t="s">
        <v>68</v>
      </c>
    </row>
    <row r="542" ht="15.75" customHeight="1">
      <c r="A542" s="3">
        <v>4.61445796E8</v>
      </c>
      <c r="B542" s="3" t="s">
        <v>821</v>
      </c>
      <c r="C542" s="3">
        <v>34.0</v>
      </c>
      <c r="D542" s="10">
        <v>2.0</v>
      </c>
      <c r="E542" s="11">
        <v>2016.0</v>
      </c>
      <c r="F542" s="13">
        <v>75191.6</v>
      </c>
      <c r="G542" s="13">
        <v>52136.4</v>
      </c>
      <c r="H542" s="13">
        <v>23055.200000000004</v>
      </c>
      <c r="I542" s="14">
        <v>0.3066193564174722</v>
      </c>
      <c r="J542" s="3" t="s">
        <v>14</v>
      </c>
      <c r="K542" s="3" t="s">
        <v>821</v>
      </c>
      <c r="L542" s="3" t="s">
        <v>821</v>
      </c>
    </row>
    <row r="543" ht="15.75" customHeight="1">
      <c r="A543" s="3">
        <v>4.61917865E8</v>
      </c>
      <c r="B543" s="3" t="s">
        <v>488</v>
      </c>
      <c r="C543" s="3">
        <v>35.0</v>
      </c>
      <c r="D543" s="10">
        <v>2.0</v>
      </c>
      <c r="E543" s="11">
        <v>2016.0</v>
      </c>
      <c r="F543" s="13">
        <v>157252.48</v>
      </c>
      <c r="G543" s="13">
        <v>98202.71999999999</v>
      </c>
      <c r="H543" s="13">
        <v>59049.760000000024</v>
      </c>
      <c r="I543" s="14">
        <v>0.37550924475086195</v>
      </c>
      <c r="J543" s="3" t="s">
        <v>10</v>
      </c>
      <c r="K543" s="3" t="s">
        <v>28</v>
      </c>
      <c r="L543" s="3" t="s">
        <v>33</v>
      </c>
    </row>
    <row r="544" ht="15.75" customHeight="1">
      <c r="A544" s="3">
        <v>4.62561166E8</v>
      </c>
      <c r="B544" s="3" t="s">
        <v>671</v>
      </c>
      <c r="C544" s="3">
        <v>30.0</v>
      </c>
      <c r="D544" s="10">
        <v>4.0</v>
      </c>
      <c r="E544" s="11">
        <v>2013.0</v>
      </c>
      <c r="F544" s="13">
        <v>414717.87</v>
      </c>
      <c r="G544" s="13">
        <v>358490.27</v>
      </c>
      <c r="H544" s="13">
        <v>56227.59999999998</v>
      </c>
      <c r="I544" s="14">
        <v>0.13558036455000114</v>
      </c>
      <c r="J544" s="3" t="s">
        <v>11</v>
      </c>
      <c r="K544" s="3" t="s">
        <v>28</v>
      </c>
      <c r="L544" s="3" t="s">
        <v>33</v>
      </c>
    </row>
    <row r="545" ht="15.75" customHeight="1">
      <c r="A545" s="3">
        <v>4.63591134E8</v>
      </c>
      <c r="B545" s="3" t="s">
        <v>434</v>
      </c>
      <c r="C545" s="3">
        <v>26.0</v>
      </c>
      <c r="D545" s="10">
        <v>9.0</v>
      </c>
      <c r="E545" s="11">
        <v>2016.0</v>
      </c>
      <c r="F545" s="13">
        <v>3857922.71</v>
      </c>
      <c r="G545" s="13">
        <v>2901163.42</v>
      </c>
      <c r="H545" s="13">
        <v>956759.29</v>
      </c>
      <c r="I545" s="14">
        <v>0.247998563454891</v>
      </c>
      <c r="J545" s="3" t="s">
        <v>4</v>
      </c>
      <c r="K545" s="3" t="s">
        <v>28</v>
      </c>
      <c r="L545" s="3" t="s">
        <v>79</v>
      </c>
    </row>
    <row r="546" ht="15.75" customHeight="1">
      <c r="A546" s="3">
        <v>4.6491121E8</v>
      </c>
      <c r="B546" s="3" t="s">
        <v>373</v>
      </c>
      <c r="C546" s="3">
        <v>34.0</v>
      </c>
      <c r="D546" s="10">
        <v>1.0</v>
      </c>
      <c r="E546" s="11">
        <v>2014.0</v>
      </c>
      <c r="F546" s="13">
        <v>978495.54</v>
      </c>
      <c r="G546" s="13">
        <v>624882.72</v>
      </c>
      <c r="H546" s="13">
        <v>353612.82000000007</v>
      </c>
      <c r="I546" s="14">
        <v>0.3613841918993316</v>
      </c>
      <c r="J546" s="3" t="s">
        <v>13</v>
      </c>
      <c r="K546" s="3" t="s">
        <v>28</v>
      </c>
      <c r="L546" s="3" t="s">
        <v>33</v>
      </c>
    </row>
    <row r="547" ht="15.75" customHeight="1">
      <c r="A547" s="3">
        <v>4.65753209E8</v>
      </c>
      <c r="B547" s="3" t="s">
        <v>291</v>
      </c>
      <c r="C547" s="3">
        <v>0.0</v>
      </c>
      <c r="D547" s="10">
        <v>3.0</v>
      </c>
      <c r="E547" s="11">
        <v>2011.0</v>
      </c>
      <c r="F547" s="13">
        <v>859500.74</v>
      </c>
      <c r="G547" s="13">
        <v>507298.47000000003</v>
      </c>
      <c r="H547" s="13">
        <v>352202.26999999996</v>
      </c>
      <c r="I547" s="14">
        <v>0.4097754121770738</v>
      </c>
      <c r="J547" s="3" t="s">
        <v>9</v>
      </c>
      <c r="K547" s="3" t="s">
        <v>28</v>
      </c>
      <c r="L547" s="3" t="s">
        <v>79</v>
      </c>
    </row>
    <row r="548" ht="15.75" customHeight="1">
      <c r="A548" s="3">
        <v>4.66517961E8</v>
      </c>
      <c r="B548" s="3" t="s">
        <v>97</v>
      </c>
      <c r="C548" s="3">
        <v>37.0</v>
      </c>
      <c r="D548" s="10">
        <v>8.0</v>
      </c>
      <c r="E548" s="11">
        <v>2010.0</v>
      </c>
      <c r="F548" s="13">
        <v>17596.38</v>
      </c>
      <c r="G548" s="13">
        <v>13051.119999999999</v>
      </c>
      <c r="H548" s="13">
        <v>4545.260000000002</v>
      </c>
      <c r="I548" s="14">
        <v>0.2583065380493034</v>
      </c>
      <c r="J548" s="3" t="s">
        <v>8</v>
      </c>
      <c r="K548" s="3" t="s">
        <v>28</v>
      </c>
      <c r="L548" s="3" t="s">
        <v>98</v>
      </c>
    </row>
    <row r="549" ht="15.75" customHeight="1">
      <c r="A549" s="3">
        <v>4.66988742E8</v>
      </c>
      <c r="B549" s="3" t="s">
        <v>455</v>
      </c>
      <c r="C549" s="3">
        <v>0.0</v>
      </c>
      <c r="D549" s="10">
        <v>8.0</v>
      </c>
      <c r="E549" s="11">
        <v>2011.0</v>
      </c>
      <c r="F549" s="13">
        <v>98157.73000000001</v>
      </c>
      <c r="G549" s="13">
        <v>68060.67</v>
      </c>
      <c r="H549" s="13">
        <v>30097.060000000012</v>
      </c>
      <c r="I549" s="14">
        <v>0.30661935641747223</v>
      </c>
      <c r="J549" s="3" t="s">
        <v>14</v>
      </c>
      <c r="K549" s="3" t="s">
        <v>28</v>
      </c>
      <c r="L549" s="3" t="s">
        <v>33</v>
      </c>
    </row>
    <row r="550" ht="15.75" customHeight="1">
      <c r="A550" s="3">
        <v>4.67045819E8</v>
      </c>
      <c r="B550" s="3" t="s">
        <v>821</v>
      </c>
      <c r="C550" s="3">
        <v>32.0</v>
      </c>
      <c r="D550" s="10">
        <v>3.0</v>
      </c>
      <c r="E550" s="11">
        <v>2013.0</v>
      </c>
      <c r="F550" s="13">
        <v>661359.16</v>
      </c>
      <c r="G550" s="13">
        <v>458573.64</v>
      </c>
      <c r="H550" s="13">
        <v>202785.52000000002</v>
      </c>
      <c r="I550" s="14">
        <v>0.3066193564174722</v>
      </c>
      <c r="J550" s="3" t="s">
        <v>14</v>
      </c>
      <c r="K550" s="3" t="s">
        <v>821</v>
      </c>
      <c r="L550" s="3" t="s">
        <v>821</v>
      </c>
    </row>
    <row r="551" ht="15.75" customHeight="1">
      <c r="A551" s="3">
        <v>4.67138516E8</v>
      </c>
      <c r="B551" s="3" t="s">
        <v>623</v>
      </c>
      <c r="C551" s="3">
        <v>9.0</v>
      </c>
      <c r="D551" s="10">
        <v>7.0</v>
      </c>
      <c r="E551" s="11">
        <v>2013.0</v>
      </c>
      <c r="F551" s="13">
        <v>603553.4400000001</v>
      </c>
      <c r="G551" s="13">
        <v>197944.32</v>
      </c>
      <c r="H551" s="13">
        <v>405609.12000000005</v>
      </c>
      <c r="I551" s="14">
        <v>0.6720351390922401</v>
      </c>
      <c r="J551" s="3" t="s">
        <v>5</v>
      </c>
      <c r="K551" s="3" t="s">
        <v>28</v>
      </c>
      <c r="L551" s="3" t="s">
        <v>33</v>
      </c>
    </row>
    <row r="552" ht="15.75" customHeight="1">
      <c r="A552" s="3">
        <v>4.67312324E8</v>
      </c>
      <c r="B552" s="3" t="s">
        <v>218</v>
      </c>
      <c r="C552" s="3">
        <v>29.0</v>
      </c>
      <c r="D552" s="10">
        <v>3.0</v>
      </c>
      <c r="E552" s="11">
        <v>2016.0</v>
      </c>
      <c r="F552" s="13">
        <v>1775727.68</v>
      </c>
      <c r="G552" s="13">
        <v>1108925.52</v>
      </c>
      <c r="H552" s="13">
        <v>666802.1599999999</v>
      </c>
      <c r="I552" s="14">
        <v>0.3755092447508618</v>
      </c>
      <c r="J552" s="3" t="s">
        <v>10</v>
      </c>
      <c r="K552" s="3" t="s">
        <v>28</v>
      </c>
      <c r="L552" s="3" t="s">
        <v>98</v>
      </c>
    </row>
    <row r="553" ht="15.75" customHeight="1">
      <c r="A553" s="3">
        <v>4.67924726E8</v>
      </c>
      <c r="B553" s="3" t="s">
        <v>346</v>
      </c>
      <c r="C553" s="3">
        <v>32.0</v>
      </c>
      <c r="D553" s="10">
        <v>9.0</v>
      </c>
      <c r="E553" s="11">
        <v>2015.0</v>
      </c>
      <c r="F553" s="13">
        <v>5326246.59</v>
      </c>
      <c r="G553" s="13">
        <v>4293647.84</v>
      </c>
      <c r="H553" s="13">
        <v>1032598.75</v>
      </c>
      <c r="I553" s="14">
        <v>0.19386987300563566</v>
      </c>
      <c r="J553" s="3" t="s">
        <v>7</v>
      </c>
      <c r="K553" s="3" t="s">
        <v>28</v>
      </c>
      <c r="L553" s="3" t="s">
        <v>98</v>
      </c>
    </row>
    <row r="554" ht="15.75" customHeight="1">
      <c r="A554" s="3">
        <v>4.68320834E8</v>
      </c>
      <c r="B554" s="3" t="s">
        <v>78</v>
      </c>
      <c r="C554" s="3">
        <v>39.0</v>
      </c>
      <c r="D554" s="10">
        <v>11.0</v>
      </c>
      <c r="E554" s="11">
        <v>2016.0</v>
      </c>
      <c r="F554" s="13">
        <v>831461.8200000001</v>
      </c>
      <c r="G554" s="13">
        <v>490749.21</v>
      </c>
      <c r="H554" s="13">
        <v>340712.61000000004</v>
      </c>
      <c r="I554" s="14">
        <v>0.40977541217707386</v>
      </c>
      <c r="J554" s="3" t="s">
        <v>9</v>
      </c>
      <c r="K554" s="3" t="s">
        <v>28</v>
      </c>
      <c r="L554" s="3" t="s">
        <v>79</v>
      </c>
    </row>
    <row r="555" ht="15.75" customHeight="1">
      <c r="A555" s="3">
        <v>4.68803632E8</v>
      </c>
      <c r="B555" s="3" t="s">
        <v>142</v>
      </c>
      <c r="C555" s="3">
        <v>32.0</v>
      </c>
      <c r="D555" s="10">
        <v>8.0</v>
      </c>
      <c r="E555" s="11">
        <v>2010.0</v>
      </c>
      <c r="F555" s="13">
        <v>77131.11</v>
      </c>
      <c r="G555" s="13">
        <v>57207.64</v>
      </c>
      <c r="H555" s="13">
        <v>19923.47</v>
      </c>
      <c r="I555" s="14">
        <v>0.2583065380493033</v>
      </c>
      <c r="J555" s="3" t="s">
        <v>8</v>
      </c>
      <c r="K555" s="3" t="s">
        <v>28</v>
      </c>
      <c r="L555" s="3" t="s">
        <v>98</v>
      </c>
    </row>
    <row r="556" ht="15.75" customHeight="1">
      <c r="A556" s="3">
        <v>4.69129359E8</v>
      </c>
      <c r="B556" s="3" t="s">
        <v>434</v>
      </c>
      <c r="C556" s="3">
        <v>39.0</v>
      </c>
      <c r="D556" s="10">
        <v>12.0</v>
      </c>
      <c r="E556" s="11">
        <v>2010.0</v>
      </c>
      <c r="F556" s="13">
        <v>1964741.73</v>
      </c>
      <c r="G556" s="13">
        <v>1698361.33</v>
      </c>
      <c r="H556" s="13">
        <v>266380.3999999999</v>
      </c>
      <c r="I556" s="14">
        <v>0.13558036455000114</v>
      </c>
      <c r="J556" s="3" t="s">
        <v>11</v>
      </c>
      <c r="K556" s="3" t="s">
        <v>28</v>
      </c>
      <c r="L556" s="3" t="s">
        <v>79</v>
      </c>
    </row>
    <row r="557" ht="15.75" customHeight="1">
      <c r="A557" s="3">
        <v>4.69144809E8</v>
      </c>
      <c r="B557" s="3" t="s">
        <v>455</v>
      </c>
      <c r="C557" s="3">
        <v>35.0</v>
      </c>
      <c r="D557" s="10">
        <v>7.0</v>
      </c>
      <c r="E557" s="11">
        <v>2013.0</v>
      </c>
      <c r="F557" s="13">
        <v>1898405.2999999998</v>
      </c>
      <c r="G557" s="13">
        <v>1080808.19</v>
      </c>
      <c r="H557" s="13">
        <v>817597.1099999999</v>
      </c>
      <c r="I557" s="14">
        <v>0.4306757413709285</v>
      </c>
      <c r="J557" s="3" t="s">
        <v>3</v>
      </c>
      <c r="K557" s="3" t="s">
        <v>28</v>
      </c>
      <c r="L557" s="3" t="s">
        <v>33</v>
      </c>
    </row>
    <row r="558" ht="15.75" customHeight="1">
      <c r="A558" s="3">
        <v>4.69197165E8</v>
      </c>
      <c r="B558" s="3" t="s">
        <v>413</v>
      </c>
      <c r="C558" s="3">
        <v>14.0</v>
      </c>
      <c r="D558" s="10">
        <v>11.0</v>
      </c>
      <c r="E558" s="11">
        <v>2013.0</v>
      </c>
      <c r="F558" s="13">
        <v>224106.35</v>
      </c>
      <c r="G558" s="13">
        <v>150144.16999999998</v>
      </c>
      <c r="H558" s="13">
        <v>73962.18000000002</v>
      </c>
      <c r="I558" s="14">
        <v>0.3300316122233931</v>
      </c>
      <c r="J558" s="3" t="s">
        <v>6</v>
      </c>
      <c r="K558" s="3" t="s">
        <v>28</v>
      </c>
      <c r="L558" s="3" t="s">
        <v>29</v>
      </c>
    </row>
    <row r="559" ht="15.75" customHeight="1">
      <c r="A559" s="3">
        <v>4.69840466E8</v>
      </c>
      <c r="B559" s="3" t="s">
        <v>575</v>
      </c>
      <c r="C559" s="3">
        <v>9.0</v>
      </c>
      <c r="D559" s="10">
        <v>1.0</v>
      </c>
      <c r="E559" s="11">
        <v>2011.0</v>
      </c>
      <c r="F559" s="13">
        <v>784165.4</v>
      </c>
      <c r="G559" s="13">
        <v>462833.7</v>
      </c>
      <c r="H559" s="13">
        <v>321331.7</v>
      </c>
      <c r="I559" s="14">
        <v>0.40977541217707386</v>
      </c>
      <c r="J559" s="3" t="s">
        <v>9</v>
      </c>
      <c r="K559" s="3" t="s">
        <v>28</v>
      </c>
      <c r="L559" s="3" t="s">
        <v>98</v>
      </c>
    </row>
    <row r="560" ht="15.75" customHeight="1">
      <c r="A560" s="3">
        <v>4.69974792E8</v>
      </c>
      <c r="B560" s="3" t="s">
        <v>686</v>
      </c>
      <c r="C560" s="3">
        <v>22.0</v>
      </c>
      <c r="D560" s="10">
        <v>5.0</v>
      </c>
      <c r="E560" s="11">
        <v>2010.0</v>
      </c>
      <c r="F560" s="13">
        <v>1235555.2</v>
      </c>
      <c r="G560" s="13">
        <v>771592.7999999999</v>
      </c>
      <c r="H560" s="13">
        <v>463962.4</v>
      </c>
      <c r="I560" s="14">
        <v>0.37550924475086184</v>
      </c>
      <c r="J560" s="3" t="s">
        <v>10</v>
      </c>
      <c r="K560" s="3" t="s">
        <v>28</v>
      </c>
      <c r="L560" s="3" t="s">
        <v>29</v>
      </c>
    </row>
    <row r="561" ht="15.75" customHeight="1">
      <c r="A561" s="3">
        <v>4.70503079E8</v>
      </c>
      <c r="B561" s="3" t="s">
        <v>32</v>
      </c>
      <c r="C561" s="3">
        <v>12.0</v>
      </c>
      <c r="D561" s="10">
        <v>3.0</v>
      </c>
      <c r="E561" s="11">
        <v>2015.0</v>
      </c>
      <c r="F561" s="13">
        <v>128076.16</v>
      </c>
      <c r="G561" s="13">
        <v>42004.48</v>
      </c>
      <c r="H561" s="13">
        <v>86071.68</v>
      </c>
      <c r="I561" s="14">
        <v>0.67203513909224</v>
      </c>
      <c r="J561" s="3" t="s">
        <v>5</v>
      </c>
      <c r="K561" s="3" t="s">
        <v>28</v>
      </c>
      <c r="L561" s="3" t="s">
        <v>33</v>
      </c>
    </row>
    <row r="562" ht="15.75" customHeight="1">
      <c r="A562" s="3">
        <v>4.71348512E8</v>
      </c>
      <c r="B562" s="3" t="s">
        <v>300</v>
      </c>
      <c r="C562" s="3">
        <v>46.0</v>
      </c>
      <c r="D562" s="10">
        <v>8.0</v>
      </c>
      <c r="E562" s="11">
        <v>2014.0</v>
      </c>
      <c r="F562" s="13">
        <v>12632.82</v>
      </c>
      <c r="G562" s="13">
        <v>9369.68</v>
      </c>
      <c r="H562" s="13">
        <v>3263.1399999999994</v>
      </c>
      <c r="I562" s="14">
        <v>0.25830653804930326</v>
      </c>
      <c r="J562" s="3" t="s">
        <v>8</v>
      </c>
      <c r="K562" s="3" t="s">
        <v>28</v>
      </c>
      <c r="L562" s="3" t="s">
        <v>33</v>
      </c>
    </row>
    <row r="563" ht="15.75" customHeight="1">
      <c r="A563" s="3">
        <v>4.71484124E8</v>
      </c>
      <c r="B563" s="3" t="s">
        <v>221</v>
      </c>
      <c r="C563" s="3">
        <v>46.0</v>
      </c>
      <c r="D563" s="10">
        <v>12.0</v>
      </c>
      <c r="E563" s="11">
        <v>2012.0</v>
      </c>
      <c r="F563" s="13">
        <v>379090.8</v>
      </c>
      <c r="G563" s="13">
        <v>236738.69999999998</v>
      </c>
      <c r="H563" s="13">
        <v>142352.1</v>
      </c>
      <c r="I563" s="14">
        <v>0.37550924475086184</v>
      </c>
      <c r="J563" s="3" t="s">
        <v>10</v>
      </c>
      <c r="K563" s="3" t="s">
        <v>28</v>
      </c>
      <c r="L563" s="3" t="s">
        <v>29</v>
      </c>
    </row>
    <row r="564" ht="15.75" customHeight="1">
      <c r="A564" s="3">
        <v>4.73845756E8</v>
      </c>
      <c r="B564" s="3" t="s">
        <v>593</v>
      </c>
      <c r="C564" s="3">
        <v>34.0</v>
      </c>
      <c r="D564" s="10">
        <v>11.0</v>
      </c>
      <c r="E564" s="11">
        <v>2011.0</v>
      </c>
      <c r="F564" s="13">
        <v>28115.120000000003</v>
      </c>
      <c r="G564" s="13">
        <v>19494.48</v>
      </c>
      <c r="H564" s="13">
        <v>8620.640000000003</v>
      </c>
      <c r="I564" s="14">
        <v>0.30661935641747223</v>
      </c>
      <c r="J564" s="3" t="s">
        <v>14</v>
      </c>
      <c r="K564" s="3" t="s">
        <v>28</v>
      </c>
      <c r="L564" s="3" t="s">
        <v>98</v>
      </c>
    </row>
    <row r="565" ht="15.75" customHeight="1">
      <c r="A565" s="3">
        <v>4.7517656E8</v>
      </c>
      <c r="B565" s="3" t="s">
        <v>455</v>
      </c>
      <c r="C565" s="3">
        <v>35.0</v>
      </c>
      <c r="D565" s="10">
        <v>7.0</v>
      </c>
      <c r="E565" s="11">
        <v>2010.0</v>
      </c>
      <c r="F565" s="13">
        <v>38803.47</v>
      </c>
      <c r="G565" s="13">
        <v>28780.28</v>
      </c>
      <c r="H565" s="13">
        <v>10023.190000000002</v>
      </c>
      <c r="I565" s="14">
        <v>0.25830653804930337</v>
      </c>
      <c r="J565" s="3" t="s">
        <v>8</v>
      </c>
      <c r="K565" s="3" t="s">
        <v>28</v>
      </c>
      <c r="L565" s="3" t="s">
        <v>33</v>
      </c>
    </row>
    <row r="566" ht="15.75" customHeight="1">
      <c r="A566" s="3">
        <v>4.75992381E8</v>
      </c>
      <c r="B566" s="3" t="s">
        <v>434</v>
      </c>
      <c r="C566" s="3">
        <v>12.0</v>
      </c>
      <c r="D566" s="10">
        <v>5.0</v>
      </c>
      <c r="E566" s="11">
        <v>2011.0</v>
      </c>
      <c r="F566" s="13">
        <v>609563.84</v>
      </c>
      <c r="G566" s="13">
        <v>199915.52000000002</v>
      </c>
      <c r="H566" s="13">
        <v>409648.31999999995</v>
      </c>
      <c r="I566" s="14">
        <v>0.6720351390922401</v>
      </c>
      <c r="J566" s="3" t="s">
        <v>5</v>
      </c>
      <c r="K566" s="3" t="s">
        <v>28</v>
      </c>
      <c r="L566" s="3" t="s">
        <v>79</v>
      </c>
    </row>
    <row r="567" ht="15.75" customHeight="1">
      <c r="A567" s="3">
        <v>4.76453721E8</v>
      </c>
      <c r="B567" s="3" t="s">
        <v>623</v>
      </c>
      <c r="C567" s="3">
        <v>19.0</v>
      </c>
      <c r="D567" s="10">
        <v>7.0</v>
      </c>
      <c r="E567" s="11">
        <v>2017.0</v>
      </c>
      <c r="F567" s="13">
        <v>320265.42000000004</v>
      </c>
      <c r="G567" s="13">
        <v>204526.56</v>
      </c>
      <c r="H567" s="13">
        <v>115738.86000000004</v>
      </c>
      <c r="I567" s="14">
        <v>0.3613841918993316</v>
      </c>
      <c r="J567" s="3" t="s">
        <v>13</v>
      </c>
      <c r="K567" s="3" t="s">
        <v>28</v>
      </c>
      <c r="L567" s="3" t="s">
        <v>33</v>
      </c>
    </row>
    <row r="568" ht="15.75" customHeight="1">
      <c r="A568" s="3">
        <v>4.76633536E8</v>
      </c>
      <c r="B568" s="3" t="s">
        <v>32</v>
      </c>
      <c r="C568" s="3">
        <v>29.0</v>
      </c>
      <c r="D568" s="10">
        <v>10.0</v>
      </c>
      <c r="E568" s="11">
        <v>2012.0</v>
      </c>
      <c r="F568" s="13">
        <v>818058.6</v>
      </c>
      <c r="G568" s="13">
        <v>482838.30000000005</v>
      </c>
      <c r="H568" s="13">
        <v>335220.29999999993</v>
      </c>
      <c r="I568" s="14">
        <v>0.4097754121770738</v>
      </c>
      <c r="J568" s="3" t="s">
        <v>9</v>
      </c>
      <c r="K568" s="3" t="s">
        <v>28</v>
      </c>
      <c r="L568" s="3" t="s">
        <v>33</v>
      </c>
    </row>
    <row r="569" ht="15.75" customHeight="1">
      <c r="A569" s="3">
        <v>4.7679404E8</v>
      </c>
      <c r="B569" s="3" t="s">
        <v>142</v>
      </c>
      <c r="C569" s="3">
        <v>32.0</v>
      </c>
      <c r="D569" s="10">
        <v>2.0</v>
      </c>
      <c r="E569" s="11">
        <v>2016.0</v>
      </c>
      <c r="F569" s="13">
        <v>133192.15</v>
      </c>
      <c r="G569" s="13">
        <v>89234.53</v>
      </c>
      <c r="H569" s="13">
        <v>43957.619999999995</v>
      </c>
      <c r="I569" s="14">
        <v>0.330031612223393</v>
      </c>
      <c r="J569" s="3" t="s">
        <v>6</v>
      </c>
      <c r="K569" s="3" t="s">
        <v>28</v>
      </c>
      <c r="L569" s="3" t="s">
        <v>98</v>
      </c>
    </row>
    <row r="570" ht="15.75" customHeight="1">
      <c r="A570" s="3">
        <v>4.7699145E8</v>
      </c>
      <c r="B570" s="3" t="s">
        <v>142</v>
      </c>
      <c r="C570" s="3">
        <v>16.0</v>
      </c>
      <c r="D570" s="10">
        <v>3.0</v>
      </c>
      <c r="E570" s="11">
        <v>2017.0</v>
      </c>
      <c r="F570" s="13">
        <v>186910.50000000003</v>
      </c>
      <c r="G570" s="13">
        <v>119364.0</v>
      </c>
      <c r="H570" s="13">
        <v>67546.50000000003</v>
      </c>
      <c r="I570" s="14">
        <v>0.3613841918993316</v>
      </c>
      <c r="J570" s="3" t="s">
        <v>13</v>
      </c>
      <c r="K570" s="3" t="s">
        <v>28</v>
      </c>
      <c r="L570" s="3" t="s">
        <v>98</v>
      </c>
    </row>
    <row r="571" ht="15.75" customHeight="1">
      <c r="A571" s="3">
        <v>4.77282845E8</v>
      </c>
      <c r="B571" s="3" t="s">
        <v>67</v>
      </c>
      <c r="C571" s="3">
        <v>15.0</v>
      </c>
      <c r="D571" s="10">
        <v>1.0</v>
      </c>
      <c r="E571" s="11">
        <v>2010.0</v>
      </c>
      <c r="F571" s="13">
        <v>1533493.5</v>
      </c>
      <c r="G571" s="13">
        <v>873055.05</v>
      </c>
      <c r="H571" s="13">
        <v>660438.45</v>
      </c>
      <c r="I571" s="14">
        <v>0.4306757413709285</v>
      </c>
      <c r="J571" s="3" t="s">
        <v>3</v>
      </c>
      <c r="K571" s="3" t="s">
        <v>23</v>
      </c>
      <c r="L571" s="3" t="s">
        <v>68</v>
      </c>
    </row>
    <row r="572" ht="15.75" customHeight="1">
      <c r="A572" s="3">
        <v>4.77633464E8</v>
      </c>
      <c r="B572" s="3" t="s">
        <v>542</v>
      </c>
      <c r="C572" s="3">
        <v>24.0</v>
      </c>
      <c r="D572" s="10">
        <v>5.0</v>
      </c>
      <c r="E572" s="11">
        <v>2015.0</v>
      </c>
      <c r="F572" s="13">
        <v>529449.2</v>
      </c>
      <c r="G572" s="13">
        <v>318892.63</v>
      </c>
      <c r="H572" s="13">
        <v>210556.56999999995</v>
      </c>
      <c r="I572" s="14">
        <v>0.3976898444647758</v>
      </c>
      <c r="J572" s="3" t="s">
        <v>12</v>
      </c>
      <c r="K572" s="3" t="s">
        <v>28</v>
      </c>
      <c r="L572" s="3" t="s">
        <v>29</v>
      </c>
    </row>
    <row r="573" ht="15.75" customHeight="1">
      <c r="A573" s="3">
        <v>4.7805103E8</v>
      </c>
      <c r="B573" s="3" t="s">
        <v>218</v>
      </c>
      <c r="C573" s="3">
        <v>17.0</v>
      </c>
      <c r="D573" s="10">
        <v>9.0</v>
      </c>
      <c r="E573" s="11">
        <v>2011.0</v>
      </c>
      <c r="F573" s="13">
        <v>226716.1</v>
      </c>
      <c r="G573" s="13">
        <v>151892.62</v>
      </c>
      <c r="H573" s="13">
        <v>74823.48000000001</v>
      </c>
      <c r="I573" s="14">
        <v>0.33003161222339306</v>
      </c>
      <c r="J573" s="3" t="s">
        <v>6</v>
      </c>
      <c r="K573" s="3" t="s">
        <v>28</v>
      </c>
      <c r="L573" s="3" t="s">
        <v>98</v>
      </c>
    </row>
    <row r="574" ht="15.75" customHeight="1">
      <c r="A574" s="3">
        <v>4.78840672E8</v>
      </c>
      <c r="B574" s="3" t="s">
        <v>221</v>
      </c>
      <c r="C574" s="3">
        <v>5.0</v>
      </c>
      <c r="D574" s="10">
        <v>2.0</v>
      </c>
      <c r="E574" s="11">
        <v>2016.0</v>
      </c>
      <c r="F574" s="13">
        <v>690700.23</v>
      </c>
      <c r="G574" s="13">
        <v>478918.17000000004</v>
      </c>
      <c r="H574" s="13">
        <v>211782.05999999994</v>
      </c>
      <c r="I574" s="14">
        <v>0.30661935641747207</v>
      </c>
      <c r="J574" s="3" t="s">
        <v>14</v>
      </c>
      <c r="K574" s="3" t="s">
        <v>28</v>
      </c>
      <c r="L574" s="3" t="s">
        <v>29</v>
      </c>
    </row>
    <row r="575" ht="15.75" customHeight="1">
      <c r="A575" s="3">
        <v>4.79171121E8</v>
      </c>
      <c r="B575" s="3" t="s">
        <v>578</v>
      </c>
      <c r="C575" s="3">
        <v>16.0</v>
      </c>
      <c r="D575" s="10">
        <v>1.0</v>
      </c>
      <c r="E575" s="11">
        <v>2010.0</v>
      </c>
      <c r="F575" s="13">
        <v>1592436.64</v>
      </c>
      <c r="G575" s="13">
        <v>994461.96</v>
      </c>
      <c r="H575" s="13">
        <v>597974.6799999999</v>
      </c>
      <c r="I575" s="14">
        <v>0.3755092447508618</v>
      </c>
      <c r="J575" s="3" t="s">
        <v>10</v>
      </c>
      <c r="K575" s="3" t="s">
        <v>28</v>
      </c>
      <c r="L575" s="3" t="s">
        <v>33</v>
      </c>
    </row>
    <row r="576" ht="15.75" customHeight="1">
      <c r="A576" s="3">
        <v>4.79234206E8</v>
      </c>
      <c r="B576" s="3" t="s">
        <v>434</v>
      </c>
      <c r="C576" s="3">
        <v>38.0</v>
      </c>
      <c r="D576" s="10">
        <v>10.0</v>
      </c>
      <c r="E576" s="11">
        <v>2011.0</v>
      </c>
      <c r="F576" s="13">
        <v>45772.98</v>
      </c>
      <c r="G576" s="13">
        <v>33949.52</v>
      </c>
      <c r="H576" s="13">
        <v>11823.460000000006</v>
      </c>
      <c r="I576" s="14">
        <v>0.2583065380493034</v>
      </c>
      <c r="J576" s="3" t="s">
        <v>8</v>
      </c>
      <c r="K576" s="3" t="s">
        <v>28</v>
      </c>
      <c r="L576" s="3" t="s">
        <v>79</v>
      </c>
    </row>
    <row r="577" ht="15.75" customHeight="1">
      <c r="A577" s="3">
        <v>4.80652987E8</v>
      </c>
      <c r="B577" s="3" t="s">
        <v>373</v>
      </c>
      <c r="C577" s="3">
        <v>13.0</v>
      </c>
      <c r="D577" s="10">
        <v>3.0</v>
      </c>
      <c r="E577" s="11">
        <v>2017.0</v>
      </c>
      <c r="F577" s="13">
        <v>1213856.4</v>
      </c>
      <c r="G577" s="13">
        <v>758042.1</v>
      </c>
      <c r="H577" s="13">
        <v>455814.29999999993</v>
      </c>
      <c r="I577" s="14">
        <v>0.3755092447508618</v>
      </c>
      <c r="J577" s="3" t="s">
        <v>10</v>
      </c>
      <c r="K577" s="3" t="s">
        <v>28</v>
      </c>
      <c r="L577" s="3" t="s">
        <v>33</v>
      </c>
    </row>
    <row r="578" ht="15.75" customHeight="1">
      <c r="A578" s="3">
        <v>4.80904042E8</v>
      </c>
      <c r="B578" s="3" t="s">
        <v>46</v>
      </c>
      <c r="C578" s="3">
        <v>13.0</v>
      </c>
      <c r="D578" s="10">
        <v>1.0</v>
      </c>
      <c r="E578" s="11">
        <v>2010.0</v>
      </c>
      <c r="F578" s="13">
        <v>1380543.84</v>
      </c>
      <c r="G578" s="13">
        <v>881637.12</v>
      </c>
      <c r="H578" s="13">
        <v>498906.7200000001</v>
      </c>
      <c r="I578" s="14">
        <v>0.3613841918993315</v>
      </c>
      <c r="J578" s="3" t="s">
        <v>13</v>
      </c>
      <c r="K578" s="3" t="s">
        <v>28</v>
      </c>
      <c r="L578" s="3" t="s">
        <v>33</v>
      </c>
    </row>
    <row r="579" ht="15.75" customHeight="1">
      <c r="A579" s="3">
        <v>4.81114327E8</v>
      </c>
      <c r="B579" s="3" t="s">
        <v>542</v>
      </c>
      <c r="C579" s="3">
        <v>20.0</v>
      </c>
      <c r="D579" s="10">
        <v>11.0</v>
      </c>
      <c r="E579" s="11">
        <v>2015.0</v>
      </c>
      <c r="F579" s="13">
        <v>262473.2</v>
      </c>
      <c r="G579" s="13">
        <v>149432.36</v>
      </c>
      <c r="H579" s="13">
        <v>113040.84000000003</v>
      </c>
      <c r="I579" s="14">
        <v>0.4306757413709286</v>
      </c>
      <c r="J579" s="3" t="s">
        <v>3</v>
      </c>
      <c r="K579" s="3" t="s">
        <v>28</v>
      </c>
      <c r="L579" s="3" t="s">
        <v>29</v>
      </c>
    </row>
    <row r="580" ht="15.75" customHeight="1">
      <c r="A580" s="3">
        <v>4.81308305E8</v>
      </c>
      <c r="B580" s="3" t="s">
        <v>267</v>
      </c>
      <c r="C580" s="3">
        <v>39.0</v>
      </c>
      <c r="D580" s="10">
        <v>9.0</v>
      </c>
      <c r="E580" s="11">
        <v>2014.0</v>
      </c>
      <c r="F580" s="13">
        <v>2215319.84</v>
      </c>
      <c r="G580" s="13">
        <v>1383446.7599999998</v>
      </c>
      <c r="H580" s="13">
        <v>831873.0800000001</v>
      </c>
      <c r="I580" s="14">
        <v>0.37550924475086184</v>
      </c>
      <c r="J580" s="3" t="s">
        <v>10</v>
      </c>
      <c r="K580" s="3" t="s">
        <v>28</v>
      </c>
      <c r="L580" s="3" t="s">
        <v>29</v>
      </c>
    </row>
    <row r="581" ht="15.75" customHeight="1">
      <c r="A581" s="3">
        <v>4.81976497E8</v>
      </c>
      <c r="B581" s="3" t="s">
        <v>590</v>
      </c>
      <c r="C581" s="3">
        <v>37.0</v>
      </c>
      <c r="D581" s="10">
        <v>10.0</v>
      </c>
      <c r="E581" s="11">
        <v>2016.0</v>
      </c>
      <c r="F581" s="13">
        <v>59814.63</v>
      </c>
      <c r="G581" s="13">
        <v>44364.12</v>
      </c>
      <c r="H581" s="13">
        <v>15450.509999999995</v>
      </c>
      <c r="I581" s="14">
        <v>0.25830653804930326</v>
      </c>
      <c r="J581" s="3" t="s">
        <v>8</v>
      </c>
      <c r="K581" s="3" t="s">
        <v>28</v>
      </c>
      <c r="L581" s="3" t="s">
        <v>98</v>
      </c>
    </row>
    <row r="582" ht="15.75" customHeight="1">
      <c r="A582" s="3">
        <v>4.83438193E8</v>
      </c>
      <c r="B582" s="3" t="s">
        <v>288</v>
      </c>
      <c r="C582" s="3">
        <v>34.0</v>
      </c>
      <c r="D582" s="10">
        <v>8.0</v>
      </c>
      <c r="E582" s="11">
        <v>2012.0</v>
      </c>
      <c r="F582" s="13">
        <v>3779712.51</v>
      </c>
      <c r="G582" s="13">
        <v>3267257.71</v>
      </c>
      <c r="H582" s="13">
        <v>512454.7999999998</v>
      </c>
      <c r="I582" s="14">
        <v>0.13558036455000114</v>
      </c>
      <c r="J582" s="3" t="s">
        <v>11</v>
      </c>
      <c r="K582" s="3" t="s">
        <v>23</v>
      </c>
      <c r="L582" s="3" t="s">
        <v>68</v>
      </c>
    </row>
    <row r="583" ht="15.75" customHeight="1">
      <c r="A583" s="3">
        <v>4.83655774E8</v>
      </c>
      <c r="B583" s="3" t="s">
        <v>821</v>
      </c>
      <c r="C583" s="3">
        <v>18.0</v>
      </c>
      <c r="D583" s="10">
        <v>7.0</v>
      </c>
      <c r="E583" s="11">
        <v>2017.0</v>
      </c>
      <c r="F583" s="13">
        <v>688272.2</v>
      </c>
      <c r="G583" s="13">
        <v>391850.06</v>
      </c>
      <c r="H583" s="13">
        <v>296422.13999999996</v>
      </c>
      <c r="I583" s="14">
        <v>0.4306757413709285</v>
      </c>
      <c r="J583" s="3" t="s">
        <v>3</v>
      </c>
      <c r="K583" s="3" t="s">
        <v>821</v>
      </c>
      <c r="L583" s="3" t="s">
        <v>821</v>
      </c>
    </row>
    <row r="584" ht="15.75" customHeight="1">
      <c r="A584" s="3">
        <v>4.83981502E8</v>
      </c>
      <c r="B584" s="3" t="s">
        <v>653</v>
      </c>
      <c r="C584" s="3">
        <v>25.0</v>
      </c>
      <c r="D584" s="10">
        <v>4.0</v>
      </c>
      <c r="E584" s="11">
        <v>2010.0</v>
      </c>
      <c r="F584" s="13">
        <v>6340180.5600000005</v>
      </c>
      <c r="G584" s="13">
        <v>5111010.5600000005</v>
      </c>
      <c r="H584" s="13">
        <v>1229170.0</v>
      </c>
      <c r="I584" s="14">
        <v>0.19386987300563566</v>
      </c>
      <c r="J584" s="3" t="s">
        <v>7</v>
      </c>
      <c r="K584" s="3" t="s">
        <v>28</v>
      </c>
      <c r="L584" s="3" t="s">
        <v>33</v>
      </c>
    </row>
    <row r="585" ht="15.75" customHeight="1">
      <c r="A585" s="3">
        <v>4.85165965E8</v>
      </c>
      <c r="B585" s="3" t="s">
        <v>671</v>
      </c>
      <c r="C585" s="3">
        <v>33.0</v>
      </c>
      <c r="D585" s="10">
        <v>11.0</v>
      </c>
      <c r="E585" s="11">
        <v>2016.0</v>
      </c>
      <c r="F585" s="13">
        <v>37382.100000000006</v>
      </c>
      <c r="G585" s="13">
        <v>23872.8</v>
      </c>
      <c r="H585" s="13">
        <v>13509.300000000007</v>
      </c>
      <c r="I585" s="14">
        <v>0.36138419189933163</v>
      </c>
      <c r="J585" s="3" t="s">
        <v>13</v>
      </c>
      <c r="K585" s="3" t="s">
        <v>28</v>
      </c>
      <c r="L585" s="3" t="s">
        <v>33</v>
      </c>
    </row>
    <row r="586" ht="15.75" customHeight="1">
      <c r="A586" s="3">
        <v>4.85929429E8</v>
      </c>
      <c r="B586" s="3" t="s">
        <v>740</v>
      </c>
      <c r="C586" s="3">
        <v>32.0</v>
      </c>
      <c r="D586" s="10">
        <v>4.0</v>
      </c>
      <c r="E586" s="11">
        <v>2017.0</v>
      </c>
      <c r="F586" s="13">
        <v>504355.83</v>
      </c>
      <c r="G586" s="13">
        <v>349710.57</v>
      </c>
      <c r="H586" s="13">
        <v>154645.26</v>
      </c>
      <c r="I586" s="14">
        <v>0.3066193564174722</v>
      </c>
      <c r="J586" s="3" t="s">
        <v>14</v>
      </c>
      <c r="K586" s="3" t="s">
        <v>28</v>
      </c>
      <c r="L586" s="3" t="s">
        <v>98</v>
      </c>
    </row>
    <row r="587" ht="15.75" customHeight="1">
      <c r="A587" s="3">
        <v>4.86345708E8</v>
      </c>
      <c r="B587" s="3" t="s">
        <v>593</v>
      </c>
      <c r="C587" s="3">
        <v>38.0</v>
      </c>
      <c r="D587" s="10">
        <v>9.0</v>
      </c>
      <c r="E587" s="11">
        <v>2014.0</v>
      </c>
      <c r="F587" s="13">
        <v>4090880.4</v>
      </c>
      <c r="G587" s="13">
        <v>2463978.81</v>
      </c>
      <c r="H587" s="13">
        <v>1626901.5899999999</v>
      </c>
      <c r="I587" s="14">
        <v>0.39768984446477584</v>
      </c>
      <c r="J587" s="3" t="s">
        <v>12</v>
      </c>
      <c r="K587" s="3" t="s">
        <v>28</v>
      </c>
      <c r="L587" s="3" t="s">
        <v>98</v>
      </c>
    </row>
    <row r="588" ht="15.75" customHeight="1">
      <c r="A588" s="3">
        <v>4.8646115E8</v>
      </c>
      <c r="B588" s="3" t="s">
        <v>413</v>
      </c>
      <c r="C588" s="3">
        <v>39.0</v>
      </c>
      <c r="D588" s="10">
        <v>10.0</v>
      </c>
      <c r="E588" s="11">
        <v>2016.0</v>
      </c>
      <c r="F588" s="13">
        <v>542137.14</v>
      </c>
      <c r="G588" s="13">
        <v>319982.67000000004</v>
      </c>
      <c r="H588" s="13">
        <v>222154.46999999997</v>
      </c>
      <c r="I588" s="14">
        <v>0.4097754121770738</v>
      </c>
      <c r="J588" s="3" t="s">
        <v>9</v>
      </c>
      <c r="K588" s="3" t="s">
        <v>28</v>
      </c>
      <c r="L588" s="3" t="s">
        <v>29</v>
      </c>
    </row>
    <row r="589" ht="15.75" customHeight="1">
      <c r="A589" s="3">
        <v>4.8831638E8</v>
      </c>
      <c r="B589" s="3" t="s">
        <v>300</v>
      </c>
      <c r="C589" s="3">
        <v>18.0</v>
      </c>
      <c r="D589" s="10">
        <v>10.0</v>
      </c>
      <c r="E589" s="11">
        <v>2015.0</v>
      </c>
      <c r="F589" s="13">
        <v>23539.59</v>
      </c>
      <c r="G589" s="13">
        <v>17459.16</v>
      </c>
      <c r="H589" s="13">
        <v>6080.43</v>
      </c>
      <c r="I589" s="14">
        <v>0.2583065380493033</v>
      </c>
      <c r="J589" s="3" t="s">
        <v>8</v>
      </c>
      <c r="K589" s="3" t="s">
        <v>28</v>
      </c>
      <c r="L589" s="3" t="s">
        <v>33</v>
      </c>
    </row>
    <row r="590" ht="15.75" customHeight="1">
      <c r="A590" s="3">
        <v>4.88815915E8</v>
      </c>
      <c r="B590" s="3" t="s">
        <v>206</v>
      </c>
      <c r="C590" s="3">
        <v>45.0</v>
      </c>
      <c r="D590" s="10">
        <v>3.0</v>
      </c>
      <c r="E590" s="11">
        <v>2011.0</v>
      </c>
      <c r="F590" s="13">
        <v>52945.26</v>
      </c>
      <c r="G590" s="13">
        <v>33811.68</v>
      </c>
      <c r="H590" s="13">
        <v>19133.58</v>
      </c>
      <c r="I590" s="14">
        <v>0.3613841918993315</v>
      </c>
      <c r="J590" s="3" t="s">
        <v>13</v>
      </c>
      <c r="K590" s="3" t="s">
        <v>28</v>
      </c>
      <c r="L590" s="3" t="s">
        <v>33</v>
      </c>
    </row>
    <row r="591" ht="15.75" customHeight="1">
      <c r="A591" s="3">
        <v>4.89600837E8</v>
      </c>
      <c r="B591" s="3" t="s">
        <v>78</v>
      </c>
      <c r="C591" s="3">
        <v>31.0</v>
      </c>
      <c r="D591" s="10">
        <v>5.0</v>
      </c>
      <c r="E591" s="11">
        <v>2014.0</v>
      </c>
      <c r="F591" s="13">
        <v>403945.32</v>
      </c>
      <c r="G591" s="13">
        <v>238418.46000000002</v>
      </c>
      <c r="H591" s="13">
        <v>165526.86</v>
      </c>
      <c r="I591" s="14">
        <v>0.4097754121770738</v>
      </c>
      <c r="J591" s="3" t="s">
        <v>9</v>
      </c>
      <c r="K591" s="3" t="s">
        <v>28</v>
      </c>
      <c r="L591" s="3" t="s">
        <v>79</v>
      </c>
    </row>
    <row r="592" ht="15.75" customHeight="1">
      <c r="A592" s="3">
        <v>4.89848029E8</v>
      </c>
      <c r="B592" s="3" t="s">
        <v>821</v>
      </c>
      <c r="C592" s="3">
        <v>19.0</v>
      </c>
      <c r="D592" s="10">
        <v>5.0</v>
      </c>
      <c r="E592" s="11">
        <v>2010.0</v>
      </c>
      <c r="F592" s="13">
        <v>880691.7600000001</v>
      </c>
      <c r="G592" s="13">
        <v>562423.6799999999</v>
      </c>
      <c r="H592" s="13">
        <v>318268.0800000002</v>
      </c>
      <c r="I592" s="14">
        <v>0.3613841918993317</v>
      </c>
      <c r="J592" s="3" t="s">
        <v>13</v>
      </c>
      <c r="K592" s="3" t="s">
        <v>821</v>
      </c>
      <c r="L592" s="3" t="s">
        <v>821</v>
      </c>
    </row>
    <row r="593" ht="15.75" customHeight="1">
      <c r="A593" s="3">
        <v>4.91547477E8</v>
      </c>
      <c r="B593" s="3" t="s">
        <v>821</v>
      </c>
      <c r="C593" s="3">
        <v>0.0</v>
      </c>
      <c r="D593" s="10">
        <v>11.0</v>
      </c>
      <c r="E593" s="11">
        <v>2014.0</v>
      </c>
      <c r="F593" s="13">
        <v>1336624.56</v>
      </c>
      <c r="G593" s="13">
        <v>788908.68</v>
      </c>
      <c r="H593" s="13">
        <v>547715.88</v>
      </c>
      <c r="I593" s="14">
        <v>0.40977541217707386</v>
      </c>
      <c r="J593" s="3" t="s">
        <v>9</v>
      </c>
      <c r="K593" s="3" t="s">
        <v>821</v>
      </c>
      <c r="L593" s="3" t="s">
        <v>821</v>
      </c>
    </row>
    <row r="594" ht="15.75" customHeight="1">
      <c r="A594" s="3">
        <v>4.92353856E8</v>
      </c>
      <c r="B594" s="3" t="s">
        <v>215</v>
      </c>
      <c r="C594" s="3">
        <v>22.0</v>
      </c>
      <c r="D594" s="10">
        <v>3.0</v>
      </c>
      <c r="E594" s="11">
        <v>2013.0</v>
      </c>
      <c r="F594" s="13">
        <v>4879707.54</v>
      </c>
      <c r="G594" s="13">
        <v>3669547.08</v>
      </c>
      <c r="H594" s="13">
        <v>1210160.46</v>
      </c>
      <c r="I594" s="14">
        <v>0.247998563454891</v>
      </c>
      <c r="J594" s="3" t="s">
        <v>4</v>
      </c>
      <c r="K594" s="3" t="s">
        <v>23</v>
      </c>
      <c r="L594" s="3" t="s">
        <v>68</v>
      </c>
    </row>
    <row r="595" ht="15.75" customHeight="1">
      <c r="A595" s="3">
        <v>4.95450627E8</v>
      </c>
      <c r="B595" s="3" t="s">
        <v>101</v>
      </c>
      <c r="C595" s="3">
        <v>42.0</v>
      </c>
      <c r="D595" s="10">
        <v>11.0</v>
      </c>
      <c r="E595" s="11">
        <v>2012.0</v>
      </c>
      <c r="F595" s="13">
        <v>762118.5</v>
      </c>
      <c r="G595" s="13">
        <v>433892.55</v>
      </c>
      <c r="H595" s="13">
        <v>328225.95</v>
      </c>
      <c r="I595" s="14">
        <v>0.43067574137092857</v>
      </c>
      <c r="J595" s="3" t="s">
        <v>3</v>
      </c>
      <c r="K595" s="3" t="s">
        <v>28</v>
      </c>
      <c r="L595" s="3" t="s">
        <v>79</v>
      </c>
    </row>
    <row r="596" ht="15.75" customHeight="1">
      <c r="A596" s="3">
        <v>4.95593106E8</v>
      </c>
      <c r="B596" s="3" t="s">
        <v>650</v>
      </c>
      <c r="C596" s="3">
        <v>23.0</v>
      </c>
      <c r="D596" s="10">
        <v>9.0</v>
      </c>
      <c r="E596" s="11">
        <v>2015.0</v>
      </c>
      <c r="F596" s="13">
        <v>278436.60000000003</v>
      </c>
      <c r="G596" s="13">
        <v>186543.72</v>
      </c>
      <c r="H596" s="13">
        <v>91892.88000000003</v>
      </c>
      <c r="I596" s="14">
        <v>0.3300316122233931</v>
      </c>
      <c r="J596" s="3" t="s">
        <v>6</v>
      </c>
      <c r="K596" s="3" t="s">
        <v>28</v>
      </c>
      <c r="L596" s="3" t="s">
        <v>98</v>
      </c>
    </row>
    <row r="597" ht="15.75" customHeight="1">
      <c r="A597" s="3">
        <v>4.95631301E8</v>
      </c>
      <c r="B597" s="3" t="s">
        <v>346</v>
      </c>
      <c r="C597" s="3">
        <v>43.0</v>
      </c>
      <c r="D597" s="10">
        <v>6.0</v>
      </c>
      <c r="E597" s="11">
        <v>2012.0</v>
      </c>
      <c r="F597" s="13">
        <v>1104764.26</v>
      </c>
      <c r="G597" s="13">
        <v>652059.03</v>
      </c>
      <c r="H597" s="13">
        <v>452705.23</v>
      </c>
      <c r="I597" s="14">
        <v>0.40977541217707386</v>
      </c>
      <c r="J597" s="3" t="s">
        <v>9</v>
      </c>
      <c r="K597" s="3" t="s">
        <v>28</v>
      </c>
      <c r="L597" s="3" t="s">
        <v>98</v>
      </c>
    </row>
    <row r="598" ht="15.75" customHeight="1">
      <c r="A598" s="3">
        <v>4.96826493E8</v>
      </c>
      <c r="B598" s="3" t="s">
        <v>288</v>
      </c>
      <c r="C598" s="3">
        <v>44.0</v>
      </c>
      <c r="D598" s="10">
        <v>10.0</v>
      </c>
      <c r="E598" s="11">
        <v>2012.0</v>
      </c>
      <c r="F598" s="13">
        <v>7977.15</v>
      </c>
      <c r="G598" s="13">
        <v>5916.6</v>
      </c>
      <c r="H598" s="13">
        <v>2060.5499999999993</v>
      </c>
      <c r="I598" s="14">
        <v>0.25830653804930326</v>
      </c>
      <c r="J598" s="3" t="s">
        <v>8</v>
      </c>
      <c r="K598" s="3" t="s">
        <v>23</v>
      </c>
      <c r="L598" s="3" t="s">
        <v>68</v>
      </c>
    </row>
    <row r="599" ht="15.75" customHeight="1">
      <c r="A599" s="3">
        <v>4.97466361E8</v>
      </c>
      <c r="B599" s="3" t="s">
        <v>101</v>
      </c>
      <c r="C599" s="3">
        <v>23.0</v>
      </c>
      <c r="D599" s="10">
        <v>4.0</v>
      </c>
      <c r="E599" s="11">
        <v>2015.0</v>
      </c>
      <c r="F599" s="13">
        <v>137663.62</v>
      </c>
      <c r="G599" s="13">
        <v>103523.24</v>
      </c>
      <c r="H599" s="13">
        <v>34140.37999999999</v>
      </c>
      <c r="I599" s="14">
        <v>0.24799856345489094</v>
      </c>
      <c r="J599" s="3" t="s">
        <v>4</v>
      </c>
      <c r="K599" s="3" t="s">
        <v>28</v>
      </c>
      <c r="L599" s="3" t="s">
        <v>79</v>
      </c>
    </row>
    <row r="600" ht="15.75" customHeight="1">
      <c r="A600" s="3">
        <v>4.97506701E8</v>
      </c>
      <c r="B600" s="3" t="s">
        <v>364</v>
      </c>
      <c r="C600" s="3">
        <v>22.0</v>
      </c>
      <c r="D600" s="10">
        <v>4.0</v>
      </c>
      <c r="E600" s="11">
        <v>2015.0</v>
      </c>
      <c r="F600" s="13">
        <v>547320.32</v>
      </c>
      <c r="G600" s="13">
        <v>341796.48</v>
      </c>
      <c r="H600" s="13">
        <v>205523.83999999997</v>
      </c>
      <c r="I600" s="14">
        <v>0.3755092447508618</v>
      </c>
      <c r="J600" s="3" t="s">
        <v>10</v>
      </c>
      <c r="K600" s="3" t="s">
        <v>28</v>
      </c>
      <c r="L600" s="3" t="s">
        <v>29</v>
      </c>
    </row>
    <row r="601" ht="15.75" customHeight="1">
      <c r="A601" s="3">
        <v>4.97554337E8</v>
      </c>
      <c r="B601" s="3" t="s">
        <v>215</v>
      </c>
      <c r="C601" s="3">
        <v>48.0</v>
      </c>
      <c r="D601" s="10">
        <v>6.0</v>
      </c>
      <c r="E601" s="11">
        <v>2014.0</v>
      </c>
      <c r="F601" s="13">
        <v>681907.2</v>
      </c>
      <c r="G601" s="13">
        <v>223641.60000000003</v>
      </c>
      <c r="H601" s="13">
        <v>458265.5999999999</v>
      </c>
      <c r="I601" s="14">
        <v>0.67203513909224</v>
      </c>
      <c r="J601" s="3" t="s">
        <v>5</v>
      </c>
      <c r="K601" s="3" t="s">
        <v>23</v>
      </c>
      <c r="L601" s="3" t="s">
        <v>68</v>
      </c>
    </row>
    <row r="602" ht="15.75" customHeight="1">
      <c r="A602" s="3">
        <v>4.98089492E8</v>
      </c>
      <c r="B602" s="3" t="s">
        <v>215</v>
      </c>
      <c r="C602" s="3">
        <v>20.0</v>
      </c>
      <c r="D602" s="10">
        <v>3.0</v>
      </c>
      <c r="E602" s="11">
        <v>2016.0</v>
      </c>
      <c r="F602" s="13">
        <v>1942381.5599999998</v>
      </c>
      <c r="G602" s="13">
        <v>1679032.76</v>
      </c>
      <c r="H602" s="13">
        <v>263348.7999999998</v>
      </c>
      <c r="I602" s="14">
        <v>0.1355803645500011</v>
      </c>
      <c r="J602" s="3" t="s">
        <v>11</v>
      </c>
      <c r="K602" s="3" t="s">
        <v>23</v>
      </c>
      <c r="L602" s="3" t="s">
        <v>68</v>
      </c>
    </row>
    <row r="603" ht="15.75" customHeight="1">
      <c r="A603" s="3">
        <v>4.98201072E8</v>
      </c>
      <c r="B603" s="3" t="s">
        <v>653</v>
      </c>
      <c r="C603" s="3">
        <v>9.0</v>
      </c>
      <c r="D603" s="10">
        <v>10.0</v>
      </c>
      <c r="E603" s="11">
        <v>2013.0</v>
      </c>
      <c r="F603" s="13">
        <v>3332775.6</v>
      </c>
      <c r="G603" s="13">
        <v>2007364.5899999999</v>
      </c>
      <c r="H603" s="13">
        <v>1325411.0100000002</v>
      </c>
      <c r="I603" s="14">
        <v>0.3976898444647759</v>
      </c>
      <c r="J603" s="3" t="s">
        <v>12</v>
      </c>
      <c r="K603" s="3" t="s">
        <v>28</v>
      </c>
      <c r="L603" s="3" t="s">
        <v>33</v>
      </c>
    </row>
    <row r="604" ht="15.75" customHeight="1">
      <c r="A604" s="3">
        <v>4.9894694E8</v>
      </c>
      <c r="B604" s="3" t="s">
        <v>123</v>
      </c>
      <c r="C604" s="3">
        <v>33.0</v>
      </c>
      <c r="D604" s="10">
        <v>12.0</v>
      </c>
      <c r="E604" s="11">
        <v>2015.0</v>
      </c>
      <c r="F604" s="13">
        <v>3519406.38</v>
      </c>
      <c r="G604" s="13">
        <v>3042243.98</v>
      </c>
      <c r="H604" s="13">
        <v>477162.3999999999</v>
      </c>
      <c r="I604" s="14">
        <v>0.13558036455000116</v>
      </c>
      <c r="J604" s="3" t="s">
        <v>11</v>
      </c>
      <c r="K604" s="3" t="s">
        <v>28</v>
      </c>
      <c r="L604" s="3" t="s">
        <v>33</v>
      </c>
    </row>
    <row r="605" ht="15.75" customHeight="1">
      <c r="A605" s="3">
        <v>4.99101436E8</v>
      </c>
      <c r="B605" s="3" t="s">
        <v>821</v>
      </c>
      <c r="C605" s="3">
        <v>46.0</v>
      </c>
      <c r="D605" s="10">
        <v>7.0</v>
      </c>
      <c r="E605" s="11">
        <v>2011.0</v>
      </c>
      <c r="F605" s="13">
        <v>619627.38</v>
      </c>
      <c r="G605" s="13">
        <v>395703.83999999997</v>
      </c>
      <c r="H605" s="13">
        <v>223923.54000000004</v>
      </c>
      <c r="I605" s="14">
        <v>0.3613841918993316</v>
      </c>
      <c r="J605" s="3" t="s">
        <v>13</v>
      </c>
      <c r="K605" s="3" t="s">
        <v>821</v>
      </c>
      <c r="L605" s="3" t="s">
        <v>821</v>
      </c>
    </row>
    <row r="606" ht="15.75" customHeight="1">
      <c r="A606" s="3">
        <v>5.04024684E8</v>
      </c>
      <c r="B606" s="3" t="s">
        <v>740</v>
      </c>
      <c r="C606" s="3">
        <v>31.0</v>
      </c>
      <c r="D606" s="10">
        <v>12.0</v>
      </c>
      <c r="E606" s="11">
        <v>2015.0</v>
      </c>
      <c r="F606" s="13">
        <v>197266.3</v>
      </c>
      <c r="G606" s="13">
        <v>112308.49</v>
      </c>
      <c r="H606" s="13">
        <v>84957.80999999998</v>
      </c>
      <c r="I606" s="14">
        <v>0.43067574137092846</v>
      </c>
      <c r="J606" s="3" t="s">
        <v>3</v>
      </c>
      <c r="K606" s="3" t="s">
        <v>28</v>
      </c>
      <c r="L606" s="3" t="s">
        <v>98</v>
      </c>
    </row>
    <row r="607" ht="15.75" customHeight="1">
      <c r="A607" s="3">
        <v>5.04973971E8</v>
      </c>
      <c r="B607" s="3" t="s">
        <v>46</v>
      </c>
      <c r="C607" s="3">
        <v>30.0</v>
      </c>
      <c r="D607" s="10">
        <v>10.0</v>
      </c>
      <c r="E607" s="11">
        <v>2011.0</v>
      </c>
      <c r="F607" s="13">
        <v>791043.75</v>
      </c>
      <c r="G607" s="13">
        <v>683793.75</v>
      </c>
      <c r="H607" s="13">
        <v>107250.0</v>
      </c>
      <c r="I607" s="14">
        <v>0.1355803645500012</v>
      </c>
      <c r="J607" s="3" t="s">
        <v>11</v>
      </c>
      <c r="K607" s="3" t="s">
        <v>28</v>
      </c>
      <c r="L607" s="3" t="s">
        <v>33</v>
      </c>
    </row>
    <row r="608" ht="15.75" customHeight="1">
      <c r="A608" s="3">
        <v>5.0586704E8</v>
      </c>
      <c r="B608" s="3" t="s">
        <v>142</v>
      </c>
      <c r="C608" s="3">
        <v>39.0</v>
      </c>
      <c r="D608" s="10">
        <v>5.0</v>
      </c>
      <c r="E608" s="11">
        <v>2010.0</v>
      </c>
      <c r="F608" s="13">
        <v>672399.84</v>
      </c>
      <c r="G608" s="13">
        <v>220523.52000000002</v>
      </c>
      <c r="H608" s="13">
        <v>451876.31999999995</v>
      </c>
      <c r="I608" s="14">
        <v>0.6720351390922401</v>
      </c>
      <c r="J608" s="3" t="s">
        <v>5</v>
      </c>
      <c r="K608" s="3" t="s">
        <v>28</v>
      </c>
      <c r="L608" s="3" t="s">
        <v>98</v>
      </c>
    </row>
    <row r="609" ht="15.75" customHeight="1">
      <c r="A609" s="3">
        <v>5.07040774E8</v>
      </c>
      <c r="B609" s="3" t="s">
        <v>248</v>
      </c>
      <c r="C609" s="3">
        <v>3.0</v>
      </c>
      <c r="D609" s="10">
        <v>7.0</v>
      </c>
      <c r="E609" s="11">
        <v>2015.0</v>
      </c>
      <c r="F609" s="13">
        <v>532199.04</v>
      </c>
      <c r="G609" s="13">
        <v>339870.72</v>
      </c>
      <c r="H609" s="13">
        <v>192328.32000000007</v>
      </c>
      <c r="I609" s="14">
        <v>0.3613841918993316</v>
      </c>
      <c r="J609" s="3" t="s">
        <v>13</v>
      </c>
      <c r="K609" s="3" t="s">
        <v>28</v>
      </c>
      <c r="L609" s="3" t="s">
        <v>29</v>
      </c>
    </row>
    <row r="610" ht="15.75" customHeight="1">
      <c r="A610" s="3">
        <v>5.07531726E8</v>
      </c>
      <c r="B610" s="3" t="s">
        <v>686</v>
      </c>
      <c r="C610" s="3">
        <v>15.0</v>
      </c>
      <c r="D610" s="10">
        <v>10.0</v>
      </c>
      <c r="E610" s="11">
        <v>2012.0</v>
      </c>
      <c r="F610" s="13">
        <v>1338279.1800000002</v>
      </c>
      <c r="G610" s="13">
        <v>854646.24</v>
      </c>
      <c r="H610" s="13">
        <v>483632.9400000002</v>
      </c>
      <c r="I610" s="14">
        <v>0.3613841918993316</v>
      </c>
      <c r="J610" s="3" t="s">
        <v>13</v>
      </c>
      <c r="K610" s="3" t="s">
        <v>28</v>
      </c>
      <c r="L610" s="3" t="s">
        <v>29</v>
      </c>
    </row>
    <row r="611" ht="15.75" customHeight="1">
      <c r="A611" s="3">
        <v>5.08014523E8</v>
      </c>
      <c r="B611" s="3" t="s">
        <v>821</v>
      </c>
      <c r="C611" s="3">
        <v>9.0</v>
      </c>
      <c r="D611" s="10">
        <v>3.0</v>
      </c>
      <c r="E611" s="11">
        <v>2014.0</v>
      </c>
      <c r="F611" s="13">
        <v>179437.76</v>
      </c>
      <c r="G611" s="13">
        <v>58849.280000000006</v>
      </c>
      <c r="H611" s="13">
        <v>120588.48000000001</v>
      </c>
      <c r="I611" s="14">
        <v>0.6720351390922401</v>
      </c>
      <c r="J611" s="3" t="s">
        <v>5</v>
      </c>
      <c r="K611" s="3" t="s">
        <v>821</v>
      </c>
      <c r="L611" s="3" t="s">
        <v>821</v>
      </c>
    </row>
    <row r="612" ht="15.75" customHeight="1">
      <c r="A612" s="3">
        <v>5.09356057E8</v>
      </c>
      <c r="B612" s="3" t="s">
        <v>542</v>
      </c>
      <c r="C612" s="3">
        <v>3.0</v>
      </c>
      <c r="D612" s="10">
        <v>4.0</v>
      </c>
      <c r="E612" s="11">
        <v>2014.0</v>
      </c>
      <c r="F612" s="13">
        <v>943195.68</v>
      </c>
      <c r="G612" s="13">
        <v>309335.04000000004</v>
      </c>
      <c r="H612" s="13">
        <v>633860.64</v>
      </c>
      <c r="I612" s="14">
        <v>0.6720351390922401</v>
      </c>
      <c r="J612" s="3" t="s">
        <v>5</v>
      </c>
      <c r="K612" s="3" t="s">
        <v>28</v>
      </c>
      <c r="L612" s="3" t="s">
        <v>29</v>
      </c>
    </row>
    <row r="613" ht="15.75" customHeight="1">
      <c r="A613" s="3">
        <v>5.09380948E8</v>
      </c>
      <c r="B613" s="3" t="s">
        <v>746</v>
      </c>
      <c r="C613" s="3">
        <v>5.0</v>
      </c>
      <c r="D613" s="10">
        <v>9.0</v>
      </c>
      <c r="E613" s="11">
        <v>2011.0</v>
      </c>
      <c r="F613" s="13">
        <v>490134.81</v>
      </c>
      <c r="G613" s="13">
        <v>339849.99</v>
      </c>
      <c r="H613" s="13">
        <v>150284.82</v>
      </c>
      <c r="I613" s="14">
        <v>0.3066193564174722</v>
      </c>
      <c r="J613" s="3" t="s">
        <v>14</v>
      </c>
      <c r="K613" s="3" t="s">
        <v>28</v>
      </c>
      <c r="L613" s="3" t="s">
        <v>29</v>
      </c>
    </row>
    <row r="614" ht="15.75" customHeight="1">
      <c r="A614" s="3">
        <v>5.10762822E8</v>
      </c>
      <c r="B614" s="3" t="s">
        <v>821</v>
      </c>
      <c r="C614" s="3">
        <v>48.0</v>
      </c>
      <c r="D614" s="10">
        <v>11.0</v>
      </c>
      <c r="E614" s="11">
        <v>2011.0</v>
      </c>
      <c r="F614" s="13">
        <v>233643.80000000002</v>
      </c>
      <c r="G614" s="13">
        <v>156533.96</v>
      </c>
      <c r="H614" s="13">
        <v>77109.84000000003</v>
      </c>
      <c r="I614" s="14">
        <v>0.3300316122233931</v>
      </c>
      <c r="J614" s="3" t="s">
        <v>6</v>
      </c>
      <c r="K614" s="3" t="s">
        <v>821</v>
      </c>
      <c r="L614" s="3" t="s">
        <v>821</v>
      </c>
    </row>
    <row r="615" ht="15.75" customHeight="1">
      <c r="A615" s="3">
        <v>5.10956799E8</v>
      </c>
      <c r="B615" s="3" t="s">
        <v>434</v>
      </c>
      <c r="C615" s="3">
        <v>16.0</v>
      </c>
      <c r="D615" s="10">
        <v>9.0</v>
      </c>
      <c r="E615" s="11">
        <v>2010.0</v>
      </c>
      <c r="F615" s="13">
        <v>354901.08</v>
      </c>
      <c r="G615" s="13">
        <v>226645.44</v>
      </c>
      <c r="H615" s="13">
        <v>128255.64000000001</v>
      </c>
      <c r="I615" s="14">
        <v>0.3613841918993315</v>
      </c>
      <c r="J615" s="3" t="s">
        <v>13</v>
      </c>
      <c r="K615" s="3" t="s">
        <v>28</v>
      </c>
      <c r="L615" s="3" t="s">
        <v>79</v>
      </c>
    </row>
    <row r="616" ht="15.75" customHeight="1">
      <c r="A616" s="3">
        <v>5.11155498E8</v>
      </c>
      <c r="B616" s="3" t="s">
        <v>221</v>
      </c>
      <c r="C616" s="3">
        <v>39.0</v>
      </c>
      <c r="D616" s="10">
        <v>9.0</v>
      </c>
      <c r="E616" s="11">
        <v>2010.0</v>
      </c>
      <c r="F616" s="13">
        <v>53428.700000000004</v>
      </c>
      <c r="G616" s="13">
        <v>35795.54</v>
      </c>
      <c r="H616" s="13">
        <v>17633.160000000003</v>
      </c>
      <c r="I616" s="14">
        <v>0.33003161222339306</v>
      </c>
      <c r="J616" s="3" t="s">
        <v>6</v>
      </c>
      <c r="K616" s="3" t="s">
        <v>28</v>
      </c>
      <c r="L616" s="3" t="s">
        <v>29</v>
      </c>
    </row>
    <row r="617" ht="15.75" customHeight="1">
      <c r="A617" s="3">
        <v>5.1171211E8</v>
      </c>
      <c r="B617" s="3" t="s">
        <v>78</v>
      </c>
      <c r="C617" s="3">
        <v>47.0</v>
      </c>
      <c r="D617" s="10">
        <v>3.0</v>
      </c>
      <c r="E617" s="11">
        <v>2015.0</v>
      </c>
      <c r="F617" s="13">
        <v>3802415.1900000004</v>
      </c>
      <c r="G617" s="13">
        <v>3065241.4400000004</v>
      </c>
      <c r="H617" s="13">
        <v>737173.75</v>
      </c>
      <c r="I617" s="14">
        <v>0.19386987300563563</v>
      </c>
      <c r="J617" s="3" t="s">
        <v>7</v>
      </c>
      <c r="K617" s="3" t="s">
        <v>28</v>
      </c>
      <c r="L617" s="3" t="s">
        <v>79</v>
      </c>
    </row>
    <row r="618" ht="15.75" customHeight="1">
      <c r="A618" s="3">
        <v>5.12662255E8</v>
      </c>
      <c r="B618" s="3" t="s">
        <v>218</v>
      </c>
      <c r="C618" s="3">
        <v>38.0</v>
      </c>
      <c r="D618" s="10">
        <v>5.0</v>
      </c>
      <c r="E618" s="11">
        <v>2015.0</v>
      </c>
      <c r="F618" s="13">
        <v>4683904.43</v>
      </c>
      <c r="G618" s="13">
        <v>3522302.8600000003</v>
      </c>
      <c r="H618" s="13">
        <v>1161601.5699999994</v>
      </c>
      <c r="I618" s="14">
        <v>0.24799856345489088</v>
      </c>
      <c r="J618" s="3" t="s">
        <v>4</v>
      </c>
      <c r="K618" s="3" t="s">
        <v>28</v>
      </c>
      <c r="L618" s="3" t="s">
        <v>98</v>
      </c>
    </row>
    <row r="619" ht="15.75" customHeight="1">
      <c r="A619" s="3">
        <v>5.12714612E8</v>
      </c>
      <c r="B619" s="3" t="s">
        <v>101</v>
      </c>
      <c r="C619" s="3">
        <v>16.0</v>
      </c>
      <c r="D619" s="10">
        <v>9.0</v>
      </c>
      <c r="E619" s="11">
        <v>2015.0</v>
      </c>
      <c r="F619" s="13">
        <v>1055568.78</v>
      </c>
      <c r="G619" s="13">
        <v>912454.38</v>
      </c>
      <c r="H619" s="13">
        <v>143114.40000000002</v>
      </c>
      <c r="I619" s="14">
        <v>0.1355803645500012</v>
      </c>
      <c r="J619" s="3" t="s">
        <v>11</v>
      </c>
      <c r="K619" s="3" t="s">
        <v>28</v>
      </c>
      <c r="L619" s="3" t="s">
        <v>79</v>
      </c>
    </row>
    <row r="620" ht="15.75" customHeight="1">
      <c r="A620" s="3">
        <v>5.13026177E8</v>
      </c>
      <c r="B620" s="3" t="s">
        <v>142</v>
      </c>
      <c r="C620" s="3">
        <v>14.0</v>
      </c>
      <c r="D620" s="10">
        <v>5.0</v>
      </c>
      <c r="E620" s="11">
        <v>2012.0</v>
      </c>
      <c r="F620" s="13">
        <v>3061338.21</v>
      </c>
      <c r="G620" s="13">
        <v>2467836.96</v>
      </c>
      <c r="H620" s="13">
        <v>593501.25</v>
      </c>
      <c r="I620" s="14">
        <v>0.19386987300563566</v>
      </c>
      <c r="J620" s="3" t="s">
        <v>7</v>
      </c>
      <c r="K620" s="3" t="s">
        <v>28</v>
      </c>
      <c r="L620" s="3" t="s">
        <v>98</v>
      </c>
    </row>
    <row r="621" ht="15.75" customHeight="1">
      <c r="A621" s="3">
        <v>5.13611114E8</v>
      </c>
      <c r="B621" s="3" t="s">
        <v>512</v>
      </c>
      <c r="C621" s="3">
        <v>41.0</v>
      </c>
      <c r="D621" s="10">
        <v>7.0</v>
      </c>
      <c r="E621" s="11">
        <v>2016.0</v>
      </c>
      <c r="F621" s="13">
        <v>852056.16</v>
      </c>
      <c r="G621" s="13">
        <v>279444.48000000004</v>
      </c>
      <c r="H621" s="13">
        <v>572611.6799999999</v>
      </c>
      <c r="I621" s="14">
        <v>0.67203513909224</v>
      </c>
      <c r="J621" s="3" t="s">
        <v>5</v>
      </c>
      <c r="K621" s="3" t="s">
        <v>28</v>
      </c>
      <c r="L621" s="3" t="s">
        <v>79</v>
      </c>
    </row>
    <row r="622" ht="15.75" customHeight="1">
      <c r="A622" s="3">
        <v>5.13802516E8</v>
      </c>
      <c r="B622" s="3" t="s">
        <v>671</v>
      </c>
      <c r="C622" s="3">
        <v>36.0</v>
      </c>
      <c r="D622" s="10">
        <v>7.0</v>
      </c>
      <c r="E622" s="11">
        <v>2017.0</v>
      </c>
      <c r="F622" s="13">
        <v>2889418.77</v>
      </c>
      <c r="G622" s="13">
        <v>2329247.52</v>
      </c>
      <c r="H622" s="13">
        <v>560171.25</v>
      </c>
      <c r="I622" s="14">
        <v>0.19386987300563566</v>
      </c>
      <c r="J622" s="3" t="s">
        <v>7</v>
      </c>
      <c r="K622" s="3" t="s">
        <v>28</v>
      </c>
      <c r="L622" s="3" t="s">
        <v>33</v>
      </c>
    </row>
    <row r="623" ht="15.75" customHeight="1">
      <c r="A623" s="3">
        <v>5.15771901E8</v>
      </c>
      <c r="B623" s="3" t="s">
        <v>623</v>
      </c>
      <c r="C623" s="3">
        <v>29.0</v>
      </c>
      <c r="D623" s="10">
        <v>2.0</v>
      </c>
      <c r="E623" s="11">
        <v>2012.0</v>
      </c>
      <c r="F623" s="13">
        <v>1112621.32</v>
      </c>
      <c r="G623" s="13">
        <v>656696.4600000001</v>
      </c>
      <c r="H623" s="13">
        <v>455924.86</v>
      </c>
      <c r="I623" s="14">
        <v>0.4097754121770738</v>
      </c>
      <c r="J623" s="3" t="s">
        <v>9</v>
      </c>
      <c r="K623" s="3" t="s">
        <v>28</v>
      </c>
      <c r="L623" s="3" t="s">
        <v>33</v>
      </c>
    </row>
    <row r="624" ht="15.75" customHeight="1">
      <c r="A624" s="3">
        <v>5.15773189E8</v>
      </c>
      <c r="B624" s="3" t="s">
        <v>821</v>
      </c>
      <c r="C624" s="3">
        <v>16.0</v>
      </c>
      <c r="D624" s="10">
        <v>2.0</v>
      </c>
      <c r="E624" s="11">
        <v>2011.0</v>
      </c>
      <c r="F624" s="13">
        <v>3207629.67</v>
      </c>
      <c r="G624" s="13">
        <v>2772738.07</v>
      </c>
      <c r="H624" s="13">
        <v>434891.6000000001</v>
      </c>
      <c r="I624" s="14">
        <v>0.13558036455000122</v>
      </c>
      <c r="J624" s="3" t="s">
        <v>11</v>
      </c>
      <c r="K624" s="3" t="s">
        <v>821</v>
      </c>
      <c r="L624" s="3" t="s">
        <v>821</v>
      </c>
    </row>
    <row r="625" ht="15.75" customHeight="1">
      <c r="A625" s="3">
        <v>5.16122949E8</v>
      </c>
      <c r="B625" s="3" t="s">
        <v>78</v>
      </c>
      <c r="C625" s="3">
        <v>34.0</v>
      </c>
      <c r="D625" s="10">
        <v>1.0</v>
      </c>
      <c r="E625" s="11">
        <v>2012.0</v>
      </c>
      <c r="F625" s="13">
        <v>168600.90000000002</v>
      </c>
      <c r="G625" s="13">
        <v>107671.2</v>
      </c>
      <c r="H625" s="13">
        <v>60929.700000000026</v>
      </c>
      <c r="I625" s="14">
        <v>0.36138419189933163</v>
      </c>
      <c r="J625" s="3" t="s">
        <v>13</v>
      </c>
      <c r="K625" s="3" t="s">
        <v>28</v>
      </c>
      <c r="L625" s="3" t="s">
        <v>79</v>
      </c>
    </row>
    <row r="626" ht="15.75" customHeight="1">
      <c r="A626" s="3">
        <v>5.16460692E8</v>
      </c>
      <c r="B626" s="3" t="s">
        <v>67</v>
      </c>
      <c r="C626" s="3">
        <v>21.0</v>
      </c>
      <c r="D626" s="10">
        <v>9.0</v>
      </c>
      <c r="E626" s="11">
        <v>2012.0</v>
      </c>
      <c r="F626" s="13">
        <v>702351.77</v>
      </c>
      <c r="G626" s="13">
        <v>528169.54</v>
      </c>
      <c r="H626" s="13">
        <v>174182.22999999998</v>
      </c>
      <c r="I626" s="14">
        <v>0.24799856345489096</v>
      </c>
      <c r="J626" s="3" t="s">
        <v>4</v>
      </c>
      <c r="K626" s="3" t="s">
        <v>23</v>
      </c>
      <c r="L626" s="3" t="s">
        <v>68</v>
      </c>
    </row>
    <row r="627" ht="15.75" customHeight="1">
      <c r="A627" s="3">
        <v>5.16485583E8</v>
      </c>
      <c r="B627" s="3" t="s">
        <v>288</v>
      </c>
      <c r="C627" s="3">
        <v>23.0</v>
      </c>
      <c r="D627" s="10">
        <v>2.0</v>
      </c>
      <c r="E627" s="11">
        <v>2010.0</v>
      </c>
      <c r="F627" s="13">
        <v>3550626.2399999998</v>
      </c>
      <c r="G627" s="13">
        <v>3069231.04</v>
      </c>
      <c r="H627" s="13">
        <v>481395.1999999997</v>
      </c>
      <c r="I627" s="14">
        <v>0.1355803645500011</v>
      </c>
      <c r="J627" s="3" t="s">
        <v>11</v>
      </c>
      <c r="K627" s="3" t="s">
        <v>23</v>
      </c>
      <c r="L627" s="3" t="s">
        <v>68</v>
      </c>
    </row>
    <row r="628" ht="15.75" customHeight="1">
      <c r="A628" s="3">
        <v>5.16599738E8</v>
      </c>
      <c r="B628" s="3" t="s">
        <v>300</v>
      </c>
      <c r="C628" s="3">
        <v>37.0</v>
      </c>
      <c r="D628" s="10">
        <v>4.0</v>
      </c>
      <c r="E628" s="11">
        <v>2013.0</v>
      </c>
      <c r="F628" s="13">
        <v>1430708.37</v>
      </c>
      <c r="G628" s="13">
        <v>1153337.12</v>
      </c>
      <c r="H628" s="13">
        <v>277371.25</v>
      </c>
      <c r="I628" s="14">
        <v>0.19386987300563566</v>
      </c>
      <c r="J628" s="3" t="s">
        <v>7</v>
      </c>
      <c r="K628" s="3" t="s">
        <v>28</v>
      </c>
      <c r="L628" s="3" t="s">
        <v>33</v>
      </c>
    </row>
    <row r="629" ht="15.75" customHeight="1">
      <c r="A629" s="3">
        <v>5.16635358E8</v>
      </c>
      <c r="B629" s="3" t="s">
        <v>431</v>
      </c>
      <c r="C629" s="3">
        <v>32.0</v>
      </c>
      <c r="D629" s="10">
        <v>1.0</v>
      </c>
      <c r="E629" s="11">
        <v>2012.0</v>
      </c>
      <c r="F629" s="13">
        <v>1829723.26</v>
      </c>
      <c r="G629" s="13">
        <v>1375954.52</v>
      </c>
      <c r="H629" s="13">
        <v>453768.74</v>
      </c>
      <c r="I629" s="14">
        <v>0.247998563454891</v>
      </c>
      <c r="J629" s="3" t="s">
        <v>4</v>
      </c>
      <c r="K629" s="3" t="s">
        <v>28</v>
      </c>
      <c r="L629" s="3" t="s">
        <v>29</v>
      </c>
    </row>
    <row r="630" ht="15.75" customHeight="1">
      <c r="A630" s="3">
        <v>5.16994559E8</v>
      </c>
      <c r="B630" s="3" t="s">
        <v>300</v>
      </c>
      <c r="C630" s="3">
        <v>6.0</v>
      </c>
      <c r="D630" s="10">
        <v>6.0</v>
      </c>
      <c r="E630" s="11">
        <v>2015.0</v>
      </c>
      <c r="F630" s="13">
        <v>84287.22</v>
      </c>
      <c r="G630" s="13">
        <v>62515.28</v>
      </c>
      <c r="H630" s="13">
        <v>21771.940000000002</v>
      </c>
      <c r="I630" s="14">
        <v>0.25830653804930337</v>
      </c>
      <c r="J630" s="3" t="s">
        <v>8</v>
      </c>
      <c r="K630" s="3" t="s">
        <v>28</v>
      </c>
      <c r="L630" s="3" t="s">
        <v>33</v>
      </c>
    </row>
    <row r="631" ht="15.75" customHeight="1">
      <c r="A631" s="3">
        <v>5.17097985E8</v>
      </c>
      <c r="B631" s="3" t="s">
        <v>413</v>
      </c>
      <c r="C631" s="3">
        <v>27.0</v>
      </c>
      <c r="D631" s="10">
        <v>3.0</v>
      </c>
      <c r="E631" s="11">
        <v>2017.0</v>
      </c>
      <c r="F631" s="13">
        <v>1470871.2000000002</v>
      </c>
      <c r="G631" s="13">
        <v>939321.6</v>
      </c>
      <c r="H631" s="13">
        <v>531549.6000000002</v>
      </c>
      <c r="I631" s="14">
        <v>0.3613841918993316</v>
      </c>
      <c r="J631" s="3" t="s">
        <v>13</v>
      </c>
      <c r="K631" s="3" t="s">
        <v>28</v>
      </c>
      <c r="L631" s="3" t="s">
        <v>29</v>
      </c>
    </row>
    <row r="632" ht="15.75" customHeight="1">
      <c r="A632" s="3">
        <v>5.17514264E8</v>
      </c>
      <c r="B632" s="3" t="s">
        <v>288</v>
      </c>
      <c r="C632" s="3">
        <v>32.0</v>
      </c>
      <c r="D632" s="10">
        <v>8.0</v>
      </c>
      <c r="E632" s="11">
        <v>2014.0</v>
      </c>
      <c r="F632" s="13">
        <v>1192261.14</v>
      </c>
      <c r="G632" s="13">
        <v>1030613.94</v>
      </c>
      <c r="H632" s="13">
        <v>161647.19999999995</v>
      </c>
      <c r="I632" s="14">
        <v>0.13558036455000116</v>
      </c>
      <c r="J632" s="3" t="s">
        <v>11</v>
      </c>
      <c r="K632" s="3" t="s">
        <v>23</v>
      </c>
      <c r="L632" s="3" t="s">
        <v>68</v>
      </c>
    </row>
    <row r="633" ht="15.75" customHeight="1">
      <c r="A633" s="3">
        <v>5.18421494E8</v>
      </c>
      <c r="B633" s="3" t="s">
        <v>623</v>
      </c>
      <c r="C633" s="3">
        <v>0.0</v>
      </c>
      <c r="D633" s="10">
        <v>10.0</v>
      </c>
      <c r="E633" s="11">
        <v>2016.0</v>
      </c>
      <c r="F633" s="13">
        <v>266587.2</v>
      </c>
      <c r="G633" s="13">
        <v>151774.56</v>
      </c>
      <c r="H633" s="13">
        <v>114812.64000000001</v>
      </c>
      <c r="I633" s="14">
        <v>0.43067574137092857</v>
      </c>
      <c r="J633" s="3" t="s">
        <v>3</v>
      </c>
      <c r="K633" s="3" t="s">
        <v>28</v>
      </c>
      <c r="L633" s="3" t="s">
        <v>33</v>
      </c>
    </row>
    <row r="634" ht="15.75" customHeight="1">
      <c r="A634" s="3">
        <v>5.19380223E8</v>
      </c>
      <c r="B634" s="3" t="s">
        <v>101</v>
      </c>
      <c r="C634" s="3">
        <v>5.0</v>
      </c>
      <c r="D634" s="10">
        <v>1.0</v>
      </c>
      <c r="E634" s="11">
        <v>2015.0</v>
      </c>
      <c r="F634" s="13">
        <v>763662.9</v>
      </c>
      <c r="G634" s="13">
        <v>487687.2</v>
      </c>
      <c r="H634" s="13">
        <v>275975.7</v>
      </c>
      <c r="I634" s="14">
        <v>0.3613841918993315</v>
      </c>
      <c r="J634" s="3" t="s">
        <v>13</v>
      </c>
      <c r="K634" s="3" t="s">
        <v>28</v>
      </c>
      <c r="L634" s="3" t="s">
        <v>79</v>
      </c>
    </row>
    <row r="635" ht="15.75" customHeight="1">
      <c r="A635" s="3">
        <v>5.2039088E8</v>
      </c>
      <c r="B635" s="3" t="s">
        <v>575</v>
      </c>
      <c r="C635" s="3">
        <v>44.0</v>
      </c>
      <c r="D635" s="10">
        <v>6.0</v>
      </c>
      <c r="E635" s="11">
        <v>2011.0</v>
      </c>
      <c r="F635" s="13">
        <v>839256.0</v>
      </c>
      <c r="G635" s="13">
        <v>477808.8</v>
      </c>
      <c r="H635" s="13">
        <v>361447.2</v>
      </c>
      <c r="I635" s="14">
        <v>0.43067574137092857</v>
      </c>
      <c r="J635" s="3" t="s">
        <v>3</v>
      </c>
      <c r="K635" s="3" t="s">
        <v>28</v>
      </c>
      <c r="L635" s="3" t="s">
        <v>98</v>
      </c>
    </row>
    <row r="636" ht="15.75" customHeight="1">
      <c r="A636" s="3">
        <v>5.20777547E8</v>
      </c>
      <c r="B636" s="3" t="s">
        <v>142</v>
      </c>
      <c r="C636" s="3">
        <v>44.0</v>
      </c>
      <c r="D636" s="10">
        <v>3.0</v>
      </c>
      <c r="E636" s="11">
        <v>2010.0</v>
      </c>
      <c r="F636" s="13">
        <v>929317.12</v>
      </c>
      <c r="G636" s="13">
        <v>304783.36000000004</v>
      </c>
      <c r="H636" s="13">
        <v>624533.76</v>
      </c>
      <c r="I636" s="14">
        <v>0.6720351390922401</v>
      </c>
      <c r="J636" s="3" t="s">
        <v>5</v>
      </c>
      <c r="K636" s="3" t="s">
        <v>28</v>
      </c>
      <c r="L636" s="3" t="s">
        <v>98</v>
      </c>
    </row>
    <row r="637" ht="15.75" customHeight="1">
      <c r="A637" s="3">
        <v>5.20915305E8</v>
      </c>
      <c r="B637" s="3" t="s">
        <v>593</v>
      </c>
      <c r="C637" s="3">
        <v>22.0</v>
      </c>
      <c r="D637" s="10">
        <v>10.0</v>
      </c>
      <c r="E637" s="11">
        <v>2011.0</v>
      </c>
      <c r="F637" s="13">
        <v>6036716.7</v>
      </c>
      <c r="G637" s="13">
        <v>4866379.2</v>
      </c>
      <c r="H637" s="13">
        <v>1170337.5</v>
      </c>
      <c r="I637" s="14">
        <v>0.19386987300563566</v>
      </c>
      <c r="J637" s="3" t="s">
        <v>7</v>
      </c>
      <c r="K637" s="3" t="s">
        <v>28</v>
      </c>
      <c r="L637" s="3" t="s">
        <v>98</v>
      </c>
    </row>
    <row r="638" ht="15.75" customHeight="1">
      <c r="A638" s="3">
        <v>5.21681344E8</v>
      </c>
      <c r="B638" s="3" t="s">
        <v>218</v>
      </c>
      <c r="C638" s="3">
        <v>46.0</v>
      </c>
      <c r="D638" s="10">
        <v>2.0</v>
      </c>
      <c r="E638" s="11">
        <v>2010.0</v>
      </c>
      <c r="F638" s="13">
        <v>3879257.97</v>
      </c>
      <c r="G638" s="13">
        <v>3127186.72</v>
      </c>
      <c r="H638" s="13">
        <v>752071.25</v>
      </c>
      <c r="I638" s="14">
        <v>0.19386987300563566</v>
      </c>
      <c r="J638" s="3" t="s">
        <v>7</v>
      </c>
      <c r="K638" s="3" t="s">
        <v>28</v>
      </c>
      <c r="L638" s="3" t="s">
        <v>98</v>
      </c>
    </row>
    <row r="639" ht="15.75" customHeight="1">
      <c r="A639" s="3">
        <v>5.21874034E8</v>
      </c>
      <c r="B639" s="3" t="s">
        <v>97</v>
      </c>
      <c r="C639" s="3">
        <v>28.0</v>
      </c>
      <c r="D639" s="10">
        <v>1.0</v>
      </c>
      <c r="E639" s="11">
        <v>2010.0</v>
      </c>
      <c r="F639" s="13">
        <v>1302418.8</v>
      </c>
      <c r="G639" s="13">
        <v>784460.07</v>
      </c>
      <c r="H639" s="13">
        <v>517958.7300000001</v>
      </c>
      <c r="I639" s="14">
        <v>0.3976898444647759</v>
      </c>
      <c r="J639" s="3" t="s">
        <v>12</v>
      </c>
      <c r="K639" s="3" t="s">
        <v>28</v>
      </c>
      <c r="L639" s="3" t="s">
        <v>98</v>
      </c>
    </row>
    <row r="640" ht="15.75" customHeight="1">
      <c r="A640" s="3">
        <v>5.22323358E8</v>
      </c>
      <c r="B640" s="3" t="s">
        <v>590</v>
      </c>
      <c r="C640" s="3">
        <v>4.0</v>
      </c>
      <c r="D640" s="10">
        <v>11.0</v>
      </c>
      <c r="E640" s="11">
        <v>2015.0</v>
      </c>
      <c r="F640" s="13">
        <v>649560.32</v>
      </c>
      <c r="G640" s="13">
        <v>213032.96000000002</v>
      </c>
      <c r="H640" s="13">
        <v>436527.3599999999</v>
      </c>
      <c r="I640" s="14">
        <v>0.6720351390922401</v>
      </c>
      <c r="J640" s="3" t="s">
        <v>5</v>
      </c>
      <c r="K640" s="3" t="s">
        <v>28</v>
      </c>
      <c r="L640" s="3" t="s">
        <v>98</v>
      </c>
    </row>
    <row r="641" ht="15.75" customHeight="1">
      <c r="A641" s="3">
        <v>5.23580348E8</v>
      </c>
      <c r="B641" s="3" t="s">
        <v>635</v>
      </c>
      <c r="C641" s="3">
        <v>40.0</v>
      </c>
      <c r="D641" s="10">
        <v>6.0</v>
      </c>
      <c r="E641" s="11">
        <v>2011.0</v>
      </c>
      <c r="F641" s="13">
        <v>864951.2</v>
      </c>
      <c r="G641" s="13">
        <v>283673.60000000003</v>
      </c>
      <c r="H641" s="13">
        <v>581277.5999999999</v>
      </c>
      <c r="I641" s="14">
        <v>0.67203513909224</v>
      </c>
      <c r="J641" s="3" t="s">
        <v>5</v>
      </c>
      <c r="K641" s="3" t="s">
        <v>28</v>
      </c>
      <c r="L641" s="3" t="s">
        <v>33</v>
      </c>
    </row>
    <row r="642" ht="15.75" customHeight="1">
      <c r="A642" s="3">
        <v>5.23707807E8</v>
      </c>
      <c r="B642" s="3" t="s">
        <v>123</v>
      </c>
      <c r="C642" s="3">
        <v>21.0</v>
      </c>
      <c r="D642" s="10">
        <v>11.0</v>
      </c>
      <c r="E642" s="11">
        <v>2013.0</v>
      </c>
      <c r="F642" s="13">
        <v>867819.98</v>
      </c>
      <c r="G642" s="13">
        <v>512208.69000000006</v>
      </c>
      <c r="H642" s="13">
        <v>355611.2899999999</v>
      </c>
      <c r="I642" s="14">
        <v>0.4097754121770738</v>
      </c>
      <c r="J642" s="3" t="s">
        <v>9</v>
      </c>
      <c r="K642" s="3" t="s">
        <v>28</v>
      </c>
      <c r="L642" s="3" t="s">
        <v>33</v>
      </c>
    </row>
    <row r="643" ht="15.75" customHeight="1">
      <c r="A643" s="3">
        <v>5.23836123E8</v>
      </c>
      <c r="B643" s="3" t="s">
        <v>431</v>
      </c>
      <c r="C643" s="3">
        <v>44.0</v>
      </c>
      <c r="D643" s="10">
        <v>2.0</v>
      </c>
      <c r="E643" s="11">
        <v>2013.0</v>
      </c>
      <c r="F643" s="13">
        <v>393954.4</v>
      </c>
      <c r="G643" s="13">
        <v>129203.20000000001</v>
      </c>
      <c r="H643" s="13">
        <v>264751.2</v>
      </c>
      <c r="I643" s="14">
        <v>0.6720351390922401</v>
      </c>
      <c r="J643" s="3" t="s">
        <v>5</v>
      </c>
      <c r="K643" s="3" t="s">
        <v>28</v>
      </c>
      <c r="L643" s="3" t="s">
        <v>29</v>
      </c>
    </row>
    <row r="644" ht="15.75" customHeight="1">
      <c r="A644" s="3">
        <v>5.23899209E8</v>
      </c>
      <c r="B644" s="3" t="s">
        <v>291</v>
      </c>
      <c r="C644" s="3">
        <v>15.0</v>
      </c>
      <c r="D644" s="10">
        <v>11.0</v>
      </c>
      <c r="E644" s="11">
        <v>2014.0</v>
      </c>
      <c r="F644" s="13">
        <v>580251.4400000001</v>
      </c>
      <c r="G644" s="13">
        <v>362361.66</v>
      </c>
      <c r="H644" s="13">
        <v>217889.7800000001</v>
      </c>
      <c r="I644" s="14">
        <v>0.3755092447508619</v>
      </c>
      <c r="J644" s="3" t="s">
        <v>10</v>
      </c>
      <c r="K644" s="3" t="s">
        <v>28</v>
      </c>
      <c r="L644" s="3" t="s">
        <v>79</v>
      </c>
    </row>
    <row r="645" ht="15.75" customHeight="1">
      <c r="A645" s="3">
        <v>5.24844634E8</v>
      </c>
      <c r="B645" s="3" t="s">
        <v>300</v>
      </c>
      <c r="C645" s="3">
        <v>3.0</v>
      </c>
      <c r="D645" s="10">
        <v>10.0</v>
      </c>
      <c r="E645" s="11">
        <v>2013.0</v>
      </c>
      <c r="F645" s="13">
        <v>420656.5</v>
      </c>
      <c r="G645" s="13">
        <v>239489.95</v>
      </c>
      <c r="H645" s="13">
        <v>181166.55</v>
      </c>
      <c r="I645" s="14">
        <v>0.4306757413709285</v>
      </c>
      <c r="J645" s="3" t="s">
        <v>3</v>
      </c>
      <c r="K645" s="3" t="s">
        <v>28</v>
      </c>
      <c r="L645" s="3" t="s">
        <v>33</v>
      </c>
    </row>
    <row r="646" ht="15.75" customHeight="1">
      <c r="A646" s="3">
        <v>5.24972951E8</v>
      </c>
      <c r="B646" s="3" t="s">
        <v>590</v>
      </c>
      <c r="C646" s="3">
        <v>26.0</v>
      </c>
      <c r="D646" s="10">
        <v>12.0</v>
      </c>
      <c r="E646" s="11">
        <v>2012.0</v>
      </c>
      <c r="F646" s="13">
        <v>7172.13</v>
      </c>
      <c r="G646" s="13">
        <v>6199.73</v>
      </c>
      <c r="H646" s="13">
        <v>972.4000000000005</v>
      </c>
      <c r="I646" s="14">
        <v>0.13558036455000125</v>
      </c>
      <c r="J646" s="3" t="s">
        <v>11</v>
      </c>
      <c r="K646" s="3" t="s">
        <v>28</v>
      </c>
      <c r="L646" s="3" t="s">
        <v>98</v>
      </c>
    </row>
    <row r="647" ht="15.75" customHeight="1">
      <c r="A647" s="3">
        <v>5.25321424E8</v>
      </c>
      <c r="B647" s="3" t="s">
        <v>488</v>
      </c>
      <c r="C647" s="3">
        <v>6.0</v>
      </c>
      <c r="D647" s="10">
        <v>12.0</v>
      </c>
      <c r="E647" s="11">
        <v>2014.0</v>
      </c>
      <c r="F647" s="13">
        <v>2097031.26</v>
      </c>
      <c r="G647" s="13">
        <v>1576970.52</v>
      </c>
      <c r="H647" s="13">
        <v>520060.74</v>
      </c>
      <c r="I647" s="14">
        <v>0.247998563454891</v>
      </c>
      <c r="J647" s="3" t="s">
        <v>4</v>
      </c>
      <c r="K647" s="3" t="s">
        <v>28</v>
      </c>
      <c r="L647" s="3" t="s">
        <v>33</v>
      </c>
    </row>
    <row r="648" ht="15.75" customHeight="1">
      <c r="A648" s="3">
        <v>5.25472486E8</v>
      </c>
      <c r="B648" s="3" t="s">
        <v>536</v>
      </c>
      <c r="C648" s="3">
        <v>2.0</v>
      </c>
      <c r="D648" s="10">
        <v>11.0</v>
      </c>
      <c r="E648" s="11">
        <v>2015.0</v>
      </c>
      <c r="F648" s="13">
        <v>2001395.2</v>
      </c>
      <c r="G648" s="13">
        <v>1249852.7999999998</v>
      </c>
      <c r="H648" s="13">
        <v>751542.4000000001</v>
      </c>
      <c r="I648" s="14">
        <v>0.3755092447508619</v>
      </c>
      <c r="J648" s="3" t="s">
        <v>10</v>
      </c>
      <c r="K648" s="3" t="s">
        <v>28</v>
      </c>
      <c r="L648" s="3" t="s">
        <v>33</v>
      </c>
    </row>
    <row r="649" ht="15.75" customHeight="1">
      <c r="A649" s="3">
        <v>5.25749719E8</v>
      </c>
      <c r="B649" s="3" t="s">
        <v>97</v>
      </c>
      <c r="C649" s="3">
        <v>43.0</v>
      </c>
      <c r="D649" s="10">
        <v>9.0</v>
      </c>
      <c r="E649" s="11">
        <v>2012.0</v>
      </c>
      <c r="F649" s="13">
        <v>1507490.4000000001</v>
      </c>
      <c r="G649" s="13">
        <v>962707.2</v>
      </c>
      <c r="H649" s="13">
        <v>544783.2000000002</v>
      </c>
      <c r="I649" s="14">
        <v>0.3613841918993316</v>
      </c>
      <c r="J649" s="3" t="s">
        <v>13</v>
      </c>
      <c r="K649" s="3" t="s">
        <v>28</v>
      </c>
      <c r="L649" s="3" t="s">
        <v>98</v>
      </c>
    </row>
    <row r="650" ht="15.75" customHeight="1">
      <c r="A650" s="3">
        <v>5.26018369E8</v>
      </c>
      <c r="B650" s="3" t="s">
        <v>821</v>
      </c>
      <c r="C650" s="3">
        <v>18.0</v>
      </c>
      <c r="D650" s="10">
        <v>6.0</v>
      </c>
      <c r="E650" s="11">
        <v>2011.0</v>
      </c>
      <c r="F650" s="13">
        <v>4100498.8</v>
      </c>
      <c r="G650" s="13">
        <v>2469772.07</v>
      </c>
      <c r="H650" s="13">
        <v>1630726.73</v>
      </c>
      <c r="I650" s="14">
        <v>0.39768984446477584</v>
      </c>
      <c r="J650" s="3" t="s">
        <v>12</v>
      </c>
      <c r="K650" s="3" t="s">
        <v>821</v>
      </c>
      <c r="L650" s="3" t="s">
        <v>821</v>
      </c>
    </row>
    <row r="651" ht="15.75" customHeight="1">
      <c r="A651" s="3">
        <v>5.26350104E8</v>
      </c>
      <c r="B651" s="3" t="s">
        <v>488</v>
      </c>
      <c r="C651" s="3">
        <v>15.0</v>
      </c>
      <c r="D651" s="10">
        <v>11.0</v>
      </c>
      <c r="E651" s="11">
        <v>2011.0</v>
      </c>
      <c r="F651" s="13">
        <v>824736.16</v>
      </c>
      <c r="G651" s="13">
        <v>270484.48000000004</v>
      </c>
      <c r="H651" s="13">
        <v>554251.6799999999</v>
      </c>
      <c r="I651" s="14">
        <v>0.67203513909224</v>
      </c>
      <c r="J651" s="3" t="s">
        <v>5</v>
      </c>
      <c r="K651" s="3" t="s">
        <v>28</v>
      </c>
      <c r="L651" s="3" t="s">
        <v>33</v>
      </c>
    </row>
    <row r="652" ht="15.75" customHeight="1">
      <c r="A652" s="3">
        <v>5.26533353E8</v>
      </c>
      <c r="B652" s="3" t="s">
        <v>288</v>
      </c>
      <c r="C652" s="3">
        <v>41.0</v>
      </c>
      <c r="D652" s="10">
        <v>12.0</v>
      </c>
      <c r="E652" s="11">
        <v>2016.0</v>
      </c>
      <c r="F652" s="13">
        <v>16560.75</v>
      </c>
      <c r="G652" s="13">
        <v>12283.0</v>
      </c>
      <c r="H652" s="13">
        <v>4277.75</v>
      </c>
      <c r="I652" s="14">
        <v>0.2583065380493033</v>
      </c>
      <c r="J652" s="3" t="s">
        <v>8</v>
      </c>
      <c r="K652" s="3" t="s">
        <v>23</v>
      </c>
      <c r="L652" s="3" t="s">
        <v>68</v>
      </c>
    </row>
    <row r="653" ht="15.75" customHeight="1">
      <c r="A653" s="3">
        <v>5.27079236E8</v>
      </c>
      <c r="B653" s="3" t="s">
        <v>218</v>
      </c>
      <c r="C653" s="3">
        <v>6.0</v>
      </c>
      <c r="D653" s="10">
        <v>6.0</v>
      </c>
      <c r="E653" s="11">
        <v>2012.0</v>
      </c>
      <c r="F653" s="13">
        <v>510554.84</v>
      </c>
      <c r="G653" s="13">
        <v>301342.02</v>
      </c>
      <c r="H653" s="13">
        <v>209212.82</v>
      </c>
      <c r="I653" s="14">
        <v>0.40977541217707386</v>
      </c>
      <c r="J653" s="3" t="s">
        <v>9</v>
      </c>
      <c r="K653" s="3" t="s">
        <v>28</v>
      </c>
      <c r="L653" s="3" t="s">
        <v>98</v>
      </c>
    </row>
    <row r="654" ht="15.75" customHeight="1">
      <c r="A654" s="3">
        <v>5.2725991E8</v>
      </c>
      <c r="B654" s="3" t="s">
        <v>428</v>
      </c>
      <c r="C654" s="3">
        <v>7.0</v>
      </c>
      <c r="D654" s="10">
        <v>1.0</v>
      </c>
      <c r="E654" s="11">
        <v>2012.0</v>
      </c>
      <c r="F654" s="13">
        <v>554047.67</v>
      </c>
      <c r="G654" s="13">
        <v>384165.93</v>
      </c>
      <c r="H654" s="13">
        <v>169881.74000000005</v>
      </c>
      <c r="I654" s="14">
        <v>0.30661935641747223</v>
      </c>
      <c r="J654" s="3" t="s">
        <v>14</v>
      </c>
      <c r="K654" s="3" t="s">
        <v>28</v>
      </c>
      <c r="L654" s="3" t="s">
        <v>79</v>
      </c>
    </row>
    <row r="655" ht="15.75" customHeight="1">
      <c r="A655" s="3">
        <v>5.27509677E8</v>
      </c>
      <c r="B655" s="3" t="s">
        <v>349</v>
      </c>
      <c r="C655" s="3">
        <v>21.0</v>
      </c>
      <c r="D655" s="10">
        <v>6.0</v>
      </c>
      <c r="E655" s="11">
        <v>2013.0</v>
      </c>
      <c r="F655" s="13">
        <v>449986.11000000004</v>
      </c>
      <c r="G655" s="13">
        <v>362747.36000000004</v>
      </c>
      <c r="H655" s="13">
        <v>87238.75</v>
      </c>
      <c r="I655" s="14">
        <v>0.19386987300563566</v>
      </c>
      <c r="J655" s="3" t="s">
        <v>7</v>
      </c>
      <c r="K655" s="3" t="s">
        <v>28</v>
      </c>
      <c r="L655" s="3" t="s">
        <v>29</v>
      </c>
    </row>
    <row r="656" ht="15.75" customHeight="1">
      <c r="A656" s="3">
        <v>5.30262696E8</v>
      </c>
      <c r="B656" s="3" t="s">
        <v>431</v>
      </c>
      <c r="C656" s="3">
        <v>12.0</v>
      </c>
      <c r="D656" s="10">
        <v>4.0</v>
      </c>
      <c r="E656" s="11">
        <v>2012.0</v>
      </c>
      <c r="F656" s="13">
        <v>586833.6</v>
      </c>
      <c r="G656" s="13">
        <v>192460.80000000002</v>
      </c>
      <c r="H656" s="13">
        <v>394372.79999999993</v>
      </c>
      <c r="I656" s="14">
        <v>0.67203513909224</v>
      </c>
      <c r="J656" s="3" t="s">
        <v>5</v>
      </c>
      <c r="K656" s="3" t="s">
        <v>28</v>
      </c>
      <c r="L656" s="3" t="s">
        <v>29</v>
      </c>
    </row>
    <row r="657" ht="15.75" customHeight="1">
      <c r="A657" s="3">
        <v>5.30702579E8</v>
      </c>
      <c r="B657" s="3" t="s">
        <v>746</v>
      </c>
      <c r="C657" s="3">
        <v>33.0</v>
      </c>
      <c r="D657" s="10">
        <v>10.0</v>
      </c>
      <c r="E657" s="11">
        <v>2015.0</v>
      </c>
      <c r="F657" s="13">
        <v>1414506.48</v>
      </c>
      <c r="G657" s="13">
        <v>883346.22</v>
      </c>
      <c r="H657" s="13">
        <v>531160.26</v>
      </c>
      <c r="I657" s="14">
        <v>0.37550924475086184</v>
      </c>
      <c r="J657" s="3" t="s">
        <v>10</v>
      </c>
      <c r="K657" s="3" t="s">
        <v>28</v>
      </c>
      <c r="L657" s="3" t="s">
        <v>29</v>
      </c>
    </row>
    <row r="658" ht="15.75" customHeight="1">
      <c r="A658" s="3">
        <v>5.30882394E8</v>
      </c>
      <c r="B658" s="3" t="s">
        <v>206</v>
      </c>
      <c r="C658" s="3">
        <v>43.0</v>
      </c>
      <c r="D658" s="10">
        <v>12.0</v>
      </c>
      <c r="E658" s="11">
        <v>2010.0</v>
      </c>
      <c r="F658" s="13">
        <v>3692803.17</v>
      </c>
      <c r="G658" s="13">
        <v>3192131.57</v>
      </c>
      <c r="H658" s="13">
        <v>500671.6000000001</v>
      </c>
      <c r="I658" s="14">
        <v>0.13558036455000122</v>
      </c>
      <c r="J658" s="3" t="s">
        <v>11</v>
      </c>
      <c r="K658" s="3" t="s">
        <v>28</v>
      </c>
      <c r="L658" s="3" t="s">
        <v>33</v>
      </c>
    </row>
    <row r="659" ht="15.75" customHeight="1">
      <c r="A659" s="3">
        <v>5.31281936E8</v>
      </c>
      <c r="B659" s="3" t="s">
        <v>270</v>
      </c>
      <c r="C659" s="3">
        <v>15.0</v>
      </c>
      <c r="D659" s="10">
        <v>5.0</v>
      </c>
      <c r="E659" s="11">
        <v>2014.0</v>
      </c>
      <c r="F659" s="13">
        <v>2947323.54</v>
      </c>
      <c r="G659" s="13">
        <v>2547724.34</v>
      </c>
      <c r="H659" s="13">
        <v>399599.2000000002</v>
      </c>
      <c r="I659" s="14">
        <v>0.13558036455000125</v>
      </c>
      <c r="J659" s="3" t="s">
        <v>11</v>
      </c>
      <c r="K659" s="3" t="s">
        <v>28</v>
      </c>
      <c r="L659" s="3" t="s">
        <v>79</v>
      </c>
    </row>
    <row r="660" ht="15.75" customHeight="1">
      <c r="A660" s="3">
        <v>5.33314406E8</v>
      </c>
      <c r="B660" s="3" t="s">
        <v>46</v>
      </c>
      <c r="C660" s="3">
        <v>30.0</v>
      </c>
      <c r="D660" s="10">
        <v>9.0</v>
      </c>
      <c r="E660" s="11">
        <v>2010.0</v>
      </c>
      <c r="F660" s="13">
        <v>5639530.53</v>
      </c>
      <c r="G660" s="13">
        <v>4240935.0600000005</v>
      </c>
      <c r="H660" s="13">
        <v>1398595.4699999997</v>
      </c>
      <c r="I660" s="14">
        <v>0.24799856345489094</v>
      </c>
      <c r="J660" s="3" t="s">
        <v>4</v>
      </c>
      <c r="K660" s="3" t="s">
        <v>28</v>
      </c>
      <c r="L660" s="3" t="s">
        <v>33</v>
      </c>
    </row>
    <row r="661" ht="15.75" customHeight="1">
      <c r="A661" s="3">
        <v>5.33597218E8</v>
      </c>
      <c r="B661" s="3" t="s">
        <v>578</v>
      </c>
      <c r="C661" s="3">
        <v>15.0</v>
      </c>
      <c r="D661" s="10">
        <v>2.0</v>
      </c>
      <c r="E661" s="11">
        <v>2013.0</v>
      </c>
      <c r="F661" s="13">
        <v>1387077.3</v>
      </c>
      <c r="G661" s="13">
        <v>1118164.8</v>
      </c>
      <c r="H661" s="13">
        <v>268912.5</v>
      </c>
      <c r="I661" s="14">
        <v>0.19386987300563566</v>
      </c>
      <c r="J661" s="3" t="s">
        <v>7</v>
      </c>
      <c r="K661" s="3" t="s">
        <v>28</v>
      </c>
      <c r="L661" s="3" t="s">
        <v>33</v>
      </c>
    </row>
    <row r="662" ht="15.75" customHeight="1">
      <c r="A662" s="3">
        <v>5.34641349E8</v>
      </c>
      <c r="B662" s="3" t="s">
        <v>593</v>
      </c>
      <c r="C662" s="3">
        <v>20.0</v>
      </c>
      <c r="D662" s="10">
        <v>8.0</v>
      </c>
      <c r="E662" s="11">
        <v>2012.0</v>
      </c>
      <c r="F662" s="13">
        <v>52716.950000000004</v>
      </c>
      <c r="G662" s="13">
        <v>35318.69</v>
      </c>
      <c r="H662" s="13">
        <v>17398.260000000002</v>
      </c>
      <c r="I662" s="14">
        <v>0.33003161222339306</v>
      </c>
      <c r="J662" s="3" t="s">
        <v>6</v>
      </c>
      <c r="K662" s="3" t="s">
        <v>28</v>
      </c>
      <c r="L662" s="3" t="s">
        <v>98</v>
      </c>
    </row>
    <row r="663" ht="15.75" customHeight="1">
      <c r="A663" s="3">
        <v>5.34709155E8</v>
      </c>
      <c r="B663" s="3" t="s">
        <v>575</v>
      </c>
      <c r="C663" s="3">
        <v>45.0</v>
      </c>
      <c r="D663" s="10">
        <v>7.0</v>
      </c>
      <c r="E663" s="11">
        <v>2015.0</v>
      </c>
      <c r="F663" s="13">
        <v>181174.56</v>
      </c>
      <c r="G663" s="13">
        <v>106933.68000000001</v>
      </c>
      <c r="H663" s="13">
        <v>74240.87999999999</v>
      </c>
      <c r="I663" s="14">
        <v>0.4097754121770738</v>
      </c>
      <c r="J663" s="3" t="s">
        <v>9</v>
      </c>
      <c r="K663" s="3" t="s">
        <v>28</v>
      </c>
      <c r="L663" s="3" t="s">
        <v>98</v>
      </c>
    </row>
    <row r="664" ht="15.75" customHeight="1">
      <c r="A664" s="3">
        <v>5.35740411E8</v>
      </c>
      <c r="B664" s="3" t="s">
        <v>78</v>
      </c>
      <c r="C664" s="3">
        <v>28.0</v>
      </c>
      <c r="D664" s="10">
        <v>5.0</v>
      </c>
      <c r="E664" s="11">
        <v>2010.0</v>
      </c>
      <c r="F664" s="13">
        <v>518822.04000000004</v>
      </c>
      <c r="G664" s="13">
        <v>359741.16000000003</v>
      </c>
      <c r="H664" s="13">
        <v>159080.88</v>
      </c>
      <c r="I664" s="14">
        <v>0.3066193564174722</v>
      </c>
      <c r="J664" s="3" t="s">
        <v>14</v>
      </c>
      <c r="K664" s="3" t="s">
        <v>28</v>
      </c>
      <c r="L664" s="3" t="s">
        <v>79</v>
      </c>
    </row>
    <row r="665" ht="15.75" customHeight="1">
      <c r="A665" s="3">
        <v>5.3609575E8</v>
      </c>
      <c r="B665" s="3" t="s">
        <v>650</v>
      </c>
      <c r="C665" s="3">
        <v>40.0</v>
      </c>
      <c r="D665" s="10">
        <v>11.0</v>
      </c>
      <c r="E665" s="11">
        <v>2016.0</v>
      </c>
      <c r="F665" s="13">
        <v>228870.00000000003</v>
      </c>
      <c r="G665" s="13">
        <v>146160.0</v>
      </c>
      <c r="H665" s="13">
        <v>82710.00000000003</v>
      </c>
      <c r="I665" s="14">
        <v>0.3613841918993316</v>
      </c>
      <c r="J665" s="3" t="s">
        <v>13</v>
      </c>
      <c r="K665" s="3" t="s">
        <v>28</v>
      </c>
      <c r="L665" s="3" t="s">
        <v>98</v>
      </c>
    </row>
    <row r="666" ht="15.75" customHeight="1">
      <c r="A666" s="3">
        <v>5.38430345E8</v>
      </c>
      <c r="B666" s="3" t="s">
        <v>346</v>
      </c>
      <c r="C666" s="3">
        <v>48.0</v>
      </c>
      <c r="D666" s="10">
        <v>1.0</v>
      </c>
      <c r="E666" s="11">
        <v>2015.0</v>
      </c>
      <c r="F666" s="13">
        <v>257791.52</v>
      </c>
      <c r="G666" s="13">
        <v>84546.56000000001</v>
      </c>
      <c r="H666" s="13">
        <v>173244.95999999996</v>
      </c>
      <c r="I666" s="14">
        <v>0.67203513909224</v>
      </c>
      <c r="J666" s="3" t="s">
        <v>5</v>
      </c>
      <c r="K666" s="3" t="s">
        <v>28</v>
      </c>
      <c r="L666" s="3" t="s">
        <v>98</v>
      </c>
    </row>
    <row r="667" ht="15.75" customHeight="1">
      <c r="A667" s="3">
        <v>5.39002406E8</v>
      </c>
      <c r="B667" s="3" t="s">
        <v>221</v>
      </c>
      <c r="C667" s="3">
        <v>2.0</v>
      </c>
      <c r="D667" s="10">
        <v>7.0</v>
      </c>
      <c r="E667" s="11">
        <v>2014.0</v>
      </c>
      <c r="F667" s="13">
        <v>179765.6</v>
      </c>
      <c r="G667" s="13">
        <v>58956.8</v>
      </c>
      <c r="H667" s="13">
        <v>120808.8</v>
      </c>
      <c r="I667" s="14">
        <v>0.6720351390922401</v>
      </c>
      <c r="J667" s="3" t="s">
        <v>5</v>
      </c>
      <c r="K667" s="3" t="s">
        <v>28</v>
      </c>
      <c r="L667" s="3" t="s">
        <v>29</v>
      </c>
    </row>
    <row r="668" ht="15.75" customHeight="1">
      <c r="A668" s="3">
        <v>5.4098252E8</v>
      </c>
      <c r="B668" s="3" t="s">
        <v>78</v>
      </c>
      <c r="C668" s="3">
        <v>39.0</v>
      </c>
      <c r="D668" s="10">
        <v>7.0</v>
      </c>
      <c r="E668" s="11">
        <v>2010.0</v>
      </c>
      <c r="F668" s="13">
        <v>3324468.8</v>
      </c>
      <c r="G668" s="13">
        <v>2002361.3199999998</v>
      </c>
      <c r="H668" s="13">
        <v>1322107.48</v>
      </c>
      <c r="I668" s="14">
        <v>0.39768984446477584</v>
      </c>
      <c r="J668" s="3" t="s">
        <v>12</v>
      </c>
      <c r="K668" s="3" t="s">
        <v>28</v>
      </c>
      <c r="L668" s="3" t="s">
        <v>79</v>
      </c>
    </row>
    <row r="669" ht="15.75" customHeight="1">
      <c r="A669" s="3">
        <v>5.43322694E8</v>
      </c>
      <c r="B669" s="3" t="s">
        <v>593</v>
      </c>
      <c r="C669" s="3">
        <v>41.0</v>
      </c>
      <c r="D669" s="10">
        <v>4.0</v>
      </c>
      <c r="E669" s="11">
        <v>2014.0</v>
      </c>
      <c r="F669" s="13">
        <v>5409.3</v>
      </c>
      <c r="G669" s="13">
        <v>3624.06</v>
      </c>
      <c r="H669" s="13">
        <v>1785.2400000000002</v>
      </c>
      <c r="I669" s="14">
        <v>0.33003161222339306</v>
      </c>
      <c r="J669" s="3" t="s">
        <v>6</v>
      </c>
      <c r="K669" s="3" t="s">
        <v>28</v>
      </c>
      <c r="L669" s="3" t="s">
        <v>98</v>
      </c>
    </row>
    <row r="670" ht="15.75" customHeight="1">
      <c r="A670" s="3">
        <v>5.43396508E8</v>
      </c>
      <c r="B670" s="3" t="s">
        <v>428</v>
      </c>
      <c r="C670" s="3">
        <v>5.0</v>
      </c>
      <c r="D670" s="10">
        <v>5.0</v>
      </c>
      <c r="E670" s="11">
        <v>2017.0</v>
      </c>
      <c r="F670" s="13">
        <v>825638.73</v>
      </c>
      <c r="G670" s="13">
        <v>713698.33</v>
      </c>
      <c r="H670" s="13">
        <v>111940.40000000002</v>
      </c>
      <c r="I670" s="14">
        <v>0.13558036455000122</v>
      </c>
      <c r="J670" s="3" t="s">
        <v>11</v>
      </c>
      <c r="K670" s="3" t="s">
        <v>28</v>
      </c>
      <c r="L670" s="3" t="s">
        <v>79</v>
      </c>
    </row>
    <row r="671" ht="15.75" customHeight="1">
      <c r="A671" s="3">
        <v>5.44284856E8</v>
      </c>
      <c r="B671" s="3" t="s">
        <v>431</v>
      </c>
      <c r="C671" s="3">
        <v>11.0</v>
      </c>
      <c r="D671" s="10">
        <v>10.0</v>
      </c>
      <c r="E671" s="11">
        <v>2014.0</v>
      </c>
      <c r="F671" s="13">
        <v>3233758.53</v>
      </c>
      <c r="G671" s="13">
        <v>2431791.06</v>
      </c>
      <c r="H671" s="13">
        <v>801967.4699999997</v>
      </c>
      <c r="I671" s="14">
        <v>0.24799856345489094</v>
      </c>
      <c r="J671" s="3" t="s">
        <v>4</v>
      </c>
      <c r="K671" s="3" t="s">
        <v>28</v>
      </c>
      <c r="L671" s="3" t="s">
        <v>29</v>
      </c>
    </row>
    <row r="672" ht="15.75" customHeight="1">
      <c r="A672" s="3">
        <v>5.44741475E8</v>
      </c>
      <c r="B672" s="3" t="s">
        <v>512</v>
      </c>
      <c r="C672" s="3">
        <v>15.0</v>
      </c>
      <c r="D672" s="10">
        <v>3.0</v>
      </c>
      <c r="E672" s="11">
        <v>2012.0</v>
      </c>
      <c r="F672" s="13">
        <v>814275.99</v>
      </c>
      <c r="G672" s="13">
        <v>564603.21</v>
      </c>
      <c r="H672" s="13">
        <v>249672.78000000003</v>
      </c>
      <c r="I672" s="14">
        <v>0.3066193564174722</v>
      </c>
      <c r="J672" s="3" t="s">
        <v>14</v>
      </c>
      <c r="K672" s="3" t="s">
        <v>28</v>
      </c>
      <c r="L672" s="3" t="s">
        <v>79</v>
      </c>
    </row>
    <row r="673" ht="15.75" customHeight="1">
      <c r="A673" s="3">
        <v>5.45059049E8</v>
      </c>
      <c r="B673" s="3" t="s">
        <v>428</v>
      </c>
      <c r="C673" s="3">
        <v>4.0</v>
      </c>
      <c r="D673" s="10">
        <v>8.0</v>
      </c>
      <c r="E673" s="11">
        <v>2016.0</v>
      </c>
      <c r="F673" s="13">
        <v>430563.2</v>
      </c>
      <c r="G673" s="13">
        <v>141209.6</v>
      </c>
      <c r="H673" s="13">
        <v>289353.6</v>
      </c>
      <c r="I673" s="14">
        <v>0.67203513909224</v>
      </c>
      <c r="J673" s="3" t="s">
        <v>5</v>
      </c>
      <c r="K673" s="3" t="s">
        <v>28</v>
      </c>
      <c r="L673" s="3" t="s">
        <v>79</v>
      </c>
    </row>
    <row r="674" ht="15.75" customHeight="1">
      <c r="A674" s="3">
        <v>5.46081721E8</v>
      </c>
      <c r="B674" s="3" t="s">
        <v>575</v>
      </c>
      <c r="C674" s="3">
        <v>22.0</v>
      </c>
      <c r="D674" s="10">
        <v>4.0</v>
      </c>
      <c r="E674" s="11">
        <v>2013.0</v>
      </c>
      <c r="F674" s="13">
        <v>2772239.19</v>
      </c>
      <c r="G674" s="13">
        <v>2396377.9899999998</v>
      </c>
      <c r="H674" s="13">
        <v>375861.2000000002</v>
      </c>
      <c r="I674" s="14">
        <v>0.13558036455000125</v>
      </c>
      <c r="J674" s="3" t="s">
        <v>11</v>
      </c>
      <c r="K674" s="3" t="s">
        <v>28</v>
      </c>
      <c r="L674" s="3" t="s">
        <v>98</v>
      </c>
    </row>
    <row r="675" ht="15.75" customHeight="1">
      <c r="A675" s="3">
        <v>5.46140086E8</v>
      </c>
      <c r="B675" s="3" t="s">
        <v>349</v>
      </c>
      <c r="C675" s="3">
        <v>42.0</v>
      </c>
      <c r="D675" s="10">
        <v>11.0</v>
      </c>
      <c r="E675" s="11">
        <v>2013.0</v>
      </c>
      <c r="F675" s="13">
        <v>314088.39</v>
      </c>
      <c r="G675" s="13">
        <v>217782.81</v>
      </c>
      <c r="H675" s="13">
        <v>96305.58000000002</v>
      </c>
      <c r="I675" s="14">
        <v>0.3066193564174722</v>
      </c>
      <c r="J675" s="3" t="s">
        <v>14</v>
      </c>
      <c r="K675" s="3" t="s">
        <v>28</v>
      </c>
      <c r="L675" s="3" t="s">
        <v>29</v>
      </c>
    </row>
    <row r="676" ht="15.75" customHeight="1">
      <c r="A676" s="3">
        <v>5.46544349E8</v>
      </c>
      <c r="B676" s="3" t="s">
        <v>488</v>
      </c>
      <c r="C676" s="3">
        <v>17.0</v>
      </c>
      <c r="D676" s="10">
        <v>11.0</v>
      </c>
      <c r="E676" s="11">
        <v>2010.0</v>
      </c>
      <c r="F676" s="13">
        <v>2320901.71</v>
      </c>
      <c r="G676" s="13">
        <v>1745321.4200000002</v>
      </c>
      <c r="H676" s="13">
        <v>575580.2899999998</v>
      </c>
      <c r="I676" s="14">
        <v>0.2479985634548909</v>
      </c>
      <c r="J676" s="3" t="s">
        <v>4</v>
      </c>
      <c r="K676" s="3" t="s">
        <v>28</v>
      </c>
      <c r="L676" s="3" t="s">
        <v>33</v>
      </c>
    </row>
    <row r="677" ht="15.75" customHeight="1">
      <c r="A677" s="3">
        <v>5.47225844E8</v>
      </c>
      <c r="B677" s="3" t="s">
        <v>364</v>
      </c>
      <c r="C677" s="3">
        <v>32.0</v>
      </c>
      <c r="D677" s="10">
        <v>4.0</v>
      </c>
      <c r="E677" s="11">
        <v>2012.0</v>
      </c>
      <c r="F677" s="13">
        <v>420337.39</v>
      </c>
      <c r="G677" s="13">
        <v>291453.81</v>
      </c>
      <c r="H677" s="13">
        <v>128883.58000000002</v>
      </c>
      <c r="I677" s="14">
        <v>0.3066193564174722</v>
      </c>
      <c r="J677" s="3" t="s">
        <v>14</v>
      </c>
      <c r="K677" s="3" t="s">
        <v>28</v>
      </c>
      <c r="L677" s="3" t="s">
        <v>29</v>
      </c>
    </row>
    <row r="678" ht="15.75" customHeight="1">
      <c r="A678" s="3">
        <v>5.47587192E8</v>
      </c>
      <c r="B678" s="3" t="s">
        <v>821</v>
      </c>
      <c r="C678" s="3">
        <v>35.0</v>
      </c>
      <c r="D678" s="10">
        <v>6.0</v>
      </c>
      <c r="E678" s="11">
        <v>2011.0</v>
      </c>
      <c r="F678" s="13">
        <v>426416.1</v>
      </c>
      <c r="G678" s="13">
        <v>242769.03</v>
      </c>
      <c r="H678" s="13">
        <v>183647.06999999998</v>
      </c>
      <c r="I678" s="14">
        <v>0.4306757413709285</v>
      </c>
      <c r="J678" s="3" t="s">
        <v>3</v>
      </c>
      <c r="K678" s="3" t="s">
        <v>821</v>
      </c>
      <c r="L678" s="3" t="s">
        <v>821</v>
      </c>
    </row>
    <row r="679" ht="15.75" customHeight="1">
      <c r="A679" s="3">
        <v>5.47625386E8</v>
      </c>
      <c r="B679" s="3" t="s">
        <v>434</v>
      </c>
      <c r="C679" s="3">
        <v>4.0</v>
      </c>
      <c r="D679" s="10">
        <v>9.0</v>
      </c>
      <c r="E679" s="11">
        <v>2015.0</v>
      </c>
      <c r="F679" s="13">
        <v>275920.48000000004</v>
      </c>
      <c r="G679" s="13">
        <v>191317.92</v>
      </c>
      <c r="H679" s="13">
        <v>84602.56000000003</v>
      </c>
      <c r="I679" s="14">
        <v>0.30661935641747223</v>
      </c>
      <c r="J679" s="3" t="s">
        <v>14</v>
      </c>
      <c r="K679" s="3" t="s">
        <v>28</v>
      </c>
      <c r="L679" s="3" t="s">
        <v>79</v>
      </c>
    </row>
    <row r="680" ht="15.75" customHeight="1">
      <c r="A680" s="3">
        <v>5.48015487E8</v>
      </c>
      <c r="B680" s="3" t="s">
        <v>364</v>
      </c>
      <c r="C680" s="3">
        <v>20.0</v>
      </c>
      <c r="D680" s="10">
        <v>9.0</v>
      </c>
      <c r="E680" s="11">
        <v>2016.0</v>
      </c>
      <c r="F680" s="13">
        <v>82243.95</v>
      </c>
      <c r="G680" s="13">
        <v>60999.8</v>
      </c>
      <c r="H680" s="13">
        <v>21244.149999999994</v>
      </c>
      <c r="I680" s="14">
        <v>0.25830653804930326</v>
      </c>
      <c r="J680" s="3" t="s">
        <v>8</v>
      </c>
      <c r="K680" s="3" t="s">
        <v>28</v>
      </c>
      <c r="L680" s="3" t="s">
        <v>29</v>
      </c>
    </row>
    <row r="681" ht="15.75" customHeight="1">
      <c r="A681" s="3">
        <v>5.48343789E8</v>
      </c>
      <c r="B681" s="3" t="s">
        <v>215</v>
      </c>
      <c r="C681" s="3">
        <v>2.0</v>
      </c>
      <c r="D681" s="10">
        <v>12.0</v>
      </c>
      <c r="E681" s="11">
        <v>2014.0</v>
      </c>
      <c r="F681" s="13">
        <v>910444.8600000001</v>
      </c>
      <c r="G681" s="13">
        <v>581424.48</v>
      </c>
      <c r="H681" s="13">
        <v>329020.3800000001</v>
      </c>
      <c r="I681" s="14">
        <v>0.3613841918993316</v>
      </c>
      <c r="J681" s="3" t="s">
        <v>13</v>
      </c>
      <c r="K681" s="3" t="s">
        <v>23</v>
      </c>
      <c r="L681" s="3" t="s">
        <v>68</v>
      </c>
    </row>
    <row r="682" ht="15.75" customHeight="1">
      <c r="A682" s="3">
        <v>5.48403012E8</v>
      </c>
      <c r="B682" s="3" t="s">
        <v>746</v>
      </c>
      <c r="C682" s="3">
        <v>12.0</v>
      </c>
      <c r="D682" s="10">
        <v>3.0</v>
      </c>
      <c r="E682" s="11">
        <v>2012.0</v>
      </c>
      <c r="F682" s="13">
        <v>2334267.11</v>
      </c>
      <c r="G682" s="13">
        <v>1755372.22</v>
      </c>
      <c r="H682" s="13">
        <v>578894.8899999999</v>
      </c>
      <c r="I682" s="14">
        <v>0.24799856345489096</v>
      </c>
      <c r="J682" s="3" t="s">
        <v>4</v>
      </c>
      <c r="K682" s="3" t="s">
        <v>28</v>
      </c>
      <c r="L682" s="3" t="s">
        <v>29</v>
      </c>
    </row>
    <row r="683" ht="15.75" customHeight="1">
      <c r="A683" s="3">
        <v>5.49048888E8</v>
      </c>
      <c r="B683" s="3" t="s">
        <v>434</v>
      </c>
      <c r="C683" s="3">
        <v>32.0</v>
      </c>
      <c r="D683" s="10">
        <v>10.0</v>
      </c>
      <c r="E683" s="11">
        <v>2014.0</v>
      </c>
      <c r="F683" s="13">
        <v>3009892.62</v>
      </c>
      <c r="G683" s="13">
        <v>2426365.12</v>
      </c>
      <c r="H683" s="13">
        <v>583527.5</v>
      </c>
      <c r="I683" s="14">
        <v>0.19386987300563566</v>
      </c>
      <c r="J683" s="3" t="s">
        <v>7</v>
      </c>
      <c r="K683" s="3" t="s">
        <v>28</v>
      </c>
      <c r="L683" s="3" t="s">
        <v>79</v>
      </c>
    </row>
    <row r="684" ht="15.75" customHeight="1">
      <c r="A684" s="3">
        <v>5.4905833E8</v>
      </c>
      <c r="B684" s="3" t="s">
        <v>593</v>
      </c>
      <c r="C684" s="3">
        <v>38.0</v>
      </c>
      <c r="D684" s="10">
        <v>4.0</v>
      </c>
      <c r="E684" s="11">
        <v>2017.0</v>
      </c>
      <c r="F684" s="13">
        <v>4955890.32</v>
      </c>
      <c r="G684" s="13">
        <v>3726836.64</v>
      </c>
      <c r="H684" s="13">
        <v>1229053.6800000002</v>
      </c>
      <c r="I684" s="14">
        <v>0.24799856345489102</v>
      </c>
      <c r="J684" s="3" t="s">
        <v>4</v>
      </c>
      <c r="K684" s="3" t="s">
        <v>28</v>
      </c>
      <c r="L684" s="3" t="s">
        <v>98</v>
      </c>
    </row>
    <row r="685" ht="15.75" customHeight="1">
      <c r="A685" s="3">
        <v>5.49187934E8</v>
      </c>
      <c r="B685" s="3" t="s">
        <v>650</v>
      </c>
      <c r="C685" s="3">
        <v>48.0</v>
      </c>
      <c r="D685" s="10">
        <v>5.0</v>
      </c>
      <c r="E685" s="11">
        <v>2015.0</v>
      </c>
      <c r="F685" s="13">
        <v>2522206.8</v>
      </c>
      <c r="G685" s="13">
        <v>1519150.77</v>
      </c>
      <c r="H685" s="13">
        <v>1003056.0299999998</v>
      </c>
      <c r="I685" s="14">
        <v>0.3976898444647758</v>
      </c>
      <c r="J685" s="3" t="s">
        <v>12</v>
      </c>
      <c r="K685" s="3" t="s">
        <v>28</v>
      </c>
      <c r="L685" s="3" t="s">
        <v>98</v>
      </c>
    </row>
    <row r="686" ht="15.75" customHeight="1">
      <c r="A686" s="3">
        <v>5.51118266E8</v>
      </c>
      <c r="B686" s="3" t="s">
        <v>123</v>
      </c>
      <c r="C686" s="3">
        <v>30.0</v>
      </c>
      <c r="D686" s="10">
        <v>7.0</v>
      </c>
      <c r="E686" s="11">
        <v>2016.0</v>
      </c>
      <c r="F686" s="13">
        <v>1786194.16</v>
      </c>
      <c r="G686" s="13">
        <v>1115461.74</v>
      </c>
      <c r="H686" s="13">
        <v>670732.4199999999</v>
      </c>
      <c r="I686" s="14">
        <v>0.3755092447508618</v>
      </c>
      <c r="J686" s="3" t="s">
        <v>10</v>
      </c>
      <c r="K686" s="3" t="s">
        <v>28</v>
      </c>
      <c r="L686" s="3" t="s">
        <v>33</v>
      </c>
    </row>
    <row r="687" ht="15.75" customHeight="1">
      <c r="A687" s="3">
        <v>5.52037513E8</v>
      </c>
      <c r="B687" s="3" t="s">
        <v>218</v>
      </c>
      <c r="C687" s="3">
        <v>28.0</v>
      </c>
      <c r="D687" s="10">
        <v>7.0</v>
      </c>
      <c r="E687" s="11">
        <v>2011.0</v>
      </c>
      <c r="F687" s="13">
        <v>1855825.4</v>
      </c>
      <c r="G687" s="13">
        <v>1056566.42</v>
      </c>
      <c r="H687" s="13">
        <v>799258.98</v>
      </c>
      <c r="I687" s="14">
        <v>0.43067574137092857</v>
      </c>
      <c r="J687" s="3" t="s">
        <v>3</v>
      </c>
      <c r="K687" s="3" t="s">
        <v>28</v>
      </c>
      <c r="L687" s="3" t="s">
        <v>98</v>
      </c>
    </row>
    <row r="688" ht="15.75" customHeight="1">
      <c r="A688" s="3">
        <v>5.52276551E8</v>
      </c>
      <c r="B688" s="3" t="s">
        <v>218</v>
      </c>
      <c r="C688" s="3">
        <v>49.0</v>
      </c>
      <c r="D688" s="10">
        <v>8.0</v>
      </c>
      <c r="E688" s="11">
        <v>2011.0</v>
      </c>
      <c r="F688" s="13">
        <v>4117224.51</v>
      </c>
      <c r="G688" s="13">
        <v>3559009.71</v>
      </c>
      <c r="H688" s="13">
        <v>558214.7999999998</v>
      </c>
      <c r="I688" s="14">
        <v>0.13558036455000114</v>
      </c>
      <c r="J688" s="3" t="s">
        <v>11</v>
      </c>
      <c r="K688" s="3" t="s">
        <v>28</v>
      </c>
      <c r="L688" s="3" t="s">
        <v>98</v>
      </c>
    </row>
    <row r="689" ht="15.75" customHeight="1">
      <c r="A689" s="3">
        <v>5.52931869E8</v>
      </c>
      <c r="B689" s="3" t="s">
        <v>46</v>
      </c>
      <c r="C689" s="3">
        <v>24.0</v>
      </c>
      <c r="D689" s="10">
        <v>8.0</v>
      </c>
      <c r="E689" s="11">
        <v>2016.0</v>
      </c>
      <c r="F689" s="13">
        <v>1553398.98</v>
      </c>
      <c r="G689" s="13">
        <v>1342788.58</v>
      </c>
      <c r="H689" s="13">
        <v>210610.3999999999</v>
      </c>
      <c r="I689" s="14">
        <v>0.13558036455000114</v>
      </c>
      <c r="J689" s="3" t="s">
        <v>11</v>
      </c>
      <c r="K689" s="3" t="s">
        <v>28</v>
      </c>
      <c r="L689" s="3" t="s">
        <v>33</v>
      </c>
    </row>
    <row r="690" ht="15.75" customHeight="1">
      <c r="A690" s="3">
        <v>5.53107821E8</v>
      </c>
      <c r="B690" s="3" t="s">
        <v>215</v>
      </c>
      <c r="C690" s="3">
        <v>23.0</v>
      </c>
      <c r="D690" s="10">
        <v>12.0</v>
      </c>
      <c r="E690" s="11">
        <v>2014.0</v>
      </c>
      <c r="F690" s="13">
        <v>470029.23000000004</v>
      </c>
      <c r="G690" s="13">
        <v>325909.17</v>
      </c>
      <c r="H690" s="13">
        <v>144120.06000000006</v>
      </c>
      <c r="I690" s="14">
        <v>0.30661935641747223</v>
      </c>
      <c r="J690" s="3" t="s">
        <v>14</v>
      </c>
      <c r="K690" s="3" t="s">
        <v>23</v>
      </c>
      <c r="L690" s="3" t="s">
        <v>68</v>
      </c>
    </row>
    <row r="691" ht="15.75" customHeight="1">
      <c r="A691" s="3">
        <v>5.54554927E8</v>
      </c>
      <c r="B691" s="3" t="s">
        <v>623</v>
      </c>
      <c r="C691" s="3">
        <v>15.0</v>
      </c>
      <c r="D691" s="10">
        <v>7.0</v>
      </c>
      <c r="E691" s="11">
        <v>2012.0</v>
      </c>
      <c r="F691" s="13">
        <v>818891.7</v>
      </c>
      <c r="G691" s="13">
        <v>466214.91</v>
      </c>
      <c r="H691" s="13">
        <v>352676.79</v>
      </c>
      <c r="I691" s="14">
        <v>0.4306757413709285</v>
      </c>
      <c r="J691" s="3" t="s">
        <v>3</v>
      </c>
      <c r="K691" s="3" t="s">
        <v>28</v>
      </c>
      <c r="L691" s="3" t="s">
        <v>33</v>
      </c>
    </row>
    <row r="692" ht="15.75" customHeight="1">
      <c r="A692" s="3">
        <v>5.54721438E8</v>
      </c>
      <c r="B692" s="3" t="s">
        <v>578</v>
      </c>
      <c r="C692" s="3">
        <v>8.0</v>
      </c>
      <c r="D692" s="10">
        <v>1.0</v>
      </c>
      <c r="E692" s="11">
        <v>2016.0</v>
      </c>
      <c r="F692" s="13">
        <v>154497.2</v>
      </c>
      <c r="G692" s="13">
        <v>103508.23999999999</v>
      </c>
      <c r="H692" s="13">
        <v>50988.96000000002</v>
      </c>
      <c r="I692" s="14">
        <v>0.33003161222339317</v>
      </c>
      <c r="J692" s="3" t="s">
        <v>6</v>
      </c>
      <c r="K692" s="3" t="s">
        <v>28</v>
      </c>
      <c r="L692" s="3" t="s">
        <v>33</v>
      </c>
    </row>
    <row r="693" ht="15.75" customHeight="1">
      <c r="A693" s="3">
        <v>5.56263816E8</v>
      </c>
      <c r="B693" s="3" t="s">
        <v>671</v>
      </c>
      <c r="C693" s="3">
        <v>2.0</v>
      </c>
      <c r="D693" s="10">
        <v>12.0</v>
      </c>
      <c r="E693" s="11">
        <v>2011.0</v>
      </c>
      <c r="F693" s="13">
        <v>459268.55000000005</v>
      </c>
      <c r="G693" s="13">
        <v>307695.41</v>
      </c>
      <c r="H693" s="13">
        <v>151573.14000000007</v>
      </c>
      <c r="I693" s="14">
        <v>0.33003161222339317</v>
      </c>
      <c r="J693" s="3" t="s">
        <v>6</v>
      </c>
      <c r="K693" s="3" t="s">
        <v>28</v>
      </c>
      <c r="L693" s="3" t="s">
        <v>33</v>
      </c>
    </row>
    <row r="694" ht="15.75" customHeight="1">
      <c r="A694" s="3">
        <v>5.56647908E8</v>
      </c>
      <c r="B694" s="3" t="s">
        <v>746</v>
      </c>
      <c r="C694" s="3">
        <v>29.0</v>
      </c>
      <c r="D694" s="10">
        <v>9.0</v>
      </c>
      <c r="E694" s="11">
        <v>2012.0</v>
      </c>
      <c r="F694" s="13">
        <v>514714.46</v>
      </c>
      <c r="G694" s="13">
        <v>303797.13</v>
      </c>
      <c r="H694" s="13">
        <v>210917.33000000002</v>
      </c>
      <c r="I694" s="14">
        <v>0.40977541217707386</v>
      </c>
      <c r="J694" s="3" t="s">
        <v>9</v>
      </c>
      <c r="K694" s="3" t="s">
        <v>28</v>
      </c>
      <c r="L694" s="3" t="s">
        <v>29</v>
      </c>
    </row>
    <row r="695" ht="15.75" customHeight="1">
      <c r="A695" s="3">
        <v>5.56947886E8</v>
      </c>
      <c r="B695" s="3" t="s">
        <v>46</v>
      </c>
      <c r="C695" s="3">
        <v>42.0</v>
      </c>
      <c r="D695" s="10">
        <v>4.0</v>
      </c>
      <c r="E695" s="11">
        <v>2011.0</v>
      </c>
      <c r="F695" s="13">
        <v>434232.69999999995</v>
      </c>
      <c r="G695" s="13">
        <v>247219.21</v>
      </c>
      <c r="H695" s="13">
        <v>187013.48999999996</v>
      </c>
      <c r="I695" s="14">
        <v>0.4306757413709285</v>
      </c>
      <c r="J695" s="3" t="s">
        <v>3</v>
      </c>
      <c r="K695" s="3" t="s">
        <v>28</v>
      </c>
      <c r="L695" s="3" t="s">
        <v>33</v>
      </c>
    </row>
    <row r="696" ht="15.75" customHeight="1">
      <c r="A696" s="3">
        <v>5.59183347E8</v>
      </c>
      <c r="B696" s="3" t="s">
        <v>740</v>
      </c>
      <c r="C696" s="3">
        <v>37.0</v>
      </c>
      <c r="D696" s="10">
        <v>4.0</v>
      </c>
      <c r="E696" s="11">
        <v>2014.0</v>
      </c>
      <c r="F696" s="13">
        <v>747308.1</v>
      </c>
      <c r="G696" s="13">
        <v>425460.63</v>
      </c>
      <c r="H696" s="13">
        <v>321847.47</v>
      </c>
      <c r="I696" s="14">
        <v>0.4306757413709285</v>
      </c>
      <c r="J696" s="3" t="s">
        <v>3</v>
      </c>
      <c r="K696" s="3" t="s">
        <v>28</v>
      </c>
      <c r="L696" s="3" t="s">
        <v>98</v>
      </c>
    </row>
    <row r="697" ht="15.75" customHeight="1">
      <c r="A697" s="3">
        <v>5.59417665E8</v>
      </c>
      <c r="B697" s="3" t="s">
        <v>635</v>
      </c>
      <c r="C697" s="3">
        <v>3.0</v>
      </c>
      <c r="D697" s="10">
        <v>2.0</v>
      </c>
      <c r="E697" s="11">
        <v>2013.0</v>
      </c>
      <c r="F697" s="13">
        <v>458020.38</v>
      </c>
      <c r="G697" s="13">
        <v>270334.89</v>
      </c>
      <c r="H697" s="13">
        <v>187685.49</v>
      </c>
      <c r="I697" s="14">
        <v>0.40977541217707386</v>
      </c>
      <c r="J697" s="3" t="s">
        <v>9</v>
      </c>
      <c r="K697" s="3" t="s">
        <v>28</v>
      </c>
      <c r="L697" s="3" t="s">
        <v>33</v>
      </c>
    </row>
    <row r="698" ht="15.75" customHeight="1">
      <c r="A698" s="3">
        <v>5.60389268E8</v>
      </c>
      <c r="B698" s="3" t="s">
        <v>623</v>
      </c>
      <c r="C698" s="3">
        <v>31.0</v>
      </c>
      <c r="D698" s="10">
        <v>1.0</v>
      </c>
      <c r="E698" s="11">
        <v>2016.0</v>
      </c>
      <c r="F698" s="13">
        <v>75797.52</v>
      </c>
      <c r="G698" s="13">
        <v>44737.560000000005</v>
      </c>
      <c r="H698" s="13">
        <v>31059.96</v>
      </c>
      <c r="I698" s="14">
        <v>0.40977541217707386</v>
      </c>
      <c r="J698" s="3" t="s">
        <v>9</v>
      </c>
      <c r="K698" s="3" t="s">
        <v>28</v>
      </c>
      <c r="L698" s="3" t="s">
        <v>33</v>
      </c>
    </row>
    <row r="699" ht="15.75" customHeight="1">
      <c r="A699" s="3">
        <v>5.60762631E8</v>
      </c>
      <c r="B699" s="3" t="s">
        <v>746</v>
      </c>
      <c r="C699" s="3">
        <v>13.0</v>
      </c>
      <c r="D699" s="10">
        <v>7.0</v>
      </c>
      <c r="E699" s="11">
        <v>2015.0</v>
      </c>
      <c r="F699" s="13">
        <v>637534.5900000001</v>
      </c>
      <c r="G699" s="13">
        <v>513935.84</v>
      </c>
      <c r="H699" s="13">
        <v>123598.75000000006</v>
      </c>
      <c r="I699" s="14">
        <v>0.19386987300563574</v>
      </c>
      <c r="J699" s="3" t="s">
        <v>7</v>
      </c>
      <c r="K699" s="3" t="s">
        <v>28</v>
      </c>
      <c r="L699" s="3" t="s">
        <v>29</v>
      </c>
    </row>
    <row r="700" ht="15.75" customHeight="1">
      <c r="A700" s="3">
        <v>5.61534678E8</v>
      </c>
      <c r="B700" s="3" t="s">
        <v>215</v>
      </c>
      <c r="C700" s="3">
        <v>27.0</v>
      </c>
      <c r="D700" s="10">
        <v>1.0</v>
      </c>
      <c r="E700" s="11">
        <v>2014.0</v>
      </c>
      <c r="F700" s="13">
        <v>771939.8500000001</v>
      </c>
      <c r="G700" s="13">
        <v>535248.15</v>
      </c>
      <c r="H700" s="13">
        <v>236691.70000000007</v>
      </c>
      <c r="I700" s="14">
        <v>0.30661935641747223</v>
      </c>
      <c r="J700" s="3" t="s">
        <v>14</v>
      </c>
      <c r="K700" s="3" t="s">
        <v>23</v>
      </c>
      <c r="L700" s="3" t="s">
        <v>68</v>
      </c>
    </row>
    <row r="701" ht="15.75" customHeight="1">
      <c r="A701" s="3">
        <v>5.63939225E8</v>
      </c>
      <c r="B701" s="3" t="s">
        <v>349</v>
      </c>
      <c r="C701" s="3">
        <v>38.0</v>
      </c>
      <c r="D701" s="10">
        <v>11.0</v>
      </c>
      <c r="E701" s="11">
        <v>2010.0</v>
      </c>
      <c r="F701" s="13">
        <v>109717.12</v>
      </c>
      <c r="G701" s="13">
        <v>35983.36</v>
      </c>
      <c r="H701" s="13">
        <v>73733.76</v>
      </c>
      <c r="I701" s="14">
        <v>0.6720351390922401</v>
      </c>
      <c r="J701" s="3" t="s">
        <v>5</v>
      </c>
      <c r="K701" s="3" t="s">
        <v>28</v>
      </c>
      <c r="L701" s="3" t="s">
        <v>29</v>
      </c>
    </row>
    <row r="702" ht="15.75" customHeight="1">
      <c r="A702" s="3">
        <v>5.64173543E8</v>
      </c>
      <c r="B702" s="3" t="s">
        <v>267</v>
      </c>
      <c r="C702" s="3">
        <v>5.0</v>
      </c>
      <c r="D702" s="10">
        <v>4.0</v>
      </c>
      <c r="E702" s="11">
        <v>2017.0</v>
      </c>
      <c r="F702" s="13">
        <v>87561.04</v>
      </c>
      <c r="G702" s="13">
        <v>54681.06</v>
      </c>
      <c r="H702" s="13">
        <v>32879.979999999996</v>
      </c>
      <c r="I702" s="14">
        <v>0.3755092447508618</v>
      </c>
      <c r="J702" s="3" t="s">
        <v>10</v>
      </c>
      <c r="K702" s="3" t="s">
        <v>28</v>
      </c>
      <c r="L702" s="3" t="s">
        <v>29</v>
      </c>
    </row>
    <row r="703" ht="15.75" customHeight="1">
      <c r="A703" s="3">
        <v>5.66428315E8</v>
      </c>
      <c r="B703" s="3" t="s">
        <v>267</v>
      </c>
      <c r="C703" s="3">
        <v>7.0</v>
      </c>
      <c r="D703" s="10">
        <v>3.0</v>
      </c>
      <c r="E703" s="11">
        <v>2012.0</v>
      </c>
      <c r="F703" s="13">
        <v>359718.45</v>
      </c>
      <c r="G703" s="13">
        <v>240999.99</v>
      </c>
      <c r="H703" s="13">
        <v>118718.46000000002</v>
      </c>
      <c r="I703" s="14">
        <v>0.3300316122233931</v>
      </c>
      <c r="J703" s="3" t="s">
        <v>6</v>
      </c>
      <c r="K703" s="3" t="s">
        <v>28</v>
      </c>
      <c r="L703" s="3" t="s">
        <v>29</v>
      </c>
    </row>
    <row r="704" ht="15.75" customHeight="1">
      <c r="A704" s="3">
        <v>5.67412793E8</v>
      </c>
      <c r="B704" s="3" t="s">
        <v>689</v>
      </c>
      <c r="C704" s="3">
        <v>6.0</v>
      </c>
      <c r="D704" s="10">
        <v>3.0</v>
      </c>
      <c r="E704" s="11">
        <v>2012.0</v>
      </c>
      <c r="F704" s="13">
        <v>83130.3</v>
      </c>
      <c r="G704" s="13">
        <v>61657.2</v>
      </c>
      <c r="H704" s="13">
        <v>21473.100000000006</v>
      </c>
      <c r="I704" s="14">
        <v>0.25830653804930337</v>
      </c>
      <c r="J704" s="3" t="s">
        <v>8</v>
      </c>
      <c r="K704" s="3" t="s">
        <v>28</v>
      </c>
      <c r="L704" s="3" t="s">
        <v>79</v>
      </c>
    </row>
    <row r="705" ht="15.75" customHeight="1">
      <c r="A705" s="3">
        <v>5.67751824E8</v>
      </c>
      <c r="B705" s="3" t="s">
        <v>455</v>
      </c>
      <c r="C705" s="3">
        <v>31.0</v>
      </c>
      <c r="D705" s="10">
        <v>10.0</v>
      </c>
      <c r="E705" s="11">
        <v>2011.0</v>
      </c>
      <c r="F705" s="13">
        <v>4037979.1999999997</v>
      </c>
      <c r="G705" s="13">
        <v>2432115.88</v>
      </c>
      <c r="H705" s="13">
        <v>1605863.3199999998</v>
      </c>
      <c r="I705" s="14">
        <v>0.39768984446477584</v>
      </c>
      <c r="J705" s="3" t="s">
        <v>12</v>
      </c>
      <c r="K705" s="3" t="s">
        <v>28</v>
      </c>
      <c r="L705" s="3" t="s">
        <v>33</v>
      </c>
    </row>
    <row r="706" ht="15.75" customHeight="1">
      <c r="A706" s="3">
        <v>5.69170606E8</v>
      </c>
      <c r="B706" s="3" t="s">
        <v>413</v>
      </c>
      <c r="C706" s="3">
        <v>6.0</v>
      </c>
      <c r="D706" s="10">
        <v>4.0</v>
      </c>
      <c r="E706" s="11">
        <v>2017.0</v>
      </c>
      <c r="F706" s="13">
        <v>1386189.3</v>
      </c>
      <c r="G706" s="13">
        <v>885242.4</v>
      </c>
      <c r="H706" s="13">
        <v>500946.9</v>
      </c>
      <c r="I706" s="14">
        <v>0.3613841918993315</v>
      </c>
      <c r="J706" s="3" t="s">
        <v>13</v>
      </c>
      <c r="K706" s="3" t="s">
        <v>28</v>
      </c>
      <c r="L706" s="3" t="s">
        <v>29</v>
      </c>
    </row>
    <row r="707" ht="15.75" customHeight="1">
      <c r="A707" s="3">
        <v>5.69864976E8</v>
      </c>
      <c r="B707" s="3" t="s">
        <v>689</v>
      </c>
      <c r="C707" s="3">
        <v>43.0</v>
      </c>
      <c r="D707" s="10">
        <v>10.0</v>
      </c>
      <c r="E707" s="11">
        <v>2015.0</v>
      </c>
      <c r="F707" s="13">
        <v>939020.5</v>
      </c>
      <c r="G707" s="13">
        <v>534607.15</v>
      </c>
      <c r="H707" s="13">
        <v>404413.35</v>
      </c>
      <c r="I707" s="14">
        <v>0.4306757413709285</v>
      </c>
      <c r="J707" s="3" t="s">
        <v>3</v>
      </c>
      <c r="K707" s="3" t="s">
        <v>28</v>
      </c>
      <c r="L707" s="3" t="s">
        <v>79</v>
      </c>
    </row>
    <row r="708" ht="15.75" customHeight="1">
      <c r="A708" s="3">
        <v>5.69941365E8</v>
      </c>
      <c r="B708" s="3" t="s">
        <v>46</v>
      </c>
      <c r="C708" s="3">
        <v>33.0</v>
      </c>
      <c r="D708" s="10">
        <v>10.0</v>
      </c>
      <c r="E708" s="11">
        <v>2016.0</v>
      </c>
      <c r="F708" s="13">
        <v>1830357.6</v>
      </c>
      <c r="G708" s="13">
        <v>1143041.4</v>
      </c>
      <c r="H708" s="13">
        <v>687316.2000000002</v>
      </c>
      <c r="I708" s="14">
        <v>0.3755092447508619</v>
      </c>
      <c r="J708" s="3" t="s">
        <v>10</v>
      </c>
      <c r="K708" s="3" t="s">
        <v>28</v>
      </c>
      <c r="L708" s="3" t="s">
        <v>33</v>
      </c>
    </row>
    <row r="709" ht="15.75" customHeight="1">
      <c r="A709" s="3">
        <v>5.7047652E8</v>
      </c>
      <c r="B709" s="3" t="s">
        <v>32</v>
      </c>
      <c r="C709" s="3">
        <v>4.0</v>
      </c>
      <c r="D709" s="10">
        <v>12.0</v>
      </c>
      <c r="E709" s="11">
        <v>2010.0</v>
      </c>
      <c r="F709" s="13">
        <v>3698206.1799999997</v>
      </c>
      <c r="G709" s="13">
        <v>2781056.3600000003</v>
      </c>
      <c r="H709" s="13">
        <v>917149.8199999994</v>
      </c>
      <c r="I709" s="14">
        <v>0.24799856345489082</v>
      </c>
      <c r="J709" s="3" t="s">
        <v>4</v>
      </c>
      <c r="K709" s="3" t="s">
        <v>28</v>
      </c>
      <c r="L709" s="3" t="s">
        <v>33</v>
      </c>
    </row>
    <row r="710" ht="15.75" customHeight="1">
      <c r="A710" s="3">
        <v>5.70703542E8</v>
      </c>
      <c r="B710" s="3" t="s">
        <v>349</v>
      </c>
      <c r="C710" s="3">
        <v>45.0</v>
      </c>
      <c r="D710" s="10">
        <v>9.0</v>
      </c>
      <c r="E710" s="11">
        <v>2010.0</v>
      </c>
      <c r="F710" s="13">
        <v>221896.95</v>
      </c>
      <c r="G710" s="13">
        <v>153859.05000000002</v>
      </c>
      <c r="H710" s="13">
        <v>68037.9</v>
      </c>
      <c r="I710" s="14">
        <v>0.3066193564174721</v>
      </c>
      <c r="J710" s="3" t="s">
        <v>14</v>
      </c>
      <c r="K710" s="3" t="s">
        <v>28</v>
      </c>
      <c r="L710" s="3" t="s">
        <v>29</v>
      </c>
    </row>
    <row r="711" ht="15.75" customHeight="1">
      <c r="A711" s="3">
        <v>5.71161448E8</v>
      </c>
      <c r="B711" s="3" t="s">
        <v>218</v>
      </c>
      <c r="C711" s="3">
        <v>36.0</v>
      </c>
      <c r="D711" s="10">
        <v>8.0</v>
      </c>
      <c r="E711" s="11">
        <v>2014.0</v>
      </c>
      <c r="F711" s="13">
        <v>5493179.399999999</v>
      </c>
      <c r="G711" s="13">
        <v>4130878.8000000003</v>
      </c>
      <c r="H711" s="13">
        <v>1362300.5999999992</v>
      </c>
      <c r="I711" s="14">
        <v>0.24799856345489085</v>
      </c>
      <c r="J711" s="3" t="s">
        <v>4</v>
      </c>
      <c r="K711" s="3" t="s">
        <v>28</v>
      </c>
      <c r="L711" s="3" t="s">
        <v>98</v>
      </c>
    </row>
    <row r="712" ht="15.75" customHeight="1">
      <c r="A712" s="3">
        <v>5.71323239E8</v>
      </c>
      <c r="B712" s="3" t="s">
        <v>67</v>
      </c>
      <c r="C712" s="3">
        <v>25.0</v>
      </c>
      <c r="D712" s="10">
        <v>12.0</v>
      </c>
      <c r="E712" s="11">
        <v>2016.0</v>
      </c>
      <c r="F712" s="13">
        <v>939303.8200000001</v>
      </c>
      <c r="G712" s="13">
        <v>554400.2100000001</v>
      </c>
      <c r="H712" s="13">
        <v>384903.61</v>
      </c>
      <c r="I712" s="14">
        <v>0.4097754121770738</v>
      </c>
      <c r="J712" s="3" t="s">
        <v>9</v>
      </c>
      <c r="K712" s="3" t="s">
        <v>23</v>
      </c>
      <c r="L712" s="3" t="s">
        <v>68</v>
      </c>
    </row>
    <row r="713" ht="15.75" customHeight="1">
      <c r="A713" s="3">
        <v>5.72634732E8</v>
      </c>
      <c r="B713" s="3" t="s">
        <v>590</v>
      </c>
      <c r="C713" s="3">
        <v>18.0</v>
      </c>
      <c r="D713" s="10">
        <v>3.0</v>
      </c>
      <c r="E713" s="11">
        <v>2016.0</v>
      </c>
      <c r="F713" s="13">
        <v>863322.8999999999</v>
      </c>
      <c r="G713" s="13">
        <v>491510.67</v>
      </c>
      <c r="H713" s="13">
        <v>371812.2299999999</v>
      </c>
      <c r="I713" s="14">
        <v>0.4306757413709285</v>
      </c>
      <c r="J713" s="3" t="s">
        <v>3</v>
      </c>
      <c r="K713" s="3" t="s">
        <v>28</v>
      </c>
      <c r="L713" s="3" t="s">
        <v>98</v>
      </c>
    </row>
    <row r="714" ht="15.75" customHeight="1">
      <c r="A714" s="3">
        <v>5.74247491E8</v>
      </c>
      <c r="B714" s="3" t="s">
        <v>218</v>
      </c>
      <c r="C714" s="3">
        <v>12.0</v>
      </c>
      <c r="D714" s="10">
        <v>12.0</v>
      </c>
      <c r="E714" s="11">
        <v>2012.0</v>
      </c>
      <c r="F714" s="13">
        <v>967654.96</v>
      </c>
      <c r="G714" s="13">
        <v>727677.92</v>
      </c>
      <c r="H714" s="13">
        <v>239977.03999999992</v>
      </c>
      <c r="I714" s="14">
        <v>0.2479985634548909</v>
      </c>
      <c r="J714" s="3" t="s">
        <v>4</v>
      </c>
      <c r="K714" s="3" t="s">
        <v>28</v>
      </c>
      <c r="L714" s="3" t="s">
        <v>98</v>
      </c>
    </row>
    <row r="715" ht="15.75" customHeight="1">
      <c r="A715" s="3">
        <v>5.74925124E8</v>
      </c>
      <c r="B715" s="3" t="s">
        <v>740</v>
      </c>
      <c r="C715" s="3">
        <v>15.0</v>
      </c>
      <c r="D715" s="10">
        <v>6.0</v>
      </c>
      <c r="E715" s="11">
        <v>2017.0</v>
      </c>
      <c r="F715" s="13">
        <v>863470.0</v>
      </c>
      <c r="G715" s="13">
        <v>520076.74999999994</v>
      </c>
      <c r="H715" s="13">
        <v>343393.25000000006</v>
      </c>
      <c r="I715" s="14">
        <v>0.3976898444647759</v>
      </c>
      <c r="J715" s="3" t="s">
        <v>12</v>
      </c>
      <c r="K715" s="3" t="s">
        <v>28</v>
      </c>
      <c r="L715" s="3" t="s">
        <v>98</v>
      </c>
    </row>
    <row r="716" ht="15.75" customHeight="1">
      <c r="A716" s="3">
        <v>5.7547959E8</v>
      </c>
      <c r="B716" s="3" t="s">
        <v>46</v>
      </c>
      <c r="C716" s="3">
        <v>46.0</v>
      </c>
      <c r="D716" s="10">
        <v>2.0</v>
      </c>
      <c r="E716" s="11">
        <v>2011.0</v>
      </c>
      <c r="F716" s="13">
        <v>923719.3200000001</v>
      </c>
      <c r="G716" s="13">
        <v>589901.76</v>
      </c>
      <c r="H716" s="13">
        <v>333817.56000000006</v>
      </c>
      <c r="I716" s="14">
        <v>0.3613841918993315</v>
      </c>
      <c r="J716" s="3" t="s">
        <v>13</v>
      </c>
      <c r="K716" s="3" t="s">
        <v>28</v>
      </c>
      <c r="L716" s="3" t="s">
        <v>33</v>
      </c>
    </row>
    <row r="717" ht="15.75" customHeight="1">
      <c r="A717" s="3">
        <v>5.75552117E8</v>
      </c>
      <c r="B717" s="3" t="s">
        <v>78</v>
      </c>
      <c r="C717" s="3">
        <v>23.0</v>
      </c>
      <c r="D717" s="10">
        <v>4.0</v>
      </c>
      <c r="E717" s="11">
        <v>2015.0</v>
      </c>
      <c r="F717" s="13">
        <v>4894494.36</v>
      </c>
      <c r="G717" s="13">
        <v>3945599.3600000003</v>
      </c>
      <c r="H717" s="13">
        <v>948895.0</v>
      </c>
      <c r="I717" s="14">
        <v>0.19386987300563566</v>
      </c>
      <c r="J717" s="3" t="s">
        <v>7</v>
      </c>
      <c r="K717" s="3" t="s">
        <v>28</v>
      </c>
      <c r="L717" s="3" t="s">
        <v>79</v>
      </c>
    </row>
    <row r="718" ht="15.75" customHeight="1">
      <c r="A718" s="3">
        <v>5.75583016E8</v>
      </c>
      <c r="B718" s="3" t="s">
        <v>123</v>
      </c>
      <c r="C718" s="3">
        <v>16.0</v>
      </c>
      <c r="D718" s="10">
        <v>11.0</v>
      </c>
      <c r="E718" s="11">
        <v>2012.0</v>
      </c>
      <c r="F718" s="13">
        <v>4337058.600000001</v>
      </c>
      <c r="G718" s="13">
        <v>3496233.6</v>
      </c>
      <c r="H718" s="13">
        <v>840825.0000000005</v>
      </c>
      <c r="I718" s="14">
        <v>0.19386987300563574</v>
      </c>
      <c r="J718" s="3" t="s">
        <v>7</v>
      </c>
      <c r="K718" s="3" t="s">
        <v>28</v>
      </c>
      <c r="L718" s="3" t="s">
        <v>33</v>
      </c>
    </row>
    <row r="719" ht="15.75" customHeight="1">
      <c r="A719" s="3">
        <v>5.75758969E8</v>
      </c>
      <c r="B719" s="3" t="s">
        <v>270</v>
      </c>
      <c r="C719" s="3">
        <v>14.0</v>
      </c>
      <c r="D719" s="10">
        <v>3.0</v>
      </c>
      <c r="E719" s="11">
        <v>2011.0</v>
      </c>
      <c r="F719" s="13">
        <v>713421.17</v>
      </c>
      <c r="G719" s="13">
        <v>494672.43</v>
      </c>
      <c r="H719" s="13">
        <v>218748.74000000005</v>
      </c>
      <c r="I719" s="14">
        <v>0.30661935641747223</v>
      </c>
      <c r="J719" s="3" t="s">
        <v>14</v>
      </c>
      <c r="K719" s="3" t="s">
        <v>28</v>
      </c>
      <c r="L719" s="3" t="s">
        <v>79</v>
      </c>
    </row>
    <row r="720" ht="15.75" customHeight="1">
      <c r="A720" s="3">
        <v>5.7694472E8</v>
      </c>
      <c r="B720" s="3" t="s">
        <v>32</v>
      </c>
      <c r="C720" s="3">
        <v>9.0</v>
      </c>
      <c r="D720" s="10">
        <v>9.0</v>
      </c>
      <c r="E720" s="11">
        <v>2016.0</v>
      </c>
      <c r="F720" s="13">
        <v>4205426.8</v>
      </c>
      <c r="G720" s="13">
        <v>2532971.27</v>
      </c>
      <c r="H720" s="13">
        <v>1672455.5299999998</v>
      </c>
      <c r="I720" s="14">
        <v>0.3976898444647758</v>
      </c>
      <c r="J720" s="3" t="s">
        <v>12</v>
      </c>
      <c r="K720" s="3" t="s">
        <v>28</v>
      </c>
      <c r="L720" s="3" t="s">
        <v>33</v>
      </c>
    </row>
    <row r="721" ht="15.75" customHeight="1">
      <c r="A721" s="3">
        <v>5.77530944E8</v>
      </c>
      <c r="B721" s="3" t="s">
        <v>218</v>
      </c>
      <c r="C721" s="3">
        <v>23.0</v>
      </c>
      <c r="D721" s="10">
        <v>4.0</v>
      </c>
      <c r="E721" s="11">
        <v>2012.0</v>
      </c>
      <c r="F721" s="13">
        <v>252954.35</v>
      </c>
      <c r="G721" s="13">
        <v>175393.65</v>
      </c>
      <c r="H721" s="13">
        <v>77560.70000000001</v>
      </c>
      <c r="I721" s="14">
        <v>0.3066193564174722</v>
      </c>
      <c r="J721" s="3" t="s">
        <v>14</v>
      </c>
      <c r="K721" s="3" t="s">
        <v>28</v>
      </c>
      <c r="L721" s="3" t="s">
        <v>98</v>
      </c>
    </row>
    <row r="722" ht="15.75" customHeight="1">
      <c r="A722" s="3">
        <v>5.78356206E8</v>
      </c>
      <c r="B722" s="3" t="s">
        <v>349</v>
      </c>
      <c r="C722" s="3">
        <v>6.0</v>
      </c>
      <c r="D722" s="10">
        <v>7.0</v>
      </c>
      <c r="E722" s="11">
        <v>2015.0</v>
      </c>
      <c r="F722" s="13">
        <v>3083594.01</v>
      </c>
      <c r="G722" s="13">
        <v>2665519.21</v>
      </c>
      <c r="H722" s="13">
        <v>418074.7999999998</v>
      </c>
      <c r="I722" s="14">
        <v>0.13558036455000114</v>
      </c>
      <c r="J722" s="3" t="s">
        <v>11</v>
      </c>
      <c r="K722" s="3" t="s">
        <v>28</v>
      </c>
      <c r="L722" s="3" t="s">
        <v>29</v>
      </c>
    </row>
    <row r="723" ht="15.75" customHeight="1">
      <c r="A723" s="3">
        <v>5.78666484E8</v>
      </c>
      <c r="B723" s="3" t="s">
        <v>593</v>
      </c>
      <c r="C723" s="3">
        <v>18.0</v>
      </c>
      <c r="D723" s="10">
        <v>3.0</v>
      </c>
      <c r="E723" s="11">
        <v>2013.0</v>
      </c>
      <c r="F723" s="13">
        <v>85154.91</v>
      </c>
      <c r="G723" s="13">
        <v>63158.84</v>
      </c>
      <c r="H723" s="13">
        <v>21996.070000000007</v>
      </c>
      <c r="I723" s="14">
        <v>0.25830653804930337</v>
      </c>
      <c r="J723" s="3" t="s">
        <v>8</v>
      </c>
      <c r="K723" s="3" t="s">
        <v>28</v>
      </c>
      <c r="L723" s="3" t="s">
        <v>98</v>
      </c>
    </row>
    <row r="724" ht="15.75" customHeight="1">
      <c r="A724" s="3">
        <v>5.79094779E8</v>
      </c>
      <c r="B724" s="3" t="s">
        <v>215</v>
      </c>
      <c r="C724" s="3">
        <v>3.0</v>
      </c>
      <c r="D724" s="10">
        <v>12.0</v>
      </c>
      <c r="E724" s="11">
        <v>2010.0</v>
      </c>
      <c r="F724" s="13">
        <v>904178.14</v>
      </c>
      <c r="G724" s="13">
        <v>533668.17</v>
      </c>
      <c r="H724" s="13">
        <v>370509.97</v>
      </c>
      <c r="I724" s="14">
        <v>0.4097754121770738</v>
      </c>
      <c r="J724" s="3" t="s">
        <v>9</v>
      </c>
      <c r="K724" s="3" t="s">
        <v>23</v>
      </c>
      <c r="L724" s="3" t="s">
        <v>68</v>
      </c>
    </row>
    <row r="725" ht="15.75" customHeight="1">
      <c r="A725" s="3">
        <v>5.79463422E8</v>
      </c>
      <c r="B725" s="3" t="s">
        <v>248</v>
      </c>
      <c r="C725" s="3">
        <v>34.0</v>
      </c>
      <c r="D725" s="10">
        <v>9.0</v>
      </c>
      <c r="E725" s="11">
        <v>2016.0</v>
      </c>
      <c r="F725" s="13">
        <v>46258.14</v>
      </c>
      <c r="G725" s="13">
        <v>34309.36</v>
      </c>
      <c r="H725" s="13">
        <v>11948.779999999999</v>
      </c>
      <c r="I725" s="14">
        <v>0.2583065380493033</v>
      </c>
      <c r="J725" s="3" t="s">
        <v>8</v>
      </c>
      <c r="K725" s="3" t="s">
        <v>28</v>
      </c>
      <c r="L725" s="3" t="s">
        <v>29</v>
      </c>
    </row>
    <row r="726" ht="15.75" customHeight="1">
      <c r="A726" s="3">
        <v>5.80314862E8</v>
      </c>
      <c r="B726" s="3" t="s">
        <v>349</v>
      </c>
      <c r="C726" s="3">
        <v>6.0</v>
      </c>
      <c r="D726" s="10">
        <v>5.0</v>
      </c>
      <c r="E726" s="11">
        <v>2016.0</v>
      </c>
      <c r="F726" s="13">
        <v>1766027.04</v>
      </c>
      <c r="G726" s="13">
        <v>1102867.5599999998</v>
      </c>
      <c r="H726" s="13">
        <v>663159.4800000002</v>
      </c>
      <c r="I726" s="14">
        <v>0.3755092447508619</v>
      </c>
      <c r="J726" s="3" t="s">
        <v>10</v>
      </c>
      <c r="K726" s="3" t="s">
        <v>28</v>
      </c>
      <c r="L726" s="3" t="s">
        <v>29</v>
      </c>
    </row>
    <row r="727" ht="15.75" customHeight="1">
      <c r="A727" s="3">
        <v>5.80342328E8</v>
      </c>
      <c r="B727" s="3" t="s">
        <v>67</v>
      </c>
      <c r="C727" s="3">
        <v>34.0</v>
      </c>
      <c r="D727" s="10">
        <v>9.0</v>
      </c>
      <c r="E727" s="11">
        <v>2011.0</v>
      </c>
      <c r="F727" s="13">
        <v>1037962.2</v>
      </c>
      <c r="G727" s="13">
        <v>590937.0599999999</v>
      </c>
      <c r="H727" s="13">
        <v>447025.14</v>
      </c>
      <c r="I727" s="14">
        <v>0.43067574137092857</v>
      </c>
      <c r="J727" s="3" t="s">
        <v>3</v>
      </c>
      <c r="K727" s="3" t="s">
        <v>23</v>
      </c>
      <c r="L727" s="3" t="s">
        <v>68</v>
      </c>
    </row>
    <row r="728" ht="15.75" customHeight="1">
      <c r="A728" s="3">
        <v>5.80463349E8</v>
      </c>
      <c r="B728" s="3" t="s">
        <v>740</v>
      </c>
      <c r="C728" s="3">
        <v>29.0</v>
      </c>
      <c r="D728" s="10">
        <v>10.0</v>
      </c>
      <c r="E728" s="11">
        <v>2011.0</v>
      </c>
      <c r="F728" s="13">
        <v>176696.3</v>
      </c>
      <c r="G728" s="13">
        <v>100597.49</v>
      </c>
      <c r="H728" s="13">
        <v>76098.80999999998</v>
      </c>
      <c r="I728" s="14">
        <v>0.43067574137092846</v>
      </c>
      <c r="J728" s="3" t="s">
        <v>3</v>
      </c>
      <c r="K728" s="3" t="s">
        <v>28</v>
      </c>
      <c r="L728" s="3" t="s">
        <v>98</v>
      </c>
    </row>
    <row r="729" ht="15.75" customHeight="1">
      <c r="A729" s="3">
        <v>5.8056935E8</v>
      </c>
      <c r="B729" s="3" t="s">
        <v>364</v>
      </c>
      <c r="C729" s="3">
        <v>23.0</v>
      </c>
      <c r="D729" s="10">
        <v>6.0</v>
      </c>
      <c r="E729" s="11">
        <v>2011.0</v>
      </c>
      <c r="F729" s="13">
        <v>105671.15000000001</v>
      </c>
      <c r="G729" s="13">
        <v>70796.33</v>
      </c>
      <c r="H729" s="13">
        <v>34874.82000000001</v>
      </c>
      <c r="I729" s="14">
        <v>0.3300316122233931</v>
      </c>
      <c r="J729" s="3" t="s">
        <v>6</v>
      </c>
      <c r="K729" s="3" t="s">
        <v>28</v>
      </c>
      <c r="L729" s="3" t="s">
        <v>29</v>
      </c>
    </row>
    <row r="730" ht="15.75" customHeight="1">
      <c r="A730" s="3">
        <v>5.8078221E8</v>
      </c>
      <c r="B730" s="3" t="s">
        <v>821</v>
      </c>
      <c r="C730" s="3">
        <v>4.0</v>
      </c>
      <c r="D730" s="10">
        <v>2.0</v>
      </c>
      <c r="E730" s="11">
        <v>2015.0</v>
      </c>
      <c r="F730" s="13">
        <v>3397362.5700000003</v>
      </c>
      <c r="G730" s="13">
        <v>2738716.3200000003</v>
      </c>
      <c r="H730" s="13">
        <v>658646.25</v>
      </c>
      <c r="I730" s="14">
        <v>0.19386987300563566</v>
      </c>
      <c r="J730" s="3" t="s">
        <v>7</v>
      </c>
      <c r="K730" s="3" t="s">
        <v>821</v>
      </c>
      <c r="L730" s="3" t="s">
        <v>821</v>
      </c>
    </row>
    <row r="731" ht="15.75" customHeight="1">
      <c r="A731" s="3">
        <v>5.81193768E8</v>
      </c>
      <c r="B731" s="3" t="s">
        <v>215</v>
      </c>
      <c r="C731" s="3">
        <v>6.0</v>
      </c>
      <c r="D731" s="10">
        <v>4.0</v>
      </c>
      <c r="E731" s="11">
        <v>2011.0</v>
      </c>
      <c r="F731" s="13">
        <v>1068975.48</v>
      </c>
      <c r="G731" s="13">
        <v>682664.64</v>
      </c>
      <c r="H731" s="13">
        <v>386310.83999999997</v>
      </c>
      <c r="I731" s="14">
        <v>0.36138419189933146</v>
      </c>
      <c r="J731" s="3" t="s">
        <v>13</v>
      </c>
      <c r="K731" s="3" t="s">
        <v>23</v>
      </c>
      <c r="L731" s="3" t="s">
        <v>68</v>
      </c>
    </row>
    <row r="732" ht="15.75" customHeight="1">
      <c r="A732" s="3">
        <v>5.82560193E8</v>
      </c>
      <c r="B732" s="3" t="s">
        <v>206</v>
      </c>
      <c r="C732" s="3">
        <v>3.0</v>
      </c>
      <c r="D732" s="10">
        <v>5.0</v>
      </c>
      <c r="E732" s="11">
        <v>2016.0</v>
      </c>
      <c r="F732" s="13">
        <v>910183.74</v>
      </c>
      <c r="G732" s="13">
        <v>684459.48</v>
      </c>
      <c r="H732" s="13">
        <v>225724.26</v>
      </c>
      <c r="I732" s="14">
        <v>0.247998563454891</v>
      </c>
      <c r="J732" s="3" t="s">
        <v>4</v>
      </c>
      <c r="K732" s="3" t="s">
        <v>28</v>
      </c>
      <c r="L732" s="3" t="s">
        <v>33</v>
      </c>
    </row>
    <row r="733" ht="15.75" customHeight="1">
      <c r="A733" s="3">
        <v>5.82563626E8</v>
      </c>
      <c r="B733" s="3" t="s">
        <v>821</v>
      </c>
      <c r="C733" s="3">
        <v>19.0</v>
      </c>
      <c r="D733" s="10">
        <v>1.0</v>
      </c>
      <c r="E733" s="11">
        <v>2011.0</v>
      </c>
      <c r="F733" s="13">
        <v>1589146.06</v>
      </c>
      <c r="G733" s="13">
        <v>1195040.12</v>
      </c>
      <c r="H733" s="13">
        <v>394105.93999999994</v>
      </c>
      <c r="I733" s="14">
        <v>0.24799856345489094</v>
      </c>
      <c r="J733" s="3" t="s">
        <v>4</v>
      </c>
      <c r="K733" s="3" t="s">
        <v>821</v>
      </c>
      <c r="L733" s="3" t="s">
        <v>821</v>
      </c>
    </row>
    <row r="734" ht="15.75" customHeight="1">
      <c r="A734" s="3">
        <v>5.82836139E8</v>
      </c>
      <c r="B734" s="3" t="s">
        <v>46</v>
      </c>
      <c r="C734" s="3">
        <v>5.0</v>
      </c>
      <c r="D734" s="10">
        <v>3.0</v>
      </c>
      <c r="E734" s="11">
        <v>2014.0</v>
      </c>
      <c r="F734" s="13">
        <v>1966654.2000000002</v>
      </c>
      <c r="G734" s="13">
        <v>1585379.2000000002</v>
      </c>
      <c r="H734" s="13">
        <v>381275.0</v>
      </c>
      <c r="I734" s="14">
        <v>0.19386987300563566</v>
      </c>
      <c r="J734" s="3" t="s">
        <v>7</v>
      </c>
      <c r="K734" s="3" t="s">
        <v>28</v>
      </c>
      <c r="L734" s="3" t="s">
        <v>33</v>
      </c>
    </row>
    <row r="735" ht="15.75" customHeight="1">
      <c r="A735" s="3">
        <v>5.83089339E8</v>
      </c>
      <c r="B735" s="3" t="s">
        <v>300</v>
      </c>
      <c r="C735" s="3">
        <v>35.0</v>
      </c>
      <c r="D735" s="10">
        <v>5.0</v>
      </c>
      <c r="E735" s="11">
        <v>2010.0</v>
      </c>
      <c r="F735" s="13">
        <v>3474865.6</v>
      </c>
      <c r="G735" s="13">
        <v>2092946.8399999999</v>
      </c>
      <c r="H735" s="13">
        <v>1381918.7600000002</v>
      </c>
      <c r="I735" s="14">
        <v>0.3976898444647759</v>
      </c>
      <c r="J735" s="3" t="s">
        <v>12</v>
      </c>
      <c r="K735" s="3" t="s">
        <v>28</v>
      </c>
      <c r="L735" s="3" t="s">
        <v>33</v>
      </c>
    </row>
    <row r="736" ht="15.75" customHeight="1">
      <c r="A736" s="3">
        <v>5.83451974E8</v>
      </c>
      <c r="B736" s="3" t="s">
        <v>821</v>
      </c>
      <c r="C736" s="3">
        <v>25.0</v>
      </c>
      <c r="D736" s="10">
        <v>1.0</v>
      </c>
      <c r="E736" s="11">
        <v>2016.0</v>
      </c>
      <c r="F736" s="13">
        <v>802570.8</v>
      </c>
      <c r="G736" s="13">
        <v>512534.39999999997</v>
      </c>
      <c r="H736" s="13">
        <v>290036.4000000001</v>
      </c>
      <c r="I736" s="14">
        <v>0.3613841918993316</v>
      </c>
      <c r="J736" s="3" t="s">
        <v>13</v>
      </c>
      <c r="K736" s="3" t="s">
        <v>821</v>
      </c>
      <c r="L736" s="3" t="s">
        <v>821</v>
      </c>
    </row>
    <row r="737" ht="15.75" customHeight="1">
      <c r="A737" s="3">
        <v>5.83654105E8</v>
      </c>
      <c r="B737" s="3" t="s">
        <v>578</v>
      </c>
      <c r="C737" s="3">
        <v>12.0</v>
      </c>
      <c r="D737" s="10">
        <v>10.0</v>
      </c>
      <c r="E737" s="11">
        <v>2010.0</v>
      </c>
      <c r="F737" s="13">
        <v>774343.5000000001</v>
      </c>
      <c r="G737" s="13">
        <v>494508.0</v>
      </c>
      <c r="H737" s="13">
        <v>279835.5000000001</v>
      </c>
      <c r="I737" s="14">
        <v>0.3613841918993316</v>
      </c>
      <c r="J737" s="3" t="s">
        <v>13</v>
      </c>
      <c r="K737" s="3" t="s">
        <v>28</v>
      </c>
      <c r="L737" s="3" t="s">
        <v>33</v>
      </c>
    </row>
    <row r="738" ht="15.75" customHeight="1">
      <c r="A738" s="3">
        <v>5.85362994E8</v>
      </c>
      <c r="B738" s="3" t="s">
        <v>650</v>
      </c>
      <c r="C738" s="3">
        <v>50.0</v>
      </c>
      <c r="D738" s="10">
        <v>2.0</v>
      </c>
      <c r="E738" s="11">
        <v>2010.0</v>
      </c>
      <c r="F738" s="13">
        <v>516572.70999999996</v>
      </c>
      <c r="G738" s="13">
        <v>388463.42000000004</v>
      </c>
      <c r="H738" s="13">
        <v>128109.28999999992</v>
      </c>
      <c r="I738" s="14">
        <v>0.24799856345489085</v>
      </c>
      <c r="J738" s="3" t="s">
        <v>4</v>
      </c>
      <c r="K738" s="3" t="s">
        <v>28</v>
      </c>
      <c r="L738" s="3" t="s">
        <v>98</v>
      </c>
    </row>
    <row r="739" ht="15.75" customHeight="1">
      <c r="A739" s="3">
        <v>5.85677134E8</v>
      </c>
      <c r="B739" s="3" t="s">
        <v>221</v>
      </c>
      <c r="C739" s="3">
        <v>21.0</v>
      </c>
      <c r="D739" s="10">
        <v>4.0</v>
      </c>
      <c r="E739" s="11">
        <v>2012.0</v>
      </c>
      <c r="F739" s="13">
        <v>569733.7200000001</v>
      </c>
      <c r="G739" s="13">
        <v>363840.95999999996</v>
      </c>
      <c r="H739" s="13">
        <v>205892.76000000013</v>
      </c>
      <c r="I739" s="14">
        <v>0.3613841918993317</v>
      </c>
      <c r="J739" s="3" t="s">
        <v>13</v>
      </c>
      <c r="K739" s="3" t="s">
        <v>28</v>
      </c>
      <c r="L739" s="3" t="s">
        <v>29</v>
      </c>
    </row>
    <row r="740" ht="15.75" customHeight="1">
      <c r="A740" s="3">
        <v>5.86812674E8</v>
      </c>
      <c r="B740" s="3" t="s">
        <v>593</v>
      </c>
      <c r="C740" s="3">
        <v>16.0</v>
      </c>
      <c r="D740" s="10">
        <v>3.0</v>
      </c>
      <c r="E740" s="11">
        <v>2013.0</v>
      </c>
      <c r="F740" s="13">
        <v>6359716.86</v>
      </c>
      <c r="G740" s="13">
        <v>5126759.36</v>
      </c>
      <c r="H740" s="13">
        <v>1232957.5</v>
      </c>
      <c r="I740" s="14">
        <v>0.19386987300563566</v>
      </c>
      <c r="J740" s="3" t="s">
        <v>7</v>
      </c>
      <c r="K740" s="3" t="s">
        <v>28</v>
      </c>
      <c r="L740" s="3" t="s">
        <v>98</v>
      </c>
    </row>
    <row r="741" ht="15.75" customHeight="1">
      <c r="A741" s="3">
        <v>5.87598884E8</v>
      </c>
      <c r="B741" s="3" t="s">
        <v>300</v>
      </c>
      <c r="C741" s="3">
        <v>39.0</v>
      </c>
      <c r="D741" s="10">
        <v>5.0</v>
      </c>
      <c r="E741" s="11">
        <v>2015.0</v>
      </c>
      <c r="F741" s="13">
        <v>498205.39999999997</v>
      </c>
      <c r="G741" s="13">
        <v>283640.42</v>
      </c>
      <c r="H741" s="13">
        <v>214564.97999999998</v>
      </c>
      <c r="I741" s="14">
        <v>0.4306757413709285</v>
      </c>
      <c r="J741" s="3" t="s">
        <v>3</v>
      </c>
      <c r="K741" s="3" t="s">
        <v>28</v>
      </c>
      <c r="L741" s="3" t="s">
        <v>33</v>
      </c>
    </row>
    <row r="742" ht="15.75" customHeight="1">
      <c r="A742" s="3">
        <v>5.87799727E8</v>
      </c>
      <c r="B742" s="3" t="s">
        <v>623</v>
      </c>
      <c r="C742" s="3">
        <v>40.0</v>
      </c>
      <c r="D742" s="10">
        <v>2.0</v>
      </c>
      <c r="E742" s="11">
        <v>2011.0</v>
      </c>
      <c r="F742" s="13">
        <v>473799.68</v>
      </c>
      <c r="G742" s="13">
        <v>295883.51999999996</v>
      </c>
      <c r="H742" s="13">
        <v>177916.16000000003</v>
      </c>
      <c r="I742" s="14">
        <v>0.3755092447508619</v>
      </c>
      <c r="J742" s="3" t="s">
        <v>10</v>
      </c>
      <c r="K742" s="3" t="s">
        <v>28</v>
      </c>
      <c r="L742" s="3" t="s">
        <v>33</v>
      </c>
    </row>
    <row r="743" ht="15.75" customHeight="1">
      <c r="A743" s="3">
        <v>5.87846076E8</v>
      </c>
      <c r="B743" s="3" t="s">
        <v>686</v>
      </c>
      <c r="C743" s="3">
        <v>28.0</v>
      </c>
      <c r="D743" s="10">
        <v>4.0</v>
      </c>
      <c r="E743" s="11">
        <v>2011.0</v>
      </c>
      <c r="F743" s="13">
        <v>455399.56</v>
      </c>
      <c r="G743" s="13">
        <v>315765.24</v>
      </c>
      <c r="H743" s="13">
        <v>139634.32</v>
      </c>
      <c r="I743" s="14">
        <v>0.3066193564174722</v>
      </c>
      <c r="J743" s="3" t="s">
        <v>14</v>
      </c>
      <c r="K743" s="3" t="s">
        <v>28</v>
      </c>
      <c r="L743" s="3" t="s">
        <v>29</v>
      </c>
    </row>
    <row r="744" ht="15.75" customHeight="1">
      <c r="A744" s="3">
        <v>5.88528859E8</v>
      </c>
      <c r="B744" s="3" t="s">
        <v>300</v>
      </c>
      <c r="C744" s="3">
        <v>31.0</v>
      </c>
      <c r="D744" s="10">
        <v>9.0</v>
      </c>
      <c r="E744" s="11">
        <v>2011.0</v>
      </c>
      <c r="F744" s="13">
        <v>623027.79</v>
      </c>
      <c r="G744" s="13">
        <v>431995.41000000003</v>
      </c>
      <c r="H744" s="13">
        <v>191032.38</v>
      </c>
      <c r="I744" s="14">
        <v>0.3066193564174722</v>
      </c>
      <c r="J744" s="3" t="s">
        <v>14</v>
      </c>
      <c r="K744" s="3" t="s">
        <v>28</v>
      </c>
      <c r="L744" s="3" t="s">
        <v>33</v>
      </c>
    </row>
    <row r="745" ht="15.75" customHeight="1">
      <c r="A745" s="3">
        <v>5.89842927E8</v>
      </c>
      <c r="B745" s="3" t="s">
        <v>373</v>
      </c>
      <c r="C745" s="3">
        <v>49.0</v>
      </c>
      <c r="D745" s="10">
        <v>6.0</v>
      </c>
      <c r="E745" s="11">
        <v>2016.0</v>
      </c>
      <c r="F745" s="13">
        <v>530019.05</v>
      </c>
      <c r="G745" s="13">
        <v>367504.95</v>
      </c>
      <c r="H745" s="13">
        <v>162514.10000000003</v>
      </c>
      <c r="I745" s="14">
        <v>0.3066193564174722</v>
      </c>
      <c r="J745" s="3" t="s">
        <v>14</v>
      </c>
      <c r="K745" s="3" t="s">
        <v>28</v>
      </c>
      <c r="L745" s="3" t="s">
        <v>33</v>
      </c>
    </row>
    <row r="746" ht="15.75" customHeight="1">
      <c r="A746" s="3">
        <v>5.91287887E8</v>
      </c>
      <c r="B746" s="3" t="s">
        <v>267</v>
      </c>
      <c r="C746" s="3">
        <v>12.0</v>
      </c>
      <c r="D746" s="10">
        <v>9.0</v>
      </c>
      <c r="E746" s="11">
        <v>2010.0</v>
      </c>
      <c r="F746" s="13">
        <v>38066.4</v>
      </c>
      <c r="G746" s="13">
        <v>28233.6</v>
      </c>
      <c r="H746" s="13">
        <v>9832.800000000003</v>
      </c>
      <c r="I746" s="14">
        <v>0.25830653804930337</v>
      </c>
      <c r="J746" s="3" t="s">
        <v>8</v>
      </c>
      <c r="K746" s="3" t="s">
        <v>28</v>
      </c>
      <c r="L746" s="3" t="s">
        <v>29</v>
      </c>
    </row>
    <row r="747" ht="15.75" customHeight="1">
      <c r="A747" s="3">
        <v>5.91774117E8</v>
      </c>
      <c r="B747" s="3" t="s">
        <v>623</v>
      </c>
      <c r="C747" s="3">
        <v>22.0</v>
      </c>
      <c r="D747" s="10">
        <v>5.0</v>
      </c>
      <c r="E747" s="11">
        <v>2014.0</v>
      </c>
      <c r="F747" s="13">
        <v>1638811.9</v>
      </c>
      <c r="G747" s="13">
        <v>933015.37</v>
      </c>
      <c r="H747" s="13">
        <v>705796.5299999999</v>
      </c>
      <c r="I747" s="14">
        <v>0.4306757413709285</v>
      </c>
      <c r="J747" s="3" t="s">
        <v>3</v>
      </c>
      <c r="K747" s="3" t="s">
        <v>28</v>
      </c>
      <c r="L747" s="3" t="s">
        <v>33</v>
      </c>
    </row>
    <row r="748" ht="15.75" customHeight="1">
      <c r="A748" s="3">
        <v>5.93018233E8</v>
      </c>
      <c r="B748" s="3" t="s">
        <v>215</v>
      </c>
      <c r="C748" s="3">
        <v>36.0</v>
      </c>
      <c r="D748" s="10">
        <v>11.0</v>
      </c>
      <c r="E748" s="11">
        <v>2012.0</v>
      </c>
      <c r="F748" s="13">
        <v>935010.2400000001</v>
      </c>
      <c r="G748" s="13">
        <v>597112.32</v>
      </c>
      <c r="H748" s="13">
        <v>337897.92000000016</v>
      </c>
      <c r="I748" s="14">
        <v>0.36138419189933163</v>
      </c>
      <c r="J748" s="3" t="s">
        <v>13</v>
      </c>
      <c r="K748" s="3" t="s">
        <v>23</v>
      </c>
      <c r="L748" s="3" t="s">
        <v>68</v>
      </c>
    </row>
    <row r="749" ht="15.75" customHeight="1">
      <c r="A749" s="3">
        <v>5.93158566E8</v>
      </c>
      <c r="B749" s="3" t="s">
        <v>215</v>
      </c>
      <c r="C749" s="3">
        <v>39.0</v>
      </c>
      <c r="D749" s="10">
        <v>5.0</v>
      </c>
      <c r="E749" s="11">
        <v>2012.0</v>
      </c>
      <c r="F749" s="13">
        <v>836647.68</v>
      </c>
      <c r="G749" s="13">
        <v>274391.04000000004</v>
      </c>
      <c r="H749" s="13">
        <v>562256.64</v>
      </c>
      <c r="I749" s="14">
        <v>0.6720351390922401</v>
      </c>
      <c r="J749" s="3" t="s">
        <v>5</v>
      </c>
      <c r="K749" s="3" t="s">
        <v>23</v>
      </c>
      <c r="L749" s="3" t="s">
        <v>68</v>
      </c>
    </row>
    <row r="750" ht="15.75" customHeight="1">
      <c r="A750" s="3">
        <v>5.94699656E8</v>
      </c>
      <c r="B750" s="3" t="s">
        <v>488</v>
      </c>
      <c r="C750" s="3">
        <v>46.0</v>
      </c>
      <c r="D750" s="10">
        <v>11.0</v>
      </c>
      <c r="E750" s="11">
        <v>2016.0</v>
      </c>
      <c r="F750" s="13">
        <v>302319.27</v>
      </c>
      <c r="G750" s="13">
        <v>209622.33000000002</v>
      </c>
      <c r="H750" s="13">
        <v>92696.94</v>
      </c>
      <c r="I750" s="14">
        <v>0.3066193564174722</v>
      </c>
      <c r="J750" s="3" t="s">
        <v>14</v>
      </c>
      <c r="K750" s="3" t="s">
        <v>28</v>
      </c>
      <c r="L750" s="3" t="s">
        <v>33</v>
      </c>
    </row>
    <row r="751" ht="15.75" customHeight="1">
      <c r="A751" s="3">
        <v>5.94813811E8</v>
      </c>
      <c r="B751" s="3" t="s">
        <v>542</v>
      </c>
      <c r="C751" s="3">
        <v>9.0</v>
      </c>
      <c r="D751" s="10">
        <v>6.0</v>
      </c>
      <c r="E751" s="11">
        <v>2012.0</v>
      </c>
      <c r="F751" s="13">
        <v>611340.4</v>
      </c>
      <c r="G751" s="13">
        <v>423891.60000000003</v>
      </c>
      <c r="H751" s="13">
        <v>187448.8</v>
      </c>
      <c r="I751" s="14">
        <v>0.3066193564174721</v>
      </c>
      <c r="J751" s="3" t="s">
        <v>14</v>
      </c>
      <c r="K751" s="3" t="s">
        <v>28</v>
      </c>
      <c r="L751" s="3" t="s">
        <v>29</v>
      </c>
    </row>
    <row r="752" ht="15.75" customHeight="1">
      <c r="A752" s="3">
        <v>5.94991052E8</v>
      </c>
      <c r="B752" s="3" t="s">
        <v>434</v>
      </c>
      <c r="C752" s="3">
        <v>45.0</v>
      </c>
      <c r="D752" s="10">
        <v>4.0</v>
      </c>
      <c r="E752" s="11">
        <v>2017.0</v>
      </c>
      <c r="F752" s="13">
        <v>1514966.82</v>
      </c>
      <c r="G752" s="13">
        <v>967481.76</v>
      </c>
      <c r="H752" s="13">
        <v>547485.06</v>
      </c>
      <c r="I752" s="14">
        <v>0.3613841918993315</v>
      </c>
      <c r="J752" s="3" t="s">
        <v>13</v>
      </c>
      <c r="K752" s="3" t="s">
        <v>28</v>
      </c>
      <c r="L752" s="3" t="s">
        <v>79</v>
      </c>
    </row>
    <row r="753" ht="15.75" customHeight="1">
      <c r="A753" s="3">
        <v>5.95385873E8</v>
      </c>
      <c r="B753" s="3" t="s">
        <v>434</v>
      </c>
      <c r="C753" s="3">
        <v>14.0</v>
      </c>
      <c r="D753" s="10">
        <v>12.0</v>
      </c>
      <c r="E753" s="11">
        <v>2011.0</v>
      </c>
      <c r="F753" s="13">
        <v>552903.4500000001</v>
      </c>
      <c r="G753" s="13">
        <v>383372.55</v>
      </c>
      <c r="H753" s="13">
        <v>169530.90000000008</v>
      </c>
      <c r="I753" s="14">
        <v>0.3066193564174723</v>
      </c>
      <c r="J753" s="3" t="s">
        <v>14</v>
      </c>
      <c r="K753" s="3" t="s">
        <v>28</v>
      </c>
      <c r="L753" s="3" t="s">
        <v>79</v>
      </c>
    </row>
    <row r="754" ht="15.75" customHeight="1">
      <c r="A754" s="3">
        <v>5.95395314E8</v>
      </c>
      <c r="B754" s="3" t="s">
        <v>623</v>
      </c>
      <c r="C754" s="3">
        <v>20.0</v>
      </c>
      <c r="D754" s="10">
        <v>5.0</v>
      </c>
      <c r="E754" s="11">
        <v>2014.0</v>
      </c>
      <c r="F754" s="13">
        <v>453574.55000000005</v>
      </c>
      <c r="G754" s="13">
        <v>303880.61</v>
      </c>
      <c r="H754" s="13">
        <v>149693.94000000006</v>
      </c>
      <c r="I754" s="14">
        <v>0.33003161222339317</v>
      </c>
      <c r="J754" s="3" t="s">
        <v>6</v>
      </c>
      <c r="K754" s="3" t="s">
        <v>28</v>
      </c>
      <c r="L754" s="3" t="s">
        <v>33</v>
      </c>
    </row>
    <row r="755" ht="15.75" customHeight="1">
      <c r="A755" s="3">
        <v>5.95496594E8</v>
      </c>
      <c r="B755" s="3" t="s">
        <v>142</v>
      </c>
      <c r="C755" s="3">
        <v>11.0</v>
      </c>
      <c r="D755" s="10">
        <v>10.0</v>
      </c>
      <c r="E755" s="11">
        <v>2012.0</v>
      </c>
      <c r="F755" s="13">
        <v>778886.9</v>
      </c>
      <c r="G755" s="13">
        <v>540065.1</v>
      </c>
      <c r="H755" s="13">
        <v>238821.80000000005</v>
      </c>
      <c r="I755" s="14">
        <v>0.30661935641747223</v>
      </c>
      <c r="J755" s="3" t="s">
        <v>14</v>
      </c>
      <c r="K755" s="3" t="s">
        <v>28</v>
      </c>
      <c r="L755" s="3" t="s">
        <v>98</v>
      </c>
    </row>
    <row r="756" ht="15.75" customHeight="1">
      <c r="A756" s="3">
        <v>5.95922315E8</v>
      </c>
      <c r="B756" s="3" t="s">
        <v>221</v>
      </c>
      <c r="C756" s="3">
        <v>23.0</v>
      </c>
      <c r="D756" s="10">
        <v>8.0</v>
      </c>
      <c r="E756" s="11">
        <v>2012.0</v>
      </c>
      <c r="F756" s="13">
        <v>2324613.9</v>
      </c>
      <c r="G756" s="13">
        <v>2009441.9</v>
      </c>
      <c r="H756" s="13">
        <v>315172.0</v>
      </c>
      <c r="I756" s="14">
        <v>0.1355803645500012</v>
      </c>
      <c r="J756" s="3" t="s">
        <v>11</v>
      </c>
      <c r="K756" s="3" t="s">
        <v>28</v>
      </c>
      <c r="L756" s="3" t="s">
        <v>29</v>
      </c>
    </row>
    <row r="757" ht="15.75" customHeight="1">
      <c r="A757" s="3">
        <v>5.96166074E8</v>
      </c>
      <c r="B757" s="3" t="s">
        <v>291</v>
      </c>
      <c r="C757" s="3">
        <v>47.0</v>
      </c>
      <c r="D757" s="10">
        <v>11.0</v>
      </c>
      <c r="E757" s="11">
        <v>2013.0</v>
      </c>
      <c r="F757" s="13">
        <v>1951360.32</v>
      </c>
      <c r="G757" s="13">
        <v>1218606.48</v>
      </c>
      <c r="H757" s="13">
        <v>732753.8400000001</v>
      </c>
      <c r="I757" s="14">
        <v>0.37550924475086184</v>
      </c>
      <c r="J757" s="3" t="s">
        <v>10</v>
      </c>
      <c r="K757" s="3" t="s">
        <v>28</v>
      </c>
      <c r="L757" s="3" t="s">
        <v>79</v>
      </c>
    </row>
    <row r="758" ht="15.75" customHeight="1">
      <c r="A758" s="3">
        <v>5.97105491E8</v>
      </c>
      <c r="B758" s="3" t="s">
        <v>536</v>
      </c>
      <c r="C758" s="3">
        <v>44.0</v>
      </c>
      <c r="D758" s="10">
        <v>9.0</v>
      </c>
      <c r="E758" s="11">
        <v>2012.0</v>
      </c>
      <c r="F758" s="13">
        <v>860398.6200000001</v>
      </c>
      <c r="G758" s="13">
        <v>549464.16</v>
      </c>
      <c r="H758" s="13">
        <v>310934.4600000001</v>
      </c>
      <c r="I758" s="14">
        <v>0.3613841918993315</v>
      </c>
      <c r="J758" s="3" t="s">
        <v>13</v>
      </c>
      <c r="K758" s="3" t="s">
        <v>28</v>
      </c>
      <c r="L758" s="3" t="s">
        <v>33</v>
      </c>
    </row>
    <row r="759" ht="15.75" customHeight="1">
      <c r="A759" s="3">
        <v>5.97839343E8</v>
      </c>
      <c r="B759" s="3" t="s">
        <v>221</v>
      </c>
      <c r="C759" s="3">
        <v>38.0</v>
      </c>
      <c r="D759" s="10">
        <v>6.0</v>
      </c>
      <c r="E759" s="11">
        <v>2014.0</v>
      </c>
      <c r="F759" s="13">
        <v>229007.46000000002</v>
      </c>
      <c r="G759" s="13">
        <v>158789.34</v>
      </c>
      <c r="H759" s="13">
        <v>70218.12000000002</v>
      </c>
      <c r="I759" s="14">
        <v>0.30661935641747223</v>
      </c>
      <c r="J759" s="3" t="s">
        <v>14</v>
      </c>
      <c r="K759" s="3" t="s">
        <v>28</v>
      </c>
      <c r="L759" s="3" t="s">
        <v>29</v>
      </c>
    </row>
    <row r="760" ht="15.75" customHeight="1">
      <c r="A760" s="3">
        <v>5.98404109E8</v>
      </c>
      <c r="B760" s="3" t="s">
        <v>821</v>
      </c>
      <c r="C760" s="3">
        <v>15.0</v>
      </c>
      <c r="D760" s="10">
        <v>11.0</v>
      </c>
      <c r="E760" s="11">
        <v>2014.0</v>
      </c>
      <c r="F760" s="13">
        <v>92637.57</v>
      </c>
      <c r="G760" s="13">
        <v>68708.68</v>
      </c>
      <c r="H760" s="13">
        <v>23928.890000000014</v>
      </c>
      <c r="I760" s="14">
        <v>0.2583065380493035</v>
      </c>
      <c r="J760" s="3" t="s">
        <v>8</v>
      </c>
      <c r="K760" s="3" t="s">
        <v>821</v>
      </c>
      <c r="L760" s="3" t="s">
        <v>821</v>
      </c>
    </row>
    <row r="761" ht="15.75" customHeight="1">
      <c r="A761" s="3">
        <v>5.99624192E8</v>
      </c>
      <c r="B761" s="3" t="s">
        <v>635</v>
      </c>
      <c r="C761" s="3">
        <v>18.0</v>
      </c>
      <c r="D761" s="10">
        <v>9.0</v>
      </c>
      <c r="E761" s="11">
        <v>2012.0</v>
      </c>
      <c r="F761" s="13">
        <v>46406.100000000006</v>
      </c>
      <c r="G761" s="13">
        <v>31090.62</v>
      </c>
      <c r="H761" s="13">
        <v>15315.480000000007</v>
      </c>
      <c r="I761" s="14">
        <v>0.33003161222339317</v>
      </c>
      <c r="J761" s="3" t="s">
        <v>6</v>
      </c>
      <c r="K761" s="3" t="s">
        <v>28</v>
      </c>
      <c r="L761" s="3" t="s">
        <v>33</v>
      </c>
    </row>
    <row r="762" ht="15.75" customHeight="1">
      <c r="A762" s="3">
        <v>5.99997556E8</v>
      </c>
      <c r="B762" s="3" t="s">
        <v>821</v>
      </c>
      <c r="C762" s="3">
        <v>1.0</v>
      </c>
      <c r="D762" s="10">
        <v>2.0</v>
      </c>
      <c r="E762" s="11">
        <v>2012.0</v>
      </c>
      <c r="F762" s="13">
        <v>69514.25</v>
      </c>
      <c r="G762" s="13">
        <v>46572.35</v>
      </c>
      <c r="H762" s="13">
        <v>22941.9</v>
      </c>
      <c r="I762" s="14">
        <v>0.33003161222339306</v>
      </c>
      <c r="J762" s="3" t="s">
        <v>6</v>
      </c>
      <c r="K762" s="3" t="s">
        <v>821</v>
      </c>
      <c r="L762" s="3" t="s">
        <v>821</v>
      </c>
    </row>
    <row r="763" ht="15.75" customHeight="1">
      <c r="A763" s="3">
        <v>6.00515115E8</v>
      </c>
      <c r="B763" s="3" t="s">
        <v>215</v>
      </c>
      <c r="C763" s="3">
        <v>49.0</v>
      </c>
      <c r="D763" s="10">
        <v>7.0</v>
      </c>
      <c r="E763" s="11">
        <v>2015.0</v>
      </c>
      <c r="F763" s="13">
        <v>43123.26</v>
      </c>
      <c r="G763" s="13">
        <v>31984.239999999998</v>
      </c>
      <c r="H763" s="13">
        <v>11139.020000000004</v>
      </c>
      <c r="I763" s="14">
        <v>0.2583065380493034</v>
      </c>
      <c r="J763" s="3" t="s">
        <v>8</v>
      </c>
      <c r="K763" s="3" t="s">
        <v>23</v>
      </c>
      <c r="L763" s="3" t="s">
        <v>68</v>
      </c>
    </row>
    <row r="764" ht="15.75" customHeight="1">
      <c r="A764" s="3">
        <v>6.01422345E8</v>
      </c>
      <c r="B764" s="3" t="s">
        <v>512</v>
      </c>
      <c r="C764" s="3">
        <v>16.0</v>
      </c>
      <c r="D764" s="10">
        <v>3.0</v>
      </c>
      <c r="E764" s="11">
        <v>2010.0</v>
      </c>
      <c r="F764" s="13">
        <v>146715.40000000002</v>
      </c>
      <c r="G764" s="13">
        <v>98294.68</v>
      </c>
      <c r="H764" s="13">
        <v>48420.72000000003</v>
      </c>
      <c r="I764" s="14">
        <v>0.3300316122233932</v>
      </c>
      <c r="J764" s="3" t="s">
        <v>6</v>
      </c>
      <c r="K764" s="3" t="s">
        <v>28</v>
      </c>
      <c r="L764" s="3" t="s">
        <v>79</v>
      </c>
    </row>
    <row r="765" ht="15.75" customHeight="1">
      <c r="A765" s="3">
        <v>6.01588857E8</v>
      </c>
      <c r="B765" s="3" t="s">
        <v>821</v>
      </c>
      <c r="C765" s="3">
        <v>9.0</v>
      </c>
      <c r="D765" s="10">
        <v>9.0</v>
      </c>
      <c r="E765" s="11">
        <v>2013.0</v>
      </c>
      <c r="F765" s="13">
        <v>258556.48</v>
      </c>
      <c r="G765" s="13">
        <v>84797.44</v>
      </c>
      <c r="H765" s="13">
        <v>173759.04</v>
      </c>
      <c r="I765" s="14">
        <v>0.6720351390922401</v>
      </c>
      <c r="J765" s="3" t="s">
        <v>5</v>
      </c>
      <c r="K765" s="3" t="s">
        <v>821</v>
      </c>
      <c r="L765" s="3" t="s">
        <v>821</v>
      </c>
    </row>
    <row r="766" ht="15.75" customHeight="1">
      <c r="A766" s="3">
        <v>6.0188626E8</v>
      </c>
      <c r="B766" s="3" t="s">
        <v>270</v>
      </c>
      <c r="C766" s="3">
        <v>48.0</v>
      </c>
      <c r="D766" s="10">
        <v>4.0</v>
      </c>
      <c r="E766" s="11">
        <v>2014.0</v>
      </c>
      <c r="F766" s="13">
        <v>3489.42</v>
      </c>
      <c r="G766" s="13">
        <v>2588.08</v>
      </c>
      <c r="H766" s="13">
        <v>901.3400000000001</v>
      </c>
      <c r="I766" s="14">
        <v>0.25830653804930337</v>
      </c>
      <c r="J766" s="3" t="s">
        <v>8</v>
      </c>
      <c r="K766" s="3" t="s">
        <v>28</v>
      </c>
      <c r="L766" s="3" t="s">
        <v>79</v>
      </c>
    </row>
    <row r="767" ht="15.75" customHeight="1">
      <c r="A767" s="3">
        <v>6.01894414E8</v>
      </c>
      <c r="B767" s="3" t="s">
        <v>650</v>
      </c>
      <c r="C767" s="3">
        <v>17.0</v>
      </c>
      <c r="D767" s="10">
        <v>3.0</v>
      </c>
      <c r="E767" s="11">
        <v>2010.0</v>
      </c>
      <c r="F767" s="13">
        <v>1814922.27</v>
      </c>
      <c r="G767" s="13">
        <v>1463063.52</v>
      </c>
      <c r="H767" s="13">
        <v>351858.75</v>
      </c>
      <c r="I767" s="14">
        <v>0.19386987300563566</v>
      </c>
      <c r="J767" s="3" t="s">
        <v>7</v>
      </c>
      <c r="K767" s="3" t="s">
        <v>28</v>
      </c>
      <c r="L767" s="3" t="s">
        <v>98</v>
      </c>
    </row>
    <row r="768" ht="15.75" customHeight="1">
      <c r="A768" s="3">
        <v>6.02264344E8</v>
      </c>
      <c r="B768" s="3" t="s">
        <v>455</v>
      </c>
      <c r="C768" s="3">
        <v>34.0</v>
      </c>
      <c r="D768" s="10">
        <v>12.0</v>
      </c>
      <c r="E768" s="11">
        <v>2014.0</v>
      </c>
      <c r="F768" s="13">
        <v>1470432.1800000002</v>
      </c>
      <c r="G768" s="13">
        <v>1185359.6800000002</v>
      </c>
      <c r="H768" s="13">
        <v>285072.5</v>
      </c>
      <c r="I768" s="14">
        <v>0.19386987300563563</v>
      </c>
      <c r="J768" s="3" t="s">
        <v>7</v>
      </c>
      <c r="K768" s="3" t="s">
        <v>28</v>
      </c>
      <c r="L768" s="3" t="s">
        <v>33</v>
      </c>
    </row>
    <row r="769" ht="15.75" customHeight="1">
      <c r="A769" s="3">
        <v>6.02301251E8</v>
      </c>
      <c r="B769" s="3" t="s">
        <v>373</v>
      </c>
      <c r="C769" s="3">
        <v>16.0</v>
      </c>
      <c r="D769" s="10">
        <v>9.0</v>
      </c>
      <c r="E769" s="11">
        <v>2012.0</v>
      </c>
      <c r="F769" s="13">
        <v>347510.4</v>
      </c>
      <c r="G769" s="13">
        <v>113971.20000000001</v>
      </c>
      <c r="H769" s="13">
        <v>233539.2</v>
      </c>
      <c r="I769" s="14">
        <v>0.6720351390922401</v>
      </c>
      <c r="J769" s="3" t="s">
        <v>5</v>
      </c>
      <c r="K769" s="3" t="s">
        <v>28</v>
      </c>
      <c r="L769" s="3" t="s">
        <v>33</v>
      </c>
    </row>
    <row r="770" ht="15.75" customHeight="1">
      <c r="A770" s="3">
        <v>6.02357041E8</v>
      </c>
      <c r="B770" s="3" t="s">
        <v>593</v>
      </c>
      <c r="C770" s="3">
        <v>11.0</v>
      </c>
      <c r="D770" s="10">
        <v>4.0</v>
      </c>
      <c r="E770" s="11">
        <v>2015.0</v>
      </c>
      <c r="F770" s="13">
        <v>791881.9700000001</v>
      </c>
      <c r="G770" s="13">
        <v>549075.63</v>
      </c>
      <c r="H770" s="13">
        <v>242806.34000000008</v>
      </c>
      <c r="I770" s="14">
        <v>0.30661935641747223</v>
      </c>
      <c r="J770" s="3" t="s">
        <v>14</v>
      </c>
      <c r="K770" s="3" t="s">
        <v>28</v>
      </c>
      <c r="L770" s="3" t="s">
        <v>98</v>
      </c>
    </row>
    <row r="771" ht="15.75" customHeight="1">
      <c r="A771" s="3">
        <v>6.04124295E8</v>
      </c>
      <c r="B771" s="3" t="s">
        <v>536</v>
      </c>
      <c r="C771" s="3">
        <v>17.0</v>
      </c>
      <c r="D771" s="10">
        <v>3.0</v>
      </c>
      <c r="E771" s="11">
        <v>2015.0</v>
      </c>
      <c r="F771" s="13">
        <v>1121805.51</v>
      </c>
      <c r="G771" s="13">
        <v>969710.71</v>
      </c>
      <c r="H771" s="13">
        <v>152094.80000000005</v>
      </c>
      <c r="I771" s="14">
        <v>0.13558036455000122</v>
      </c>
      <c r="J771" s="3" t="s">
        <v>11</v>
      </c>
      <c r="K771" s="3" t="s">
        <v>28</v>
      </c>
      <c r="L771" s="3" t="s">
        <v>33</v>
      </c>
    </row>
    <row r="772" ht="15.75" customHeight="1">
      <c r="A772" s="3">
        <v>6.04494225E8</v>
      </c>
      <c r="B772" s="3" t="s">
        <v>288</v>
      </c>
      <c r="C772" s="3">
        <v>34.0</v>
      </c>
      <c r="D772" s="10">
        <v>5.0</v>
      </c>
      <c r="E772" s="11">
        <v>2012.0</v>
      </c>
      <c r="F772" s="13">
        <v>174003.17</v>
      </c>
      <c r="G772" s="13">
        <v>120650.43000000001</v>
      </c>
      <c r="H772" s="13">
        <v>53352.740000000005</v>
      </c>
      <c r="I772" s="14">
        <v>0.3066193564174722</v>
      </c>
      <c r="J772" s="3" t="s">
        <v>14</v>
      </c>
      <c r="K772" s="3" t="s">
        <v>23</v>
      </c>
      <c r="L772" s="3" t="s">
        <v>68</v>
      </c>
    </row>
    <row r="773" ht="15.75" customHeight="1">
      <c r="A773" s="3">
        <v>6.0502938E8</v>
      </c>
      <c r="B773" s="3" t="s">
        <v>270</v>
      </c>
      <c r="C773" s="3">
        <v>6.0</v>
      </c>
      <c r="D773" s="10">
        <v>2.0</v>
      </c>
      <c r="E773" s="11">
        <v>2014.0</v>
      </c>
      <c r="F773" s="13">
        <v>4599.69</v>
      </c>
      <c r="G773" s="13">
        <v>3411.56</v>
      </c>
      <c r="H773" s="13">
        <v>1188.1299999999997</v>
      </c>
      <c r="I773" s="14">
        <v>0.25830653804930326</v>
      </c>
      <c r="J773" s="3" t="s">
        <v>8</v>
      </c>
      <c r="K773" s="3" t="s">
        <v>28</v>
      </c>
      <c r="L773" s="3" t="s">
        <v>79</v>
      </c>
    </row>
    <row r="774" ht="15.75" customHeight="1">
      <c r="A774" s="3">
        <v>6.06118571E8</v>
      </c>
      <c r="B774" s="3" t="s">
        <v>590</v>
      </c>
      <c r="C774" s="3">
        <v>12.0</v>
      </c>
      <c r="D774" s="10">
        <v>11.0</v>
      </c>
      <c r="E774" s="11">
        <v>2014.0</v>
      </c>
      <c r="F774" s="13">
        <v>432754.54</v>
      </c>
      <c r="G774" s="13">
        <v>255422.37000000002</v>
      </c>
      <c r="H774" s="13">
        <v>177332.16999999995</v>
      </c>
      <c r="I774" s="14">
        <v>0.4097754121770738</v>
      </c>
      <c r="J774" s="3" t="s">
        <v>9</v>
      </c>
      <c r="K774" s="3" t="s">
        <v>28</v>
      </c>
      <c r="L774" s="3" t="s">
        <v>98</v>
      </c>
    </row>
    <row r="775" ht="15.75" customHeight="1">
      <c r="A775" s="3">
        <v>6.06224572E8</v>
      </c>
      <c r="B775" s="3" t="s">
        <v>221</v>
      </c>
      <c r="C775" s="3">
        <v>7.0</v>
      </c>
      <c r="D775" s="10">
        <v>7.0</v>
      </c>
      <c r="E775" s="11">
        <v>2014.0</v>
      </c>
      <c r="F775" s="13">
        <v>1826184.4</v>
      </c>
      <c r="G775" s="13">
        <v>1099929.41</v>
      </c>
      <c r="H775" s="13">
        <v>726254.99</v>
      </c>
      <c r="I775" s="14">
        <v>0.39768984446477584</v>
      </c>
      <c r="J775" s="3" t="s">
        <v>12</v>
      </c>
      <c r="K775" s="3" t="s">
        <v>28</v>
      </c>
      <c r="L775" s="3" t="s">
        <v>29</v>
      </c>
    </row>
    <row r="776" ht="15.75" customHeight="1">
      <c r="A776" s="3">
        <v>6.07620608E8</v>
      </c>
      <c r="B776" s="3" t="s">
        <v>821</v>
      </c>
      <c r="C776" s="3">
        <v>8.0</v>
      </c>
      <c r="D776" s="10">
        <v>9.0</v>
      </c>
      <c r="E776" s="11">
        <v>2010.0</v>
      </c>
      <c r="F776" s="13">
        <v>346195.2</v>
      </c>
      <c r="G776" s="13">
        <v>231939.84</v>
      </c>
      <c r="H776" s="13">
        <v>114255.36000000002</v>
      </c>
      <c r="I776" s="14">
        <v>0.33003161222339306</v>
      </c>
      <c r="J776" s="3" t="s">
        <v>6</v>
      </c>
      <c r="K776" s="3" t="s">
        <v>821</v>
      </c>
      <c r="L776" s="3" t="s">
        <v>821</v>
      </c>
    </row>
    <row r="777" ht="15.75" customHeight="1">
      <c r="A777" s="3">
        <v>6.07756221E8</v>
      </c>
      <c r="B777" s="3" t="s">
        <v>413</v>
      </c>
      <c r="C777" s="3">
        <v>8.0</v>
      </c>
      <c r="D777" s="10">
        <v>8.0</v>
      </c>
      <c r="E777" s="11">
        <v>2016.0</v>
      </c>
      <c r="F777" s="13">
        <v>4962573.02</v>
      </c>
      <c r="G777" s="13">
        <v>3731862.04</v>
      </c>
      <c r="H777" s="13">
        <v>1230710.9799999995</v>
      </c>
      <c r="I777" s="14">
        <v>0.2479985634548909</v>
      </c>
      <c r="J777" s="3" t="s">
        <v>4</v>
      </c>
      <c r="K777" s="3" t="s">
        <v>28</v>
      </c>
      <c r="L777" s="3" t="s">
        <v>29</v>
      </c>
    </row>
    <row r="778" ht="15.75" customHeight="1">
      <c r="A778" s="3">
        <v>6.08374631E8</v>
      </c>
      <c r="B778" s="3" t="s">
        <v>373</v>
      </c>
      <c r="C778" s="3">
        <v>1.0</v>
      </c>
      <c r="D778" s="10">
        <v>4.0</v>
      </c>
      <c r="E778" s="11">
        <v>2016.0</v>
      </c>
      <c r="F778" s="13">
        <v>65937.68000000001</v>
      </c>
      <c r="G778" s="13">
        <v>38918.04</v>
      </c>
      <c r="H778" s="13">
        <v>27019.640000000007</v>
      </c>
      <c r="I778" s="14">
        <v>0.4097754121770739</v>
      </c>
      <c r="J778" s="3" t="s">
        <v>9</v>
      </c>
      <c r="K778" s="3" t="s">
        <v>28</v>
      </c>
      <c r="L778" s="3" t="s">
        <v>33</v>
      </c>
    </row>
    <row r="779" ht="15.75" customHeight="1">
      <c r="A779" s="3">
        <v>6.08451879E8</v>
      </c>
      <c r="B779" s="3" t="s">
        <v>821</v>
      </c>
      <c r="C779" s="3">
        <v>33.0</v>
      </c>
      <c r="D779" s="10">
        <v>1.0</v>
      </c>
      <c r="E779" s="11">
        <v>2014.0</v>
      </c>
      <c r="F779" s="13">
        <v>839105.36</v>
      </c>
      <c r="G779" s="13">
        <v>524013.54</v>
      </c>
      <c r="H779" s="13">
        <v>315091.82</v>
      </c>
      <c r="I779" s="14">
        <v>0.37550924475086184</v>
      </c>
      <c r="J779" s="3" t="s">
        <v>10</v>
      </c>
      <c r="K779" s="3" t="s">
        <v>821</v>
      </c>
      <c r="L779" s="3" t="s">
        <v>821</v>
      </c>
    </row>
    <row r="780" ht="15.75" customHeight="1">
      <c r="A780" s="3">
        <v>6.09939754E8</v>
      </c>
      <c r="B780" s="3" t="s">
        <v>101</v>
      </c>
      <c r="C780" s="3">
        <v>20.0</v>
      </c>
      <c r="D780" s="10">
        <v>11.0</v>
      </c>
      <c r="E780" s="11">
        <v>2013.0</v>
      </c>
      <c r="F780" s="13">
        <v>33420.06</v>
      </c>
      <c r="G780" s="13">
        <v>24787.44</v>
      </c>
      <c r="H780" s="13">
        <v>8632.619999999999</v>
      </c>
      <c r="I780" s="14">
        <v>0.2583065380493033</v>
      </c>
      <c r="J780" s="3" t="s">
        <v>8</v>
      </c>
      <c r="K780" s="3" t="s">
        <v>28</v>
      </c>
      <c r="L780" s="3" t="s">
        <v>79</v>
      </c>
    </row>
    <row r="781" ht="15.75" customHeight="1">
      <c r="A781" s="3">
        <v>6.09952628E8</v>
      </c>
      <c r="B781" s="3" t="s">
        <v>593</v>
      </c>
      <c r="C781" s="3">
        <v>42.0</v>
      </c>
      <c r="D781" s="10">
        <v>12.0</v>
      </c>
      <c r="E781" s="11">
        <v>2010.0</v>
      </c>
      <c r="F781" s="13">
        <v>3118610.88</v>
      </c>
      <c r="G781" s="13">
        <v>2695788.48</v>
      </c>
      <c r="H781" s="13">
        <v>422822.3999999999</v>
      </c>
      <c r="I781" s="14">
        <v>0.13558036455000116</v>
      </c>
      <c r="J781" s="3" t="s">
        <v>11</v>
      </c>
      <c r="K781" s="3" t="s">
        <v>28</v>
      </c>
      <c r="L781" s="3" t="s">
        <v>98</v>
      </c>
    </row>
    <row r="782" ht="15.75" customHeight="1">
      <c r="A782" s="3">
        <v>6.11766231E8</v>
      </c>
      <c r="B782" s="3" t="s">
        <v>512</v>
      </c>
      <c r="C782" s="3">
        <v>36.0</v>
      </c>
      <c r="D782" s="10">
        <v>1.0</v>
      </c>
      <c r="E782" s="11">
        <v>2011.0</v>
      </c>
      <c r="F782" s="13">
        <v>1040776.56</v>
      </c>
      <c r="G782" s="13">
        <v>649955.34</v>
      </c>
      <c r="H782" s="13">
        <v>390821.2200000001</v>
      </c>
      <c r="I782" s="14">
        <v>0.37550924475086184</v>
      </c>
      <c r="J782" s="3" t="s">
        <v>10</v>
      </c>
      <c r="K782" s="3" t="s">
        <v>28</v>
      </c>
      <c r="L782" s="3" t="s">
        <v>79</v>
      </c>
    </row>
    <row r="783" ht="15.75" customHeight="1">
      <c r="A783" s="3">
        <v>6.11791121E8</v>
      </c>
      <c r="B783" s="3" t="s">
        <v>740</v>
      </c>
      <c r="C783" s="3">
        <v>38.0</v>
      </c>
      <c r="D783" s="10">
        <v>1.0</v>
      </c>
      <c r="E783" s="11">
        <v>2016.0</v>
      </c>
      <c r="F783" s="13">
        <v>220172.94000000003</v>
      </c>
      <c r="G783" s="13">
        <v>140605.91999999998</v>
      </c>
      <c r="H783" s="13">
        <v>79567.02000000005</v>
      </c>
      <c r="I783" s="14">
        <v>0.3613841918993317</v>
      </c>
      <c r="J783" s="3" t="s">
        <v>13</v>
      </c>
      <c r="K783" s="3" t="s">
        <v>28</v>
      </c>
      <c r="L783" s="3" t="s">
        <v>98</v>
      </c>
    </row>
    <row r="784" ht="15.75" customHeight="1">
      <c r="A784" s="3">
        <v>6.13166129E8</v>
      </c>
      <c r="B784" s="3" t="s">
        <v>97</v>
      </c>
      <c r="C784" s="3">
        <v>49.0</v>
      </c>
      <c r="D784" s="10">
        <v>9.0</v>
      </c>
      <c r="E784" s="11">
        <v>2011.0</v>
      </c>
      <c r="F784" s="13">
        <v>3645373.6</v>
      </c>
      <c r="G784" s="13">
        <v>2195645.54</v>
      </c>
      <c r="H784" s="13">
        <v>1449728.06</v>
      </c>
      <c r="I784" s="14">
        <v>0.39768984446477584</v>
      </c>
      <c r="J784" s="3" t="s">
        <v>12</v>
      </c>
      <c r="K784" s="3" t="s">
        <v>28</v>
      </c>
      <c r="L784" s="3" t="s">
        <v>98</v>
      </c>
    </row>
    <row r="785" ht="15.75" customHeight="1">
      <c r="A785" s="3">
        <v>6.14054477E8</v>
      </c>
      <c r="B785" s="3" t="s">
        <v>97</v>
      </c>
      <c r="C785" s="3">
        <v>4.0</v>
      </c>
      <c r="D785" s="10">
        <v>8.0</v>
      </c>
      <c r="E785" s="11">
        <v>2016.0</v>
      </c>
      <c r="F785" s="13">
        <v>187953.2</v>
      </c>
      <c r="G785" s="13">
        <v>110934.6</v>
      </c>
      <c r="H785" s="13">
        <v>77018.6</v>
      </c>
      <c r="I785" s="14">
        <v>0.40977541217707386</v>
      </c>
      <c r="J785" s="3" t="s">
        <v>9</v>
      </c>
      <c r="K785" s="3" t="s">
        <v>28</v>
      </c>
      <c r="L785" s="3" t="s">
        <v>98</v>
      </c>
    </row>
    <row r="786" ht="15.75" customHeight="1">
      <c r="A786" s="3">
        <v>6.14321839E8</v>
      </c>
      <c r="B786" s="3" t="s">
        <v>623</v>
      </c>
      <c r="C786" s="3">
        <v>43.0</v>
      </c>
      <c r="D786" s="10">
        <v>5.0</v>
      </c>
      <c r="E786" s="11">
        <v>2016.0</v>
      </c>
      <c r="F786" s="13">
        <v>143020.71</v>
      </c>
      <c r="G786" s="13">
        <v>123629.91</v>
      </c>
      <c r="H786" s="13">
        <v>19390.79999999999</v>
      </c>
      <c r="I786" s="14">
        <v>0.1355803645500011</v>
      </c>
      <c r="J786" s="3" t="s">
        <v>11</v>
      </c>
      <c r="K786" s="3" t="s">
        <v>28</v>
      </c>
      <c r="L786" s="3" t="s">
        <v>33</v>
      </c>
    </row>
    <row r="787" ht="15.75" customHeight="1">
      <c r="A787" s="3">
        <v>6.14597785E8</v>
      </c>
      <c r="B787" s="3" t="s">
        <v>488</v>
      </c>
      <c r="C787" s="3">
        <v>46.0</v>
      </c>
      <c r="D787" s="10">
        <v>3.0</v>
      </c>
      <c r="E787" s="11">
        <v>2014.0</v>
      </c>
      <c r="F787" s="13">
        <v>873088.4</v>
      </c>
      <c r="G787" s="13">
        <v>525870.01</v>
      </c>
      <c r="H787" s="13">
        <v>347218.39</v>
      </c>
      <c r="I787" s="14">
        <v>0.39768984446477584</v>
      </c>
      <c r="J787" s="3" t="s">
        <v>12</v>
      </c>
      <c r="K787" s="3" t="s">
        <v>28</v>
      </c>
      <c r="L787" s="3" t="s">
        <v>33</v>
      </c>
    </row>
    <row r="788" ht="15.75" customHeight="1">
      <c r="A788" s="3">
        <v>6.15080583E8</v>
      </c>
      <c r="B788" s="3" t="s">
        <v>578</v>
      </c>
      <c r="C788" s="3">
        <v>39.0</v>
      </c>
      <c r="D788" s="10">
        <v>8.0</v>
      </c>
      <c r="E788" s="11">
        <v>2015.0</v>
      </c>
      <c r="F788" s="13">
        <v>1001347.6</v>
      </c>
      <c r="G788" s="13">
        <v>570091.48</v>
      </c>
      <c r="H788" s="13">
        <v>431256.12</v>
      </c>
      <c r="I788" s="14">
        <v>0.43067574137092857</v>
      </c>
      <c r="J788" s="3" t="s">
        <v>3</v>
      </c>
      <c r="K788" s="3" t="s">
        <v>28</v>
      </c>
      <c r="L788" s="3" t="s">
        <v>33</v>
      </c>
    </row>
    <row r="789" ht="15.75" customHeight="1">
      <c r="A789" s="3">
        <v>6.15290009E8</v>
      </c>
      <c r="B789" s="3" t="s">
        <v>291</v>
      </c>
      <c r="C789" s="3">
        <v>4.0</v>
      </c>
      <c r="D789" s="10">
        <v>1.0</v>
      </c>
      <c r="E789" s="11">
        <v>2017.0</v>
      </c>
      <c r="F789" s="13">
        <v>2886571.38</v>
      </c>
      <c r="G789" s="13">
        <v>2495208.98</v>
      </c>
      <c r="H789" s="13">
        <v>391362.3999999999</v>
      </c>
      <c r="I789" s="14">
        <v>0.13558036455000116</v>
      </c>
      <c r="J789" s="3" t="s">
        <v>11</v>
      </c>
      <c r="K789" s="3" t="s">
        <v>28</v>
      </c>
      <c r="L789" s="3" t="s">
        <v>79</v>
      </c>
    </row>
    <row r="790" ht="15.75" customHeight="1">
      <c r="A790" s="3">
        <v>6.1677531E8</v>
      </c>
      <c r="B790" s="3" t="s">
        <v>821</v>
      </c>
      <c r="C790" s="3">
        <v>17.0</v>
      </c>
      <c r="D790" s="10">
        <v>5.0</v>
      </c>
      <c r="E790" s="11">
        <v>2011.0</v>
      </c>
      <c r="F790" s="13">
        <v>4151463.75</v>
      </c>
      <c r="G790" s="13">
        <v>3346620.0</v>
      </c>
      <c r="H790" s="13">
        <v>804843.75</v>
      </c>
      <c r="I790" s="14">
        <v>0.19386987300563566</v>
      </c>
      <c r="J790" s="3" t="s">
        <v>7</v>
      </c>
      <c r="K790" s="3" t="s">
        <v>821</v>
      </c>
      <c r="L790" s="3" t="s">
        <v>821</v>
      </c>
    </row>
    <row r="791" ht="15.75" customHeight="1">
      <c r="A791" s="3">
        <v>6.21577537E8</v>
      </c>
      <c r="B791" s="3" t="s">
        <v>67</v>
      </c>
      <c r="C791" s="3">
        <v>7.0</v>
      </c>
      <c r="D791" s="10">
        <v>9.0</v>
      </c>
      <c r="E791" s="11">
        <v>2015.0</v>
      </c>
      <c r="F791" s="13">
        <v>4985962.47</v>
      </c>
      <c r="G791" s="13">
        <v>3749450.94</v>
      </c>
      <c r="H791" s="13">
        <v>1236511.5299999998</v>
      </c>
      <c r="I791" s="14">
        <v>0.24799856345489096</v>
      </c>
      <c r="J791" s="3" t="s">
        <v>4</v>
      </c>
      <c r="K791" s="3" t="s">
        <v>23</v>
      </c>
      <c r="L791" s="3" t="s">
        <v>68</v>
      </c>
    </row>
    <row r="792" ht="15.75" customHeight="1">
      <c r="A792" s="3">
        <v>6.22441852E8</v>
      </c>
      <c r="B792" s="3" t="s">
        <v>653</v>
      </c>
      <c r="C792" s="3">
        <v>2.0</v>
      </c>
      <c r="D792" s="10">
        <v>5.0</v>
      </c>
      <c r="E792" s="11">
        <v>2012.0</v>
      </c>
      <c r="F792" s="13">
        <v>353083.68</v>
      </c>
      <c r="G792" s="13">
        <v>115799.04000000001</v>
      </c>
      <c r="H792" s="13">
        <v>237284.63999999998</v>
      </c>
      <c r="I792" s="14">
        <v>0.6720351390922401</v>
      </c>
      <c r="J792" s="3" t="s">
        <v>5</v>
      </c>
      <c r="K792" s="3" t="s">
        <v>28</v>
      </c>
      <c r="L792" s="3" t="s">
        <v>33</v>
      </c>
    </row>
    <row r="793" ht="15.75" customHeight="1">
      <c r="A793" s="3">
        <v>6.2382158E8</v>
      </c>
      <c r="B793" s="3" t="s">
        <v>123</v>
      </c>
      <c r="C793" s="3">
        <v>16.0</v>
      </c>
      <c r="D793" s="10">
        <v>10.0</v>
      </c>
      <c r="E793" s="11">
        <v>2016.0</v>
      </c>
      <c r="F793" s="13">
        <v>14209.59</v>
      </c>
      <c r="G793" s="13">
        <v>10539.16</v>
      </c>
      <c r="H793" s="13">
        <v>3670.4300000000003</v>
      </c>
      <c r="I793" s="14">
        <v>0.2583065380493033</v>
      </c>
      <c r="J793" s="3" t="s">
        <v>8</v>
      </c>
      <c r="K793" s="3" t="s">
        <v>28</v>
      </c>
      <c r="L793" s="3" t="s">
        <v>33</v>
      </c>
    </row>
    <row r="794" ht="15.75" customHeight="1">
      <c r="A794" s="3">
        <v>6.24348151E8</v>
      </c>
      <c r="B794" s="3" t="s">
        <v>740</v>
      </c>
      <c r="C794" s="3">
        <v>24.0</v>
      </c>
      <c r="D794" s="10">
        <v>11.0</v>
      </c>
      <c r="E794" s="11">
        <v>2012.0</v>
      </c>
      <c r="F794" s="13">
        <v>4784439.87</v>
      </c>
      <c r="G794" s="13">
        <v>3856881.12</v>
      </c>
      <c r="H794" s="13">
        <v>927558.75</v>
      </c>
      <c r="I794" s="14">
        <v>0.19386987300563566</v>
      </c>
      <c r="J794" s="3" t="s">
        <v>7</v>
      </c>
      <c r="K794" s="3" t="s">
        <v>28</v>
      </c>
      <c r="L794" s="3" t="s">
        <v>98</v>
      </c>
    </row>
    <row r="795" ht="15.75" customHeight="1">
      <c r="A795" s="3">
        <v>6.24398362E8</v>
      </c>
      <c r="B795" s="3" t="s">
        <v>97</v>
      </c>
      <c r="C795" s="3">
        <v>24.0</v>
      </c>
      <c r="D795" s="10">
        <v>6.0</v>
      </c>
      <c r="E795" s="11">
        <v>2017.0</v>
      </c>
      <c r="F795" s="13">
        <v>1436569.26</v>
      </c>
      <c r="G795" s="13">
        <v>1158061.76</v>
      </c>
      <c r="H795" s="13">
        <v>278507.5</v>
      </c>
      <c r="I795" s="14">
        <v>0.19386987300563566</v>
      </c>
      <c r="J795" s="3" t="s">
        <v>7</v>
      </c>
      <c r="K795" s="3" t="s">
        <v>28</v>
      </c>
      <c r="L795" s="3" t="s">
        <v>98</v>
      </c>
    </row>
    <row r="796" ht="15.75" customHeight="1">
      <c r="A796" s="3">
        <v>6.24940383E8</v>
      </c>
      <c r="B796" s="3" t="s">
        <v>746</v>
      </c>
      <c r="C796" s="3">
        <v>28.0</v>
      </c>
      <c r="D796" s="10">
        <v>3.0</v>
      </c>
      <c r="E796" s="11">
        <v>2016.0</v>
      </c>
      <c r="F796" s="13">
        <v>1137594.4</v>
      </c>
      <c r="G796" s="13">
        <v>685184.6599999999</v>
      </c>
      <c r="H796" s="13">
        <v>452409.74</v>
      </c>
      <c r="I796" s="14">
        <v>0.39768984446477584</v>
      </c>
      <c r="J796" s="3" t="s">
        <v>12</v>
      </c>
      <c r="K796" s="3" t="s">
        <v>28</v>
      </c>
      <c r="L796" s="3" t="s">
        <v>29</v>
      </c>
    </row>
    <row r="797" ht="15.75" customHeight="1">
      <c r="A797" s="3">
        <v>6.25751483E8</v>
      </c>
      <c r="B797" s="3" t="s">
        <v>623</v>
      </c>
      <c r="C797" s="3">
        <v>2.0</v>
      </c>
      <c r="D797" s="10">
        <v>9.0</v>
      </c>
      <c r="E797" s="11">
        <v>2015.0</v>
      </c>
      <c r="F797" s="13">
        <v>214459.52000000002</v>
      </c>
      <c r="G797" s="13">
        <v>148702.08000000002</v>
      </c>
      <c r="H797" s="13">
        <v>65757.44</v>
      </c>
      <c r="I797" s="14">
        <v>0.3066193564174721</v>
      </c>
      <c r="J797" s="3" t="s">
        <v>14</v>
      </c>
      <c r="K797" s="3" t="s">
        <v>28</v>
      </c>
      <c r="L797" s="3" t="s">
        <v>33</v>
      </c>
    </row>
    <row r="798" ht="15.75" customHeight="1">
      <c r="A798" s="3">
        <v>6.26011979E8</v>
      </c>
      <c r="B798" s="3" t="s">
        <v>482</v>
      </c>
      <c r="C798" s="3">
        <v>9.0</v>
      </c>
      <c r="D798" s="10">
        <v>1.0</v>
      </c>
      <c r="E798" s="11">
        <v>2011.0</v>
      </c>
      <c r="F798" s="13">
        <v>1061218.08</v>
      </c>
      <c r="G798" s="13">
        <v>348042.24000000005</v>
      </c>
      <c r="H798" s="13">
        <v>713175.8400000001</v>
      </c>
      <c r="I798" s="14">
        <v>0.6720351390922401</v>
      </c>
      <c r="J798" s="3" t="s">
        <v>5</v>
      </c>
      <c r="K798" s="3" t="s">
        <v>28</v>
      </c>
      <c r="L798" s="3" t="s">
        <v>79</v>
      </c>
    </row>
    <row r="799" ht="15.75" customHeight="1">
      <c r="A799" s="3">
        <v>6.26109397E8</v>
      </c>
      <c r="B799" s="3" t="s">
        <v>740</v>
      </c>
      <c r="C799" s="3">
        <v>39.0</v>
      </c>
      <c r="D799" s="10">
        <v>8.0</v>
      </c>
      <c r="E799" s="11">
        <v>2012.0</v>
      </c>
      <c r="F799" s="13">
        <v>1756472.2999999998</v>
      </c>
      <c r="G799" s="13">
        <v>1000002.29</v>
      </c>
      <c r="H799" s="13">
        <v>756470.0099999998</v>
      </c>
      <c r="I799" s="14">
        <v>0.43067574137092846</v>
      </c>
      <c r="J799" s="3" t="s">
        <v>3</v>
      </c>
      <c r="K799" s="3" t="s">
        <v>28</v>
      </c>
      <c r="L799" s="3" t="s">
        <v>98</v>
      </c>
    </row>
    <row r="800" ht="15.75" customHeight="1">
      <c r="A800" s="3">
        <v>6.26322257E8</v>
      </c>
      <c r="B800" s="3" t="s">
        <v>821</v>
      </c>
      <c r="C800" s="3">
        <v>20.0</v>
      </c>
      <c r="D800" s="10">
        <v>4.0</v>
      </c>
      <c r="E800" s="11">
        <v>2016.0</v>
      </c>
      <c r="F800" s="13">
        <v>124965.17000000001</v>
      </c>
      <c r="G800" s="13">
        <v>86648.43000000001</v>
      </c>
      <c r="H800" s="13">
        <v>38316.740000000005</v>
      </c>
      <c r="I800" s="14">
        <v>0.3066193564174722</v>
      </c>
      <c r="J800" s="3" t="s">
        <v>14</v>
      </c>
      <c r="K800" s="3" t="s">
        <v>821</v>
      </c>
      <c r="L800" s="3" t="s">
        <v>821</v>
      </c>
    </row>
    <row r="801" ht="15.75" customHeight="1">
      <c r="A801" s="3">
        <v>6.26453149E8</v>
      </c>
      <c r="B801" s="3" t="s">
        <v>578</v>
      </c>
      <c r="C801" s="3">
        <v>17.0</v>
      </c>
      <c r="D801" s="10">
        <v>5.0</v>
      </c>
      <c r="E801" s="11">
        <v>2013.0</v>
      </c>
      <c r="F801" s="13">
        <v>114983.59999999999</v>
      </c>
      <c r="G801" s="13">
        <v>69255.79</v>
      </c>
      <c r="H801" s="13">
        <v>45727.81</v>
      </c>
      <c r="I801" s="14">
        <v>0.39768984446477584</v>
      </c>
      <c r="J801" s="3" t="s">
        <v>12</v>
      </c>
      <c r="K801" s="3" t="s">
        <v>28</v>
      </c>
      <c r="L801" s="3" t="s">
        <v>33</v>
      </c>
    </row>
    <row r="802" ht="15.75" customHeight="1">
      <c r="A802" s="3">
        <v>6.27003753E8</v>
      </c>
      <c r="B802" s="3" t="s">
        <v>590</v>
      </c>
      <c r="C802" s="3">
        <v>35.0</v>
      </c>
      <c r="D802" s="10">
        <v>2.0</v>
      </c>
      <c r="E802" s="11">
        <v>2010.0</v>
      </c>
      <c r="F802" s="13">
        <v>1349626.1099999999</v>
      </c>
      <c r="G802" s="13">
        <v>1166643.31</v>
      </c>
      <c r="H802" s="13">
        <v>182982.7999999998</v>
      </c>
      <c r="I802" s="14">
        <v>0.13558036455000105</v>
      </c>
      <c r="J802" s="3" t="s">
        <v>11</v>
      </c>
      <c r="K802" s="3" t="s">
        <v>28</v>
      </c>
      <c r="L802" s="3" t="s">
        <v>98</v>
      </c>
    </row>
    <row r="803" ht="15.75" customHeight="1">
      <c r="A803" s="3">
        <v>6.27432048E8</v>
      </c>
      <c r="B803" s="3" t="s">
        <v>215</v>
      </c>
      <c r="C803" s="3">
        <v>21.0</v>
      </c>
      <c r="D803" s="10">
        <v>6.0</v>
      </c>
      <c r="E803" s="11">
        <v>2015.0</v>
      </c>
      <c r="F803" s="13">
        <v>812477.93</v>
      </c>
      <c r="G803" s="13">
        <v>563356.47</v>
      </c>
      <c r="H803" s="13">
        <v>249121.46000000008</v>
      </c>
      <c r="I803" s="14">
        <v>0.30661935641747223</v>
      </c>
      <c r="J803" s="3" t="s">
        <v>14</v>
      </c>
      <c r="K803" s="3" t="s">
        <v>23</v>
      </c>
      <c r="L803" s="3" t="s">
        <v>68</v>
      </c>
    </row>
    <row r="804" ht="15.75" customHeight="1">
      <c r="A804" s="3">
        <v>6.28055179E8</v>
      </c>
      <c r="B804" s="3" t="s">
        <v>248</v>
      </c>
      <c r="C804" s="3">
        <v>17.0</v>
      </c>
      <c r="D804" s="10">
        <v>4.0</v>
      </c>
      <c r="E804" s="11">
        <v>2016.0</v>
      </c>
      <c r="F804" s="13">
        <v>2825600.19</v>
      </c>
      <c r="G804" s="13">
        <v>2277801.44</v>
      </c>
      <c r="H804" s="13">
        <v>547798.75</v>
      </c>
      <c r="I804" s="14">
        <v>0.19386987300563566</v>
      </c>
      <c r="J804" s="3" t="s">
        <v>7</v>
      </c>
      <c r="K804" s="3" t="s">
        <v>28</v>
      </c>
      <c r="L804" s="3" t="s">
        <v>29</v>
      </c>
    </row>
    <row r="805" ht="15.75" customHeight="1">
      <c r="A805" s="3">
        <v>6.28515231E8</v>
      </c>
      <c r="B805" s="3" t="s">
        <v>650</v>
      </c>
      <c r="C805" s="3">
        <v>38.0</v>
      </c>
      <c r="D805" s="10">
        <v>12.0</v>
      </c>
      <c r="E805" s="11">
        <v>2015.0</v>
      </c>
      <c r="F805" s="13">
        <v>73794.74</v>
      </c>
      <c r="G805" s="13">
        <v>43555.47</v>
      </c>
      <c r="H805" s="13">
        <v>30239.270000000004</v>
      </c>
      <c r="I805" s="14">
        <v>0.4097754121770739</v>
      </c>
      <c r="J805" s="3" t="s">
        <v>9</v>
      </c>
      <c r="K805" s="3" t="s">
        <v>28</v>
      </c>
      <c r="L805" s="3" t="s">
        <v>98</v>
      </c>
    </row>
    <row r="806" ht="15.75" customHeight="1">
      <c r="A806" s="3">
        <v>6.28595054E8</v>
      </c>
      <c r="B806" s="3" t="s">
        <v>346</v>
      </c>
      <c r="C806" s="3">
        <v>43.0</v>
      </c>
      <c r="D806" s="10">
        <v>9.0</v>
      </c>
      <c r="E806" s="11">
        <v>2011.0</v>
      </c>
      <c r="F806" s="13">
        <v>38253.0</v>
      </c>
      <c r="G806" s="13">
        <v>28372.0</v>
      </c>
      <c r="H806" s="13">
        <v>9881.0</v>
      </c>
      <c r="I806" s="14">
        <v>0.2583065380493033</v>
      </c>
      <c r="J806" s="3" t="s">
        <v>8</v>
      </c>
      <c r="K806" s="3" t="s">
        <v>28</v>
      </c>
      <c r="L806" s="3" t="s">
        <v>98</v>
      </c>
    </row>
    <row r="807" ht="15.75" customHeight="1">
      <c r="A807" s="3">
        <v>6.2930144E8</v>
      </c>
      <c r="B807" s="3" t="s">
        <v>364</v>
      </c>
      <c r="C807" s="3">
        <v>10.0</v>
      </c>
      <c r="D807" s="10">
        <v>7.0</v>
      </c>
      <c r="E807" s="11">
        <v>2010.0</v>
      </c>
      <c r="F807" s="13">
        <v>800302.8</v>
      </c>
      <c r="G807" s="13">
        <v>499781.69999999995</v>
      </c>
      <c r="H807" s="13">
        <v>300521.1000000001</v>
      </c>
      <c r="I807" s="14">
        <v>0.3755092447508619</v>
      </c>
      <c r="J807" s="3" t="s">
        <v>10</v>
      </c>
      <c r="K807" s="3" t="s">
        <v>28</v>
      </c>
      <c r="L807" s="3" t="s">
        <v>29</v>
      </c>
    </row>
    <row r="808" ht="15.75" customHeight="1">
      <c r="A808" s="3">
        <v>6.30219399E8</v>
      </c>
      <c r="B808" s="3" t="s">
        <v>635</v>
      </c>
      <c r="C808" s="3">
        <v>21.0</v>
      </c>
      <c r="D808" s="10">
        <v>2.0</v>
      </c>
      <c r="E808" s="11">
        <v>2014.0</v>
      </c>
      <c r="F808" s="13">
        <v>1220238.4</v>
      </c>
      <c r="G808" s="13">
        <v>762027.6</v>
      </c>
      <c r="H808" s="13">
        <v>458210.79999999993</v>
      </c>
      <c r="I808" s="14">
        <v>0.3755092447508618</v>
      </c>
      <c r="J808" s="3" t="s">
        <v>10</v>
      </c>
      <c r="K808" s="3" t="s">
        <v>28</v>
      </c>
      <c r="L808" s="3" t="s">
        <v>33</v>
      </c>
    </row>
    <row r="809" ht="15.75" customHeight="1">
      <c r="A809" s="3">
        <v>6.30931794E8</v>
      </c>
      <c r="B809" s="3" t="s">
        <v>488</v>
      </c>
      <c r="C809" s="3">
        <v>29.0</v>
      </c>
      <c r="D809" s="10">
        <v>3.0</v>
      </c>
      <c r="E809" s="11">
        <v>2013.0</v>
      </c>
      <c r="F809" s="13">
        <v>1427781.04</v>
      </c>
      <c r="G809" s="13">
        <v>891636.0599999999</v>
      </c>
      <c r="H809" s="13">
        <v>536144.9800000001</v>
      </c>
      <c r="I809" s="14">
        <v>0.37550924475086184</v>
      </c>
      <c r="J809" s="3" t="s">
        <v>10</v>
      </c>
      <c r="K809" s="3" t="s">
        <v>28</v>
      </c>
      <c r="L809" s="3" t="s">
        <v>33</v>
      </c>
    </row>
    <row r="810" ht="15.75" customHeight="1">
      <c r="A810" s="3">
        <v>6.3117212E8</v>
      </c>
      <c r="B810" s="3" t="s">
        <v>288</v>
      </c>
      <c r="C810" s="3">
        <v>36.0</v>
      </c>
      <c r="D810" s="10">
        <v>3.0</v>
      </c>
      <c r="E810" s="11">
        <v>2012.0</v>
      </c>
      <c r="F810" s="13">
        <v>2831303.79</v>
      </c>
      <c r="G810" s="13">
        <v>2447434.59</v>
      </c>
      <c r="H810" s="13">
        <v>383869.2000000002</v>
      </c>
      <c r="I810" s="14">
        <v>0.13558036455000125</v>
      </c>
      <c r="J810" s="3" t="s">
        <v>11</v>
      </c>
      <c r="K810" s="3" t="s">
        <v>23</v>
      </c>
      <c r="L810" s="3" t="s">
        <v>68</v>
      </c>
    </row>
    <row r="811" ht="15.75" customHeight="1">
      <c r="A811" s="3">
        <v>6.3146094E8</v>
      </c>
      <c r="B811" s="3" t="s">
        <v>653</v>
      </c>
      <c r="C811" s="3">
        <v>10.0</v>
      </c>
      <c r="D811" s="10">
        <v>9.0</v>
      </c>
      <c r="E811" s="11">
        <v>2014.0</v>
      </c>
      <c r="F811" s="13">
        <v>919720.2</v>
      </c>
      <c r="G811" s="13">
        <v>795024.2</v>
      </c>
      <c r="H811" s="13">
        <v>124696.0</v>
      </c>
      <c r="I811" s="14">
        <v>0.1355803645500012</v>
      </c>
      <c r="J811" s="3" t="s">
        <v>11</v>
      </c>
      <c r="K811" s="3" t="s">
        <v>28</v>
      </c>
      <c r="L811" s="3" t="s">
        <v>33</v>
      </c>
    </row>
    <row r="812" ht="15.75" customHeight="1">
      <c r="A812" s="3">
        <v>6.31463515E8</v>
      </c>
      <c r="B812" s="3" t="s">
        <v>218</v>
      </c>
      <c r="C812" s="3">
        <v>35.0</v>
      </c>
      <c r="D812" s="10">
        <v>8.0</v>
      </c>
      <c r="E812" s="11">
        <v>2012.0</v>
      </c>
      <c r="F812" s="13">
        <v>321501.76</v>
      </c>
      <c r="G812" s="13">
        <v>105441.28000000001</v>
      </c>
      <c r="H812" s="13">
        <v>216060.47999999998</v>
      </c>
      <c r="I812" s="14">
        <v>0.67203513909224</v>
      </c>
      <c r="J812" s="3" t="s">
        <v>5</v>
      </c>
      <c r="K812" s="3" t="s">
        <v>28</v>
      </c>
      <c r="L812" s="3" t="s">
        <v>98</v>
      </c>
    </row>
    <row r="813" ht="15.75" customHeight="1">
      <c r="A813" s="3">
        <v>6.33312737E8</v>
      </c>
      <c r="B813" s="3" t="s">
        <v>270</v>
      </c>
      <c r="C813" s="3">
        <v>25.0</v>
      </c>
      <c r="D813" s="10">
        <v>7.0</v>
      </c>
      <c r="E813" s="11">
        <v>2011.0</v>
      </c>
      <c r="F813" s="13">
        <v>70455.63</v>
      </c>
      <c r="G813" s="13">
        <v>60903.23</v>
      </c>
      <c r="H813" s="13">
        <v>9552.400000000001</v>
      </c>
      <c r="I813" s="14">
        <v>0.1355803645500012</v>
      </c>
      <c r="J813" s="3" t="s">
        <v>11</v>
      </c>
      <c r="K813" s="3" t="s">
        <v>28</v>
      </c>
      <c r="L813" s="3" t="s">
        <v>79</v>
      </c>
    </row>
    <row r="814" ht="15.75" customHeight="1">
      <c r="A814" s="3">
        <v>6.33806264E8</v>
      </c>
      <c r="B814" s="3" t="s">
        <v>270</v>
      </c>
      <c r="C814" s="3">
        <v>11.0</v>
      </c>
      <c r="D814" s="10">
        <v>4.0</v>
      </c>
      <c r="E814" s="11">
        <v>2014.0</v>
      </c>
      <c r="F814" s="13">
        <v>678956.64</v>
      </c>
      <c r="G814" s="13">
        <v>222673.92</v>
      </c>
      <c r="H814" s="13">
        <v>456282.72</v>
      </c>
      <c r="I814" s="14">
        <v>0.6720351390922401</v>
      </c>
      <c r="J814" s="3" t="s">
        <v>5</v>
      </c>
      <c r="K814" s="3" t="s">
        <v>28</v>
      </c>
      <c r="L814" s="3" t="s">
        <v>79</v>
      </c>
    </row>
    <row r="815" ht="15.75" customHeight="1">
      <c r="A815" s="3">
        <v>6.33992946E8</v>
      </c>
      <c r="B815" s="3" t="s">
        <v>346</v>
      </c>
      <c r="C815" s="3">
        <v>2.0</v>
      </c>
      <c r="D815" s="10">
        <v>1.0</v>
      </c>
      <c r="E815" s="11">
        <v>2014.0</v>
      </c>
      <c r="F815" s="13">
        <v>13584.48</v>
      </c>
      <c r="G815" s="13">
        <v>10075.52</v>
      </c>
      <c r="H815" s="13">
        <v>3508.959999999999</v>
      </c>
      <c r="I815" s="14">
        <v>0.25830653804930326</v>
      </c>
      <c r="J815" s="3" t="s">
        <v>8</v>
      </c>
      <c r="K815" s="3" t="s">
        <v>28</v>
      </c>
      <c r="L815" s="3" t="s">
        <v>98</v>
      </c>
    </row>
    <row r="816" ht="15.75" customHeight="1">
      <c r="A816" s="3">
        <v>6.34033286E8</v>
      </c>
      <c r="B816" s="3" t="s">
        <v>542</v>
      </c>
      <c r="C816" s="3">
        <v>1.0</v>
      </c>
      <c r="D816" s="10">
        <v>1.0</v>
      </c>
      <c r="E816" s="11">
        <v>2014.0</v>
      </c>
      <c r="F816" s="13">
        <v>277391.62</v>
      </c>
      <c r="G816" s="13">
        <v>192337.98</v>
      </c>
      <c r="H816" s="13">
        <v>85053.63999999998</v>
      </c>
      <c r="I816" s="14">
        <v>0.3066193564174721</v>
      </c>
      <c r="J816" s="3" t="s">
        <v>14</v>
      </c>
      <c r="K816" s="3" t="s">
        <v>28</v>
      </c>
      <c r="L816" s="3" t="s">
        <v>29</v>
      </c>
    </row>
    <row r="817" ht="15.75" customHeight="1">
      <c r="A817" s="3">
        <v>6.36278617E8</v>
      </c>
      <c r="B817" s="3" t="s">
        <v>373</v>
      </c>
      <c r="C817" s="3">
        <v>48.0</v>
      </c>
      <c r="D817" s="10">
        <v>2.0</v>
      </c>
      <c r="E817" s="11">
        <v>2014.0</v>
      </c>
      <c r="F817" s="13">
        <v>73119.21</v>
      </c>
      <c r="G817" s="13">
        <v>54232.04</v>
      </c>
      <c r="H817" s="13">
        <v>18887.170000000006</v>
      </c>
      <c r="I817" s="14">
        <v>0.25830653804930337</v>
      </c>
      <c r="J817" s="3" t="s">
        <v>8</v>
      </c>
      <c r="K817" s="3" t="s">
        <v>28</v>
      </c>
      <c r="L817" s="3" t="s">
        <v>33</v>
      </c>
    </row>
    <row r="818" ht="15.75" customHeight="1">
      <c r="A818" s="3">
        <v>6.36360585E8</v>
      </c>
      <c r="B818" s="3" t="s">
        <v>578</v>
      </c>
      <c r="C818" s="3">
        <v>31.0</v>
      </c>
      <c r="D818" s="10">
        <v>2.0</v>
      </c>
      <c r="E818" s="11">
        <v>2013.0</v>
      </c>
      <c r="F818" s="13">
        <v>430530.1</v>
      </c>
      <c r="G818" s="13">
        <v>245111.23</v>
      </c>
      <c r="H818" s="13">
        <v>185418.86999999997</v>
      </c>
      <c r="I818" s="14">
        <v>0.43067574137092846</v>
      </c>
      <c r="J818" s="3" t="s">
        <v>3</v>
      </c>
      <c r="K818" s="3" t="s">
        <v>28</v>
      </c>
      <c r="L818" s="3" t="s">
        <v>33</v>
      </c>
    </row>
    <row r="819" ht="15.75" customHeight="1">
      <c r="A819" s="3">
        <v>6.36907756E8</v>
      </c>
      <c r="B819" s="3" t="s">
        <v>288</v>
      </c>
      <c r="C819" s="3">
        <v>34.0</v>
      </c>
      <c r="D819" s="10">
        <v>2.0</v>
      </c>
      <c r="E819" s="11">
        <v>2015.0</v>
      </c>
      <c r="F819" s="13">
        <v>618242.78</v>
      </c>
      <c r="G819" s="13">
        <v>364902.09</v>
      </c>
      <c r="H819" s="13">
        <v>253340.69</v>
      </c>
      <c r="I819" s="14">
        <v>0.40977541217707386</v>
      </c>
      <c r="J819" s="3" t="s">
        <v>9</v>
      </c>
      <c r="K819" s="3" t="s">
        <v>23</v>
      </c>
      <c r="L819" s="3" t="s">
        <v>68</v>
      </c>
    </row>
    <row r="820" ht="15.75" customHeight="1">
      <c r="A820" s="3">
        <v>6.37040793E8</v>
      </c>
      <c r="B820" s="3" t="s">
        <v>650</v>
      </c>
      <c r="C820" s="3">
        <v>9.0</v>
      </c>
      <c r="D820" s="10">
        <v>7.0</v>
      </c>
      <c r="E820" s="11">
        <v>2015.0</v>
      </c>
      <c r="F820" s="13">
        <v>516025.56000000006</v>
      </c>
      <c r="G820" s="13">
        <v>329542.08</v>
      </c>
      <c r="H820" s="13">
        <v>186483.48000000004</v>
      </c>
      <c r="I820" s="14">
        <v>0.3613841918993315</v>
      </c>
      <c r="J820" s="3" t="s">
        <v>13</v>
      </c>
      <c r="K820" s="3" t="s">
        <v>28</v>
      </c>
      <c r="L820" s="3" t="s">
        <v>98</v>
      </c>
    </row>
    <row r="821" ht="15.75" customHeight="1">
      <c r="A821" s="3">
        <v>6.37188422E8</v>
      </c>
      <c r="B821" s="3" t="s">
        <v>270</v>
      </c>
      <c r="C821" s="3">
        <v>40.0</v>
      </c>
      <c r="D821" s="10">
        <v>3.0</v>
      </c>
      <c r="E821" s="11">
        <v>2014.0</v>
      </c>
      <c r="F821" s="13">
        <v>3090566.8</v>
      </c>
      <c r="G821" s="13">
        <v>1861479.7699999998</v>
      </c>
      <c r="H821" s="13">
        <v>1229087.03</v>
      </c>
      <c r="I821" s="14">
        <v>0.3976898444647759</v>
      </c>
      <c r="J821" s="3" t="s">
        <v>12</v>
      </c>
      <c r="K821" s="3" t="s">
        <v>28</v>
      </c>
      <c r="L821" s="3" t="s">
        <v>79</v>
      </c>
    </row>
    <row r="822" ht="15.75" customHeight="1">
      <c r="A822" s="3">
        <v>6.3804115E8</v>
      </c>
      <c r="B822" s="3" t="s">
        <v>123</v>
      </c>
      <c r="C822" s="3">
        <v>50.0</v>
      </c>
      <c r="D822" s="10">
        <v>10.0</v>
      </c>
      <c r="E822" s="11">
        <v>2012.0</v>
      </c>
      <c r="F822" s="13">
        <v>2402184.8</v>
      </c>
      <c r="G822" s="13">
        <v>1500142.2</v>
      </c>
      <c r="H822" s="13">
        <v>902042.5999999999</v>
      </c>
      <c r="I822" s="14">
        <v>0.3755092447508618</v>
      </c>
      <c r="J822" s="3" t="s">
        <v>10</v>
      </c>
      <c r="K822" s="3" t="s">
        <v>28</v>
      </c>
      <c r="L822" s="3" t="s">
        <v>33</v>
      </c>
    </row>
    <row r="823" ht="15.75" customHeight="1">
      <c r="A823" s="3">
        <v>6.38314521E8</v>
      </c>
      <c r="B823" s="3" t="s">
        <v>821</v>
      </c>
      <c r="C823" s="3">
        <v>28.0</v>
      </c>
      <c r="D823" s="10">
        <v>9.0</v>
      </c>
      <c r="E823" s="11">
        <v>2012.0</v>
      </c>
      <c r="F823" s="13">
        <v>129098.34</v>
      </c>
      <c r="G823" s="13">
        <v>111595.14</v>
      </c>
      <c r="H823" s="13">
        <v>17503.199999999997</v>
      </c>
      <c r="I823" s="14">
        <v>0.13558036455000116</v>
      </c>
      <c r="J823" s="3" t="s">
        <v>11</v>
      </c>
      <c r="K823" s="3" t="s">
        <v>821</v>
      </c>
      <c r="L823" s="3" t="s">
        <v>821</v>
      </c>
    </row>
    <row r="824" ht="15.75" customHeight="1">
      <c r="A824" s="3">
        <v>6.385939E8</v>
      </c>
      <c r="B824" s="3" t="s">
        <v>686</v>
      </c>
      <c r="C824" s="3">
        <v>47.0</v>
      </c>
      <c r="D824" s="10">
        <v>10.0</v>
      </c>
      <c r="E824" s="11">
        <v>2012.0</v>
      </c>
      <c r="F824" s="13">
        <v>1303293.2</v>
      </c>
      <c r="G824" s="13">
        <v>784986.73</v>
      </c>
      <c r="H824" s="13">
        <v>518306.47</v>
      </c>
      <c r="I824" s="14">
        <v>0.39768984446477584</v>
      </c>
      <c r="J824" s="3" t="s">
        <v>12</v>
      </c>
      <c r="K824" s="3" t="s">
        <v>28</v>
      </c>
      <c r="L824" s="3" t="s">
        <v>29</v>
      </c>
    </row>
    <row r="825" ht="15.75" customHeight="1">
      <c r="A825" s="3">
        <v>6.38856971E8</v>
      </c>
      <c r="B825" s="3" t="s">
        <v>97</v>
      </c>
      <c r="C825" s="3">
        <v>28.0</v>
      </c>
      <c r="D825" s="10">
        <v>7.0</v>
      </c>
      <c r="E825" s="11">
        <v>2013.0</v>
      </c>
      <c r="F825" s="13">
        <v>67754.17</v>
      </c>
      <c r="G825" s="13">
        <v>46979.43</v>
      </c>
      <c r="H825" s="13">
        <v>20774.739999999998</v>
      </c>
      <c r="I825" s="14">
        <v>0.3066193564174721</v>
      </c>
      <c r="J825" s="3" t="s">
        <v>14</v>
      </c>
      <c r="K825" s="3" t="s">
        <v>28</v>
      </c>
      <c r="L825" s="3" t="s">
        <v>98</v>
      </c>
    </row>
    <row r="826" ht="15.75" customHeight="1">
      <c r="A826" s="3">
        <v>6.38937652E8</v>
      </c>
      <c r="B826" s="3" t="s">
        <v>542</v>
      </c>
      <c r="C826" s="3">
        <v>25.0</v>
      </c>
      <c r="D826" s="10">
        <v>8.0</v>
      </c>
      <c r="E826" s="11">
        <v>2013.0</v>
      </c>
      <c r="F826" s="13">
        <v>43897.65</v>
      </c>
      <c r="G826" s="13">
        <v>32558.6</v>
      </c>
      <c r="H826" s="13">
        <v>11339.050000000003</v>
      </c>
      <c r="I826" s="14">
        <v>0.25830653804930337</v>
      </c>
      <c r="J826" s="3" t="s">
        <v>8</v>
      </c>
      <c r="K826" s="3" t="s">
        <v>28</v>
      </c>
      <c r="L826" s="3" t="s">
        <v>29</v>
      </c>
    </row>
    <row r="827" ht="15.75" customHeight="1">
      <c r="A827" s="3">
        <v>6.38957822E8</v>
      </c>
      <c r="B827" s="3" t="s">
        <v>650</v>
      </c>
      <c r="C827" s="3">
        <v>24.0</v>
      </c>
      <c r="D827" s="10">
        <v>5.0</v>
      </c>
      <c r="E827" s="11">
        <v>2017.0</v>
      </c>
      <c r="F827" s="13">
        <v>31933.850000000002</v>
      </c>
      <c r="G827" s="13">
        <v>21394.67</v>
      </c>
      <c r="H827" s="13">
        <v>10539.180000000004</v>
      </c>
      <c r="I827" s="14">
        <v>0.33003161222339317</v>
      </c>
      <c r="J827" s="3" t="s">
        <v>6</v>
      </c>
      <c r="K827" s="3" t="s">
        <v>28</v>
      </c>
      <c r="L827" s="3" t="s">
        <v>98</v>
      </c>
    </row>
    <row r="828" ht="15.75" customHeight="1">
      <c r="A828" s="3">
        <v>6.39126908E8</v>
      </c>
      <c r="B828" s="3" t="s">
        <v>123</v>
      </c>
      <c r="C828" s="3">
        <v>41.0</v>
      </c>
      <c r="D828" s="10">
        <v>3.0</v>
      </c>
      <c r="E828" s="11">
        <v>2011.0</v>
      </c>
      <c r="F828" s="13">
        <v>146047.0</v>
      </c>
      <c r="G828" s="13">
        <v>83148.1</v>
      </c>
      <c r="H828" s="13">
        <v>62898.899999999994</v>
      </c>
      <c r="I828" s="14">
        <v>0.4306757413709285</v>
      </c>
      <c r="J828" s="3" t="s">
        <v>3</v>
      </c>
      <c r="K828" s="3" t="s">
        <v>28</v>
      </c>
      <c r="L828" s="3" t="s">
        <v>33</v>
      </c>
    </row>
    <row r="829" ht="15.75" customHeight="1">
      <c r="A829" s="3">
        <v>6.40295922E8</v>
      </c>
      <c r="B829" s="3" t="s">
        <v>123</v>
      </c>
      <c r="C829" s="3">
        <v>2.0</v>
      </c>
      <c r="D829" s="10">
        <v>4.0</v>
      </c>
      <c r="E829" s="11">
        <v>2015.0</v>
      </c>
      <c r="F829" s="13">
        <v>1696846.16</v>
      </c>
      <c r="G829" s="13">
        <v>1059664.74</v>
      </c>
      <c r="H829" s="13">
        <v>637181.4199999999</v>
      </c>
      <c r="I829" s="14">
        <v>0.3755092447508618</v>
      </c>
      <c r="J829" s="3" t="s">
        <v>10</v>
      </c>
      <c r="K829" s="3" t="s">
        <v>28</v>
      </c>
      <c r="L829" s="3" t="s">
        <v>33</v>
      </c>
    </row>
    <row r="830" ht="15.75" customHeight="1">
      <c r="A830" s="3">
        <v>6.40394628E8</v>
      </c>
      <c r="B830" s="3" t="s">
        <v>123</v>
      </c>
      <c r="C830" s="3">
        <v>19.0</v>
      </c>
      <c r="D830" s="10">
        <v>10.0</v>
      </c>
      <c r="E830" s="11">
        <v>2015.0</v>
      </c>
      <c r="F830" s="13">
        <v>3813485.7600000002</v>
      </c>
      <c r="G830" s="13">
        <v>3074165.7600000002</v>
      </c>
      <c r="H830" s="13">
        <v>739320.0</v>
      </c>
      <c r="I830" s="14">
        <v>0.19386987300563566</v>
      </c>
      <c r="J830" s="3" t="s">
        <v>7</v>
      </c>
      <c r="K830" s="3" t="s">
        <v>28</v>
      </c>
      <c r="L830" s="3" t="s">
        <v>33</v>
      </c>
    </row>
    <row r="831" ht="15.75" customHeight="1">
      <c r="A831" s="3">
        <v>6.40476596E8</v>
      </c>
      <c r="B831" s="3" t="s">
        <v>349</v>
      </c>
      <c r="C831" s="3">
        <v>3.0</v>
      </c>
      <c r="D831" s="10">
        <v>10.0</v>
      </c>
      <c r="E831" s="11">
        <v>2014.0</v>
      </c>
      <c r="F831" s="13">
        <v>1044.96</v>
      </c>
      <c r="G831" s="13">
        <v>775.04</v>
      </c>
      <c r="H831" s="13">
        <v>269.9200000000001</v>
      </c>
      <c r="I831" s="14">
        <v>0.25830653804930337</v>
      </c>
      <c r="J831" s="3" t="s">
        <v>8</v>
      </c>
      <c r="K831" s="3" t="s">
        <v>28</v>
      </c>
      <c r="L831" s="3" t="s">
        <v>29</v>
      </c>
    </row>
    <row r="832" ht="15.75" customHeight="1">
      <c r="A832" s="3">
        <v>6.41537463E8</v>
      </c>
      <c r="B832" s="3" t="s">
        <v>142</v>
      </c>
      <c r="C832" s="3">
        <v>42.0</v>
      </c>
      <c r="D832" s="10">
        <v>11.0</v>
      </c>
      <c r="E832" s="11">
        <v>2015.0</v>
      </c>
      <c r="F832" s="13">
        <v>2635446.87</v>
      </c>
      <c r="G832" s="13">
        <v>2124513.12</v>
      </c>
      <c r="H832" s="13">
        <v>510933.75</v>
      </c>
      <c r="I832" s="14">
        <v>0.19386987300563566</v>
      </c>
      <c r="J832" s="3" t="s">
        <v>7</v>
      </c>
      <c r="K832" s="3" t="s">
        <v>28</v>
      </c>
      <c r="L832" s="3" t="s">
        <v>98</v>
      </c>
    </row>
    <row r="833" ht="15.75" customHeight="1">
      <c r="A833" s="3">
        <v>6.42123687E8</v>
      </c>
      <c r="B833" s="3" t="s">
        <v>300</v>
      </c>
      <c r="C833" s="3">
        <v>5.0</v>
      </c>
      <c r="D833" s="10">
        <v>5.0</v>
      </c>
      <c r="E833" s="11">
        <v>2011.0</v>
      </c>
      <c r="F833" s="13">
        <v>356966.35000000003</v>
      </c>
      <c r="G833" s="13">
        <v>239156.16999999998</v>
      </c>
      <c r="H833" s="13">
        <v>117810.18000000005</v>
      </c>
      <c r="I833" s="14">
        <v>0.33003161222339317</v>
      </c>
      <c r="J833" s="3" t="s">
        <v>6</v>
      </c>
      <c r="K833" s="3" t="s">
        <v>28</v>
      </c>
      <c r="L833" s="3" t="s">
        <v>33</v>
      </c>
    </row>
    <row r="834" ht="15.75" customHeight="1">
      <c r="A834" s="3">
        <v>6.4295367E8</v>
      </c>
      <c r="B834" s="3" t="s">
        <v>512</v>
      </c>
      <c r="C834" s="3">
        <v>43.0</v>
      </c>
      <c r="D834" s="10">
        <v>10.0</v>
      </c>
      <c r="E834" s="11">
        <v>2015.0</v>
      </c>
      <c r="F834" s="13">
        <v>148708.30000000002</v>
      </c>
      <c r="G834" s="13">
        <v>99629.86</v>
      </c>
      <c r="H834" s="13">
        <v>49078.44000000002</v>
      </c>
      <c r="I834" s="14">
        <v>0.3300316122233931</v>
      </c>
      <c r="J834" s="3" t="s">
        <v>6</v>
      </c>
      <c r="K834" s="3" t="s">
        <v>28</v>
      </c>
      <c r="L834" s="3" t="s">
        <v>79</v>
      </c>
    </row>
    <row r="835" ht="15.75" customHeight="1">
      <c r="A835" s="3">
        <v>6.43027484E8</v>
      </c>
      <c r="B835" s="3" t="s">
        <v>349</v>
      </c>
      <c r="C835" s="3">
        <v>7.0</v>
      </c>
      <c r="D835" s="10">
        <v>5.0</v>
      </c>
      <c r="E835" s="11">
        <v>2011.0</v>
      </c>
      <c r="F835" s="13">
        <v>2099746.53</v>
      </c>
      <c r="G835" s="13">
        <v>1815062.13</v>
      </c>
      <c r="H835" s="13">
        <v>284684.3999999999</v>
      </c>
      <c r="I835" s="14">
        <v>0.13558036455000116</v>
      </c>
      <c r="J835" s="3" t="s">
        <v>11</v>
      </c>
      <c r="K835" s="3" t="s">
        <v>28</v>
      </c>
      <c r="L835" s="3" t="s">
        <v>29</v>
      </c>
    </row>
    <row r="836" ht="15.75" customHeight="1">
      <c r="A836" s="3">
        <v>6.43259227E8</v>
      </c>
      <c r="B836" s="3" t="s">
        <v>689</v>
      </c>
      <c r="C836" s="3">
        <v>0.0</v>
      </c>
      <c r="D836" s="10">
        <v>4.0</v>
      </c>
      <c r="E836" s="11">
        <v>2012.0</v>
      </c>
      <c r="F836" s="13">
        <v>1499818.95</v>
      </c>
      <c r="G836" s="13">
        <v>1296472.95</v>
      </c>
      <c r="H836" s="13">
        <v>203346.0</v>
      </c>
      <c r="I836" s="14">
        <v>0.1355803645500012</v>
      </c>
      <c r="J836" s="3" t="s">
        <v>11</v>
      </c>
      <c r="K836" s="3" t="s">
        <v>28</v>
      </c>
      <c r="L836" s="3" t="s">
        <v>79</v>
      </c>
    </row>
    <row r="837" ht="15.75" customHeight="1">
      <c r="A837" s="3">
        <v>6.43448483E8</v>
      </c>
      <c r="B837" s="3" t="s">
        <v>300</v>
      </c>
      <c r="C837" s="3">
        <v>16.0</v>
      </c>
      <c r="D837" s="10">
        <v>7.0</v>
      </c>
      <c r="E837" s="11">
        <v>2017.0</v>
      </c>
      <c r="F837" s="13">
        <v>89194.8</v>
      </c>
      <c r="G837" s="13">
        <v>66155.2</v>
      </c>
      <c r="H837" s="13">
        <v>23039.600000000006</v>
      </c>
      <c r="I837" s="14">
        <v>0.25830653804930337</v>
      </c>
      <c r="J837" s="3" t="s">
        <v>8</v>
      </c>
      <c r="K837" s="3" t="s">
        <v>28</v>
      </c>
      <c r="L837" s="3" t="s">
        <v>33</v>
      </c>
    </row>
    <row r="838" ht="15.75" customHeight="1">
      <c r="A838" s="3">
        <v>6.43770778E8</v>
      </c>
      <c r="B838" s="3" t="s">
        <v>288</v>
      </c>
      <c r="C838" s="3">
        <v>7.0</v>
      </c>
      <c r="D838" s="10">
        <v>7.0</v>
      </c>
      <c r="E838" s="11">
        <v>2015.0</v>
      </c>
      <c r="F838" s="13">
        <v>403255.82</v>
      </c>
      <c r="G838" s="13">
        <v>279609.78</v>
      </c>
      <c r="H838" s="13">
        <v>123646.03999999998</v>
      </c>
      <c r="I838" s="14">
        <v>0.3066193564174721</v>
      </c>
      <c r="J838" s="3" t="s">
        <v>14</v>
      </c>
      <c r="K838" s="3" t="s">
        <v>23</v>
      </c>
      <c r="L838" s="3" t="s">
        <v>68</v>
      </c>
    </row>
    <row r="839" ht="15.75" customHeight="1">
      <c r="A839" s="3">
        <v>6.44592607E8</v>
      </c>
      <c r="B839" s="3" t="s">
        <v>97</v>
      </c>
      <c r="C839" s="3">
        <v>25.0</v>
      </c>
      <c r="D839" s="10">
        <v>7.0</v>
      </c>
      <c r="E839" s="11">
        <v>2016.0</v>
      </c>
      <c r="F839" s="13">
        <v>5294988.510000001</v>
      </c>
      <c r="G839" s="13">
        <v>4268449.760000001</v>
      </c>
      <c r="H839" s="13">
        <v>1026538.75</v>
      </c>
      <c r="I839" s="14">
        <v>0.19386987300563563</v>
      </c>
      <c r="J839" s="3" t="s">
        <v>7</v>
      </c>
      <c r="K839" s="3" t="s">
        <v>28</v>
      </c>
      <c r="L839" s="3" t="s">
        <v>98</v>
      </c>
    </row>
    <row r="840" ht="15.75" customHeight="1">
      <c r="A840" s="3">
        <v>6.45111024E8</v>
      </c>
      <c r="B840" s="3" t="s">
        <v>300</v>
      </c>
      <c r="C840" s="3">
        <v>14.0</v>
      </c>
      <c r="D840" s="10">
        <v>9.0</v>
      </c>
      <c r="E840" s="11">
        <v>2016.0</v>
      </c>
      <c r="F840" s="13">
        <v>650976.27</v>
      </c>
      <c r="G840" s="13">
        <v>562716.67</v>
      </c>
      <c r="H840" s="13">
        <v>88259.59999999998</v>
      </c>
      <c r="I840" s="14">
        <v>0.13558036455000114</v>
      </c>
      <c r="J840" s="3" t="s">
        <v>11</v>
      </c>
      <c r="K840" s="3" t="s">
        <v>28</v>
      </c>
      <c r="L840" s="3" t="s">
        <v>33</v>
      </c>
    </row>
    <row r="841" ht="15.75" customHeight="1">
      <c r="A841" s="3">
        <v>6.45309722E8</v>
      </c>
      <c r="B841" s="3" t="s">
        <v>67</v>
      </c>
      <c r="C841" s="3">
        <v>36.0</v>
      </c>
      <c r="D841" s="10">
        <v>10.0</v>
      </c>
      <c r="E841" s="11">
        <v>2016.0</v>
      </c>
      <c r="F841" s="13">
        <v>144286.38</v>
      </c>
      <c r="G841" s="13">
        <v>124723.98</v>
      </c>
      <c r="H841" s="13">
        <v>19562.40000000001</v>
      </c>
      <c r="I841" s="14">
        <v>0.13558036455000125</v>
      </c>
      <c r="J841" s="3" t="s">
        <v>11</v>
      </c>
      <c r="K841" s="3" t="s">
        <v>23</v>
      </c>
      <c r="L841" s="3" t="s">
        <v>68</v>
      </c>
    </row>
    <row r="842" ht="15.75" customHeight="1">
      <c r="A842" s="3">
        <v>6.45701968E8</v>
      </c>
      <c r="B842" s="3" t="s">
        <v>542</v>
      </c>
      <c r="C842" s="3">
        <v>31.0</v>
      </c>
      <c r="D842" s="10">
        <v>6.0</v>
      </c>
      <c r="E842" s="11">
        <v>2013.0</v>
      </c>
      <c r="F842" s="13">
        <v>1319771.2</v>
      </c>
      <c r="G842" s="13">
        <v>751377.76</v>
      </c>
      <c r="H842" s="13">
        <v>568393.44</v>
      </c>
      <c r="I842" s="14">
        <v>0.4306757413709285</v>
      </c>
      <c r="J842" s="3" t="s">
        <v>3</v>
      </c>
      <c r="K842" s="3" t="s">
        <v>28</v>
      </c>
      <c r="L842" s="3" t="s">
        <v>29</v>
      </c>
    </row>
    <row r="843" ht="15.75" customHeight="1">
      <c r="A843" s="3">
        <v>6.45956456E8</v>
      </c>
      <c r="B843" s="3" t="s">
        <v>575</v>
      </c>
      <c r="C843" s="3">
        <v>48.0</v>
      </c>
      <c r="D843" s="10">
        <v>2.0</v>
      </c>
      <c r="E843" s="11">
        <v>2016.0</v>
      </c>
      <c r="F843" s="13">
        <v>440358.0</v>
      </c>
      <c r="G843" s="13">
        <v>274999.5</v>
      </c>
      <c r="H843" s="13">
        <v>165358.5</v>
      </c>
      <c r="I843" s="14">
        <v>0.3755092447508618</v>
      </c>
      <c r="J843" s="3" t="s">
        <v>10</v>
      </c>
      <c r="K843" s="3" t="s">
        <v>28</v>
      </c>
      <c r="L843" s="3" t="s">
        <v>98</v>
      </c>
    </row>
    <row r="844" ht="15.75" customHeight="1">
      <c r="A844" s="3">
        <v>6.46691596E8</v>
      </c>
      <c r="B844" s="3" t="s">
        <v>78</v>
      </c>
      <c r="C844" s="3">
        <v>29.0</v>
      </c>
      <c r="D844" s="10">
        <v>11.0</v>
      </c>
      <c r="E844" s="11">
        <v>2016.0</v>
      </c>
      <c r="F844" s="13">
        <v>439814.05000000005</v>
      </c>
      <c r="G844" s="13">
        <v>294661.51</v>
      </c>
      <c r="H844" s="13">
        <v>145152.54000000004</v>
      </c>
      <c r="I844" s="14">
        <v>0.3300316122233931</v>
      </c>
      <c r="J844" s="3" t="s">
        <v>6</v>
      </c>
      <c r="K844" s="3" t="s">
        <v>28</v>
      </c>
      <c r="L844" s="3" t="s">
        <v>79</v>
      </c>
    </row>
    <row r="845" ht="15.75" customHeight="1">
      <c r="A845" s="3">
        <v>6.46981704E8</v>
      </c>
      <c r="B845" s="3" t="s">
        <v>267</v>
      </c>
      <c r="C845" s="3">
        <v>41.0</v>
      </c>
      <c r="D845" s="10">
        <v>10.0</v>
      </c>
      <c r="E845" s="11">
        <v>2010.0</v>
      </c>
      <c r="F845" s="13">
        <v>1306523.04</v>
      </c>
      <c r="G845" s="13">
        <v>815911.5599999999</v>
      </c>
      <c r="H845" s="13">
        <v>490611.4800000001</v>
      </c>
      <c r="I845" s="14">
        <v>0.37550924475086184</v>
      </c>
      <c r="J845" s="3" t="s">
        <v>10</v>
      </c>
      <c r="K845" s="3" t="s">
        <v>28</v>
      </c>
      <c r="L845" s="3" t="s">
        <v>29</v>
      </c>
    </row>
    <row r="846" ht="15.75" customHeight="1">
      <c r="A846" s="3">
        <v>6.47943866E8</v>
      </c>
      <c r="B846" s="3" t="s">
        <v>32</v>
      </c>
      <c r="C846" s="3">
        <v>11.0</v>
      </c>
      <c r="D846" s="10">
        <v>4.0</v>
      </c>
      <c r="E846" s="11">
        <v>2011.0</v>
      </c>
      <c r="F846" s="13">
        <v>1075643.04</v>
      </c>
      <c r="G846" s="13">
        <v>352773.12000000005</v>
      </c>
      <c r="H846" s="13">
        <v>722869.9199999999</v>
      </c>
      <c r="I846" s="14">
        <v>0.67203513909224</v>
      </c>
      <c r="J846" s="3" t="s">
        <v>5</v>
      </c>
      <c r="K846" s="3" t="s">
        <v>28</v>
      </c>
      <c r="L846" s="3" t="s">
        <v>33</v>
      </c>
    </row>
    <row r="847" ht="15.75" customHeight="1">
      <c r="A847" s="3">
        <v>6.50078475E8</v>
      </c>
      <c r="B847" s="3" t="s">
        <v>206</v>
      </c>
      <c r="C847" s="3">
        <v>9.0</v>
      </c>
      <c r="D847" s="10">
        <v>6.0</v>
      </c>
      <c r="E847" s="11">
        <v>2010.0</v>
      </c>
      <c r="F847" s="13">
        <v>991141.6200000001</v>
      </c>
      <c r="G847" s="13">
        <v>798989.1200000001</v>
      </c>
      <c r="H847" s="13">
        <v>192152.5</v>
      </c>
      <c r="I847" s="14">
        <v>0.19386987300563563</v>
      </c>
      <c r="J847" s="3" t="s">
        <v>7</v>
      </c>
      <c r="K847" s="3" t="s">
        <v>28</v>
      </c>
      <c r="L847" s="3" t="s">
        <v>33</v>
      </c>
    </row>
    <row r="848" ht="15.75" customHeight="1">
      <c r="A848" s="3">
        <v>6.50208079E8</v>
      </c>
      <c r="B848" s="3" t="s">
        <v>248</v>
      </c>
      <c r="C848" s="3">
        <v>19.0</v>
      </c>
      <c r="D848" s="10">
        <v>2.0</v>
      </c>
      <c r="E848" s="11">
        <v>2016.0</v>
      </c>
      <c r="F848" s="13">
        <v>468568.75</v>
      </c>
      <c r="G848" s="13">
        <v>313926.25</v>
      </c>
      <c r="H848" s="13">
        <v>154642.5</v>
      </c>
      <c r="I848" s="14">
        <v>0.33003161222339306</v>
      </c>
      <c r="J848" s="3" t="s">
        <v>6</v>
      </c>
      <c r="K848" s="3" t="s">
        <v>28</v>
      </c>
      <c r="L848" s="3" t="s">
        <v>29</v>
      </c>
    </row>
    <row r="849" ht="15.75" customHeight="1">
      <c r="A849" s="3">
        <v>6.51247489E8</v>
      </c>
      <c r="B849" s="3" t="s">
        <v>142</v>
      </c>
      <c r="C849" s="3">
        <v>21.0</v>
      </c>
      <c r="D849" s="10">
        <v>6.0</v>
      </c>
      <c r="E849" s="11">
        <v>2014.0</v>
      </c>
      <c r="F849" s="13">
        <v>1149133.54</v>
      </c>
      <c r="G849" s="13">
        <v>678246.87</v>
      </c>
      <c r="H849" s="13">
        <v>470886.67000000004</v>
      </c>
      <c r="I849" s="14">
        <v>0.4097754121770739</v>
      </c>
      <c r="J849" s="3" t="s">
        <v>9</v>
      </c>
      <c r="K849" s="3" t="s">
        <v>28</v>
      </c>
      <c r="L849" s="3" t="s">
        <v>98</v>
      </c>
    </row>
    <row r="850" ht="15.75" customHeight="1">
      <c r="A850" s="3">
        <v>6.51895511E8</v>
      </c>
      <c r="B850" s="3" t="s">
        <v>428</v>
      </c>
      <c r="C850" s="3">
        <v>20.0</v>
      </c>
      <c r="D850" s="10">
        <v>10.0</v>
      </c>
      <c r="E850" s="11">
        <v>2012.0</v>
      </c>
      <c r="F850" s="13">
        <v>2354447.44</v>
      </c>
      <c r="G850" s="13">
        <v>1470330.66</v>
      </c>
      <c r="H850" s="13">
        <v>884116.78</v>
      </c>
      <c r="I850" s="14">
        <v>0.37550924475086184</v>
      </c>
      <c r="J850" s="3" t="s">
        <v>10</v>
      </c>
      <c r="K850" s="3" t="s">
        <v>28</v>
      </c>
      <c r="L850" s="3" t="s">
        <v>79</v>
      </c>
    </row>
    <row r="851" ht="15.75" customHeight="1">
      <c r="A851" s="3">
        <v>6.52252137E8</v>
      </c>
      <c r="B851" s="3" t="s">
        <v>746</v>
      </c>
      <c r="C851" s="3">
        <v>19.0</v>
      </c>
      <c r="D851" s="10">
        <v>9.0</v>
      </c>
      <c r="E851" s="11">
        <v>2010.0</v>
      </c>
      <c r="F851" s="13">
        <v>732863.42</v>
      </c>
      <c r="G851" s="13">
        <v>432554.01</v>
      </c>
      <c r="H851" s="13">
        <v>300309.41000000003</v>
      </c>
      <c r="I851" s="14">
        <v>0.40977541217707386</v>
      </c>
      <c r="J851" s="3" t="s">
        <v>9</v>
      </c>
      <c r="K851" s="3" t="s">
        <v>28</v>
      </c>
      <c r="L851" s="3" t="s">
        <v>29</v>
      </c>
    </row>
    <row r="852" ht="15.75" customHeight="1">
      <c r="A852" s="3">
        <v>6.52501904E8</v>
      </c>
      <c r="B852" s="3" t="s">
        <v>653</v>
      </c>
      <c r="C852" s="3">
        <v>33.0</v>
      </c>
      <c r="D852" s="10">
        <v>2.0</v>
      </c>
      <c r="E852" s="11">
        <v>2012.0</v>
      </c>
      <c r="F852" s="13">
        <v>1783007.5999999999</v>
      </c>
      <c r="G852" s="13">
        <v>1015109.48</v>
      </c>
      <c r="H852" s="13">
        <v>767898.1199999999</v>
      </c>
      <c r="I852" s="14">
        <v>0.4306757413709285</v>
      </c>
      <c r="J852" s="3" t="s">
        <v>3</v>
      </c>
      <c r="K852" s="3" t="s">
        <v>28</v>
      </c>
      <c r="L852" s="3" t="s">
        <v>33</v>
      </c>
    </row>
    <row r="853" ht="15.75" customHeight="1">
      <c r="A853" s="3">
        <v>6.5308727E8</v>
      </c>
      <c r="B853" s="3" t="s">
        <v>32</v>
      </c>
      <c r="C853" s="3">
        <v>5.0</v>
      </c>
      <c r="D853" s="10">
        <v>12.0</v>
      </c>
      <c r="E853" s="11">
        <v>2010.0</v>
      </c>
      <c r="F853" s="13">
        <v>288528.78</v>
      </c>
      <c r="G853" s="13">
        <v>184259.04</v>
      </c>
      <c r="H853" s="13">
        <v>104269.74000000002</v>
      </c>
      <c r="I853" s="14">
        <v>0.3613841918993315</v>
      </c>
      <c r="J853" s="3" t="s">
        <v>13</v>
      </c>
      <c r="K853" s="3" t="s">
        <v>28</v>
      </c>
      <c r="L853" s="3" t="s">
        <v>33</v>
      </c>
    </row>
    <row r="854" ht="15.75" customHeight="1">
      <c r="A854" s="3">
        <v>6.53152501E8</v>
      </c>
      <c r="B854" s="3" t="s">
        <v>536</v>
      </c>
      <c r="C854" s="3">
        <v>5.0</v>
      </c>
      <c r="D854" s="10">
        <v>12.0</v>
      </c>
      <c r="E854" s="11">
        <v>2015.0</v>
      </c>
      <c r="F854" s="13">
        <v>56655.3</v>
      </c>
      <c r="G854" s="13">
        <v>37957.26</v>
      </c>
      <c r="H854" s="13">
        <v>18698.04</v>
      </c>
      <c r="I854" s="14">
        <v>0.33003161222339306</v>
      </c>
      <c r="J854" s="3" t="s">
        <v>6</v>
      </c>
      <c r="K854" s="3" t="s">
        <v>28</v>
      </c>
      <c r="L854" s="3" t="s">
        <v>33</v>
      </c>
    </row>
    <row r="855" ht="15.75" customHeight="1">
      <c r="A855" s="3">
        <v>6.5354861E8</v>
      </c>
      <c r="B855" s="3" t="s">
        <v>248</v>
      </c>
      <c r="C855" s="3">
        <v>12.0</v>
      </c>
      <c r="D855" s="10">
        <v>2.0</v>
      </c>
      <c r="E855" s="11">
        <v>2017.0</v>
      </c>
      <c r="F855" s="13">
        <v>399149.4</v>
      </c>
      <c r="G855" s="13">
        <v>267417.48</v>
      </c>
      <c r="H855" s="13">
        <v>131731.92000000004</v>
      </c>
      <c r="I855" s="14">
        <v>0.3300316122233931</v>
      </c>
      <c r="J855" s="3" t="s">
        <v>6</v>
      </c>
      <c r="K855" s="3" t="s">
        <v>28</v>
      </c>
      <c r="L855" s="3" t="s">
        <v>29</v>
      </c>
    </row>
    <row r="856" ht="15.75" customHeight="1">
      <c r="A856" s="3">
        <v>6.53800523E8</v>
      </c>
      <c r="B856" s="3" t="s">
        <v>689</v>
      </c>
      <c r="C856" s="3">
        <v>4.0</v>
      </c>
      <c r="D856" s="10">
        <v>4.0</v>
      </c>
      <c r="E856" s="11">
        <v>2014.0</v>
      </c>
      <c r="F856" s="13">
        <v>241757.34000000003</v>
      </c>
      <c r="G856" s="13">
        <v>167629.86000000002</v>
      </c>
      <c r="H856" s="13">
        <v>74127.48000000001</v>
      </c>
      <c r="I856" s="14">
        <v>0.3066193564174722</v>
      </c>
      <c r="J856" s="3" t="s">
        <v>14</v>
      </c>
      <c r="K856" s="3" t="s">
        <v>28</v>
      </c>
      <c r="L856" s="3" t="s">
        <v>79</v>
      </c>
    </row>
    <row r="857" ht="15.75" customHeight="1">
      <c r="A857" s="3">
        <v>6.53909957E8</v>
      </c>
      <c r="B857" s="3" t="s">
        <v>650</v>
      </c>
      <c r="C857" s="3">
        <v>14.0</v>
      </c>
      <c r="D857" s="10">
        <v>3.0</v>
      </c>
      <c r="E857" s="11">
        <v>2016.0</v>
      </c>
      <c r="F857" s="13">
        <v>3478763.8200000003</v>
      </c>
      <c r="G857" s="13">
        <v>2804336.3200000003</v>
      </c>
      <c r="H857" s="13">
        <v>674427.5</v>
      </c>
      <c r="I857" s="14">
        <v>0.19386987300563566</v>
      </c>
      <c r="J857" s="3" t="s">
        <v>7</v>
      </c>
      <c r="K857" s="3" t="s">
        <v>28</v>
      </c>
      <c r="L857" s="3" t="s">
        <v>98</v>
      </c>
    </row>
    <row r="858" ht="15.75" customHeight="1">
      <c r="A858" s="3">
        <v>6.53920686E8</v>
      </c>
      <c r="B858" s="3" t="s">
        <v>590</v>
      </c>
      <c r="C858" s="3">
        <v>7.0</v>
      </c>
      <c r="D858" s="10">
        <v>1.0</v>
      </c>
      <c r="E858" s="11">
        <v>2010.0</v>
      </c>
      <c r="F858" s="13">
        <v>1299523.86</v>
      </c>
      <c r="G858" s="13">
        <v>829896.48</v>
      </c>
      <c r="H858" s="13">
        <v>469627.3800000001</v>
      </c>
      <c r="I858" s="14">
        <v>0.3613841918993316</v>
      </c>
      <c r="J858" s="3" t="s">
        <v>13</v>
      </c>
      <c r="K858" s="3" t="s">
        <v>28</v>
      </c>
      <c r="L858" s="3" t="s">
        <v>98</v>
      </c>
    </row>
    <row r="859" ht="15.75" customHeight="1">
      <c r="A859" s="3">
        <v>6.5528711E8</v>
      </c>
      <c r="B859" s="3" t="s">
        <v>578</v>
      </c>
      <c r="C859" s="3">
        <v>4.0</v>
      </c>
      <c r="D859" s="10">
        <v>2.0</v>
      </c>
      <c r="E859" s="11">
        <v>2015.0</v>
      </c>
      <c r="F859" s="13">
        <v>1919939.71</v>
      </c>
      <c r="G859" s="13">
        <v>1443797.4200000002</v>
      </c>
      <c r="H859" s="13">
        <v>476142.2899999998</v>
      </c>
      <c r="I859" s="14">
        <v>0.24799856345489088</v>
      </c>
      <c r="J859" s="3" t="s">
        <v>4</v>
      </c>
      <c r="K859" s="3" t="s">
        <v>28</v>
      </c>
      <c r="L859" s="3" t="s">
        <v>33</v>
      </c>
    </row>
    <row r="860" ht="15.75" customHeight="1">
      <c r="A860" s="3">
        <v>6.55328738E8</v>
      </c>
      <c r="B860" s="3" t="s">
        <v>575</v>
      </c>
      <c r="C860" s="3">
        <v>40.0</v>
      </c>
      <c r="D860" s="10">
        <v>2.0</v>
      </c>
      <c r="E860" s="11">
        <v>2014.0</v>
      </c>
      <c r="F860" s="13">
        <v>1067788.7</v>
      </c>
      <c r="G860" s="13">
        <v>607918.01</v>
      </c>
      <c r="H860" s="13">
        <v>459870.68999999994</v>
      </c>
      <c r="I860" s="14">
        <v>0.4306757413709285</v>
      </c>
      <c r="J860" s="3" t="s">
        <v>3</v>
      </c>
      <c r="K860" s="3" t="s">
        <v>28</v>
      </c>
      <c r="L860" s="3" t="s">
        <v>98</v>
      </c>
    </row>
    <row r="861" ht="15.75" customHeight="1">
      <c r="A861" s="3">
        <v>6.56244552E8</v>
      </c>
      <c r="B861" s="3" t="s">
        <v>300</v>
      </c>
      <c r="C861" s="3">
        <v>22.0</v>
      </c>
      <c r="D861" s="10">
        <v>5.0</v>
      </c>
      <c r="E861" s="11">
        <v>2014.0</v>
      </c>
      <c r="F861" s="13">
        <v>57855.33</v>
      </c>
      <c r="G861" s="13">
        <v>42910.92</v>
      </c>
      <c r="H861" s="13">
        <v>14944.410000000003</v>
      </c>
      <c r="I861" s="14">
        <v>0.25830653804930337</v>
      </c>
      <c r="J861" s="3" t="s">
        <v>8</v>
      </c>
      <c r="K861" s="3" t="s">
        <v>28</v>
      </c>
      <c r="L861" s="3" t="s">
        <v>33</v>
      </c>
    </row>
    <row r="862" ht="15.75" customHeight="1">
      <c r="A862" s="3">
        <v>6.56689155E8</v>
      </c>
      <c r="B862" s="3" t="s">
        <v>686</v>
      </c>
      <c r="C862" s="3">
        <v>46.0</v>
      </c>
      <c r="D862" s="10">
        <v>6.0</v>
      </c>
      <c r="E862" s="11">
        <v>2011.0</v>
      </c>
      <c r="F862" s="13">
        <v>5191789.63</v>
      </c>
      <c r="G862" s="13">
        <v>3904233.2600000002</v>
      </c>
      <c r="H862" s="13">
        <v>1287556.3699999996</v>
      </c>
      <c r="I862" s="14">
        <v>0.24799856345489094</v>
      </c>
      <c r="J862" s="3" t="s">
        <v>4</v>
      </c>
      <c r="K862" s="3" t="s">
        <v>28</v>
      </c>
      <c r="L862" s="3" t="s">
        <v>29</v>
      </c>
    </row>
    <row r="863" ht="15.75" customHeight="1">
      <c r="A863" s="3">
        <v>6.59193694E8</v>
      </c>
      <c r="B863" s="3" t="s">
        <v>635</v>
      </c>
      <c r="C863" s="3">
        <v>11.0</v>
      </c>
      <c r="D863" s="10">
        <v>5.0</v>
      </c>
      <c r="E863" s="11">
        <v>2015.0</v>
      </c>
      <c r="F863" s="13">
        <v>5807490.78</v>
      </c>
      <c r="G863" s="13">
        <v>4681593.28</v>
      </c>
      <c r="H863" s="13">
        <v>1125897.5</v>
      </c>
      <c r="I863" s="14">
        <v>0.19386987300563566</v>
      </c>
      <c r="J863" s="3" t="s">
        <v>7</v>
      </c>
      <c r="K863" s="3" t="s">
        <v>28</v>
      </c>
      <c r="L863" s="3" t="s">
        <v>33</v>
      </c>
    </row>
    <row r="864" ht="15.75" customHeight="1">
      <c r="A864" s="3">
        <v>6.59196269E8</v>
      </c>
      <c r="B864" s="3" t="s">
        <v>206</v>
      </c>
      <c r="C864" s="3">
        <v>36.0</v>
      </c>
      <c r="D864" s="10">
        <v>4.0</v>
      </c>
      <c r="E864" s="11">
        <v>2013.0</v>
      </c>
      <c r="F864" s="13">
        <v>6468853.6</v>
      </c>
      <c r="G864" s="13">
        <v>4864587.2</v>
      </c>
      <c r="H864" s="13">
        <v>1604266.3999999994</v>
      </c>
      <c r="I864" s="14">
        <v>0.2479985634548909</v>
      </c>
      <c r="J864" s="3" t="s">
        <v>4</v>
      </c>
      <c r="K864" s="3" t="s">
        <v>28</v>
      </c>
      <c r="L864" s="3" t="s">
        <v>33</v>
      </c>
    </row>
    <row r="865" ht="15.75" customHeight="1">
      <c r="A865" s="3">
        <v>6.59671771E8</v>
      </c>
      <c r="B865" s="3" t="s">
        <v>593</v>
      </c>
      <c r="C865" s="3">
        <v>1.0</v>
      </c>
      <c r="D865" s="10">
        <v>7.0</v>
      </c>
      <c r="E865" s="11">
        <v>2015.0</v>
      </c>
      <c r="F865" s="13">
        <v>170945.19999999998</v>
      </c>
      <c r="G865" s="13">
        <v>102962.03</v>
      </c>
      <c r="H865" s="13">
        <v>67983.16999999998</v>
      </c>
      <c r="I865" s="14">
        <v>0.3976898444647758</v>
      </c>
      <c r="J865" s="3" t="s">
        <v>12</v>
      </c>
      <c r="K865" s="3" t="s">
        <v>28</v>
      </c>
      <c r="L865" s="3" t="s">
        <v>98</v>
      </c>
    </row>
    <row r="866" ht="15.75" customHeight="1">
      <c r="A866" s="3">
        <v>6.60312926E8</v>
      </c>
      <c r="B866" s="3" t="s">
        <v>248</v>
      </c>
      <c r="C866" s="3">
        <v>18.0</v>
      </c>
      <c r="D866" s="10">
        <v>12.0</v>
      </c>
      <c r="E866" s="11">
        <v>2016.0</v>
      </c>
      <c r="F866" s="13">
        <v>13441.44</v>
      </c>
      <c r="G866" s="13">
        <v>4408.320000000001</v>
      </c>
      <c r="H866" s="13">
        <v>9033.119999999999</v>
      </c>
      <c r="I866" s="14">
        <v>0.67203513909224</v>
      </c>
      <c r="J866" s="3" t="s">
        <v>5</v>
      </c>
      <c r="K866" s="3" t="s">
        <v>28</v>
      </c>
      <c r="L866" s="3" t="s">
        <v>29</v>
      </c>
    </row>
    <row r="867" ht="15.75" customHeight="1">
      <c r="A867" s="3">
        <v>6.60481584E8</v>
      </c>
      <c r="B867" s="3" t="s">
        <v>740</v>
      </c>
      <c r="C867" s="3">
        <v>40.0</v>
      </c>
      <c r="D867" s="10">
        <v>3.0</v>
      </c>
      <c r="E867" s="11">
        <v>2016.0</v>
      </c>
      <c r="F867" s="13">
        <v>21489.93</v>
      </c>
      <c r="G867" s="13">
        <v>17323.68</v>
      </c>
      <c r="H867" s="13">
        <v>4166.25</v>
      </c>
      <c r="I867" s="14">
        <v>0.19386987300563566</v>
      </c>
      <c r="J867" s="3" t="s">
        <v>7</v>
      </c>
      <c r="K867" s="3" t="s">
        <v>28</v>
      </c>
      <c r="L867" s="3" t="s">
        <v>98</v>
      </c>
    </row>
    <row r="868" ht="15.75" customHeight="1">
      <c r="A868" s="3">
        <v>6.62623488E8</v>
      </c>
      <c r="B868" s="3" t="s">
        <v>455</v>
      </c>
      <c r="C868" s="3">
        <v>15.0</v>
      </c>
      <c r="D868" s="10">
        <v>6.0</v>
      </c>
      <c r="E868" s="11">
        <v>2014.0</v>
      </c>
      <c r="F868" s="13">
        <v>1632714.3</v>
      </c>
      <c r="G868" s="13">
        <v>1411350.3</v>
      </c>
      <c r="H868" s="13">
        <v>221364.0</v>
      </c>
      <c r="I868" s="14">
        <v>0.1355803645500012</v>
      </c>
      <c r="J868" s="3" t="s">
        <v>11</v>
      </c>
      <c r="K868" s="3" t="s">
        <v>28</v>
      </c>
      <c r="L868" s="3" t="s">
        <v>33</v>
      </c>
    </row>
    <row r="869" ht="15.75" customHeight="1">
      <c r="A869" s="3">
        <v>6.63080108E8</v>
      </c>
      <c r="B869" s="3" t="s">
        <v>578</v>
      </c>
      <c r="C869" s="3">
        <v>19.0</v>
      </c>
      <c r="D869" s="10">
        <v>11.0</v>
      </c>
      <c r="E869" s="11">
        <v>2011.0</v>
      </c>
      <c r="F869" s="13">
        <v>3794478.6599999997</v>
      </c>
      <c r="G869" s="13">
        <v>3280021.86</v>
      </c>
      <c r="H869" s="13">
        <v>514456.7999999998</v>
      </c>
      <c r="I869" s="14">
        <v>0.13558036455000114</v>
      </c>
      <c r="J869" s="3" t="s">
        <v>11</v>
      </c>
      <c r="K869" s="3" t="s">
        <v>28</v>
      </c>
      <c r="L869" s="3" t="s">
        <v>33</v>
      </c>
    </row>
    <row r="870" ht="15.75" customHeight="1">
      <c r="A870" s="3">
        <v>6.65786778E8</v>
      </c>
      <c r="B870" s="3" t="s">
        <v>590</v>
      </c>
      <c r="C870" s="3">
        <v>22.0</v>
      </c>
      <c r="D870" s="10">
        <v>7.0</v>
      </c>
      <c r="E870" s="11">
        <v>2010.0</v>
      </c>
      <c r="F870" s="13">
        <v>92908.14</v>
      </c>
      <c r="G870" s="13">
        <v>68909.36</v>
      </c>
      <c r="H870" s="13">
        <v>23998.78</v>
      </c>
      <c r="I870" s="14">
        <v>0.2583065380493033</v>
      </c>
      <c r="J870" s="3" t="s">
        <v>8</v>
      </c>
      <c r="K870" s="3" t="s">
        <v>28</v>
      </c>
      <c r="L870" s="3" t="s">
        <v>98</v>
      </c>
    </row>
    <row r="871" ht="15.75" customHeight="1">
      <c r="A871" s="3">
        <v>6.65817677E8</v>
      </c>
      <c r="B871" s="3" t="s">
        <v>635</v>
      </c>
      <c r="C871" s="3">
        <v>14.0</v>
      </c>
      <c r="D871" s="10">
        <v>9.0</v>
      </c>
      <c r="E871" s="11">
        <v>2015.0</v>
      </c>
      <c r="F871" s="13">
        <v>84921.66</v>
      </c>
      <c r="G871" s="13">
        <v>62985.84</v>
      </c>
      <c r="H871" s="13">
        <v>21935.820000000007</v>
      </c>
      <c r="I871" s="14">
        <v>0.25830653804930337</v>
      </c>
      <c r="J871" s="3" t="s">
        <v>8</v>
      </c>
      <c r="K871" s="3" t="s">
        <v>28</v>
      </c>
      <c r="L871" s="3" t="s">
        <v>33</v>
      </c>
    </row>
    <row r="872" ht="15.75" customHeight="1">
      <c r="A872" s="3">
        <v>6.66483724E8</v>
      </c>
      <c r="B872" s="3" t="s">
        <v>536</v>
      </c>
      <c r="C872" s="3">
        <v>34.0</v>
      </c>
      <c r="D872" s="10">
        <v>7.0</v>
      </c>
      <c r="E872" s="11">
        <v>2014.0</v>
      </c>
      <c r="F872" s="13">
        <v>4142605.73</v>
      </c>
      <c r="G872" s="13">
        <v>3115245.46</v>
      </c>
      <c r="H872" s="13">
        <v>1027360.27</v>
      </c>
      <c r="I872" s="14">
        <v>0.247998563454891</v>
      </c>
      <c r="J872" s="3" t="s">
        <v>4</v>
      </c>
      <c r="K872" s="3" t="s">
        <v>28</v>
      </c>
      <c r="L872" s="3" t="s">
        <v>33</v>
      </c>
    </row>
    <row r="873" ht="15.75" customHeight="1">
      <c r="A873" s="3">
        <v>6.6692146E8</v>
      </c>
      <c r="B873" s="3" t="s">
        <v>221</v>
      </c>
      <c r="C873" s="3">
        <v>26.0</v>
      </c>
      <c r="D873" s="10">
        <v>9.0</v>
      </c>
      <c r="E873" s="11">
        <v>2014.0</v>
      </c>
      <c r="F873" s="13">
        <v>1179689.5</v>
      </c>
      <c r="G873" s="13">
        <v>671625.85</v>
      </c>
      <c r="H873" s="13">
        <v>508063.65</v>
      </c>
      <c r="I873" s="14">
        <v>0.43067574137092857</v>
      </c>
      <c r="J873" s="3" t="s">
        <v>3</v>
      </c>
      <c r="K873" s="3" t="s">
        <v>28</v>
      </c>
      <c r="L873" s="3" t="s">
        <v>29</v>
      </c>
    </row>
    <row r="874" ht="15.75" customHeight="1">
      <c r="A874" s="3">
        <v>6.67054498E8</v>
      </c>
      <c r="B874" s="3" t="s">
        <v>578</v>
      </c>
      <c r="C874" s="3">
        <v>1.0</v>
      </c>
      <c r="D874" s="10">
        <v>2.0</v>
      </c>
      <c r="E874" s="11">
        <v>2015.0</v>
      </c>
      <c r="F874" s="13">
        <v>417149.92000000004</v>
      </c>
      <c r="G874" s="13">
        <v>289243.68</v>
      </c>
      <c r="H874" s="13">
        <v>127906.24000000005</v>
      </c>
      <c r="I874" s="14">
        <v>0.30661935641747223</v>
      </c>
      <c r="J874" s="3" t="s">
        <v>14</v>
      </c>
      <c r="K874" s="3" t="s">
        <v>28</v>
      </c>
      <c r="L874" s="3" t="s">
        <v>33</v>
      </c>
    </row>
    <row r="875" ht="15.75" customHeight="1">
      <c r="A875" s="3">
        <v>6.67324435E8</v>
      </c>
      <c r="B875" s="3" t="s">
        <v>623</v>
      </c>
      <c r="C875" s="3">
        <v>13.0</v>
      </c>
      <c r="D875" s="10">
        <v>10.0</v>
      </c>
      <c r="E875" s="11">
        <v>2012.0</v>
      </c>
      <c r="F875" s="13">
        <v>1272570.8</v>
      </c>
      <c r="G875" s="13">
        <v>794708.7</v>
      </c>
      <c r="H875" s="13">
        <v>477862.1000000001</v>
      </c>
      <c r="I875" s="14">
        <v>0.37550924475086184</v>
      </c>
      <c r="J875" s="3" t="s">
        <v>10</v>
      </c>
      <c r="K875" s="3" t="s">
        <v>28</v>
      </c>
      <c r="L875" s="3" t="s">
        <v>33</v>
      </c>
    </row>
    <row r="876" ht="15.75" customHeight="1">
      <c r="A876" s="3">
        <v>6.67420995E8</v>
      </c>
      <c r="B876" s="3" t="s">
        <v>67</v>
      </c>
      <c r="C876" s="3">
        <v>2.0</v>
      </c>
      <c r="D876" s="10">
        <v>1.0</v>
      </c>
      <c r="E876" s="11">
        <v>2010.0</v>
      </c>
      <c r="F876" s="13">
        <v>290877.07</v>
      </c>
      <c r="G876" s="13">
        <v>201688.53</v>
      </c>
      <c r="H876" s="13">
        <v>89188.54000000001</v>
      </c>
      <c r="I876" s="14">
        <v>0.3066193564174722</v>
      </c>
      <c r="J876" s="3" t="s">
        <v>14</v>
      </c>
      <c r="K876" s="3" t="s">
        <v>23</v>
      </c>
      <c r="L876" s="3" t="s">
        <v>68</v>
      </c>
    </row>
    <row r="877" ht="15.75" customHeight="1">
      <c r="A877" s="3">
        <v>6.68280589E8</v>
      </c>
      <c r="B877" s="3" t="s">
        <v>578</v>
      </c>
      <c r="C877" s="3">
        <v>45.0</v>
      </c>
      <c r="D877" s="10">
        <v>2.0</v>
      </c>
      <c r="E877" s="11">
        <v>2013.0</v>
      </c>
      <c r="F877" s="13">
        <v>3346431.48</v>
      </c>
      <c r="G877" s="13">
        <v>2892721.08</v>
      </c>
      <c r="H877" s="13">
        <v>453710.3999999999</v>
      </c>
      <c r="I877" s="14">
        <v>0.13558036455000116</v>
      </c>
      <c r="J877" s="3" t="s">
        <v>11</v>
      </c>
      <c r="K877" s="3" t="s">
        <v>28</v>
      </c>
      <c r="L877" s="3" t="s">
        <v>33</v>
      </c>
    </row>
    <row r="878" ht="15.75" customHeight="1">
      <c r="A878" s="3">
        <v>6.69353473E8</v>
      </c>
      <c r="B878" s="3" t="s">
        <v>97</v>
      </c>
      <c r="C878" s="3">
        <v>13.0</v>
      </c>
      <c r="D878" s="10">
        <v>6.0</v>
      </c>
      <c r="E878" s="11">
        <v>2014.0</v>
      </c>
      <c r="F878" s="13">
        <v>50587.26</v>
      </c>
      <c r="G878" s="13">
        <v>37520.24</v>
      </c>
      <c r="H878" s="13">
        <v>13067.020000000004</v>
      </c>
      <c r="I878" s="14">
        <v>0.25830653804930337</v>
      </c>
      <c r="J878" s="3" t="s">
        <v>8</v>
      </c>
      <c r="K878" s="3" t="s">
        <v>28</v>
      </c>
      <c r="L878" s="3" t="s">
        <v>98</v>
      </c>
    </row>
    <row r="879" ht="15.75" customHeight="1">
      <c r="A879" s="3">
        <v>6.69550883E8</v>
      </c>
      <c r="B879" s="3" t="s">
        <v>97</v>
      </c>
      <c r="C879" s="3">
        <v>48.0</v>
      </c>
      <c r="D879" s="10">
        <v>7.0</v>
      </c>
      <c r="E879" s="11">
        <v>2015.0</v>
      </c>
      <c r="F879" s="13">
        <v>1678848.0</v>
      </c>
      <c r="G879" s="13">
        <v>1011187.2</v>
      </c>
      <c r="H879" s="13">
        <v>667660.8</v>
      </c>
      <c r="I879" s="14">
        <v>0.3976898444647759</v>
      </c>
      <c r="J879" s="3" t="s">
        <v>12</v>
      </c>
      <c r="K879" s="3" t="s">
        <v>28</v>
      </c>
      <c r="L879" s="3" t="s">
        <v>98</v>
      </c>
    </row>
    <row r="880" ht="15.75" customHeight="1">
      <c r="A880" s="3">
        <v>6.70274865E8</v>
      </c>
      <c r="B880" s="3" t="s">
        <v>689</v>
      </c>
      <c r="C880" s="3">
        <v>40.0</v>
      </c>
      <c r="D880" s="10">
        <v>10.0</v>
      </c>
      <c r="E880" s="11">
        <v>2012.0</v>
      </c>
      <c r="F880" s="13">
        <v>1245112.92</v>
      </c>
      <c r="G880" s="13">
        <v>734896.26</v>
      </c>
      <c r="H880" s="13">
        <v>510216.6599999999</v>
      </c>
      <c r="I880" s="14">
        <v>0.4097754121770738</v>
      </c>
      <c r="J880" s="3" t="s">
        <v>9</v>
      </c>
      <c r="K880" s="3" t="s">
        <v>28</v>
      </c>
      <c r="L880" s="3" t="s">
        <v>79</v>
      </c>
    </row>
    <row r="881" ht="15.75" customHeight="1">
      <c r="A881" s="3">
        <v>6.71616399E8</v>
      </c>
      <c r="B881" s="3" t="s">
        <v>482</v>
      </c>
      <c r="C881" s="3">
        <v>34.0</v>
      </c>
      <c r="D881" s="10">
        <v>11.0</v>
      </c>
      <c r="E881" s="11">
        <v>2012.0</v>
      </c>
      <c r="F881" s="13">
        <v>781392.3200000001</v>
      </c>
      <c r="G881" s="13">
        <v>461196.96</v>
      </c>
      <c r="H881" s="13">
        <v>320195.36000000004</v>
      </c>
      <c r="I881" s="14">
        <v>0.4097754121770739</v>
      </c>
      <c r="J881" s="3" t="s">
        <v>9</v>
      </c>
      <c r="K881" s="3" t="s">
        <v>28</v>
      </c>
      <c r="L881" s="3" t="s">
        <v>79</v>
      </c>
    </row>
    <row r="882" ht="15.75" customHeight="1">
      <c r="A882" s="3">
        <v>6.72330081E8</v>
      </c>
      <c r="B882" s="3" t="s">
        <v>142</v>
      </c>
      <c r="C882" s="3">
        <v>29.0</v>
      </c>
      <c r="D882" s="10">
        <v>10.0</v>
      </c>
      <c r="E882" s="11">
        <v>2010.0</v>
      </c>
      <c r="F882" s="13">
        <v>4080481.8600000003</v>
      </c>
      <c r="G882" s="13">
        <v>3289399.3600000003</v>
      </c>
      <c r="H882" s="13">
        <v>791082.5</v>
      </c>
      <c r="I882" s="14">
        <v>0.19386987300563566</v>
      </c>
      <c r="J882" s="3" t="s">
        <v>7</v>
      </c>
      <c r="K882" s="3" t="s">
        <v>28</v>
      </c>
      <c r="L882" s="3" t="s">
        <v>98</v>
      </c>
    </row>
    <row r="883" ht="15.75" customHeight="1">
      <c r="A883" s="3">
        <v>6.72856652E8</v>
      </c>
      <c r="B883" s="3" t="s">
        <v>821</v>
      </c>
      <c r="C883" s="3">
        <v>37.0</v>
      </c>
      <c r="D883" s="10">
        <v>6.0</v>
      </c>
      <c r="E883" s="11">
        <v>2014.0</v>
      </c>
      <c r="F883" s="13">
        <v>1397352.57</v>
      </c>
      <c r="G883" s="13">
        <v>1050811.1400000001</v>
      </c>
      <c r="H883" s="13">
        <v>346541.42999999993</v>
      </c>
      <c r="I883" s="14">
        <v>0.24799856345489094</v>
      </c>
      <c r="J883" s="3" t="s">
        <v>4</v>
      </c>
      <c r="K883" s="3" t="s">
        <v>821</v>
      </c>
      <c r="L883" s="3" t="s">
        <v>821</v>
      </c>
    </row>
    <row r="884" ht="15.75" customHeight="1">
      <c r="A884" s="3">
        <v>6.74060428E8</v>
      </c>
      <c r="B884" s="3" t="s">
        <v>97</v>
      </c>
      <c r="C884" s="3">
        <v>2.0</v>
      </c>
      <c r="D884" s="10">
        <v>12.0</v>
      </c>
      <c r="E884" s="11">
        <v>2012.0</v>
      </c>
      <c r="F884" s="13">
        <v>1710395.5</v>
      </c>
      <c r="G884" s="13">
        <v>973769.65</v>
      </c>
      <c r="H884" s="13">
        <v>736625.85</v>
      </c>
      <c r="I884" s="14">
        <v>0.4306757413709285</v>
      </c>
      <c r="J884" s="3" t="s">
        <v>3</v>
      </c>
      <c r="K884" s="3" t="s">
        <v>28</v>
      </c>
      <c r="L884" s="3" t="s">
        <v>98</v>
      </c>
    </row>
    <row r="885" ht="15.75" customHeight="1">
      <c r="A885" s="3">
        <v>6.77851569E8</v>
      </c>
      <c r="B885" s="3" t="s">
        <v>373</v>
      </c>
      <c r="C885" s="3">
        <v>8.0</v>
      </c>
      <c r="D885" s="10">
        <v>2.0</v>
      </c>
      <c r="E885" s="11">
        <v>2011.0</v>
      </c>
      <c r="F885" s="13">
        <v>132317.46</v>
      </c>
      <c r="G885" s="13">
        <v>99502.92</v>
      </c>
      <c r="H885" s="13">
        <v>32814.53999999999</v>
      </c>
      <c r="I885" s="14">
        <v>0.24799856345489096</v>
      </c>
      <c r="J885" s="3" t="s">
        <v>4</v>
      </c>
      <c r="K885" s="3" t="s">
        <v>28</v>
      </c>
      <c r="L885" s="3" t="s">
        <v>33</v>
      </c>
    </row>
    <row r="886" ht="15.75" customHeight="1">
      <c r="A886" s="3">
        <v>6.79039466E8</v>
      </c>
      <c r="B886" s="3" t="s">
        <v>686</v>
      </c>
      <c r="C886" s="3">
        <v>32.0</v>
      </c>
      <c r="D886" s="10">
        <v>6.0</v>
      </c>
      <c r="E886" s="11">
        <v>2012.0</v>
      </c>
      <c r="F886" s="13">
        <v>753295.6</v>
      </c>
      <c r="G886" s="13">
        <v>453717.58999999997</v>
      </c>
      <c r="H886" s="13">
        <v>299578.01</v>
      </c>
      <c r="I886" s="14">
        <v>0.39768984446477584</v>
      </c>
      <c r="J886" s="3" t="s">
        <v>12</v>
      </c>
      <c r="K886" s="3" t="s">
        <v>28</v>
      </c>
      <c r="L886" s="3" t="s">
        <v>29</v>
      </c>
    </row>
    <row r="887" ht="15.75" customHeight="1">
      <c r="A887" s="3">
        <v>6.7910856E8</v>
      </c>
      <c r="B887" s="3" t="s">
        <v>428</v>
      </c>
      <c r="C887" s="3">
        <v>45.0</v>
      </c>
      <c r="D887" s="10">
        <v>4.0</v>
      </c>
      <c r="E887" s="11">
        <v>2014.0</v>
      </c>
      <c r="F887" s="13">
        <v>1449477.63</v>
      </c>
      <c r="G887" s="13">
        <v>1090009.26</v>
      </c>
      <c r="H887" s="13">
        <v>359468.3699999999</v>
      </c>
      <c r="I887" s="14">
        <v>0.24799856345489094</v>
      </c>
      <c r="J887" s="3" t="s">
        <v>4</v>
      </c>
      <c r="K887" s="3" t="s">
        <v>28</v>
      </c>
      <c r="L887" s="3" t="s">
        <v>79</v>
      </c>
    </row>
    <row r="888" ht="15.75" customHeight="1">
      <c r="A888" s="3">
        <v>6.8032521E8</v>
      </c>
      <c r="B888" s="3" t="s">
        <v>267</v>
      </c>
      <c r="C888" s="3">
        <v>32.0</v>
      </c>
      <c r="D888" s="10">
        <v>6.0</v>
      </c>
      <c r="E888" s="11">
        <v>2017.0</v>
      </c>
      <c r="F888" s="13">
        <v>339394.18</v>
      </c>
      <c r="G888" s="13">
        <v>200318.79</v>
      </c>
      <c r="H888" s="13">
        <v>139075.38999999998</v>
      </c>
      <c r="I888" s="14">
        <v>0.4097754121770738</v>
      </c>
      <c r="J888" s="3" t="s">
        <v>9</v>
      </c>
      <c r="K888" s="3" t="s">
        <v>28</v>
      </c>
      <c r="L888" s="3" t="s">
        <v>29</v>
      </c>
    </row>
    <row r="889" ht="15.75" customHeight="1">
      <c r="A889" s="3">
        <v>6.81713092E8</v>
      </c>
      <c r="B889" s="3" t="s">
        <v>97</v>
      </c>
      <c r="C889" s="3">
        <v>14.0</v>
      </c>
      <c r="D889" s="10">
        <v>3.0</v>
      </c>
      <c r="E889" s="11">
        <v>2010.0</v>
      </c>
      <c r="F889" s="13">
        <v>137984.6</v>
      </c>
      <c r="G889" s="13">
        <v>92445.31999999999</v>
      </c>
      <c r="H889" s="13">
        <v>45539.28000000001</v>
      </c>
      <c r="I889" s="14">
        <v>0.3300316122233931</v>
      </c>
      <c r="J889" s="3" t="s">
        <v>6</v>
      </c>
      <c r="K889" s="3" t="s">
        <v>28</v>
      </c>
      <c r="L889" s="3" t="s">
        <v>98</v>
      </c>
    </row>
    <row r="890" ht="15.75" customHeight="1">
      <c r="A890" s="3">
        <v>6.82066285E8</v>
      </c>
      <c r="B890" s="3" t="s">
        <v>101</v>
      </c>
      <c r="C890" s="3">
        <v>48.0</v>
      </c>
      <c r="D890" s="10">
        <v>5.0</v>
      </c>
      <c r="E890" s="11">
        <v>2013.0</v>
      </c>
      <c r="F890" s="13">
        <v>1144049.56</v>
      </c>
      <c r="G890" s="13">
        <v>675246.18</v>
      </c>
      <c r="H890" s="13">
        <v>468803.38</v>
      </c>
      <c r="I890" s="14">
        <v>0.40977541217707386</v>
      </c>
      <c r="J890" s="3" t="s">
        <v>9</v>
      </c>
      <c r="K890" s="3" t="s">
        <v>28</v>
      </c>
      <c r="L890" s="3" t="s">
        <v>79</v>
      </c>
    </row>
    <row r="891" ht="15.75" customHeight="1">
      <c r="A891" s="3">
        <v>6.82162415E8</v>
      </c>
      <c r="B891" s="3" t="s">
        <v>590</v>
      </c>
      <c r="C891" s="3">
        <v>41.0</v>
      </c>
      <c r="D891" s="10">
        <v>1.0</v>
      </c>
      <c r="E891" s="11">
        <v>2016.0</v>
      </c>
      <c r="F891" s="13">
        <v>2477759.9699999997</v>
      </c>
      <c r="G891" s="13">
        <v>2141824.37</v>
      </c>
      <c r="H891" s="13">
        <v>335935.5999999996</v>
      </c>
      <c r="I891" s="14">
        <v>0.13558036455000105</v>
      </c>
      <c r="J891" s="3" t="s">
        <v>11</v>
      </c>
      <c r="K891" s="3" t="s">
        <v>28</v>
      </c>
      <c r="L891" s="3" t="s">
        <v>98</v>
      </c>
    </row>
    <row r="892" ht="15.75" customHeight="1">
      <c r="A892" s="3">
        <v>6.82314765E8</v>
      </c>
      <c r="B892" s="3" t="s">
        <v>291</v>
      </c>
      <c r="C892" s="3">
        <v>24.0</v>
      </c>
      <c r="D892" s="10">
        <v>11.0</v>
      </c>
      <c r="E892" s="11">
        <v>2015.0</v>
      </c>
      <c r="F892" s="13">
        <v>45362.200000000004</v>
      </c>
      <c r="G892" s="13">
        <v>30391.239999999998</v>
      </c>
      <c r="H892" s="13">
        <v>14970.960000000006</v>
      </c>
      <c r="I892" s="14">
        <v>0.33003161222339317</v>
      </c>
      <c r="J892" s="3" t="s">
        <v>6</v>
      </c>
      <c r="K892" s="3" t="s">
        <v>28</v>
      </c>
      <c r="L892" s="3" t="s">
        <v>79</v>
      </c>
    </row>
    <row r="893" ht="15.75" customHeight="1">
      <c r="A893" s="3">
        <v>6.84239947E8</v>
      </c>
      <c r="B893" s="3" t="s">
        <v>686</v>
      </c>
      <c r="C893" s="3">
        <v>7.0</v>
      </c>
      <c r="D893" s="10">
        <v>8.0</v>
      </c>
      <c r="E893" s="11">
        <v>2013.0</v>
      </c>
      <c r="F893" s="13">
        <v>288989.2</v>
      </c>
      <c r="G893" s="13">
        <v>174061.12999999998</v>
      </c>
      <c r="H893" s="13">
        <v>114928.07000000004</v>
      </c>
      <c r="I893" s="14">
        <v>0.39768984446477595</v>
      </c>
      <c r="J893" s="3" t="s">
        <v>12</v>
      </c>
      <c r="K893" s="3" t="s">
        <v>28</v>
      </c>
      <c r="L893" s="3" t="s">
        <v>29</v>
      </c>
    </row>
    <row r="894" ht="15.75" customHeight="1">
      <c r="A894" s="3">
        <v>6.84853637E8</v>
      </c>
      <c r="B894" s="3" t="s">
        <v>578</v>
      </c>
      <c r="C894" s="3">
        <v>48.0</v>
      </c>
      <c r="D894" s="10">
        <v>2.0</v>
      </c>
      <c r="E894" s="11">
        <v>2012.0</v>
      </c>
      <c r="F894" s="13">
        <v>247519.2</v>
      </c>
      <c r="G894" s="13">
        <v>81177.6</v>
      </c>
      <c r="H894" s="13">
        <v>166341.6</v>
      </c>
      <c r="I894" s="14">
        <v>0.6720351390922401</v>
      </c>
      <c r="J894" s="3" t="s">
        <v>5</v>
      </c>
      <c r="K894" s="3" t="s">
        <v>28</v>
      </c>
      <c r="L894" s="3" t="s">
        <v>33</v>
      </c>
    </row>
    <row r="895" ht="15.75" customHeight="1">
      <c r="A895" s="3">
        <v>6.85233008E8</v>
      </c>
      <c r="B895" s="3" t="s">
        <v>575</v>
      </c>
      <c r="C895" s="3">
        <v>21.0</v>
      </c>
      <c r="D895" s="10">
        <v>9.0</v>
      </c>
      <c r="E895" s="11">
        <v>2011.0</v>
      </c>
      <c r="F895" s="13">
        <v>1156163.12</v>
      </c>
      <c r="G895" s="13">
        <v>722013.1799999999</v>
      </c>
      <c r="H895" s="13">
        <v>434149.9400000002</v>
      </c>
      <c r="I895" s="14">
        <v>0.3755092447508619</v>
      </c>
      <c r="J895" s="3" t="s">
        <v>10</v>
      </c>
      <c r="K895" s="3" t="s">
        <v>28</v>
      </c>
      <c r="L895" s="3" t="s">
        <v>98</v>
      </c>
    </row>
    <row r="896" ht="15.75" customHeight="1">
      <c r="A896" s="3">
        <v>6.8559693E8</v>
      </c>
      <c r="B896" s="3" t="s">
        <v>488</v>
      </c>
      <c r="C896" s="3">
        <v>48.0</v>
      </c>
      <c r="D896" s="10">
        <v>4.0</v>
      </c>
      <c r="E896" s="11">
        <v>2016.0</v>
      </c>
      <c r="F896" s="13">
        <v>242820.16</v>
      </c>
      <c r="G896" s="13">
        <v>79636.48000000001</v>
      </c>
      <c r="H896" s="13">
        <v>163183.68</v>
      </c>
      <c r="I896" s="14">
        <v>0.6720351390922401</v>
      </c>
      <c r="J896" s="3" t="s">
        <v>5</v>
      </c>
      <c r="K896" s="3" t="s">
        <v>28</v>
      </c>
      <c r="L896" s="3" t="s">
        <v>33</v>
      </c>
    </row>
    <row r="897" ht="15.75" customHeight="1">
      <c r="A897" s="3">
        <v>6.87374913E8</v>
      </c>
      <c r="B897" s="3" t="s">
        <v>300</v>
      </c>
      <c r="C897" s="3">
        <v>47.0</v>
      </c>
      <c r="D897" s="10">
        <v>1.0</v>
      </c>
      <c r="E897" s="11">
        <v>2010.0</v>
      </c>
      <c r="F897" s="13">
        <v>1721091.9</v>
      </c>
      <c r="G897" s="13">
        <v>979859.37</v>
      </c>
      <c r="H897" s="13">
        <v>741232.5299999999</v>
      </c>
      <c r="I897" s="14">
        <v>0.4306757413709285</v>
      </c>
      <c r="J897" s="3" t="s">
        <v>3</v>
      </c>
      <c r="K897" s="3" t="s">
        <v>28</v>
      </c>
      <c r="L897" s="3" t="s">
        <v>33</v>
      </c>
    </row>
    <row r="898" ht="15.75" customHeight="1">
      <c r="A898" s="3">
        <v>6.88650786E8</v>
      </c>
      <c r="B898" s="3" t="s">
        <v>686</v>
      </c>
      <c r="C898" s="3">
        <v>45.0</v>
      </c>
      <c r="D898" s="10">
        <v>6.0</v>
      </c>
      <c r="E898" s="11">
        <v>2010.0</v>
      </c>
      <c r="F898" s="13">
        <v>3960168.02</v>
      </c>
      <c r="G898" s="13">
        <v>2978052.04</v>
      </c>
      <c r="H898" s="13">
        <v>982115.98</v>
      </c>
      <c r="I898" s="14">
        <v>0.247998563454891</v>
      </c>
      <c r="J898" s="3" t="s">
        <v>4</v>
      </c>
      <c r="K898" s="3" t="s">
        <v>28</v>
      </c>
      <c r="L898" s="3" t="s">
        <v>29</v>
      </c>
    </row>
    <row r="899" ht="15.75" customHeight="1">
      <c r="A899" s="3">
        <v>6.88698422E8</v>
      </c>
      <c r="B899" s="3" t="s">
        <v>512</v>
      </c>
      <c r="C899" s="3">
        <v>20.0</v>
      </c>
      <c r="D899" s="10">
        <v>3.0</v>
      </c>
      <c r="E899" s="11">
        <v>2017.0</v>
      </c>
      <c r="F899" s="13">
        <v>3389.32</v>
      </c>
      <c r="G899" s="13">
        <v>2000.46</v>
      </c>
      <c r="H899" s="13">
        <v>1388.8600000000001</v>
      </c>
      <c r="I899" s="14">
        <v>0.40977541217707386</v>
      </c>
      <c r="J899" s="3" t="s">
        <v>9</v>
      </c>
      <c r="K899" s="3" t="s">
        <v>28</v>
      </c>
      <c r="L899" s="3" t="s">
        <v>79</v>
      </c>
    </row>
    <row r="900" ht="15.75" customHeight="1">
      <c r="A900" s="3">
        <v>6.88903129E8</v>
      </c>
      <c r="B900" s="3" t="s">
        <v>142</v>
      </c>
      <c r="C900" s="3">
        <v>32.0</v>
      </c>
      <c r="D900" s="10">
        <v>5.0</v>
      </c>
      <c r="E900" s="11">
        <v>2017.0</v>
      </c>
      <c r="F900" s="13">
        <v>400962.0</v>
      </c>
      <c r="G900" s="13">
        <v>301524.0</v>
      </c>
      <c r="H900" s="13">
        <v>99438.0</v>
      </c>
      <c r="I900" s="14">
        <v>0.247998563454891</v>
      </c>
      <c r="J900" s="3" t="s">
        <v>4</v>
      </c>
      <c r="K900" s="3" t="s">
        <v>28</v>
      </c>
      <c r="L900" s="3" t="s">
        <v>98</v>
      </c>
    </row>
    <row r="901" ht="15.75" customHeight="1">
      <c r="A901" s="3">
        <v>6.89349019E8</v>
      </c>
      <c r="B901" s="3" t="s">
        <v>346</v>
      </c>
      <c r="C901" s="3">
        <v>43.0</v>
      </c>
      <c r="D901" s="10">
        <v>6.0</v>
      </c>
      <c r="E901" s="11">
        <v>2013.0</v>
      </c>
      <c r="F901" s="13">
        <v>1113985.5999999999</v>
      </c>
      <c r="G901" s="13">
        <v>670964.84</v>
      </c>
      <c r="H901" s="13">
        <v>443020.7599999999</v>
      </c>
      <c r="I901" s="14">
        <v>0.3976898444647758</v>
      </c>
      <c r="J901" s="3" t="s">
        <v>12</v>
      </c>
      <c r="K901" s="3" t="s">
        <v>28</v>
      </c>
      <c r="L901" s="3" t="s">
        <v>98</v>
      </c>
    </row>
    <row r="902" ht="15.75" customHeight="1">
      <c r="A902" s="3">
        <v>6.89421546E8</v>
      </c>
      <c r="B902" s="3" t="s">
        <v>373</v>
      </c>
      <c r="C902" s="3">
        <v>21.0</v>
      </c>
      <c r="D902" s="10">
        <v>1.0</v>
      </c>
      <c r="E902" s="11">
        <v>2010.0</v>
      </c>
      <c r="F902" s="13">
        <v>438322.08</v>
      </c>
      <c r="G902" s="13">
        <v>143754.24000000002</v>
      </c>
      <c r="H902" s="13">
        <v>294567.83999999997</v>
      </c>
      <c r="I902" s="14">
        <v>0.67203513909224</v>
      </c>
      <c r="J902" s="3" t="s">
        <v>5</v>
      </c>
      <c r="K902" s="3" t="s">
        <v>28</v>
      </c>
      <c r="L902" s="3" t="s">
        <v>33</v>
      </c>
    </row>
    <row r="903" ht="15.75" customHeight="1">
      <c r="A903" s="3">
        <v>6.9022063E8</v>
      </c>
      <c r="B903" s="3" t="s">
        <v>512</v>
      </c>
      <c r="C903" s="3">
        <v>15.0</v>
      </c>
      <c r="D903" s="10">
        <v>11.0</v>
      </c>
      <c r="E903" s="11">
        <v>2016.0</v>
      </c>
      <c r="F903" s="13">
        <v>318764.79</v>
      </c>
      <c r="G903" s="13">
        <v>239711.58000000002</v>
      </c>
      <c r="H903" s="13">
        <v>79053.20999999996</v>
      </c>
      <c r="I903" s="14">
        <v>0.24799856345489088</v>
      </c>
      <c r="J903" s="3" t="s">
        <v>4</v>
      </c>
      <c r="K903" s="3" t="s">
        <v>28</v>
      </c>
      <c r="L903" s="3" t="s">
        <v>79</v>
      </c>
    </row>
    <row r="904" ht="15.75" customHeight="1">
      <c r="A904" s="3">
        <v>6.91383635E8</v>
      </c>
      <c r="B904" s="3" t="s">
        <v>653</v>
      </c>
      <c r="C904" s="3">
        <v>37.0</v>
      </c>
      <c r="D904" s="10">
        <v>2.0</v>
      </c>
      <c r="E904" s="11">
        <v>2013.0</v>
      </c>
      <c r="F904" s="13">
        <v>714376.22</v>
      </c>
      <c r="G904" s="13">
        <v>421642.41000000003</v>
      </c>
      <c r="H904" s="13">
        <v>292733.80999999994</v>
      </c>
      <c r="I904" s="14">
        <v>0.4097754121770738</v>
      </c>
      <c r="J904" s="3" t="s">
        <v>9</v>
      </c>
      <c r="K904" s="3" t="s">
        <v>28</v>
      </c>
      <c r="L904" s="3" t="s">
        <v>33</v>
      </c>
    </row>
    <row r="905" ht="15.75" customHeight="1">
      <c r="A905" s="3">
        <v>6.91760861E8</v>
      </c>
      <c r="B905" s="3" t="s">
        <v>97</v>
      </c>
      <c r="C905" s="3">
        <v>32.0</v>
      </c>
      <c r="D905" s="10">
        <v>12.0</v>
      </c>
      <c r="E905" s="11">
        <v>2016.0</v>
      </c>
      <c r="F905" s="13">
        <v>684748.48</v>
      </c>
      <c r="G905" s="13">
        <v>224573.44000000003</v>
      </c>
      <c r="H905" s="13">
        <v>460175.0399999999</v>
      </c>
      <c r="I905" s="14">
        <v>0.67203513909224</v>
      </c>
      <c r="J905" s="3" t="s">
        <v>5</v>
      </c>
      <c r="K905" s="3" t="s">
        <v>28</v>
      </c>
      <c r="L905" s="3" t="s">
        <v>98</v>
      </c>
    </row>
    <row r="906" ht="15.75" customHeight="1">
      <c r="A906" s="3">
        <v>6.92555224E8</v>
      </c>
      <c r="B906" s="3" t="s">
        <v>218</v>
      </c>
      <c r="C906" s="3">
        <v>23.0</v>
      </c>
      <c r="D906" s="10">
        <v>1.0</v>
      </c>
      <c r="E906" s="11">
        <v>2015.0</v>
      </c>
      <c r="F906" s="13">
        <v>563645.04</v>
      </c>
      <c r="G906" s="13">
        <v>487225.84</v>
      </c>
      <c r="H906" s="13">
        <v>76419.20000000001</v>
      </c>
      <c r="I906" s="14">
        <v>0.1355803645500012</v>
      </c>
      <c r="J906" s="3" t="s">
        <v>11</v>
      </c>
      <c r="K906" s="3" t="s">
        <v>28</v>
      </c>
      <c r="L906" s="3" t="s">
        <v>98</v>
      </c>
    </row>
    <row r="907" ht="15.75" customHeight="1">
      <c r="A907" s="3">
        <v>6.92704999E8</v>
      </c>
      <c r="B907" s="3" t="s">
        <v>373</v>
      </c>
      <c r="C907" s="3">
        <v>32.0</v>
      </c>
      <c r="D907" s="10">
        <v>12.0</v>
      </c>
      <c r="E907" s="11">
        <v>2016.0</v>
      </c>
      <c r="F907" s="13">
        <v>3780403.3899999997</v>
      </c>
      <c r="G907" s="13">
        <v>2842868.7800000003</v>
      </c>
      <c r="H907" s="13">
        <v>937534.6099999994</v>
      </c>
      <c r="I907" s="14">
        <v>0.24799856345489085</v>
      </c>
      <c r="J907" s="3" t="s">
        <v>4</v>
      </c>
      <c r="K907" s="3" t="s">
        <v>28</v>
      </c>
      <c r="L907" s="3" t="s">
        <v>33</v>
      </c>
    </row>
    <row r="908" ht="15.75" customHeight="1">
      <c r="A908" s="3">
        <v>6.92757356E8</v>
      </c>
      <c r="B908" s="3" t="s">
        <v>291</v>
      </c>
      <c r="C908" s="3">
        <v>10.0</v>
      </c>
      <c r="D908" s="10">
        <v>5.0</v>
      </c>
      <c r="E908" s="11">
        <v>2017.0</v>
      </c>
      <c r="F908" s="13">
        <v>485595.38999999996</v>
      </c>
      <c r="G908" s="13">
        <v>419758.19</v>
      </c>
      <c r="H908" s="13">
        <v>65837.19999999995</v>
      </c>
      <c r="I908" s="14">
        <v>0.1355803645500011</v>
      </c>
      <c r="J908" s="3" t="s">
        <v>11</v>
      </c>
      <c r="K908" s="3" t="s">
        <v>28</v>
      </c>
      <c r="L908" s="3" t="s">
        <v>79</v>
      </c>
    </row>
    <row r="909" ht="15.75" customHeight="1">
      <c r="A909" s="3">
        <v>6.92952191E8</v>
      </c>
      <c r="B909" s="3" t="s">
        <v>746</v>
      </c>
      <c r="C909" s="3">
        <v>21.0</v>
      </c>
      <c r="D909" s="10">
        <v>12.0</v>
      </c>
      <c r="E909" s="11">
        <v>2012.0</v>
      </c>
      <c r="F909" s="13">
        <v>3850420.4</v>
      </c>
      <c r="G909" s="13">
        <v>2319147.31</v>
      </c>
      <c r="H909" s="13">
        <v>1531273.0899999999</v>
      </c>
      <c r="I909" s="14">
        <v>0.39768984446477584</v>
      </c>
      <c r="J909" s="3" t="s">
        <v>12</v>
      </c>
      <c r="K909" s="3" t="s">
        <v>28</v>
      </c>
      <c r="L909" s="3" t="s">
        <v>29</v>
      </c>
    </row>
    <row r="910" ht="15.75" customHeight="1">
      <c r="A910" s="3">
        <v>6.93210542E8</v>
      </c>
      <c r="B910" s="3" t="s">
        <v>67</v>
      </c>
      <c r="C910" s="3">
        <v>49.0</v>
      </c>
      <c r="D910" s="10">
        <v>6.0</v>
      </c>
      <c r="E910" s="11">
        <v>2012.0</v>
      </c>
      <c r="F910" s="13">
        <v>2218719.51</v>
      </c>
      <c r="G910" s="13">
        <v>1917904.71</v>
      </c>
      <c r="H910" s="13">
        <v>300814.7999999998</v>
      </c>
      <c r="I910" s="14">
        <v>0.1355803645500011</v>
      </c>
      <c r="J910" s="3" t="s">
        <v>11</v>
      </c>
      <c r="K910" s="3" t="s">
        <v>23</v>
      </c>
      <c r="L910" s="3" t="s">
        <v>68</v>
      </c>
    </row>
    <row r="911" ht="15.75" customHeight="1">
      <c r="A911" s="3">
        <v>6.93583905E8</v>
      </c>
      <c r="B911" s="3" t="s">
        <v>218</v>
      </c>
      <c r="C911" s="3">
        <v>32.0</v>
      </c>
      <c r="D911" s="10">
        <v>12.0</v>
      </c>
      <c r="E911" s="11">
        <v>2011.0</v>
      </c>
      <c r="F911" s="13">
        <v>2423758.05</v>
      </c>
      <c r="G911" s="13">
        <v>2095144.05</v>
      </c>
      <c r="H911" s="13">
        <v>328613.99999999977</v>
      </c>
      <c r="I911" s="14">
        <v>0.1355803645500011</v>
      </c>
      <c r="J911" s="3" t="s">
        <v>11</v>
      </c>
      <c r="K911" s="3" t="s">
        <v>28</v>
      </c>
      <c r="L911" s="3" t="s">
        <v>98</v>
      </c>
    </row>
    <row r="912" ht="15.75" customHeight="1">
      <c r="A912" s="3">
        <v>6.93831098E8</v>
      </c>
      <c r="B912" s="3" t="s">
        <v>590</v>
      </c>
      <c r="C912" s="3">
        <v>21.0</v>
      </c>
      <c r="D912" s="10">
        <v>6.0</v>
      </c>
      <c r="E912" s="11">
        <v>2015.0</v>
      </c>
      <c r="F912" s="13">
        <v>2270715.6</v>
      </c>
      <c r="G912" s="13">
        <v>1418040.9</v>
      </c>
      <c r="H912" s="13">
        <v>852674.7000000002</v>
      </c>
      <c r="I912" s="14">
        <v>0.3755092447508619</v>
      </c>
      <c r="J912" s="3" t="s">
        <v>10</v>
      </c>
      <c r="K912" s="3" t="s">
        <v>28</v>
      </c>
      <c r="L912" s="3" t="s">
        <v>98</v>
      </c>
    </row>
    <row r="913" ht="15.75" customHeight="1">
      <c r="A913" s="3">
        <v>6.94771802E8</v>
      </c>
      <c r="B913" s="3" t="s">
        <v>512</v>
      </c>
      <c r="C913" s="3">
        <v>5.0</v>
      </c>
      <c r="D913" s="10">
        <v>3.0</v>
      </c>
      <c r="E913" s="11">
        <v>2013.0</v>
      </c>
      <c r="F913" s="13">
        <v>1855885.6</v>
      </c>
      <c r="G913" s="13">
        <v>1158983.4</v>
      </c>
      <c r="H913" s="13">
        <v>696902.2000000002</v>
      </c>
      <c r="I913" s="14">
        <v>0.3755092447508619</v>
      </c>
      <c r="J913" s="3" t="s">
        <v>10</v>
      </c>
      <c r="K913" s="3" t="s">
        <v>28</v>
      </c>
      <c r="L913" s="3" t="s">
        <v>79</v>
      </c>
    </row>
    <row r="914" ht="15.75" customHeight="1">
      <c r="A914" s="3">
        <v>6.9491471E8</v>
      </c>
      <c r="B914" s="3" t="s">
        <v>32</v>
      </c>
      <c r="C914" s="3">
        <v>33.0</v>
      </c>
      <c r="D914" s="10">
        <v>8.0</v>
      </c>
      <c r="E914" s="11">
        <v>2010.0</v>
      </c>
      <c r="F914" s="13">
        <v>4179632.0</v>
      </c>
      <c r="G914" s="13">
        <v>2517434.8</v>
      </c>
      <c r="H914" s="13">
        <v>1662197.2000000002</v>
      </c>
      <c r="I914" s="14">
        <v>0.3976898444647759</v>
      </c>
      <c r="J914" s="3" t="s">
        <v>12</v>
      </c>
      <c r="K914" s="3" t="s">
        <v>28</v>
      </c>
      <c r="L914" s="3" t="s">
        <v>33</v>
      </c>
    </row>
    <row r="915" ht="15.75" customHeight="1">
      <c r="A915" s="3">
        <v>6.95059764E8</v>
      </c>
      <c r="B915" s="3" t="s">
        <v>101</v>
      </c>
      <c r="C915" s="3">
        <v>39.0</v>
      </c>
      <c r="D915" s="10">
        <v>5.0</v>
      </c>
      <c r="E915" s="11">
        <v>2011.0</v>
      </c>
      <c r="F915" s="13">
        <v>1086442.0</v>
      </c>
      <c r="G915" s="13">
        <v>654375.0499999999</v>
      </c>
      <c r="H915" s="13">
        <v>432066.95000000007</v>
      </c>
      <c r="I915" s="14">
        <v>0.3976898444647759</v>
      </c>
      <c r="J915" s="3" t="s">
        <v>12</v>
      </c>
      <c r="K915" s="3" t="s">
        <v>28</v>
      </c>
      <c r="L915" s="3" t="s">
        <v>79</v>
      </c>
    </row>
    <row r="916" ht="15.75" customHeight="1">
      <c r="A916" s="3">
        <v>6.96197879E8</v>
      </c>
      <c r="B916" s="3" t="s">
        <v>46</v>
      </c>
      <c r="C916" s="3">
        <v>7.0</v>
      </c>
      <c r="D916" s="10">
        <v>3.0</v>
      </c>
      <c r="E916" s="11">
        <v>2010.0</v>
      </c>
      <c r="F916" s="13">
        <v>1908484.5999999999</v>
      </c>
      <c r="G916" s="13">
        <v>1086546.58</v>
      </c>
      <c r="H916" s="13">
        <v>821938.0199999998</v>
      </c>
      <c r="I916" s="14">
        <v>0.43067574137092846</v>
      </c>
      <c r="J916" s="3" t="s">
        <v>3</v>
      </c>
      <c r="K916" s="3" t="s">
        <v>28</v>
      </c>
      <c r="L916" s="3" t="s">
        <v>33</v>
      </c>
    </row>
    <row r="917" ht="15.75" customHeight="1">
      <c r="A917" s="3">
        <v>6.96839892E8</v>
      </c>
      <c r="B917" s="3" t="s">
        <v>536</v>
      </c>
      <c r="C917" s="3">
        <v>16.0</v>
      </c>
      <c r="D917" s="10">
        <v>12.0</v>
      </c>
      <c r="E917" s="11">
        <v>2015.0</v>
      </c>
      <c r="F917" s="13">
        <v>6032809.44</v>
      </c>
      <c r="G917" s="13">
        <v>4863229.44</v>
      </c>
      <c r="H917" s="13">
        <v>1169580.0</v>
      </c>
      <c r="I917" s="14">
        <v>0.19386987300563566</v>
      </c>
      <c r="J917" s="3" t="s">
        <v>7</v>
      </c>
      <c r="K917" s="3" t="s">
        <v>28</v>
      </c>
      <c r="L917" s="3" t="s">
        <v>33</v>
      </c>
    </row>
    <row r="918" ht="15.75" customHeight="1">
      <c r="A918" s="3">
        <v>6.96844613E8</v>
      </c>
      <c r="B918" s="3" t="s">
        <v>542</v>
      </c>
      <c r="C918" s="3">
        <v>19.0</v>
      </c>
      <c r="D918" s="10">
        <v>3.0</v>
      </c>
      <c r="E918" s="11">
        <v>2017.0</v>
      </c>
      <c r="F918" s="13">
        <v>278869.29</v>
      </c>
      <c r="G918" s="13">
        <v>241060.09</v>
      </c>
      <c r="H918" s="13">
        <v>37809.19999999998</v>
      </c>
      <c r="I918" s="14">
        <v>0.13558036455000114</v>
      </c>
      <c r="J918" s="3" t="s">
        <v>11</v>
      </c>
      <c r="K918" s="3" t="s">
        <v>28</v>
      </c>
      <c r="L918" s="3" t="s">
        <v>29</v>
      </c>
    </row>
    <row r="919" ht="15.75" customHeight="1">
      <c r="A919" s="3">
        <v>6.97617518E8</v>
      </c>
      <c r="B919" s="3" t="s">
        <v>821</v>
      </c>
      <c r="C919" s="3">
        <v>24.0</v>
      </c>
      <c r="D919" s="10">
        <v>6.0</v>
      </c>
      <c r="E919" s="11">
        <v>2012.0</v>
      </c>
      <c r="F919" s="13">
        <v>3957750.09</v>
      </c>
      <c r="G919" s="13">
        <v>3421156.89</v>
      </c>
      <c r="H919" s="13">
        <v>536593.1999999997</v>
      </c>
      <c r="I919" s="14">
        <v>0.1355803645500011</v>
      </c>
      <c r="J919" s="3" t="s">
        <v>11</v>
      </c>
      <c r="K919" s="3" t="s">
        <v>821</v>
      </c>
      <c r="L919" s="3" t="s">
        <v>821</v>
      </c>
    </row>
    <row r="920" ht="15.75" customHeight="1">
      <c r="A920" s="3">
        <v>6.97638976E8</v>
      </c>
      <c r="B920" s="3" t="s">
        <v>635</v>
      </c>
      <c r="C920" s="3">
        <v>10.0</v>
      </c>
      <c r="D920" s="10">
        <v>3.0</v>
      </c>
      <c r="E920" s="11">
        <v>2015.0</v>
      </c>
      <c r="F920" s="13">
        <v>882917.86</v>
      </c>
      <c r="G920" s="13">
        <v>521119.83</v>
      </c>
      <c r="H920" s="13">
        <v>361798.02999999997</v>
      </c>
      <c r="I920" s="14">
        <v>0.40977541217707386</v>
      </c>
      <c r="J920" s="3" t="s">
        <v>9</v>
      </c>
      <c r="K920" s="3" t="s">
        <v>28</v>
      </c>
      <c r="L920" s="3" t="s">
        <v>33</v>
      </c>
    </row>
    <row r="921" ht="15.75" customHeight="1">
      <c r="A921" s="3">
        <v>7.00069701E8</v>
      </c>
      <c r="B921" s="3" t="s">
        <v>821</v>
      </c>
      <c r="C921" s="3">
        <v>11.0</v>
      </c>
      <c r="D921" s="10">
        <v>1.0</v>
      </c>
      <c r="E921" s="11">
        <v>2016.0</v>
      </c>
      <c r="F921" s="13">
        <v>776000.22</v>
      </c>
      <c r="G921" s="13">
        <v>458014.41000000003</v>
      </c>
      <c r="H921" s="13">
        <v>317985.80999999994</v>
      </c>
      <c r="I921" s="14">
        <v>0.4097754121770738</v>
      </c>
      <c r="J921" s="3" t="s">
        <v>9</v>
      </c>
      <c r="K921" s="3" t="s">
        <v>821</v>
      </c>
      <c r="L921" s="3" t="s">
        <v>821</v>
      </c>
    </row>
    <row r="922" ht="15.75" customHeight="1">
      <c r="A922" s="3">
        <v>7.00304019E8</v>
      </c>
      <c r="B922" s="3" t="s">
        <v>653</v>
      </c>
      <c r="C922" s="3">
        <v>28.0</v>
      </c>
      <c r="D922" s="10">
        <v>11.0</v>
      </c>
      <c r="E922" s="11">
        <v>2014.0</v>
      </c>
      <c r="F922" s="13">
        <v>357650.48000000004</v>
      </c>
      <c r="G922" s="13">
        <v>247987.92</v>
      </c>
      <c r="H922" s="13">
        <v>109662.56000000003</v>
      </c>
      <c r="I922" s="14">
        <v>0.30661935641747223</v>
      </c>
      <c r="J922" s="3" t="s">
        <v>14</v>
      </c>
      <c r="K922" s="3" t="s">
        <v>28</v>
      </c>
      <c r="L922" s="3" t="s">
        <v>33</v>
      </c>
    </row>
    <row r="923" ht="15.75" customHeight="1">
      <c r="A923" s="3">
        <v>7.01298367E8</v>
      </c>
      <c r="B923" s="3" t="s">
        <v>300</v>
      </c>
      <c r="C923" s="3">
        <v>29.0</v>
      </c>
      <c r="D923" s="10">
        <v>12.0</v>
      </c>
      <c r="E923" s="11">
        <v>2011.0</v>
      </c>
      <c r="F923" s="13">
        <v>705002.98</v>
      </c>
      <c r="G923" s="13">
        <v>488835.42000000004</v>
      </c>
      <c r="H923" s="13">
        <v>216167.55999999994</v>
      </c>
      <c r="I923" s="14">
        <v>0.30661935641747207</v>
      </c>
      <c r="J923" s="3" t="s">
        <v>14</v>
      </c>
      <c r="K923" s="3" t="s">
        <v>28</v>
      </c>
      <c r="L923" s="3" t="s">
        <v>33</v>
      </c>
    </row>
    <row r="924" ht="15.75" customHeight="1">
      <c r="A924" s="3">
        <v>7.02357947E8</v>
      </c>
      <c r="B924" s="3" t="s">
        <v>364</v>
      </c>
      <c r="C924" s="3">
        <v>30.0</v>
      </c>
      <c r="D924" s="10">
        <v>1.0</v>
      </c>
      <c r="E924" s="11">
        <v>2014.0</v>
      </c>
      <c r="F924" s="13">
        <v>178089.67</v>
      </c>
      <c r="G924" s="13">
        <v>123483.93000000001</v>
      </c>
      <c r="H924" s="13">
        <v>54605.740000000005</v>
      </c>
      <c r="I924" s="14">
        <v>0.3066193564174722</v>
      </c>
      <c r="J924" s="3" t="s">
        <v>14</v>
      </c>
      <c r="K924" s="3" t="s">
        <v>28</v>
      </c>
      <c r="L924" s="3" t="s">
        <v>29</v>
      </c>
    </row>
    <row r="925" ht="15.75" customHeight="1">
      <c r="A925" s="3">
        <v>7.02815854E8</v>
      </c>
      <c r="B925" s="3" t="s">
        <v>221</v>
      </c>
      <c r="C925" s="3">
        <v>21.0</v>
      </c>
      <c r="D925" s="10">
        <v>5.0</v>
      </c>
      <c r="E925" s="11">
        <v>2010.0</v>
      </c>
      <c r="F925" s="13">
        <v>5134986.68</v>
      </c>
      <c r="G925" s="13">
        <v>3861517.3600000003</v>
      </c>
      <c r="H925" s="13">
        <v>1273469.3199999994</v>
      </c>
      <c r="I925" s="14">
        <v>0.24799856345489088</v>
      </c>
      <c r="J925" s="3" t="s">
        <v>4</v>
      </c>
      <c r="K925" s="3" t="s">
        <v>28</v>
      </c>
      <c r="L925" s="3" t="s">
        <v>29</v>
      </c>
    </row>
    <row r="926" ht="15.75" customHeight="1">
      <c r="A926" s="3">
        <v>7.03966844E8</v>
      </c>
      <c r="B926" s="3" t="s">
        <v>635</v>
      </c>
      <c r="C926" s="3">
        <v>12.0</v>
      </c>
      <c r="D926" s="10">
        <v>11.0</v>
      </c>
      <c r="E926" s="11">
        <v>2013.0</v>
      </c>
      <c r="F926" s="13">
        <v>1264583.04</v>
      </c>
      <c r="G926" s="13">
        <v>807582.72</v>
      </c>
      <c r="H926" s="13">
        <v>457000.32000000007</v>
      </c>
      <c r="I926" s="14">
        <v>0.3613841918993315</v>
      </c>
      <c r="J926" s="3" t="s">
        <v>13</v>
      </c>
      <c r="K926" s="3" t="s">
        <v>28</v>
      </c>
      <c r="L926" s="3" t="s">
        <v>33</v>
      </c>
    </row>
    <row r="927" ht="15.75" customHeight="1">
      <c r="A927" s="3">
        <v>7.04139363E8</v>
      </c>
      <c r="B927" s="3" t="s">
        <v>536</v>
      </c>
      <c r="C927" s="3">
        <v>45.0</v>
      </c>
      <c r="D927" s="10">
        <v>7.0</v>
      </c>
      <c r="E927" s="11">
        <v>2017.0</v>
      </c>
      <c r="F927" s="13">
        <v>443183.0</v>
      </c>
      <c r="G927" s="13">
        <v>296918.6</v>
      </c>
      <c r="H927" s="13">
        <v>146264.40000000002</v>
      </c>
      <c r="I927" s="14">
        <v>0.3300316122233931</v>
      </c>
      <c r="J927" s="3" t="s">
        <v>6</v>
      </c>
      <c r="K927" s="3" t="s">
        <v>28</v>
      </c>
      <c r="L927" s="3" t="s">
        <v>33</v>
      </c>
    </row>
    <row r="928" ht="15.75" customHeight="1">
      <c r="A928" s="3">
        <v>7.04233348E8</v>
      </c>
      <c r="B928" s="3" t="s">
        <v>373</v>
      </c>
      <c r="C928" s="3">
        <v>9.0</v>
      </c>
      <c r="D928" s="10">
        <v>11.0</v>
      </c>
      <c r="E928" s="11">
        <v>2016.0</v>
      </c>
      <c r="F928" s="13">
        <v>66728.16</v>
      </c>
      <c r="G928" s="13">
        <v>49491.84</v>
      </c>
      <c r="H928" s="13">
        <v>17236.320000000007</v>
      </c>
      <c r="I928" s="14">
        <v>0.2583065380493034</v>
      </c>
      <c r="J928" s="3" t="s">
        <v>8</v>
      </c>
      <c r="K928" s="3" t="s">
        <v>28</v>
      </c>
      <c r="L928" s="3" t="s">
        <v>33</v>
      </c>
    </row>
    <row r="929" ht="15.75" customHeight="1">
      <c r="A929" s="3">
        <v>7.04361665E8</v>
      </c>
      <c r="B929" s="3" t="s">
        <v>650</v>
      </c>
      <c r="C929" s="3">
        <v>31.0</v>
      </c>
      <c r="D929" s="10">
        <v>1.0</v>
      </c>
      <c r="E929" s="11">
        <v>2016.0</v>
      </c>
      <c r="F929" s="13">
        <v>3424215.48</v>
      </c>
      <c r="G929" s="13">
        <v>2575014.96</v>
      </c>
      <c r="H929" s="13">
        <v>849200.52</v>
      </c>
      <c r="I929" s="14">
        <v>0.247998563454891</v>
      </c>
      <c r="J929" s="3" t="s">
        <v>4</v>
      </c>
      <c r="K929" s="3" t="s">
        <v>28</v>
      </c>
      <c r="L929" s="3" t="s">
        <v>98</v>
      </c>
    </row>
    <row r="930" ht="15.75" customHeight="1">
      <c r="A930" s="3">
        <v>7.06176555E8</v>
      </c>
      <c r="B930" s="3" t="s">
        <v>349</v>
      </c>
      <c r="C930" s="3">
        <v>13.0</v>
      </c>
      <c r="D930" s="10">
        <v>2.0</v>
      </c>
      <c r="E930" s="11">
        <v>2015.0</v>
      </c>
      <c r="F930" s="13">
        <v>337391.4</v>
      </c>
      <c r="G930" s="13">
        <v>199136.7</v>
      </c>
      <c r="H930" s="13">
        <v>138254.7</v>
      </c>
      <c r="I930" s="14">
        <v>0.40977541217707386</v>
      </c>
      <c r="J930" s="3" t="s">
        <v>9</v>
      </c>
      <c r="K930" s="3" t="s">
        <v>28</v>
      </c>
      <c r="L930" s="3" t="s">
        <v>29</v>
      </c>
    </row>
    <row r="931" ht="15.75" customHeight="1">
      <c r="A931" s="3">
        <v>7.06301438E8</v>
      </c>
      <c r="B931" s="3" t="s">
        <v>300</v>
      </c>
      <c r="C931" s="3">
        <v>19.0</v>
      </c>
      <c r="D931" s="10">
        <v>1.0</v>
      </c>
      <c r="E931" s="11">
        <v>2012.0</v>
      </c>
      <c r="F931" s="13">
        <v>6111997.42</v>
      </c>
      <c r="G931" s="13">
        <v>4596230.84</v>
      </c>
      <c r="H931" s="13">
        <v>1515766.58</v>
      </c>
      <c r="I931" s="14">
        <v>0.247998563454891</v>
      </c>
      <c r="J931" s="3" t="s">
        <v>4</v>
      </c>
      <c r="K931" s="3" t="s">
        <v>28</v>
      </c>
      <c r="L931" s="3" t="s">
        <v>33</v>
      </c>
    </row>
    <row r="932" ht="15.75" customHeight="1">
      <c r="A932" s="3">
        <v>7.07661855E8</v>
      </c>
      <c r="B932" s="3" t="s">
        <v>434</v>
      </c>
      <c r="C932" s="3">
        <v>26.0</v>
      </c>
      <c r="D932" s="10">
        <v>12.0</v>
      </c>
      <c r="E932" s="11">
        <v>2016.0</v>
      </c>
      <c r="F932" s="13">
        <v>16075.59</v>
      </c>
      <c r="G932" s="13">
        <v>11923.16</v>
      </c>
      <c r="H932" s="13">
        <v>4152.43</v>
      </c>
      <c r="I932" s="14">
        <v>0.2583065380493033</v>
      </c>
      <c r="J932" s="3" t="s">
        <v>8</v>
      </c>
      <c r="K932" s="3" t="s">
        <v>28</v>
      </c>
      <c r="L932" s="3" t="s">
        <v>79</v>
      </c>
    </row>
    <row r="933" ht="15.75" customHeight="1">
      <c r="A933" s="3">
        <v>7.07718932E8</v>
      </c>
      <c r="B933" s="3" t="s">
        <v>536</v>
      </c>
      <c r="C933" s="3">
        <v>7.0</v>
      </c>
      <c r="D933" s="10">
        <v>12.0</v>
      </c>
      <c r="E933" s="11">
        <v>2010.0</v>
      </c>
      <c r="F933" s="13">
        <v>80368.62</v>
      </c>
      <c r="G933" s="13">
        <v>59608.88</v>
      </c>
      <c r="H933" s="13">
        <v>20759.739999999998</v>
      </c>
      <c r="I933" s="14">
        <v>0.2583065380493033</v>
      </c>
      <c r="J933" s="3" t="s">
        <v>8</v>
      </c>
      <c r="K933" s="3" t="s">
        <v>28</v>
      </c>
      <c r="L933" s="3" t="s">
        <v>33</v>
      </c>
    </row>
    <row r="934" ht="15.75" customHeight="1">
      <c r="A934" s="3">
        <v>7.08320605E8</v>
      </c>
      <c r="B934" s="3" t="s">
        <v>623</v>
      </c>
      <c r="C934" s="3">
        <v>17.0</v>
      </c>
      <c r="D934" s="10">
        <v>9.0</v>
      </c>
      <c r="E934" s="11">
        <v>2016.0</v>
      </c>
      <c r="F934" s="13">
        <v>62156.46</v>
      </c>
      <c r="G934" s="13">
        <v>46101.04</v>
      </c>
      <c r="H934" s="13">
        <v>16055.419999999998</v>
      </c>
      <c r="I934" s="14">
        <v>0.2583065380493033</v>
      </c>
      <c r="J934" s="3" t="s">
        <v>8</v>
      </c>
      <c r="K934" s="3" t="s">
        <v>28</v>
      </c>
      <c r="L934" s="3" t="s">
        <v>33</v>
      </c>
    </row>
    <row r="935" ht="15.75" customHeight="1">
      <c r="A935" s="3">
        <v>7.09071195E8</v>
      </c>
      <c r="B935" s="3" t="s">
        <v>215</v>
      </c>
      <c r="C935" s="3">
        <v>45.0</v>
      </c>
      <c r="D935" s="10">
        <v>6.0</v>
      </c>
      <c r="E935" s="11">
        <v>2012.0</v>
      </c>
      <c r="F935" s="13">
        <v>5866074.06</v>
      </c>
      <c r="G935" s="13">
        <v>4411296.12</v>
      </c>
      <c r="H935" s="13">
        <v>1454777.9399999995</v>
      </c>
      <c r="I935" s="14">
        <v>0.2479985634548909</v>
      </c>
      <c r="J935" s="3" t="s">
        <v>4</v>
      </c>
      <c r="K935" s="3" t="s">
        <v>23</v>
      </c>
      <c r="L935" s="3" t="s">
        <v>68</v>
      </c>
    </row>
    <row r="936" ht="15.75" customHeight="1">
      <c r="A936" s="3">
        <v>7.09105527E8</v>
      </c>
      <c r="B936" s="3" t="s">
        <v>542</v>
      </c>
      <c r="C936" s="3">
        <v>2.0</v>
      </c>
      <c r="D936" s="10">
        <v>4.0</v>
      </c>
      <c r="E936" s="11">
        <v>2012.0</v>
      </c>
      <c r="F936" s="13">
        <v>976744.64</v>
      </c>
      <c r="G936" s="13">
        <v>320337.92000000004</v>
      </c>
      <c r="H936" s="13">
        <v>656406.72</v>
      </c>
      <c r="I936" s="14">
        <v>0.6720351390922401</v>
      </c>
      <c r="J936" s="3" t="s">
        <v>5</v>
      </c>
      <c r="K936" s="3" t="s">
        <v>28</v>
      </c>
      <c r="L936" s="3" t="s">
        <v>29</v>
      </c>
    </row>
    <row r="937" ht="15.75" customHeight="1">
      <c r="A937" s="3">
        <v>7.09276759E8</v>
      </c>
      <c r="B937" s="3" t="s">
        <v>590</v>
      </c>
      <c r="C937" s="3">
        <v>48.0</v>
      </c>
      <c r="D937" s="10">
        <v>1.0</v>
      </c>
      <c r="E937" s="11">
        <v>2017.0</v>
      </c>
      <c r="F937" s="13">
        <v>1050180.8</v>
      </c>
      <c r="G937" s="13">
        <v>344422.4</v>
      </c>
      <c r="H937" s="13">
        <v>705758.4</v>
      </c>
      <c r="I937" s="14">
        <v>0.6720351390922401</v>
      </c>
      <c r="J937" s="3" t="s">
        <v>5</v>
      </c>
      <c r="K937" s="3" t="s">
        <v>28</v>
      </c>
      <c r="L937" s="3" t="s">
        <v>98</v>
      </c>
    </row>
    <row r="938" ht="15.75" customHeight="1">
      <c r="A938" s="3">
        <v>7.12595832E8</v>
      </c>
      <c r="B938" s="3" t="s">
        <v>740</v>
      </c>
      <c r="C938" s="3">
        <v>4.0</v>
      </c>
      <c r="D938" s="10">
        <v>3.0</v>
      </c>
      <c r="E938" s="11">
        <v>2015.0</v>
      </c>
      <c r="F938" s="13">
        <v>85267.65000000001</v>
      </c>
      <c r="G938" s="13">
        <v>57126.63</v>
      </c>
      <c r="H938" s="13">
        <v>28141.02000000001</v>
      </c>
      <c r="I938" s="14">
        <v>0.33003161222339317</v>
      </c>
      <c r="J938" s="3" t="s">
        <v>6</v>
      </c>
      <c r="K938" s="3" t="s">
        <v>28</v>
      </c>
      <c r="L938" s="3" t="s">
        <v>98</v>
      </c>
    </row>
    <row r="939" ht="15.75" customHeight="1">
      <c r="A939" s="3">
        <v>7.13009965E8</v>
      </c>
      <c r="B939" s="3" t="s">
        <v>46</v>
      </c>
      <c r="C939" s="3">
        <v>31.0</v>
      </c>
      <c r="D939" s="10">
        <v>11.0</v>
      </c>
      <c r="E939" s="11">
        <v>2016.0</v>
      </c>
      <c r="F939" s="13">
        <v>2905637.96</v>
      </c>
      <c r="G939" s="13">
        <v>2185043.92</v>
      </c>
      <c r="H939" s="13">
        <v>720594.04</v>
      </c>
      <c r="I939" s="14">
        <v>0.247998563454891</v>
      </c>
      <c r="J939" s="3" t="s">
        <v>4</v>
      </c>
      <c r="K939" s="3" t="s">
        <v>28</v>
      </c>
      <c r="L939" s="3" t="s">
        <v>33</v>
      </c>
    </row>
    <row r="940" ht="15.75" customHeight="1">
      <c r="A940" s="3">
        <v>7.1335715E8</v>
      </c>
      <c r="B940" s="3" t="s">
        <v>221</v>
      </c>
      <c r="C940" s="3">
        <v>25.0</v>
      </c>
      <c r="D940" s="10">
        <v>5.0</v>
      </c>
      <c r="E940" s="11">
        <v>2012.0</v>
      </c>
      <c r="F940" s="13">
        <v>774576.64</v>
      </c>
      <c r="G940" s="13">
        <v>254033.92</v>
      </c>
      <c r="H940" s="13">
        <v>520542.72</v>
      </c>
      <c r="I940" s="14">
        <v>0.6720351390922401</v>
      </c>
      <c r="J940" s="3" t="s">
        <v>5</v>
      </c>
      <c r="K940" s="3" t="s">
        <v>28</v>
      </c>
      <c r="L940" s="3" t="s">
        <v>29</v>
      </c>
    </row>
    <row r="941" ht="15.75" customHeight="1">
      <c r="A941" s="3">
        <v>7.14165675E8</v>
      </c>
      <c r="B941" s="3" t="s">
        <v>575</v>
      </c>
      <c r="C941" s="3">
        <v>25.0</v>
      </c>
      <c r="D941" s="10">
        <v>1.0</v>
      </c>
      <c r="E941" s="11">
        <v>2014.0</v>
      </c>
      <c r="F941" s="13">
        <v>301212.60000000003</v>
      </c>
      <c r="G941" s="13">
        <v>201802.91999999998</v>
      </c>
      <c r="H941" s="13">
        <v>99409.68000000005</v>
      </c>
      <c r="I941" s="14">
        <v>0.33003161222339317</v>
      </c>
      <c r="J941" s="3" t="s">
        <v>6</v>
      </c>
      <c r="K941" s="3" t="s">
        <v>28</v>
      </c>
      <c r="L941" s="3" t="s">
        <v>98</v>
      </c>
    </row>
    <row r="942" ht="15.75" customHeight="1">
      <c r="A942" s="3">
        <v>7.15309798E8</v>
      </c>
      <c r="B942" s="3" t="s">
        <v>373</v>
      </c>
      <c r="C942" s="3">
        <v>35.0</v>
      </c>
      <c r="D942" s="10">
        <v>1.0</v>
      </c>
      <c r="E942" s="11">
        <v>2013.0</v>
      </c>
      <c r="F942" s="13">
        <v>1012044.0</v>
      </c>
      <c r="G942" s="13">
        <v>576181.2</v>
      </c>
      <c r="H942" s="13">
        <v>435862.80000000005</v>
      </c>
      <c r="I942" s="14">
        <v>0.43067574137092857</v>
      </c>
      <c r="J942" s="3" t="s">
        <v>3</v>
      </c>
      <c r="K942" s="3" t="s">
        <v>28</v>
      </c>
      <c r="L942" s="3" t="s">
        <v>33</v>
      </c>
    </row>
    <row r="943" ht="15.75" customHeight="1">
      <c r="A943" s="3">
        <v>7.15863835E8</v>
      </c>
      <c r="B943" s="3" t="s">
        <v>686</v>
      </c>
      <c r="C943" s="3">
        <v>19.0</v>
      </c>
      <c r="D943" s="10">
        <v>1.0</v>
      </c>
      <c r="E943" s="11">
        <v>2012.0</v>
      </c>
      <c r="F943" s="13">
        <v>1366820.32</v>
      </c>
      <c r="G943" s="13">
        <v>806730.9600000001</v>
      </c>
      <c r="H943" s="13">
        <v>560089.36</v>
      </c>
      <c r="I943" s="14">
        <v>0.40977541217707386</v>
      </c>
      <c r="J943" s="3" t="s">
        <v>9</v>
      </c>
      <c r="K943" s="3" t="s">
        <v>28</v>
      </c>
      <c r="L943" s="3" t="s">
        <v>29</v>
      </c>
    </row>
    <row r="944" ht="15.75" customHeight="1">
      <c r="A944" s="3">
        <v>7.16054379E8</v>
      </c>
      <c r="B944" s="3" t="s">
        <v>46</v>
      </c>
      <c r="C944" s="3">
        <v>22.0</v>
      </c>
      <c r="D944" s="10">
        <v>3.0</v>
      </c>
      <c r="E944" s="11">
        <v>2016.0</v>
      </c>
      <c r="F944" s="13">
        <v>49057.14</v>
      </c>
      <c r="G944" s="13">
        <v>36385.36</v>
      </c>
      <c r="H944" s="13">
        <v>12671.779999999999</v>
      </c>
      <c r="I944" s="14">
        <v>0.2583065380493033</v>
      </c>
      <c r="J944" s="3" t="s">
        <v>8</v>
      </c>
      <c r="K944" s="3" t="s">
        <v>28</v>
      </c>
      <c r="L944" s="3" t="s">
        <v>33</v>
      </c>
    </row>
    <row r="945" ht="15.75" customHeight="1">
      <c r="A945" s="3">
        <v>7.16411006E8</v>
      </c>
      <c r="B945" s="3" t="s">
        <v>413</v>
      </c>
      <c r="C945" s="3">
        <v>21.0</v>
      </c>
      <c r="D945" s="10">
        <v>1.0</v>
      </c>
      <c r="E945" s="11">
        <v>2014.0</v>
      </c>
      <c r="F945" s="13">
        <v>64730.16</v>
      </c>
      <c r="G945" s="13">
        <v>44882.64</v>
      </c>
      <c r="H945" s="13">
        <v>19847.520000000004</v>
      </c>
      <c r="I945" s="14">
        <v>0.30661935641747223</v>
      </c>
      <c r="J945" s="3" t="s">
        <v>14</v>
      </c>
      <c r="K945" s="3" t="s">
        <v>28</v>
      </c>
      <c r="L945" s="3" t="s">
        <v>29</v>
      </c>
    </row>
    <row r="946" ht="15.75" customHeight="1">
      <c r="A946" s="3">
        <v>7.1783322E8</v>
      </c>
      <c r="B946" s="3" t="s">
        <v>635</v>
      </c>
      <c r="C946" s="3">
        <v>12.0</v>
      </c>
      <c r="D946" s="10">
        <v>3.0</v>
      </c>
      <c r="E946" s="11">
        <v>2014.0</v>
      </c>
      <c r="F946" s="13">
        <v>255277.42</v>
      </c>
      <c r="G946" s="13">
        <v>150671.01</v>
      </c>
      <c r="H946" s="13">
        <v>104606.41</v>
      </c>
      <c r="I946" s="14">
        <v>0.40977541217707386</v>
      </c>
      <c r="J946" s="3" t="s">
        <v>9</v>
      </c>
      <c r="K946" s="3" t="s">
        <v>28</v>
      </c>
      <c r="L946" s="3" t="s">
        <v>33</v>
      </c>
    </row>
    <row r="947" ht="15.75" customHeight="1">
      <c r="A947" s="3">
        <v>7.1929363E8</v>
      </c>
      <c r="B947" s="3" t="s">
        <v>512</v>
      </c>
      <c r="C947" s="3">
        <v>23.0</v>
      </c>
      <c r="D947" s="10">
        <v>2.0</v>
      </c>
      <c r="E947" s="11">
        <v>2011.0</v>
      </c>
      <c r="F947" s="13">
        <v>2490227.04</v>
      </c>
      <c r="G947" s="13">
        <v>2007447.04</v>
      </c>
      <c r="H947" s="13">
        <v>482780.0</v>
      </c>
      <c r="I947" s="14">
        <v>0.19386987300563566</v>
      </c>
      <c r="J947" s="3" t="s">
        <v>7</v>
      </c>
      <c r="K947" s="3" t="s">
        <v>28</v>
      </c>
      <c r="L947" s="3" t="s">
        <v>79</v>
      </c>
    </row>
    <row r="948" ht="15.75" customHeight="1">
      <c r="A948" s="3">
        <v>7.19404351E8</v>
      </c>
      <c r="B948" s="3" t="s">
        <v>267</v>
      </c>
      <c r="C948" s="3">
        <v>20.0</v>
      </c>
      <c r="D948" s="10">
        <v>12.0</v>
      </c>
      <c r="E948" s="11">
        <v>2011.0</v>
      </c>
      <c r="F948" s="13">
        <v>4290822.69</v>
      </c>
      <c r="G948" s="13">
        <v>3458961.4400000004</v>
      </c>
      <c r="H948" s="13">
        <v>831861.25</v>
      </c>
      <c r="I948" s="14">
        <v>0.19386987300563566</v>
      </c>
      <c r="J948" s="3" t="s">
        <v>7</v>
      </c>
      <c r="K948" s="3" t="s">
        <v>28</v>
      </c>
      <c r="L948" s="3" t="s">
        <v>29</v>
      </c>
    </row>
    <row r="949" ht="15.75" customHeight="1">
      <c r="A949" s="3">
        <v>7.19730079E8</v>
      </c>
      <c r="B949" s="3" t="s">
        <v>512</v>
      </c>
      <c r="C949" s="3">
        <v>28.0</v>
      </c>
      <c r="D949" s="10">
        <v>4.0</v>
      </c>
      <c r="E949" s="11">
        <v>2012.0</v>
      </c>
      <c r="F949" s="13">
        <v>325545.12</v>
      </c>
      <c r="G949" s="13">
        <v>106767.36000000002</v>
      </c>
      <c r="H949" s="13">
        <v>218777.75999999998</v>
      </c>
      <c r="I949" s="14">
        <v>0.6720351390922401</v>
      </c>
      <c r="J949" s="3" t="s">
        <v>5</v>
      </c>
      <c r="K949" s="3" t="s">
        <v>28</v>
      </c>
      <c r="L949" s="3" t="s">
        <v>79</v>
      </c>
    </row>
    <row r="950" ht="15.75" customHeight="1">
      <c r="A950" s="3">
        <v>7.20229613E8</v>
      </c>
      <c r="B950" s="3" t="s">
        <v>821</v>
      </c>
      <c r="C950" s="3">
        <v>4.0</v>
      </c>
      <c r="D950" s="10">
        <v>3.0</v>
      </c>
      <c r="E950" s="11">
        <v>2015.0</v>
      </c>
      <c r="F950" s="13">
        <v>7491.99</v>
      </c>
      <c r="G950" s="13">
        <v>5556.76</v>
      </c>
      <c r="H950" s="13">
        <v>1935.2299999999996</v>
      </c>
      <c r="I950" s="14">
        <v>0.25830653804930326</v>
      </c>
      <c r="J950" s="3" t="s">
        <v>8</v>
      </c>
      <c r="K950" s="3" t="s">
        <v>821</v>
      </c>
      <c r="L950" s="3" t="s">
        <v>821</v>
      </c>
    </row>
    <row r="951" ht="15.75" customHeight="1">
      <c r="A951" s="3">
        <v>7.20878922E8</v>
      </c>
      <c r="B951" s="3" t="s">
        <v>428</v>
      </c>
      <c r="C951" s="3">
        <v>40.0</v>
      </c>
      <c r="D951" s="10">
        <v>6.0</v>
      </c>
      <c r="E951" s="11">
        <v>2012.0</v>
      </c>
      <c r="F951" s="13">
        <v>752565.4400000001</v>
      </c>
      <c r="G951" s="13">
        <v>469970.16</v>
      </c>
      <c r="H951" s="13">
        <v>282595.2800000001</v>
      </c>
      <c r="I951" s="14">
        <v>0.3755092447508619</v>
      </c>
      <c r="J951" s="3" t="s">
        <v>10</v>
      </c>
      <c r="K951" s="3" t="s">
        <v>28</v>
      </c>
      <c r="L951" s="3" t="s">
        <v>79</v>
      </c>
    </row>
    <row r="952" ht="15.75" customHeight="1">
      <c r="A952" s="3">
        <v>7.20931279E8</v>
      </c>
      <c r="B952" s="3" t="s">
        <v>349</v>
      </c>
      <c r="C952" s="3">
        <v>19.0</v>
      </c>
      <c r="D952" s="10">
        <v>10.0</v>
      </c>
      <c r="E952" s="11">
        <v>2012.0</v>
      </c>
      <c r="F952" s="13">
        <v>1287927.78</v>
      </c>
      <c r="G952" s="13">
        <v>822491.04</v>
      </c>
      <c r="H952" s="13">
        <v>465436.74</v>
      </c>
      <c r="I952" s="14">
        <v>0.36138419189933146</v>
      </c>
      <c r="J952" s="3" t="s">
        <v>13</v>
      </c>
      <c r="K952" s="3" t="s">
        <v>28</v>
      </c>
      <c r="L952" s="3" t="s">
        <v>29</v>
      </c>
    </row>
    <row r="953" ht="15.75" customHeight="1">
      <c r="A953" s="3">
        <v>7.21318805E8</v>
      </c>
      <c r="B953" s="3" t="s">
        <v>689</v>
      </c>
      <c r="C953" s="3">
        <v>10.0</v>
      </c>
      <c r="D953" s="10">
        <v>11.0</v>
      </c>
      <c r="E953" s="11">
        <v>2015.0</v>
      </c>
      <c r="F953" s="13">
        <v>29090.94</v>
      </c>
      <c r="G953" s="13">
        <v>21576.56</v>
      </c>
      <c r="H953" s="13">
        <v>7514.379999999997</v>
      </c>
      <c r="I953" s="14">
        <v>0.25830653804930326</v>
      </c>
      <c r="J953" s="3" t="s">
        <v>8</v>
      </c>
      <c r="K953" s="3" t="s">
        <v>28</v>
      </c>
      <c r="L953" s="3" t="s">
        <v>79</v>
      </c>
    </row>
    <row r="954" ht="15.75" customHeight="1">
      <c r="A954" s="3">
        <v>7.22233331E8</v>
      </c>
      <c r="B954" s="3" t="s">
        <v>671</v>
      </c>
      <c r="C954" s="3">
        <v>6.0</v>
      </c>
      <c r="D954" s="10">
        <v>3.0</v>
      </c>
      <c r="E954" s="11">
        <v>2017.0</v>
      </c>
      <c r="F954" s="13">
        <v>577262.8200000001</v>
      </c>
      <c r="G954" s="13">
        <v>340714.71</v>
      </c>
      <c r="H954" s="13">
        <v>236548.11000000004</v>
      </c>
      <c r="I954" s="14">
        <v>0.4097754121770739</v>
      </c>
      <c r="J954" s="3" t="s">
        <v>9</v>
      </c>
      <c r="K954" s="3" t="s">
        <v>28</v>
      </c>
      <c r="L954" s="3" t="s">
        <v>33</v>
      </c>
    </row>
    <row r="955" ht="15.75" customHeight="1">
      <c r="A955" s="3">
        <v>7.2224878E8</v>
      </c>
      <c r="B955" s="3" t="s">
        <v>689</v>
      </c>
      <c r="C955" s="3">
        <v>2.0</v>
      </c>
      <c r="D955" s="10">
        <v>4.0</v>
      </c>
      <c r="E955" s="11">
        <v>2012.0</v>
      </c>
      <c r="F955" s="13">
        <v>1269313.02</v>
      </c>
      <c r="G955" s="13">
        <v>810603.36</v>
      </c>
      <c r="H955" s="13">
        <v>458709.66000000003</v>
      </c>
      <c r="I955" s="14">
        <v>0.3613841918993315</v>
      </c>
      <c r="J955" s="3" t="s">
        <v>13</v>
      </c>
      <c r="K955" s="3" t="s">
        <v>28</v>
      </c>
      <c r="L955" s="3" t="s">
        <v>79</v>
      </c>
    </row>
    <row r="956" ht="15.75" customHeight="1">
      <c r="A956" s="3">
        <v>7.23893725E8</v>
      </c>
      <c r="B956" s="3" t="s">
        <v>123</v>
      </c>
      <c r="C956" s="3">
        <v>26.0</v>
      </c>
      <c r="D956" s="10">
        <v>2.0</v>
      </c>
      <c r="E956" s="11">
        <v>2013.0</v>
      </c>
      <c r="F956" s="13">
        <v>3404835.65</v>
      </c>
      <c r="G956" s="13">
        <v>2560441.3000000003</v>
      </c>
      <c r="H956" s="13">
        <v>844394.3499999996</v>
      </c>
      <c r="I956" s="14">
        <v>0.24799856345489088</v>
      </c>
      <c r="J956" s="3" t="s">
        <v>4</v>
      </c>
      <c r="K956" s="3" t="s">
        <v>28</v>
      </c>
      <c r="L956" s="3" t="s">
        <v>33</v>
      </c>
    </row>
    <row r="957" ht="15.75" customHeight="1">
      <c r="A957" s="3">
        <v>7.24085128E8</v>
      </c>
      <c r="B957" s="3" t="s">
        <v>288</v>
      </c>
      <c r="C957" s="3">
        <v>20.0</v>
      </c>
      <c r="D957" s="10">
        <v>1.0</v>
      </c>
      <c r="E957" s="11">
        <v>2014.0</v>
      </c>
      <c r="F957" s="13">
        <v>16187.55</v>
      </c>
      <c r="G957" s="13">
        <v>12006.2</v>
      </c>
      <c r="H957" s="13">
        <v>4181.3499999999985</v>
      </c>
      <c r="I957" s="14">
        <v>0.25830653804930326</v>
      </c>
      <c r="J957" s="3" t="s">
        <v>8</v>
      </c>
      <c r="K957" s="3" t="s">
        <v>23</v>
      </c>
      <c r="L957" s="3" t="s">
        <v>68</v>
      </c>
    </row>
    <row r="958" ht="15.75" customHeight="1">
      <c r="A958" s="3">
        <v>7.2622317E8</v>
      </c>
      <c r="B958" s="3" t="s">
        <v>689</v>
      </c>
      <c r="C958" s="3">
        <v>34.0</v>
      </c>
      <c r="D958" s="10">
        <v>6.0</v>
      </c>
      <c r="E958" s="11">
        <v>2015.0</v>
      </c>
      <c r="F958" s="13">
        <v>1130635.12</v>
      </c>
      <c r="G958" s="13">
        <v>706071.1799999999</v>
      </c>
      <c r="H958" s="13">
        <v>424563.9400000002</v>
      </c>
      <c r="I958" s="14">
        <v>0.3755092447508619</v>
      </c>
      <c r="J958" s="3" t="s">
        <v>10</v>
      </c>
      <c r="K958" s="3" t="s">
        <v>28</v>
      </c>
      <c r="L958" s="3" t="s">
        <v>79</v>
      </c>
    </row>
    <row r="959" ht="15.75" customHeight="1">
      <c r="A959" s="3">
        <v>7.27175891E8</v>
      </c>
      <c r="B959" s="3" t="s">
        <v>373</v>
      </c>
      <c r="C959" s="3">
        <v>50.0</v>
      </c>
      <c r="D959" s="10">
        <v>7.0</v>
      </c>
      <c r="E959" s="11">
        <v>2013.0</v>
      </c>
      <c r="F959" s="13">
        <v>2683220.4</v>
      </c>
      <c r="G959" s="13">
        <v>2319428.4</v>
      </c>
      <c r="H959" s="13">
        <v>363792.0</v>
      </c>
      <c r="I959" s="14">
        <v>0.1355803645500012</v>
      </c>
      <c r="J959" s="3" t="s">
        <v>11</v>
      </c>
      <c r="K959" s="3" t="s">
        <v>28</v>
      </c>
      <c r="L959" s="3" t="s">
        <v>33</v>
      </c>
    </row>
    <row r="960" ht="15.75" customHeight="1">
      <c r="A960" s="3">
        <v>7.27426946E8</v>
      </c>
      <c r="B960" s="3" t="s">
        <v>46</v>
      </c>
      <c r="C960" s="3">
        <v>50.0</v>
      </c>
      <c r="D960" s="10">
        <v>12.0</v>
      </c>
      <c r="E960" s="11">
        <v>2013.0</v>
      </c>
      <c r="F960" s="13">
        <v>100601.18000000001</v>
      </c>
      <c r="G960" s="13">
        <v>59377.29</v>
      </c>
      <c r="H960" s="13">
        <v>41223.89000000001</v>
      </c>
      <c r="I960" s="14">
        <v>0.4097754121770739</v>
      </c>
      <c r="J960" s="3" t="s">
        <v>9</v>
      </c>
      <c r="K960" s="3" t="s">
        <v>28</v>
      </c>
      <c r="L960" s="3" t="s">
        <v>33</v>
      </c>
    </row>
    <row r="961" ht="15.75" customHeight="1">
      <c r="A961" s="3">
        <v>7.27821767E8</v>
      </c>
      <c r="B961" s="3" t="s">
        <v>46</v>
      </c>
      <c r="C961" s="3">
        <v>19.0</v>
      </c>
      <c r="D961" s="10">
        <v>2.0</v>
      </c>
      <c r="E961" s="11">
        <v>2016.0</v>
      </c>
      <c r="F961" s="13">
        <v>3274190.8</v>
      </c>
      <c r="G961" s="13">
        <v>1972078.3699999999</v>
      </c>
      <c r="H961" s="13">
        <v>1302112.43</v>
      </c>
      <c r="I961" s="14">
        <v>0.39768984446477584</v>
      </c>
      <c r="J961" s="3" t="s">
        <v>12</v>
      </c>
      <c r="K961" s="3" t="s">
        <v>28</v>
      </c>
      <c r="L961" s="3" t="s">
        <v>33</v>
      </c>
    </row>
    <row r="962" ht="15.75" customHeight="1">
      <c r="A962" s="3">
        <v>7.2799772E8</v>
      </c>
      <c r="B962" s="3" t="s">
        <v>215</v>
      </c>
      <c r="C962" s="3">
        <v>17.0</v>
      </c>
      <c r="D962" s="10">
        <v>7.0</v>
      </c>
      <c r="E962" s="11">
        <v>2014.0</v>
      </c>
      <c r="F962" s="13">
        <v>1472505.48</v>
      </c>
      <c r="G962" s="13">
        <v>869108.9400000001</v>
      </c>
      <c r="H962" s="13">
        <v>603396.5399999999</v>
      </c>
      <c r="I962" s="14">
        <v>0.4097754121770738</v>
      </c>
      <c r="J962" s="3" t="s">
        <v>9</v>
      </c>
      <c r="K962" s="3" t="s">
        <v>23</v>
      </c>
      <c r="L962" s="3" t="s">
        <v>68</v>
      </c>
    </row>
    <row r="963" ht="15.75" customHeight="1">
      <c r="A963" s="3">
        <v>7.2879337E8</v>
      </c>
      <c r="B963" s="3" t="s">
        <v>32</v>
      </c>
      <c r="C963" s="3">
        <v>46.0</v>
      </c>
      <c r="D963" s="10">
        <v>6.0</v>
      </c>
      <c r="E963" s="11">
        <v>2011.0</v>
      </c>
      <c r="F963" s="13">
        <v>2189934.8</v>
      </c>
      <c r="G963" s="13">
        <v>1319019.97</v>
      </c>
      <c r="H963" s="13">
        <v>870914.8299999998</v>
      </c>
      <c r="I963" s="14">
        <v>0.3976898444647758</v>
      </c>
      <c r="J963" s="3" t="s">
        <v>12</v>
      </c>
      <c r="K963" s="3" t="s">
        <v>28</v>
      </c>
      <c r="L963" s="3" t="s">
        <v>33</v>
      </c>
    </row>
    <row r="964" ht="15.75" customHeight="1">
      <c r="A964" s="3">
        <v>7.29373586E8</v>
      </c>
      <c r="B964" s="3" t="s">
        <v>364</v>
      </c>
      <c r="C964" s="3">
        <v>20.0</v>
      </c>
      <c r="D964" s="10">
        <v>6.0</v>
      </c>
      <c r="E964" s="11">
        <v>2014.0</v>
      </c>
      <c r="F964" s="13">
        <v>4367665.470000001</v>
      </c>
      <c r="G964" s="13">
        <v>3520906.72</v>
      </c>
      <c r="H964" s="13">
        <v>846758.7500000005</v>
      </c>
      <c r="I964" s="14">
        <v>0.19386987300563574</v>
      </c>
      <c r="J964" s="3" t="s">
        <v>7</v>
      </c>
      <c r="K964" s="3" t="s">
        <v>28</v>
      </c>
      <c r="L964" s="3" t="s">
        <v>29</v>
      </c>
    </row>
    <row r="965" ht="15.75" customHeight="1">
      <c r="A965" s="3">
        <v>7.30490243E8</v>
      </c>
      <c r="B965" s="3" t="s">
        <v>428</v>
      </c>
      <c r="C965" s="3">
        <v>2.0</v>
      </c>
      <c r="D965" s="10">
        <v>7.0</v>
      </c>
      <c r="E965" s="11">
        <v>2010.0</v>
      </c>
      <c r="F965" s="13">
        <v>3016935.39</v>
      </c>
      <c r="G965" s="13">
        <v>2607898.19</v>
      </c>
      <c r="H965" s="13">
        <v>409037.2000000002</v>
      </c>
      <c r="I965" s="14">
        <v>0.13558036455000125</v>
      </c>
      <c r="J965" s="3" t="s">
        <v>11</v>
      </c>
      <c r="K965" s="3" t="s">
        <v>28</v>
      </c>
      <c r="L965" s="3" t="s">
        <v>79</v>
      </c>
    </row>
    <row r="966" ht="15.75" customHeight="1">
      <c r="A966" s="3">
        <v>7.32703387E8</v>
      </c>
      <c r="B966" s="3" t="s">
        <v>431</v>
      </c>
      <c r="C966" s="3">
        <v>19.0</v>
      </c>
      <c r="D966" s="10">
        <v>1.0</v>
      </c>
      <c r="E966" s="11">
        <v>2014.0</v>
      </c>
      <c r="F966" s="13">
        <v>98174.05</v>
      </c>
      <c r="G966" s="13">
        <v>65773.51</v>
      </c>
      <c r="H966" s="13">
        <v>32400.540000000008</v>
      </c>
      <c r="I966" s="14">
        <v>0.3300316122233931</v>
      </c>
      <c r="J966" s="3" t="s">
        <v>6</v>
      </c>
      <c r="K966" s="3" t="s">
        <v>28</v>
      </c>
      <c r="L966" s="3" t="s">
        <v>29</v>
      </c>
    </row>
    <row r="967" ht="15.75" customHeight="1">
      <c r="A967" s="3">
        <v>7.33636796E8</v>
      </c>
      <c r="B967" s="3" t="s">
        <v>740</v>
      </c>
      <c r="C967" s="3">
        <v>26.0</v>
      </c>
      <c r="D967" s="10">
        <v>8.0</v>
      </c>
      <c r="E967" s="11">
        <v>2012.0</v>
      </c>
      <c r="F967" s="13">
        <v>3495780.54</v>
      </c>
      <c r="G967" s="13">
        <v>3021821.34</v>
      </c>
      <c r="H967" s="13">
        <v>473959.2000000002</v>
      </c>
      <c r="I967" s="14">
        <v>0.13558036455000125</v>
      </c>
      <c r="J967" s="3" t="s">
        <v>11</v>
      </c>
      <c r="K967" s="3" t="s">
        <v>28</v>
      </c>
      <c r="L967" s="3" t="s">
        <v>98</v>
      </c>
    </row>
    <row r="968" ht="15.75" customHeight="1">
      <c r="A968" s="3">
        <v>7.33648812E8</v>
      </c>
      <c r="B968" s="3" t="s">
        <v>434</v>
      </c>
      <c r="C968" s="3">
        <v>6.0</v>
      </c>
      <c r="D968" s="10">
        <v>12.0</v>
      </c>
      <c r="E968" s="11">
        <v>2012.0</v>
      </c>
      <c r="F968" s="13">
        <v>378899.39999999997</v>
      </c>
      <c r="G968" s="13">
        <v>215716.62</v>
      </c>
      <c r="H968" s="13">
        <v>163182.77999999997</v>
      </c>
      <c r="I968" s="14">
        <v>0.4306757413709285</v>
      </c>
      <c r="J968" s="3" t="s">
        <v>3</v>
      </c>
      <c r="K968" s="3" t="s">
        <v>28</v>
      </c>
      <c r="L968" s="3" t="s">
        <v>79</v>
      </c>
    </row>
    <row r="969" ht="15.75" customHeight="1">
      <c r="A969" s="3">
        <v>7.34189975E8</v>
      </c>
      <c r="B969" s="3" t="s">
        <v>291</v>
      </c>
      <c r="C969" s="3">
        <v>19.0</v>
      </c>
      <c r="D969" s="10">
        <v>11.0</v>
      </c>
      <c r="E969" s="11">
        <v>2014.0</v>
      </c>
      <c r="F969" s="13">
        <v>408108.8</v>
      </c>
      <c r="G969" s="13">
        <v>232346.24</v>
      </c>
      <c r="H969" s="13">
        <v>175762.56</v>
      </c>
      <c r="I969" s="14">
        <v>0.43067574137092857</v>
      </c>
      <c r="J969" s="3" t="s">
        <v>3</v>
      </c>
      <c r="K969" s="3" t="s">
        <v>28</v>
      </c>
      <c r="L969" s="3" t="s">
        <v>79</v>
      </c>
    </row>
    <row r="970" ht="15.75" customHeight="1">
      <c r="A970" s="3">
        <v>7.34318292E8</v>
      </c>
      <c r="B970" s="3" t="s">
        <v>578</v>
      </c>
      <c r="C970" s="3">
        <v>42.0</v>
      </c>
      <c r="D970" s="10">
        <v>1.0</v>
      </c>
      <c r="E970" s="11">
        <v>2014.0</v>
      </c>
      <c r="F970" s="13">
        <v>6483446.760000001</v>
      </c>
      <c r="G970" s="13">
        <v>5226501.760000001</v>
      </c>
      <c r="H970" s="13">
        <v>1256945.0</v>
      </c>
      <c r="I970" s="14">
        <v>0.19386987300563563</v>
      </c>
      <c r="J970" s="3" t="s">
        <v>7</v>
      </c>
      <c r="K970" s="3" t="s">
        <v>28</v>
      </c>
      <c r="L970" s="3" t="s">
        <v>33</v>
      </c>
    </row>
    <row r="971" ht="15.75" customHeight="1">
      <c r="A971" s="3">
        <v>7.35445678E8</v>
      </c>
      <c r="B971" s="3" t="s">
        <v>575</v>
      </c>
      <c r="C971" s="3">
        <v>17.0</v>
      </c>
      <c r="D971" s="10">
        <v>7.0</v>
      </c>
      <c r="E971" s="11">
        <v>2011.0</v>
      </c>
      <c r="F971" s="13">
        <v>169586.30000000002</v>
      </c>
      <c r="G971" s="13">
        <v>113617.45999999999</v>
      </c>
      <c r="H971" s="13">
        <v>55968.840000000026</v>
      </c>
      <c r="I971" s="14">
        <v>0.33003161222339317</v>
      </c>
      <c r="J971" s="3" t="s">
        <v>6</v>
      </c>
      <c r="K971" s="3" t="s">
        <v>28</v>
      </c>
      <c r="L971" s="3" t="s">
        <v>98</v>
      </c>
    </row>
    <row r="972" ht="15.75" customHeight="1">
      <c r="A972" s="3">
        <v>7.36240041E8</v>
      </c>
      <c r="B972" s="3" t="s">
        <v>653</v>
      </c>
      <c r="C972" s="3">
        <v>9.0</v>
      </c>
      <c r="D972" s="10">
        <v>2.0</v>
      </c>
      <c r="E972" s="11">
        <v>2017.0</v>
      </c>
      <c r="F972" s="13">
        <v>5776525.88</v>
      </c>
      <c r="G972" s="13">
        <v>4343955.76</v>
      </c>
      <c r="H972" s="13">
        <v>1432570.12</v>
      </c>
      <c r="I972" s="14">
        <v>0.24799856345489102</v>
      </c>
      <c r="J972" s="3" t="s">
        <v>4</v>
      </c>
      <c r="K972" s="3" t="s">
        <v>28</v>
      </c>
      <c r="L972" s="3" t="s">
        <v>33</v>
      </c>
    </row>
    <row r="973" ht="15.75" customHeight="1">
      <c r="A973" s="3">
        <v>7.37095344E8</v>
      </c>
      <c r="B973" s="3" t="s">
        <v>67</v>
      </c>
      <c r="C973" s="3">
        <v>44.0</v>
      </c>
      <c r="D973" s="10">
        <v>7.0</v>
      </c>
      <c r="E973" s="11">
        <v>2013.0</v>
      </c>
      <c r="F973" s="13">
        <v>266557.26</v>
      </c>
      <c r="G973" s="13">
        <v>170227.68</v>
      </c>
      <c r="H973" s="13">
        <v>96329.58000000002</v>
      </c>
      <c r="I973" s="14">
        <v>0.3613841918993315</v>
      </c>
      <c r="J973" s="3" t="s">
        <v>13</v>
      </c>
      <c r="K973" s="3" t="s">
        <v>23</v>
      </c>
      <c r="L973" s="3" t="s">
        <v>68</v>
      </c>
    </row>
    <row r="974" ht="15.75" customHeight="1">
      <c r="A974" s="3">
        <v>7.3773607E8</v>
      </c>
      <c r="B974" s="3" t="s">
        <v>686</v>
      </c>
      <c r="C974" s="3">
        <v>15.0</v>
      </c>
      <c r="D974" s="10">
        <v>10.0</v>
      </c>
      <c r="E974" s="11">
        <v>2012.0</v>
      </c>
      <c r="F974" s="13">
        <v>278106.39999999997</v>
      </c>
      <c r="G974" s="13">
        <v>158332.72</v>
      </c>
      <c r="H974" s="13">
        <v>119773.67999999996</v>
      </c>
      <c r="I974" s="14">
        <v>0.43067574137092846</v>
      </c>
      <c r="J974" s="3" t="s">
        <v>3</v>
      </c>
      <c r="K974" s="3" t="s">
        <v>28</v>
      </c>
      <c r="L974" s="3" t="s">
        <v>29</v>
      </c>
    </row>
    <row r="975" ht="15.75" customHeight="1">
      <c r="A975" s="3">
        <v>7.40300261E8</v>
      </c>
      <c r="B975" s="3" t="s">
        <v>215</v>
      </c>
      <c r="C975" s="3">
        <v>37.0</v>
      </c>
      <c r="D975" s="10">
        <v>3.0</v>
      </c>
      <c r="E975" s="11">
        <v>2016.0</v>
      </c>
      <c r="F975" s="13">
        <v>39057.840000000004</v>
      </c>
      <c r="G975" s="13">
        <v>24391.26</v>
      </c>
      <c r="H975" s="13">
        <v>14666.580000000005</v>
      </c>
      <c r="I975" s="14">
        <v>0.3755092447508619</v>
      </c>
      <c r="J975" s="3" t="s">
        <v>10</v>
      </c>
      <c r="K975" s="3" t="s">
        <v>23</v>
      </c>
      <c r="L975" s="3" t="s">
        <v>68</v>
      </c>
    </row>
    <row r="976" ht="15.75" customHeight="1">
      <c r="A976" s="3">
        <v>7.41690289E8</v>
      </c>
      <c r="B976" s="3" t="s">
        <v>590</v>
      </c>
      <c r="C976" s="3">
        <v>48.0</v>
      </c>
      <c r="D976" s="10">
        <v>3.0</v>
      </c>
      <c r="E976" s="11">
        <v>2012.0</v>
      </c>
      <c r="F976" s="13">
        <v>630303.66</v>
      </c>
      <c r="G976" s="13">
        <v>544846.86</v>
      </c>
      <c r="H976" s="13">
        <v>85456.80000000005</v>
      </c>
      <c r="I976" s="14">
        <v>0.13558036455000125</v>
      </c>
      <c r="J976" s="3" t="s">
        <v>11</v>
      </c>
      <c r="K976" s="3" t="s">
        <v>28</v>
      </c>
      <c r="L976" s="3" t="s">
        <v>98</v>
      </c>
    </row>
    <row r="977" ht="15.75" customHeight="1">
      <c r="A977" s="3">
        <v>7.41866242E8</v>
      </c>
      <c r="B977" s="3" t="s">
        <v>740</v>
      </c>
      <c r="C977" s="3">
        <v>47.0</v>
      </c>
      <c r="D977" s="10">
        <v>7.0</v>
      </c>
      <c r="E977" s="11">
        <v>2010.0</v>
      </c>
      <c r="F977" s="13">
        <v>2380377.7399999998</v>
      </c>
      <c r="G977" s="13">
        <v>1790047.48</v>
      </c>
      <c r="H977" s="13">
        <v>590330.2599999998</v>
      </c>
      <c r="I977" s="14">
        <v>0.2479985634548909</v>
      </c>
      <c r="J977" s="3" t="s">
        <v>4</v>
      </c>
      <c r="K977" s="3" t="s">
        <v>28</v>
      </c>
      <c r="L977" s="3" t="s">
        <v>98</v>
      </c>
    </row>
    <row r="978" ht="15.75" customHeight="1">
      <c r="A978" s="3">
        <v>7.41964948E8</v>
      </c>
      <c r="B978" s="3" t="s">
        <v>740</v>
      </c>
      <c r="C978" s="3">
        <v>13.0</v>
      </c>
      <c r="D978" s="10">
        <v>2.0</v>
      </c>
      <c r="E978" s="11">
        <v>2011.0</v>
      </c>
      <c r="F978" s="13">
        <v>569994.7</v>
      </c>
      <c r="G978" s="13">
        <v>324511.81</v>
      </c>
      <c r="H978" s="13">
        <v>245482.88999999996</v>
      </c>
      <c r="I978" s="14">
        <v>0.4306757413709285</v>
      </c>
      <c r="J978" s="3" t="s">
        <v>3</v>
      </c>
      <c r="K978" s="3" t="s">
        <v>28</v>
      </c>
      <c r="L978" s="3" t="s">
        <v>98</v>
      </c>
    </row>
    <row r="979" ht="15.75" customHeight="1">
      <c r="A979" s="3">
        <v>7.4210056E8</v>
      </c>
      <c r="B979" s="3" t="s">
        <v>623</v>
      </c>
      <c r="C979" s="3">
        <v>13.0</v>
      </c>
      <c r="D979" s="10">
        <v>1.0</v>
      </c>
      <c r="E979" s="11">
        <v>2017.0</v>
      </c>
      <c r="F979" s="13">
        <v>442787.16000000003</v>
      </c>
      <c r="G979" s="13">
        <v>282770.88</v>
      </c>
      <c r="H979" s="13">
        <v>160016.28000000003</v>
      </c>
      <c r="I979" s="14">
        <v>0.3613841918993315</v>
      </c>
      <c r="J979" s="3" t="s">
        <v>13</v>
      </c>
      <c r="K979" s="3" t="s">
        <v>28</v>
      </c>
      <c r="L979" s="3" t="s">
        <v>33</v>
      </c>
    </row>
    <row r="980" ht="15.75" customHeight="1">
      <c r="A980" s="3">
        <v>7.42569196E8</v>
      </c>
      <c r="B980" s="3" t="s">
        <v>434</v>
      </c>
      <c r="C980" s="3">
        <v>48.0</v>
      </c>
      <c r="D980" s="10">
        <v>9.0</v>
      </c>
      <c r="E980" s="11">
        <v>2014.0</v>
      </c>
      <c r="F980" s="13">
        <v>243568.86000000002</v>
      </c>
      <c r="G980" s="13">
        <v>143760.33000000002</v>
      </c>
      <c r="H980" s="13">
        <v>99808.53</v>
      </c>
      <c r="I980" s="14">
        <v>0.40977541217707386</v>
      </c>
      <c r="J980" s="3" t="s">
        <v>9</v>
      </c>
      <c r="K980" s="3" t="s">
        <v>28</v>
      </c>
      <c r="L980" s="3" t="s">
        <v>79</v>
      </c>
    </row>
    <row r="981" ht="15.75" customHeight="1">
      <c r="A981" s="3">
        <v>7.42843854E8</v>
      </c>
      <c r="B981" s="3" t="s">
        <v>575</v>
      </c>
      <c r="C981" s="3">
        <v>13.0</v>
      </c>
      <c r="D981" s="10">
        <v>8.0</v>
      </c>
      <c r="E981" s="11">
        <v>2013.0</v>
      </c>
      <c r="F981" s="13">
        <v>135659.55000000002</v>
      </c>
      <c r="G981" s="13">
        <v>90887.61</v>
      </c>
      <c r="H981" s="13">
        <v>44771.94000000002</v>
      </c>
      <c r="I981" s="14">
        <v>0.3300316122233931</v>
      </c>
      <c r="J981" s="3" t="s">
        <v>6</v>
      </c>
      <c r="K981" s="3" t="s">
        <v>28</v>
      </c>
      <c r="L981" s="3" t="s">
        <v>98</v>
      </c>
    </row>
    <row r="982" ht="15.75" customHeight="1">
      <c r="A982" s="3">
        <v>7.43619334E8</v>
      </c>
      <c r="B982" s="3" t="s">
        <v>346</v>
      </c>
      <c r="C982" s="3">
        <v>43.0</v>
      </c>
      <c r="D982" s="10">
        <v>5.0</v>
      </c>
      <c r="E982" s="11">
        <v>2014.0</v>
      </c>
      <c r="F982" s="13">
        <v>1023485.2</v>
      </c>
      <c r="G982" s="13">
        <v>616455.5299999999</v>
      </c>
      <c r="H982" s="13">
        <v>407029.67000000004</v>
      </c>
      <c r="I982" s="14">
        <v>0.3976898444647759</v>
      </c>
      <c r="J982" s="3" t="s">
        <v>12</v>
      </c>
      <c r="K982" s="3" t="s">
        <v>28</v>
      </c>
      <c r="L982" s="3" t="s">
        <v>98</v>
      </c>
    </row>
    <row r="983" ht="15.75" customHeight="1">
      <c r="A983" s="3">
        <v>7.43769109E8</v>
      </c>
      <c r="B983" s="3" t="s">
        <v>455</v>
      </c>
      <c r="C983" s="3">
        <v>1.0</v>
      </c>
      <c r="D983" s="10">
        <v>5.0</v>
      </c>
      <c r="E983" s="11">
        <v>2016.0</v>
      </c>
      <c r="F983" s="13">
        <v>1026347.72</v>
      </c>
      <c r="G983" s="13">
        <v>605775.66</v>
      </c>
      <c r="H983" s="13">
        <v>420572.05999999994</v>
      </c>
      <c r="I983" s="14">
        <v>0.4097754121770738</v>
      </c>
      <c r="J983" s="3" t="s">
        <v>9</v>
      </c>
      <c r="K983" s="3" t="s">
        <v>28</v>
      </c>
      <c r="L983" s="3" t="s">
        <v>33</v>
      </c>
    </row>
    <row r="984" ht="15.75" customHeight="1">
      <c r="A984" s="3">
        <v>7.44583642E8</v>
      </c>
      <c r="B984" s="3" t="s">
        <v>671</v>
      </c>
      <c r="C984" s="3">
        <v>43.0</v>
      </c>
      <c r="D984" s="10">
        <v>8.0</v>
      </c>
      <c r="E984" s="11">
        <v>2010.0</v>
      </c>
      <c r="F984" s="13">
        <v>841565.28</v>
      </c>
      <c r="G984" s="13">
        <v>276003.84</v>
      </c>
      <c r="H984" s="13">
        <v>565561.44</v>
      </c>
      <c r="I984" s="14">
        <v>0.67203513909224</v>
      </c>
      <c r="J984" s="3" t="s">
        <v>5</v>
      </c>
      <c r="K984" s="3" t="s">
        <v>28</v>
      </c>
      <c r="L984" s="3" t="s">
        <v>33</v>
      </c>
    </row>
    <row r="985" ht="15.75" customHeight="1">
      <c r="A985" s="3">
        <v>7.44683635E8</v>
      </c>
      <c r="B985" s="3" t="s">
        <v>434</v>
      </c>
      <c r="C985" s="3">
        <v>47.0</v>
      </c>
      <c r="D985" s="10">
        <v>2.0</v>
      </c>
      <c r="E985" s="11">
        <v>2010.0</v>
      </c>
      <c r="F985" s="13">
        <v>1123251.46</v>
      </c>
      <c r="G985" s="13">
        <v>662970.63</v>
      </c>
      <c r="H985" s="13">
        <v>460280.82999999996</v>
      </c>
      <c r="I985" s="14">
        <v>0.40977541217707386</v>
      </c>
      <c r="J985" s="3" t="s">
        <v>9</v>
      </c>
      <c r="K985" s="3" t="s">
        <v>28</v>
      </c>
      <c r="L985" s="3" t="s">
        <v>79</v>
      </c>
    </row>
    <row r="986" ht="15.75" customHeight="1">
      <c r="A986" s="3">
        <v>7.45467269E8</v>
      </c>
      <c r="B986" s="3" t="s">
        <v>593</v>
      </c>
      <c r="C986" s="3">
        <v>46.0</v>
      </c>
      <c r="D986" s="10">
        <v>5.0</v>
      </c>
      <c r="E986" s="11">
        <v>2014.0</v>
      </c>
      <c r="F986" s="13">
        <v>1003846.08</v>
      </c>
      <c r="G986" s="13">
        <v>329226.24000000005</v>
      </c>
      <c r="H986" s="13">
        <v>674619.8399999999</v>
      </c>
      <c r="I986" s="14">
        <v>0.67203513909224</v>
      </c>
      <c r="J986" s="3" t="s">
        <v>5</v>
      </c>
      <c r="K986" s="3" t="s">
        <v>28</v>
      </c>
      <c r="L986" s="3" t="s">
        <v>98</v>
      </c>
    </row>
    <row r="987" ht="15.75" customHeight="1">
      <c r="A987" s="3">
        <v>7.46563756E8</v>
      </c>
      <c r="B987" s="3" t="s">
        <v>542</v>
      </c>
      <c r="C987" s="3">
        <v>29.0</v>
      </c>
      <c r="D987" s="10">
        <v>3.0</v>
      </c>
      <c r="E987" s="11">
        <v>2014.0</v>
      </c>
      <c r="F987" s="13">
        <v>1600589.2</v>
      </c>
      <c r="G987" s="13">
        <v>964051.1299999999</v>
      </c>
      <c r="H987" s="13">
        <v>636538.0700000001</v>
      </c>
      <c r="I987" s="14">
        <v>0.3976898444647759</v>
      </c>
      <c r="J987" s="3" t="s">
        <v>12</v>
      </c>
      <c r="K987" s="3" t="s">
        <v>28</v>
      </c>
      <c r="L987" s="3" t="s">
        <v>29</v>
      </c>
    </row>
    <row r="988" ht="15.75" customHeight="1">
      <c r="A988" s="3">
        <v>7.4732722E8</v>
      </c>
      <c r="B988" s="3" t="s">
        <v>590</v>
      </c>
      <c r="C988" s="3">
        <v>28.0</v>
      </c>
      <c r="D988" s="10">
        <v>8.0</v>
      </c>
      <c r="E988" s="11">
        <v>2014.0</v>
      </c>
      <c r="F988" s="13">
        <v>1462784.4600000002</v>
      </c>
      <c r="G988" s="13">
        <v>934157.28</v>
      </c>
      <c r="H988" s="13">
        <v>528627.1800000002</v>
      </c>
      <c r="I988" s="14">
        <v>0.3613841918993316</v>
      </c>
      <c r="J988" s="3" t="s">
        <v>13</v>
      </c>
      <c r="K988" s="3" t="s">
        <v>28</v>
      </c>
      <c r="L988" s="3" t="s">
        <v>98</v>
      </c>
    </row>
    <row r="989" ht="15.75" customHeight="1">
      <c r="A989" s="3">
        <v>7.47774398E8</v>
      </c>
      <c r="B989" s="3" t="s">
        <v>512</v>
      </c>
      <c r="C989" s="3">
        <v>26.0</v>
      </c>
      <c r="D989" s="10">
        <v>3.0</v>
      </c>
      <c r="E989" s="11">
        <v>2017.0</v>
      </c>
      <c r="F989" s="13">
        <v>808341.24</v>
      </c>
      <c r="G989" s="13">
        <v>698746.04</v>
      </c>
      <c r="H989" s="13">
        <v>109595.19999999995</v>
      </c>
      <c r="I989" s="14">
        <v>0.13558036455000114</v>
      </c>
      <c r="J989" s="3" t="s">
        <v>11</v>
      </c>
      <c r="K989" s="3" t="s">
        <v>28</v>
      </c>
      <c r="L989" s="3" t="s">
        <v>79</v>
      </c>
    </row>
    <row r="990" ht="15.75" customHeight="1">
      <c r="A990" s="3">
        <v>7.47826755E8</v>
      </c>
      <c r="B990" s="3" t="s">
        <v>536</v>
      </c>
      <c r="C990" s="3">
        <v>5.0</v>
      </c>
      <c r="D990" s="10">
        <v>7.0</v>
      </c>
      <c r="E990" s="11">
        <v>2017.0</v>
      </c>
      <c r="F990" s="13">
        <v>4825466.100000001</v>
      </c>
      <c r="G990" s="13">
        <v>3889953.6</v>
      </c>
      <c r="H990" s="13">
        <v>935512.5000000005</v>
      </c>
      <c r="I990" s="14">
        <v>0.19386987300563574</v>
      </c>
      <c r="J990" s="3" t="s">
        <v>7</v>
      </c>
      <c r="K990" s="3" t="s">
        <v>28</v>
      </c>
      <c r="L990" s="3" t="s">
        <v>33</v>
      </c>
    </row>
    <row r="991" ht="15.75" customHeight="1">
      <c r="A991" s="3">
        <v>7.47955071E8</v>
      </c>
      <c r="B991" s="3" t="s">
        <v>740</v>
      </c>
      <c r="C991" s="3">
        <v>28.0</v>
      </c>
      <c r="D991" s="10">
        <v>9.0</v>
      </c>
      <c r="E991" s="11">
        <v>2016.0</v>
      </c>
      <c r="F991" s="13">
        <v>588144.96</v>
      </c>
      <c r="G991" s="13">
        <v>192890.88</v>
      </c>
      <c r="H991" s="13">
        <v>395254.07999999996</v>
      </c>
      <c r="I991" s="14">
        <v>0.6720351390922401</v>
      </c>
      <c r="J991" s="3" t="s">
        <v>5</v>
      </c>
      <c r="K991" s="3" t="s">
        <v>28</v>
      </c>
      <c r="L991" s="3" t="s">
        <v>98</v>
      </c>
    </row>
    <row r="992" ht="15.75" customHeight="1">
      <c r="A992" s="3">
        <v>7.48357188E8</v>
      </c>
      <c r="B992" s="3" t="s">
        <v>373</v>
      </c>
      <c r="C992" s="3">
        <v>24.0</v>
      </c>
      <c r="D992" s="10">
        <v>6.0</v>
      </c>
      <c r="E992" s="11">
        <v>2010.0</v>
      </c>
      <c r="F992" s="13">
        <v>1117360.56</v>
      </c>
      <c r="G992" s="13">
        <v>697781.34</v>
      </c>
      <c r="H992" s="13">
        <v>419579.2200000001</v>
      </c>
      <c r="I992" s="14">
        <v>0.37550924475086184</v>
      </c>
      <c r="J992" s="3" t="s">
        <v>10</v>
      </c>
      <c r="K992" s="3" t="s">
        <v>28</v>
      </c>
      <c r="L992" s="3" t="s">
        <v>33</v>
      </c>
    </row>
    <row r="993" ht="15.75" customHeight="1">
      <c r="A993" s="3">
        <v>7.50047194E8</v>
      </c>
      <c r="B993" s="3" t="s">
        <v>78</v>
      </c>
      <c r="C993" s="3">
        <v>49.0</v>
      </c>
      <c r="D993" s="10">
        <v>7.0</v>
      </c>
      <c r="E993" s="11">
        <v>2012.0</v>
      </c>
      <c r="F993" s="13">
        <v>41863.71</v>
      </c>
      <c r="G993" s="13">
        <v>31050.04</v>
      </c>
      <c r="H993" s="13">
        <v>10813.669999999998</v>
      </c>
      <c r="I993" s="14">
        <v>0.2583065380493033</v>
      </c>
      <c r="J993" s="3" t="s">
        <v>8</v>
      </c>
      <c r="K993" s="3" t="s">
        <v>28</v>
      </c>
      <c r="L993" s="3" t="s">
        <v>79</v>
      </c>
    </row>
    <row r="994" ht="15.75" customHeight="1">
      <c r="A994" s="3">
        <v>7.50439441E8</v>
      </c>
      <c r="B994" s="3" t="s">
        <v>542</v>
      </c>
      <c r="C994" s="3">
        <v>44.0</v>
      </c>
      <c r="D994" s="10">
        <v>11.0</v>
      </c>
      <c r="E994" s="11">
        <v>2016.0</v>
      </c>
      <c r="F994" s="13">
        <v>85749.96</v>
      </c>
      <c r="G994" s="13">
        <v>54761.28</v>
      </c>
      <c r="H994" s="13">
        <v>30988.680000000008</v>
      </c>
      <c r="I994" s="14">
        <v>0.3613841918993316</v>
      </c>
      <c r="J994" s="3" t="s">
        <v>13</v>
      </c>
      <c r="K994" s="3" t="s">
        <v>28</v>
      </c>
      <c r="L994" s="3" t="s">
        <v>29</v>
      </c>
    </row>
    <row r="995" ht="15.75" customHeight="1">
      <c r="A995" s="3">
        <v>7.50959146E8</v>
      </c>
      <c r="B995" s="3" t="s">
        <v>488</v>
      </c>
      <c r="C995" s="3">
        <v>20.0</v>
      </c>
      <c r="D995" s="10">
        <v>1.0</v>
      </c>
      <c r="E995" s="11">
        <v>2016.0</v>
      </c>
      <c r="F995" s="13">
        <v>1111489.12</v>
      </c>
      <c r="G995" s="13">
        <v>694114.6799999999</v>
      </c>
      <c r="H995" s="13">
        <v>417374.4400000002</v>
      </c>
      <c r="I995" s="14">
        <v>0.37550924475086195</v>
      </c>
      <c r="J995" s="3" t="s">
        <v>10</v>
      </c>
      <c r="K995" s="3" t="s">
        <v>28</v>
      </c>
      <c r="L995" s="3" t="s">
        <v>33</v>
      </c>
    </row>
    <row r="996" ht="15.75" customHeight="1">
      <c r="A996" s="3">
        <v>7.52792918E8</v>
      </c>
      <c r="B996" s="3" t="s">
        <v>542</v>
      </c>
      <c r="C996" s="3">
        <v>13.0</v>
      </c>
      <c r="D996" s="10">
        <v>4.0</v>
      </c>
      <c r="E996" s="11">
        <v>2012.0</v>
      </c>
      <c r="F996" s="13">
        <v>65384.64</v>
      </c>
      <c r="G996" s="13">
        <v>48495.36</v>
      </c>
      <c r="H996" s="13">
        <v>16889.28</v>
      </c>
      <c r="I996" s="14">
        <v>0.2583065380493033</v>
      </c>
      <c r="J996" s="3" t="s">
        <v>8</v>
      </c>
      <c r="K996" s="3" t="s">
        <v>28</v>
      </c>
      <c r="L996" s="3" t="s">
        <v>29</v>
      </c>
    </row>
    <row r="997" ht="15.75" customHeight="1">
      <c r="A997" s="3">
        <v>7.53166282E8</v>
      </c>
      <c r="B997" s="3" t="s">
        <v>671</v>
      </c>
      <c r="C997" s="3">
        <v>47.0</v>
      </c>
      <c r="D997" s="10">
        <v>10.0</v>
      </c>
      <c r="E997" s="11">
        <v>2011.0</v>
      </c>
      <c r="F997" s="13">
        <v>69928.35</v>
      </c>
      <c r="G997" s="13">
        <v>51865.4</v>
      </c>
      <c r="H997" s="13">
        <v>18062.950000000004</v>
      </c>
      <c r="I997" s="14">
        <v>0.25830653804930337</v>
      </c>
      <c r="J997" s="3" t="s">
        <v>8</v>
      </c>
      <c r="K997" s="3" t="s">
        <v>28</v>
      </c>
      <c r="L997" s="3" t="s">
        <v>33</v>
      </c>
    </row>
    <row r="998" ht="15.75" customHeight="1">
      <c r="A998" s="3">
        <v>7.54227149E8</v>
      </c>
      <c r="B998" s="3" t="s">
        <v>482</v>
      </c>
      <c r="C998" s="3">
        <v>35.0</v>
      </c>
      <c r="D998" s="10">
        <v>10.0</v>
      </c>
      <c r="E998" s="11">
        <v>2012.0</v>
      </c>
      <c r="F998" s="13">
        <v>930579.0900000001</v>
      </c>
      <c r="G998" s="13">
        <v>750167.8400000001</v>
      </c>
      <c r="H998" s="13">
        <v>180411.25</v>
      </c>
      <c r="I998" s="14">
        <v>0.19386987300563566</v>
      </c>
      <c r="J998" s="3" t="s">
        <v>7</v>
      </c>
      <c r="K998" s="3" t="s">
        <v>28</v>
      </c>
      <c r="L998" s="3" t="s">
        <v>79</v>
      </c>
    </row>
    <row r="999" ht="15.75" customHeight="1">
      <c r="A999" s="3">
        <v>7.54541289E8</v>
      </c>
      <c r="B999" s="3" t="s">
        <v>46</v>
      </c>
      <c r="C999" s="3">
        <v>7.0</v>
      </c>
      <c r="D999" s="10">
        <v>12.0</v>
      </c>
      <c r="E999" s="11">
        <v>2014.0</v>
      </c>
      <c r="F999" s="13">
        <v>358794.7</v>
      </c>
      <c r="G999" s="13">
        <v>248781.30000000002</v>
      </c>
      <c r="H999" s="13">
        <v>110013.4</v>
      </c>
      <c r="I999" s="14">
        <v>0.3066193564174721</v>
      </c>
      <c r="J999" s="3" t="s">
        <v>14</v>
      </c>
      <c r="K999" s="3" t="s">
        <v>28</v>
      </c>
      <c r="L999" s="3" t="s">
        <v>33</v>
      </c>
    </row>
    <row r="1000" ht="15.75" customHeight="1">
      <c r="A1000" s="3">
        <v>7.55318915E8</v>
      </c>
      <c r="B1000" s="3" t="s">
        <v>373</v>
      </c>
      <c r="C1000" s="3">
        <v>15.0</v>
      </c>
      <c r="D1000" s="10">
        <v>6.0</v>
      </c>
      <c r="E1000" s="11">
        <v>2011.0</v>
      </c>
      <c r="F1000" s="13">
        <v>492524.96</v>
      </c>
      <c r="G1000" s="13">
        <v>161530.88</v>
      </c>
      <c r="H1000" s="13">
        <v>330994.08</v>
      </c>
      <c r="I1000" s="14">
        <v>0.6720351390922401</v>
      </c>
      <c r="J1000" s="3" t="s">
        <v>5</v>
      </c>
      <c r="K1000" s="3" t="s">
        <v>28</v>
      </c>
      <c r="L1000" s="3" t="s">
        <v>33</v>
      </c>
    </row>
    <row r="1001" ht="15.75" customHeight="1">
      <c r="A1001" s="3">
        <v>7.5560559E8</v>
      </c>
      <c r="B1001" s="3" t="s">
        <v>218</v>
      </c>
      <c r="C1001" s="3">
        <v>11.0</v>
      </c>
      <c r="D1001" s="10">
        <v>8.0</v>
      </c>
      <c r="E1001" s="11">
        <v>2010.0</v>
      </c>
      <c r="F1001" s="13">
        <v>1425097.2000000002</v>
      </c>
      <c r="G1001" s="13">
        <v>910089.6</v>
      </c>
      <c r="H1001" s="13">
        <v>515007.6000000002</v>
      </c>
      <c r="I1001" s="14">
        <v>0.3613841918993316</v>
      </c>
      <c r="J1001" s="3" t="s">
        <v>13</v>
      </c>
      <c r="K1001" s="3" t="s">
        <v>28</v>
      </c>
      <c r="L1001" s="3" t="s">
        <v>98</v>
      </c>
    </row>
    <row r="1002" ht="15.75" customHeight="1">
      <c r="A1002" s="3">
        <v>7.56252324E8</v>
      </c>
      <c r="B1002" s="3" t="s">
        <v>653</v>
      </c>
      <c r="C1002" s="3">
        <v>22.0</v>
      </c>
      <c r="D1002" s="10">
        <v>1.0</v>
      </c>
      <c r="E1002" s="11">
        <v>2010.0</v>
      </c>
      <c r="F1002" s="13">
        <v>6745.59</v>
      </c>
      <c r="G1002" s="13">
        <v>5003.16</v>
      </c>
      <c r="H1002" s="13">
        <v>1742.4300000000003</v>
      </c>
      <c r="I1002" s="14">
        <v>0.25830653804930337</v>
      </c>
      <c r="J1002" s="3" t="s">
        <v>8</v>
      </c>
      <c r="K1002" s="3" t="s">
        <v>28</v>
      </c>
      <c r="L1002" s="3" t="s">
        <v>33</v>
      </c>
    </row>
    <row r="1003" ht="15.75" customHeight="1">
      <c r="A1003" s="3">
        <v>7.56395232E8</v>
      </c>
      <c r="B1003" s="3" t="s">
        <v>218</v>
      </c>
      <c r="C1003" s="3">
        <v>50.0</v>
      </c>
      <c r="D1003" s="10">
        <v>1.0</v>
      </c>
      <c r="E1003" s="11">
        <v>2015.0</v>
      </c>
      <c r="F1003" s="13">
        <v>1271154.57</v>
      </c>
      <c r="G1003" s="13">
        <v>1098810.97</v>
      </c>
      <c r="H1003" s="13">
        <v>172343.6000000001</v>
      </c>
      <c r="I1003" s="14">
        <v>0.13558036455000125</v>
      </c>
      <c r="J1003" s="3" t="s">
        <v>11</v>
      </c>
      <c r="K1003" s="3" t="s">
        <v>28</v>
      </c>
      <c r="L1003" s="3" t="s">
        <v>98</v>
      </c>
    </row>
    <row r="1004" ht="15.75" customHeight="1">
      <c r="A1004" s="3">
        <v>7.57468974E8</v>
      </c>
      <c r="B1004" s="3" t="s">
        <v>482</v>
      </c>
      <c r="C1004" s="3">
        <v>9.0</v>
      </c>
      <c r="D1004" s="10">
        <v>3.0</v>
      </c>
      <c r="E1004" s="11">
        <v>2013.0</v>
      </c>
      <c r="F1004" s="13">
        <v>35919.65</v>
      </c>
      <c r="G1004" s="13">
        <v>24065.03</v>
      </c>
      <c r="H1004" s="13">
        <v>11854.620000000003</v>
      </c>
      <c r="I1004" s="14">
        <v>0.3300316122233931</v>
      </c>
      <c r="J1004" s="3" t="s">
        <v>6</v>
      </c>
      <c r="K1004" s="3" t="s">
        <v>28</v>
      </c>
      <c r="L1004" s="3" t="s">
        <v>79</v>
      </c>
    </row>
    <row r="1005" ht="15.75" customHeight="1">
      <c r="A1005" s="3">
        <v>7.59086453E8</v>
      </c>
      <c r="B1005" s="3" t="s">
        <v>218</v>
      </c>
      <c r="C1005" s="3">
        <v>6.0</v>
      </c>
      <c r="D1005" s="10">
        <v>2.0</v>
      </c>
      <c r="E1005" s="11">
        <v>2011.0</v>
      </c>
      <c r="F1005" s="13">
        <v>6285079.35</v>
      </c>
      <c r="G1005" s="13">
        <v>4726388.7</v>
      </c>
      <c r="H1005" s="13">
        <v>1558690.6499999994</v>
      </c>
      <c r="I1005" s="14">
        <v>0.2479985634548909</v>
      </c>
      <c r="J1005" s="3" t="s">
        <v>4</v>
      </c>
      <c r="K1005" s="3" t="s">
        <v>28</v>
      </c>
      <c r="L1005" s="3" t="s">
        <v>98</v>
      </c>
    </row>
    <row r="1006" ht="15.75" customHeight="1">
      <c r="A1006" s="3">
        <v>7.59594142E8</v>
      </c>
      <c r="B1006" s="3" t="s">
        <v>536</v>
      </c>
      <c r="C1006" s="3">
        <v>2.0</v>
      </c>
      <c r="D1006" s="10">
        <v>7.0</v>
      </c>
      <c r="E1006" s="11">
        <v>2017.0</v>
      </c>
      <c r="F1006" s="13">
        <v>1485292.46</v>
      </c>
      <c r="G1006" s="13">
        <v>876656.1300000001</v>
      </c>
      <c r="H1006" s="13">
        <v>608636.3299999998</v>
      </c>
      <c r="I1006" s="14">
        <v>0.40977541217707375</v>
      </c>
      <c r="J1006" s="3" t="s">
        <v>9</v>
      </c>
      <c r="K1006" s="3" t="s">
        <v>28</v>
      </c>
      <c r="L1006" s="3" t="s">
        <v>33</v>
      </c>
    </row>
    <row r="1007" ht="15.75" customHeight="1">
      <c r="A1007" s="3">
        <v>7.60280358E8</v>
      </c>
      <c r="B1007" s="3" t="s">
        <v>821</v>
      </c>
      <c r="C1007" s="3">
        <v>20.0</v>
      </c>
      <c r="D1007" s="10">
        <v>8.0</v>
      </c>
      <c r="E1007" s="11">
        <v>2012.0</v>
      </c>
      <c r="F1007" s="13">
        <v>1763476.6800000002</v>
      </c>
      <c r="G1007" s="13">
        <v>1421591.6800000002</v>
      </c>
      <c r="H1007" s="13">
        <v>341885.0</v>
      </c>
      <c r="I1007" s="14">
        <v>0.19386987300563566</v>
      </c>
      <c r="J1007" s="3" t="s">
        <v>7</v>
      </c>
      <c r="K1007" s="3" t="s">
        <v>821</v>
      </c>
      <c r="L1007" s="3" t="s">
        <v>821</v>
      </c>
    </row>
    <row r="1008" ht="15.75" customHeight="1">
      <c r="A1008" s="3">
        <v>7.60346877E8</v>
      </c>
      <c r="B1008" s="3" t="s">
        <v>575</v>
      </c>
      <c r="C1008" s="3">
        <v>8.0</v>
      </c>
      <c r="D1008" s="10">
        <v>7.0</v>
      </c>
      <c r="E1008" s="11">
        <v>2016.0</v>
      </c>
      <c r="F1008" s="13">
        <v>1598501.8399999999</v>
      </c>
      <c r="G1008" s="13">
        <v>1202075.68</v>
      </c>
      <c r="H1008" s="13">
        <v>396426.1599999999</v>
      </c>
      <c r="I1008" s="14">
        <v>0.24799856345489096</v>
      </c>
      <c r="J1008" s="3" t="s">
        <v>4</v>
      </c>
      <c r="K1008" s="3" t="s">
        <v>28</v>
      </c>
      <c r="L1008" s="3" t="s">
        <v>98</v>
      </c>
    </row>
    <row r="1009" ht="15.75" customHeight="1">
      <c r="A1009" s="3">
        <v>7.6061939E8</v>
      </c>
      <c r="B1009" s="3" t="s">
        <v>123</v>
      </c>
      <c r="C1009" s="3">
        <v>45.0</v>
      </c>
      <c r="D1009" s="10">
        <v>3.0</v>
      </c>
      <c r="E1009" s="11">
        <v>2012.0</v>
      </c>
      <c r="F1009" s="13">
        <v>467572.10000000003</v>
      </c>
      <c r="G1009" s="13">
        <v>275972.55000000005</v>
      </c>
      <c r="H1009" s="13">
        <v>191599.55</v>
      </c>
      <c r="I1009" s="14">
        <v>0.4097754121770738</v>
      </c>
      <c r="J1009" s="3" t="s">
        <v>9</v>
      </c>
      <c r="K1009" s="3" t="s">
        <v>28</v>
      </c>
      <c r="L1009" s="3" t="s">
        <v>33</v>
      </c>
    </row>
    <row r="1010" ht="15.75" customHeight="1">
      <c r="A1010" s="3">
        <v>7.6172403E8</v>
      </c>
      <c r="B1010" s="3" t="s">
        <v>821</v>
      </c>
      <c r="C1010" s="3">
        <v>48.0</v>
      </c>
      <c r="D1010" s="10">
        <v>6.0</v>
      </c>
      <c r="E1010" s="11">
        <v>2015.0</v>
      </c>
      <c r="F1010" s="13">
        <v>470846.35000000003</v>
      </c>
      <c r="G1010" s="13">
        <v>315452.17</v>
      </c>
      <c r="H1010" s="13">
        <v>155394.18000000005</v>
      </c>
      <c r="I1010" s="14">
        <v>0.3300316122233931</v>
      </c>
      <c r="J1010" s="3" t="s">
        <v>6</v>
      </c>
      <c r="K1010" s="3" t="s">
        <v>821</v>
      </c>
      <c r="L1010" s="3" t="s">
        <v>821</v>
      </c>
    </row>
    <row r="1011" ht="15.75" customHeight="1">
      <c r="A1011" s="3">
        <v>7.61887109E8</v>
      </c>
      <c r="B1011" s="3" t="s">
        <v>101</v>
      </c>
      <c r="C1011" s="3">
        <v>24.0</v>
      </c>
      <c r="D1011" s="10">
        <v>9.0</v>
      </c>
      <c r="E1011" s="11">
        <v>2016.0</v>
      </c>
      <c r="F1011" s="13">
        <v>894019.68</v>
      </c>
      <c r="G1011" s="13">
        <v>293207.04000000004</v>
      </c>
      <c r="H1011" s="13">
        <v>600812.64</v>
      </c>
      <c r="I1011" s="14">
        <v>0.6720351390922401</v>
      </c>
      <c r="J1011" s="3" t="s">
        <v>5</v>
      </c>
      <c r="K1011" s="3" t="s">
        <v>28</v>
      </c>
      <c r="L1011" s="3" t="s">
        <v>79</v>
      </c>
    </row>
    <row r="1012" ht="15.75" customHeight="1">
      <c r="A1012" s="3">
        <v>7.62117564E8</v>
      </c>
      <c r="B1012" s="3" t="s">
        <v>740</v>
      </c>
      <c r="C1012" s="3">
        <v>30.0</v>
      </c>
      <c r="D1012" s="10">
        <v>2.0</v>
      </c>
      <c r="E1012" s="11">
        <v>2011.0</v>
      </c>
      <c r="F1012" s="13">
        <v>521273.94</v>
      </c>
      <c r="G1012" s="13">
        <v>361441.26</v>
      </c>
      <c r="H1012" s="13">
        <v>159832.68</v>
      </c>
      <c r="I1012" s="14">
        <v>0.3066193564174721</v>
      </c>
      <c r="J1012" s="3" t="s">
        <v>14</v>
      </c>
      <c r="K1012" s="3" t="s">
        <v>28</v>
      </c>
      <c r="L1012" s="3" t="s">
        <v>98</v>
      </c>
    </row>
    <row r="1013" ht="15.75" customHeight="1">
      <c r="A1013" s="3">
        <v>7.62655293E8</v>
      </c>
      <c r="B1013" s="3" t="s">
        <v>270</v>
      </c>
      <c r="C1013" s="3">
        <v>26.0</v>
      </c>
      <c r="D1013" s="10">
        <v>10.0</v>
      </c>
      <c r="E1013" s="11">
        <v>2010.0</v>
      </c>
      <c r="F1013" s="13">
        <v>449841.92000000004</v>
      </c>
      <c r="G1013" s="13">
        <v>311911.68</v>
      </c>
      <c r="H1013" s="13">
        <v>137930.24000000005</v>
      </c>
      <c r="I1013" s="14">
        <v>0.30661935641747223</v>
      </c>
      <c r="J1013" s="3" t="s">
        <v>14</v>
      </c>
      <c r="K1013" s="3" t="s">
        <v>28</v>
      </c>
      <c r="L1013" s="3" t="s">
        <v>79</v>
      </c>
    </row>
    <row r="1014" ht="15.75" customHeight="1">
      <c r="A1014" s="3">
        <v>7.64483058E8</v>
      </c>
      <c r="B1014" s="3" t="s">
        <v>431</v>
      </c>
      <c r="C1014" s="3">
        <v>30.0</v>
      </c>
      <c r="D1014" s="10">
        <v>7.0</v>
      </c>
      <c r="E1014" s="11">
        <v>2014.0</v>
      </c>
      <c r="F1014" s="13">
        <v>2691658.1999999997</v>
      </c>
      <c r="G1014" s="13">
        <v>2326722.2</v>
      </c>
      <c r="H1014" s="13">
        <v>364935.99999999953</v>
      </c>
      <c r="I1014" s="14">
        <v>0.13558036455000103</v>
      </c>
      <c r="J1014" s="3" t="s">
        <v>11</v>
      </c>
      <c r="K1014" s="3" t="s">
        <v>28</v>
      </c>
      <c r="L1014" s="3" t="s">
        <v>29</v>
      </c>
    </row>
    <row r="1015" ht="15.75" customHeight="1">
      <c r="A1015" s="3">
        <v>7.64592492E8</v>
      </c>
      <c r="B1015" s="3" t="s">
        <v>373</v>
      </c>
      <c r="C1015" s="3">
        <v>40.0</v>
      </c>
      <c r="D1015" s="10">
        <v>6.0</v>
      </c>
      <c r="E1015" s="11">
        <v>2016.0</v>
      </c>
      <c r="F1015" s="13">
        <v>5707204.44</v>
      </c>
      <c r="G1015" s="13">
        <v>4600749.44</v>
      </c>
      <c r="H1015" s="13">
        <v>1106455.0</v>
      </c>
      <c r="I1015" s="14">
        <v>0.19386987300563566</v>
      </c>
      <c r="J1015" s="3" t="s">
        <v>7</v>
      </c>
      <c r="K1015" s="3" t="s">
        <v>28</v>
      </c>
      <c r="L1015" s="3" t="s">
        <v>33</v>
      </c>
    </row>
    <row r="1016" ht="15.75" customHeight="1">
      <c r="A1016" s="3">
        <v>7.6481136E8</v>
      </c>
      <c r="B1016" s="3" t="s">
        <v>270</v>
      </c>
      <c r="C1016" s="3">
        <v>11.0</v>
      </c>
      <c r="D1016" s="10">
        <v>9.0</v>
      </c>
      <c r="E1016" s="11">
        <v>2012.0</v>
      </c>
      <c r="F1016" s="13">
        <v>726532.3999999999</v>
      </c>
      <c r="G1016" s="13">
        <v>413632.52</v>
      </c>
      <c r="H1016" s="13">
        <v>312899.8799999999</v>
      </c>
      <c r="I1016" s="14">
        <v>0.43067574137092846</v>
      </c>
      <c r="J1016" s="3" t="s">
        <v>3</v>
      </c>
      <c r="K1016" s="3" t="s">
        <v>28</v>
      </c>
      <c r="L1016" s="3" t="s">
        <v>79</v>
      </c>
    </row>
    <row r="1017" ht="15.75" customHeight="1">
      <c r="A1017" s="3">
        <v>7.64837539E8</v>
      </c>
      <c r="B1017" s="3" t="s">
        <v>221</v>
      </c>
      <c r="C1017" s="3">
        <v>0.0</v>
      </c>
      <c r="D1017" s="10">
        <v>9.0</v>
      </c>
      <c r="E1017" s="11">
        <v>2016.0</v>
      </c>
      <c r="F1017" s="13">
        <v>326503.12</v>
      </c>
      <c r="G1017" s="13">
        <v>203898.18</v>
      </c>
      <c r="H1017" s="13">
        <v>122604.94</v>
      </c>
      <c r="I1017" s="14">
        <v>0.37550924475086184</v>
      </c>
      <c r="J1017" s="3" t="s">
        <v>10</v>
      </c>
      <c r="K1017" s="3" t="s">
        <v>28</v>
      </c>
      <c r="L1017" s="3" t="s">
        <v>29</v>
      </c>
    </row>
    <row r="1018" ht="15.75" customHeight="1">
      <c r="A1018" s="3">
        <v>7.65101468E8</v>
      </c>
      <c r="B1018" s="3" t="s">
        <v>413</v>
      </c>
      <c r="C1018" s="3">
        <v>23.0</v>
      </c>
      <c r="D1018" s="10">
        <v>3.0</v>
      </c>
      <c r="E1018" s="11">
        <v>2014.0</v>
      </c>
      <c r="F1018" s="13">
        <v>4101810.4</v>
      </c>
      <c r="G1018" s="13">
        <v>2470562.06</v>
      </c>
      <c r="H1018" s="13">
        <v>1631248.3399999999</v>
      </c>
      <c r="I1018" s="14">
        <v>0.39768984446477584</v>
      </c>
      <c r="J1018" s="3" t="s">
        <v>12</v>
      </c>
      <c r="K1018" s="3" t="s">
        <v>28</v>
      </c>
      <c r="L1018" s="3" t="s">
        <v>29</v>
      </c>
    </row>
    <row r="1019" ht="15.75" customHeight="1">
      <c r="A1019" s="3">
        <v>7.65552079E8</v>
      </c>
      <c r="B1019" s="3" t="s">
        <v>650</v>
      </c>
      <c r="C1019" s="3">
        <v>37.0</v>
      </c>
      <c r="D1019" s="10">
        <v>6.0</v>
      </c>
      <c r="E1019" s="11">
        <v>2011.0</v>
      </c>
      <c r="F1019" s="13">
        <v>416085.66000000003</v>
      </c>
      <c r="G1019" s="13">
        <v>265718.88</v>
      </c>
      <c r="H1019" s="13">
        <v>150366.78000000003</v>
      </c>
      <c r="I1019" s="14">
        <v>0.3613841918993315</v>
      </c>
      <c r="J1019" s="3" t="s">
        <v>13</v>
      </c>
      <c r="K1019" s="3" t="s">
        <v>28</v>
      </c>
      <c r="L1019" s="3" t="s">
        <v>98</v>
      </c>
    </row>
    <row r="1020" ht="15.75" customHeight="1">
      <c r="A1020" s="3">
        <v>7.6573404E8</v>
      </c>
      <c r="B1020" s="3" t="s">
        <v>623</v>
      </c>
      <c r="C1020" s="3">
        <v>25.0</v>
      </c>
      <c r="D1020" s="10">
        <v>7.0</v>
      </c>
      <c r="E1020" s="11">
        <v>2017.0</v>
      </c>
      <c r="F1020" s="13">
        <v>61335.42</v>
      </c>
      <c r="G1020" s="13">
        <v>45492.08</v>
      </c>
      <c r="H1020" s="13">
        <v>15843.339999999997</v>
      </c>
      <c r="I1020" s="14">
        <v>0.25830653804930326</v>
      </c>
      <c r="J1020" s="3" t="s">
        <v>8</v>
      </c>
      <c r="K1020" s="3" t="s">
        <v>28</v>
      </c>
      <c r="L1020" s="3" t="s">
        <v>33</v>
      </c>
    </row>
    <row r="1021" ht="15.75" customHeight="1">
      <c r="A1021" s="3">
        <v>7.65858924E8</v>
      </c>
      <c r="B1021" s="3" t="s">
        <v>590</v>
      </c>
      <c r="C1021" s="3">
        <v>32.0</v>
      </c>
      <c r="D1021" s="10">
        <v>6.0</v>
      </c>
      <c r="E1021" s="11">
        <v>2014.0</v>
      </c>
      <c r="F1021" s="13">
        <v>2358993.1</v>
      </c>
      <c r="G1021" s="13">
        <v>1773966.2000000002</v>
      </c>
      <c r="H1021" s="13">
        <v>585026.8999999999</v>
      </c>
      <c r="I1021" s="14">
        <v>0.24799856345489094</v>
      </c>
      <c r="J1021" s="3" t="s">
        <v>4</v>
      </c>
      <c r="K1021" s="3" t="s">
        <v>28</v>
      </c>
      <c r="L1021" s="3" t="s">
        <v>98</v>
      </c>
    </row>
    <row r="1022" ht="15.75" customHeight="1">
      <c r="A1022" s="3">
        <v>7.66118133E8</v>
      </c>
      <c r="B1022" s="3" t="s">
        <v>686</v>
      </c>
      <c r="C1022" s="3">
        <v>1.0</v>
      </c>
      <c r="D1022" s="10">
        <v>10.0</v>
      </c>
      <c r="E1022" s="11">
        <v>2010.0</v>
      </c>
      <c r="F1022" s="13">
        <v>157043.44999999998</v>
      </c>
      <c r="G1022" s="13">
        <v>118096.90000000001</v>
      </c>
      <c r="H1022" s="13">
        <v>38946.549999999974</v>
      </c>
      <c r="I1022" s="14">
        <v>0.24799856345489085</v>
      </c>
      <c r="J1022" s="3" t="s">
        <v>4</v>
      </c>
      <c r="K1022" s="3" t="s">
        <v>28</v>
      </c>
      <c r="L1022" s="3" t="s">
        <v>29</v>
      </c>
    </row>
    <row r="1023" ht="15.75" customHeight="1">
      <c r="A1023" s="3">
        <v>7.67490565E8</v>
      </c>
      <c r="B1023" s="3" t="s">
        <v>512</v>
      </c>
      <c r="C1023" s="3">
        <v>38.0</v>
      </c>
      <c r="D1023" s="10">
        <v>1.0</v>
      </c>
      <c r="E1023" s="11">
        <v>2016.0</v>
      </c>
      <c r="F1023" s="13">
        <v>695895.04</v>
      </c>
      <c r="G1023" s="13">
        <v>228229.12000000002</v>
      </c>
      <c r="H1023" s="13">
        <v>467665.92000000004</v>
      </c>
      <c r="I1023" s="14">
        <v>0.6720351390922401</v>
      </c>
      <c r="J1023" s="3" t="s">
        <v>5</v>
      </c>
      <c r="K1023" s="3" t="s">
        <v>28</v>
      </c>
      <c r="L1023" s="3" t="s">
        <v>79</v>
      </c>
    </row>
    <row r="1024" ht="15.75" customHeight="1">
      <c r="A1024" s="3">
        <v>7.68230426E8</v>
      </c>
      <c r="B1024" s="3" t="s">
        <v>142</v>
      </c>
      <c r="C1024" s="3">
        <v>22.0</v>
      </c>
      <c r="D1024" s="10">
        <v>5.0</v>
      </c>
      <c r="E1024" s="11">
        <v>2010.0</v>
      </c>
      <c r="F1024" s="13">
        <v>810199.8</v>
      </c>
      <c r="G1024" s="13">
        <v>517406.39999999997</v>
      </c>
      <c r="H1024" s="13">
        <v>292793.4000000001</v>
      </c>
      <c r="I1024" s="14">
        <v>0.3613841918993316</v>
      </c>
      <c r="J1024" s="3" t="s">
        <v>13</v>
      </c>
      <c r="K1024" s="3" t="s">
        <v>28</v>
      </c>
      <c r="L1024" s="3" t="s">
        <v>98</v>
      </c>
    </row>
    <row r="1025" ht="15.75" customHeight="1">
      <c r="A1025" s="3">
        <v>7.68676316E8</v>
      </c>
      <c r="B1025" s="3" t="s">
        <v>346</v>
      </c>
      <c r="C1025" s="3">
        <v>33.0</v>
      </c>
      <c r="D1025" s="10">
        <v>1.0</v>
      </c>
      <c r="E1025" s="11">
        <v>2014.0</v>
      </c>
      <c r="F1025" s="13">
        <v>1118321.54</v>
      </c>
      <c r="G1025" s="13">
        <v>660060.87</v>
      </c>
      <c r="H1025" s="13">
        <v>458260.67000000004</v>
      </c>
      <c r="I1025" s="14">
        <v>0.4097754121770739</v>
      </c>
      <c r="J1025" s="3" t="s">
        <v>9</v>
      </c>
      <c r="K1025" s="3" t="s">
        <v>28</v>
      </c>
      <c r="L1025" s="3" t="s">
        <v>98</v>
      </c>
    </row>
    <row r="1026" ht="15.75" customHeight="1">
      <c r="A1026" s="3">
        <v>7.70821654E8</v>
      </c>
      <c r="B1026" s="3" t="s">
        <v>821</v>
      </c>
      <c r="C1026" s="3">
        <v>24.0</v>
      </c>
      <c r="D1026" s="10">
        <v>7.0</v>
      </c>
      <c r="E1026" s="11">
        <v>2014.0</v>
      </c>
      <c r="F1026" s="13">
        <v>1375355.52</v>
      </c>
      <c r="G1026" s="13">
        <v>1108715.52</v>
      </c>
      <c r="H1026" s="13">
        <v>266640.0</v>
      </c>
      <c r="I1026" s="14">
        <v>0.19386987300563566</v>
      </c>
      <c r="J1026" s="3" t="s">
        <v>7</v>
      </c>
      <c r="K1026" s="3" t="s">
        <v>821</v>
      </c>
      <c r="L1026" s="3" t="s">
        <v>821</v>
      </c>
    </row>
    <row r="1027" ht="15.75" customHeight="1">
      <c r="A1027" s="3">
        <v>7.71674382E8</v>
      </c>
      <c r="B1027" s="3" t="s">
        <v>267</v>
      </c>
      <c r="C1027" s="3">
        <v>35.0</v>
      </c>
      <c r="D1027" s="10">
        <v>2.0</v>
      </c>
      <c r="E1027" s="11">
        <v>2013.0</v>
      </c>
      <c r="F1027" s="13">
        <v>686029.18</v>
      </c>
      <c r="G1027" s="13">
        <v>404911.29000000004</v>
      </c>
      <c r="H1027" s="13">
        <v>281117.89</v>
      </c>
      <c r="I1027" s="14">
        <v>0.40977541217707386</v>
      </c>
      <c r="J1027" s="3" t="s">
        <v>9</v>
      </c>
      <c r="K1027" s="3" t="s">
        <v>28</v>
      </c>
      <c r="L1027" s="3" t="s">
        <v>29</v>
      </c>
    </row>
    <row r="1028" ht="15.75" customHeight="1">
      <c r="A1028" s="3">
        <v>7.72643411E8</v>
      </c>
      <c r="B1028" s="3" t="s">
        <v>686</v>
      </c>
      <c r="C1028" s="3">
        <v>37.0</v>
      </c>
      <c r="D1028" s="10">
        <v>7.0</v>
      </c>
      <c r="E1028" s="11">
        <v>2010.0</v>
      </c>
      <c r="F1028" s="13">
        <v>248897.0</v>
      </c>
      <c r="G1028" s="13">
        <v>141703.1</v>
      </c>
      <c r="H1028" s="13">
        <v>107193.9</v>
      </c>
      <c r="I1028" s="14">
        <v>0.4306757413709285</v>
      </c>
      <c r="J1028" s="3" t="s">
        <v>3</v>
      </c>
      <c r="K1028" s="3" t="s">
        <v>28</v>
      </c>
      <c r="L1028" s="3" t="s">
        <v>29</v>
      </c>
    </row>
    <row r="1029" ht="15.75" customHeight="1">
      <c r="A1029" s="3">
        <v>7.72893178E8</v>
      </c>
      <c r="B1029" s="3" t="s">
        <v>623</v>
      </c>
      <c r="C1029" s="3">
        <v>0.0</v>
      </c>
      <c r="D1029" s="10">
        <v>1.0</v>
      </c>
      <c r="E1029" s="11">
        <v>2012.0</v>
      </c>
      <c r="F1029" s="13">
        <v>243038.90000000002</v>
      </c>
      <c r="G1029" s="13">
        <v>162828.38</v>
      </c>
      <c r="H1029" s="13">
        <v>80210.52000000002</v>
      </c>
      <c r="I1029" s="14">
        <v>0.3300316122233931</v>
      </c>
      <c r="J1029" s="3" t="s">
        <v>6</v>
      </c>
      <c r="K1029" s="3" t="s">
        <v>28</v>
      </c>
      <c r="L1029" s="3" t="s">
        <v>33</v>
      </c>
    </row>
    <row r="1030" ht="15.75" customHeight="1">
      <c r="A1030" s="3">
        <v>7.73645913E8</v>
      </c>
      <c r="B1030" s="3" t="s">
        <v>740</v>
      </c>
      <c r="C1030" s="3">
        <v>6.0</v>
      </c>
      <c r="D1030" s="10">
        <v>1.0</v>
      </c>
      <c r="E1030" s="11">
        <v>2011.0</v>
      </c>
      <c r="F1030" s="13">
        <v>3442075.6</v>
      </c>
      <c r="G1030" s="13">
        <v>2073197.0899999999</v>
      </c>
      <c r="H1030" s="13">
        <v>1368878.5100000002</v>
      </c>
      <c r="I1030" s="14">
        <v>0.3976898444647759</v>
      </c>
      <c r="J1030" s="3" t="s">
        <v>12</v>
      </c>
      <c r="K1030" s="3" t="s">
        <v>28</v>
      </c>
      <c r="L1030" s="3" t="s">
        <v>98</v>
      </c>
    </row>
    <row r="1031" ht="15.75" customHeight="1">
      <c r="A1031" s="3">
        <v>7.74698626E8</v>
      </c>
      <c r="B1031" s="3" t="s">
        <v>142</v>
      </c>
      <c r="C1031" s="3">
        <v>26.0</v>
      </c>
      <c r="D1031" s="10">
        <v>3.0</v>
      </c>
      <c r="E1031" s="11">
        <v>2016.0</v>
      </c>
      <c r="F1031" s="13">
        <v>87646.02</v>
      </c>
      <c r="G1031" s="13">
        <v>65006.479999999996</v>
      </c>
      <c r="H1031" s="13">
        <v>22639.540000000008</v>
      </c>
      <c r="I1031" s="14">
        <v>0.2583065380493034</v>
      </c>
      <c r="J1031" s="3" t="s">
        <v>8</v>
      </c>
      <c r="K1031" s="3" t="s">
        <v>28</v>
      </c>
      <c r="L1031" s="3" t="s">
        <v>98</v>
      </c>
    </row>
    <row r="1032" ht="15.75" customHeight="1">
      <c r="A1032" s="3">
        <v>7.74926936E8</v>
      </c>
      <c r="B1032" s="3" t="s">
        <v>218</v>
      </c>
      <c r="C1032" s="3">
        <v>3.0</v>
      </c>
      <c r="D1032" s="10">
        <v>11.0</v>
      </c>
      <c r="E1032" s="11">
        <v>2014.0</v>
      </c>
      <c r="F1032" s="13">
        <v>64899.48</v>
      </c>
      <c r="G1032" s="13">
        <v>48135.52</v>
      </c>
      <c r="H1032" s="13">
        <v>16763.960000000006</v>
      </c>
      <c r="I1032" s="14">
        <v>0.2583065380493034</v>
      </c>
      <c r="J1032" s="3" t="s">
        <v>8</v>
      </c>
      <c r="K1032" s="3" t="s">
        <v>28</v>
      </c>
      <c r="L1032" s="3" t="s">
        <v>98</v>
      </c>
    </row>
    <row r="1033" ht="15.75" customHeight="1">
      <c r="A1033" s="3">
        <v>7.75008904E8</v>
      </c>
      <c r="B1033" s="3" t="s">
        <v>428</v>
      </c>
      <c r="C1033" s="3">
        <v>37.0</v>
      </c>
      <c r="D1033" s="10">
        <v>11.0</v>
      </c>
      <c r="E1033" s="11">
        <v>2013.0</v>
      </c>
      <c r="F1033" s="13">
        <v>309399.36</v>
      </c>
      <c r="G1033" s="13">
        <v>193217.03999999998</v>
      </c>
      <c r="H1033" s="13">
        <v>116182.32</v>
      </c>
      <c r="I1033" s="14">
        <v>0.37550924475086184</v>
      </c>
      <c r="J1033" s="3" t="s">
        <v>10</v>
      </c>
      <c r="K1033" s="3" t="s">
        <v>28</v>
      </c>
      <c r="L1033" s="3" t="s">
        <v>79</v>
      </c>
    </row>
    <row r="1034" ht="15.75" customHeight="1">
      <c r="A1034" s="3">
        <v>7.75347936E8</v>
      </c>
      <c r="B1034" s="3" t="s">
        <v>206</v>
      </c>
      <c r="C1034" s="3">
        <v>11.0</v>
      </c>
      <c r="D1034" s="10">
        <v>6.0</v>
      </c>
      <c r="E1034" s="11">
        <v>2013.0</v>
      </c>
      <c r="F1034" s="13">
        <v>392875.92</v>
      </c>
      <c r="G1034" s="13">
        <v>245347.37999999998</v>
      </c>
      <c r="H1034" s="13">
        <v>147528.54</v>
      </c>
      <c r="I1034" s="14">
        <v>0.37550924475086184</v>
      </c>
      <c r="J1034" s="3" t="s">
        <v>10</v>
      </c>
      <c r="K1034" s="3" t="s">
        <v>28</v>
      </c>
      <c r="L1034" s="3" t="s">
        <v>33</v>
      </c>
    </row>
    <row r="1035" ht="15.75" customHeight="1">
      <c r="A1035" s="3">
        <v>7.75849616E8</v>
      </c>
      <c r="B1035" s="3" t="s">
        <v>578</v>
      </c>
      <c r="C1035" s="3">
        <v>17.0</v>
      </c>
      <c r="D1035" s="10">
        <v>2.0</v>
      </c>
      <c r="E1035" s="11">
        <v>2012.0</v>
      </c>
      <c r="F1035" s="13">
        <v>6510146.37</v>
      </c>
      <c r="G1035" s="13">
        <v>5248025.12</v>
      </c>
      <c r="H1035" s="13">
        <v>1262121.25</v>
      </c>
      <c r="I1035" s="14">
        <v>0.19386987300563566</v>
      </c>
      <c r="J1035" s="3" t="s">
        <v>7</v>
      </c>
      <c r="K1035" s="3" t="s">
        <v>28</v>
      </c>
      <c r="L1035" s="3" t="s">
        <v>33</v>
      </c>
    </row>
    <row r="1036" ht="15.75" customHeight="1">
      <c r="A1036" s="3">
        <v>7.7701863E8</v>
      </c>
      <c r="B1036" s="3" t="s">
        <v>575</v>
      </c>
      <c r="C1036" s="3">
        <v>29.0</v>
      </c>
      <c r="D1036" s="10">
        <v>2.0</v>
      </c>
      <c r="E1036" s="11">
        <v>2016.0</v>
      </c>
      <c r="F1036" s="13">
        <v>914346.1</v>
      </c>
      <c r="G1036" s="13">
        <v>539669.55</v>
      </c>
      <c r="H1036" s="13">
        <v>374676.54999999993</v>
      </c>
      <c r="I1036" s="14">
        <v>0.4097754121770738</v>
      </c>
      <c r="J1036" s="3" t="s">
        <v>9</v>
      </c>
      <c r="K1036" s="3" t="s">
        <v>28</v>
      </c>
      <c r="L1036" s="3" t="s">
        <v>98</v>
      </c>
    </row>
    <row r="1037" ht="15.75" customHeight="1">
      <c r="A1037" s="3">
        <v>7.80590045E8</v>
      </c>
      <c r="B1037" s="3" t="s">
        <v>142</v>
      </c>
      <c r="C1037" s="3">
        <v>23.0</v>
      </c>
      <c r="D1037" s="10">
        <v>9.0</v>
      </c>
      <c r="E1037" s="11">
        <v>2013.0</v>
      </c>
      <c r="F1037" s="13">
        <v>1179604.44</v>
      </c>
      <c r="G1037" s="13">
        <v>1019673.24</v>
      </c>
      <c r="H1037" s="13">
        <v>159931.19999999995</v>
      </c>
      <c r="I1037" s="14">
        <v>0.13558036455000116</v>
      </c>
      <c r="J1037" s="3" t="s">
        <v>11</v>
      </c>
      <c r="K1037" s="3" t="s">
        <v>28</v>
      </c>
      <c r="L1037" s="3" t="s">
        <v>98</v>
      </c>
    </row>
    <row r="1038" ht="15.75" customHeight="1">
      <c r="A1038" s="3">
        <v>7.80899035E8</v>
      </c>
      <c r="B1038" s="3" t="s">
        <v>650</v>
      </c>
      <c r="C1038" s="3">
        <v>47.0</v>
      </c>
      <c r="D1038" s="10">
        <v>6.0</v>
      </c>
      <c r="E1038" s="11">
        <v>2012.0</v>
      </c>
      <c r="F1038" s="13">
        <v>1850667.5999999999</v>
      </c>
      <c r="G1038" s="13">
        <v>1114675.89</v>
      </c>
      <c r="H1038" s="13">
        <v>735991.71</v>
      </c>
      <c r="I1038" s="14">
        <v>0.39768984446477584</v>
      </c>
      <c r="J1038" s="3" t="s">
        <v>12</v>
      </c>
      <c r="K1038" s="3" t="s">
        <v>28</v>
      </c>
      <c r="L1038" s="3" t="s">
        <v>98</v>
      </c>
    </row>
    <row r="1039" ht="15.75" customHeight="1">
      <c r="A1039" s="3">
        <v>7.81083571E8</v>
      </c>
      <c r="B1039" s="3" t="s">
        <v>206</v>
      </c>
      <c r="C1039" s="3">
        <v>9.0</v>
      </c>
      <c r="D1039" s="10">
        <v>6.0</v>
      </c>
      <c r="E1039" s="11">
        <v>2016.0</v>
      </c>
      <c r="F1039" s="13">
        <v>966144.48</v>
      </c>
      <c r="G1039" s="13">
        <v>316861.44</v>
      </c>
      <c r="H1039" s="13">
        <v>649283.04</v>
      </c>
      <c r="I1039" s="14">
        <v>0.6720351390922402</v>
      </c>
      <c r="J1039" s="3" t="s">
        <v>5</v>
      </c>
      <c r="K1039" s="3" t="s">
        <v>28</v>
      </c>
      <c r="L1039" s="3" t="s">
        <v>33</v>
      </c>
    </row>
    <row r="1040" ht="15.75" customHeight="1">
      <c r="A1040" s="3">
        <v>7.81416594E8</v>
      </c>
      <c r="B1040" s="3" t="s">
        <v>67</v>
      </c>
      <c r="C1040" s="3">
        <v>44.0</v>
      </c>
      <c r="D1040" s="10">
        <v>11.0</v>
      </c>
      <c r="E1040" s="11">
        <v>2015.0</v>
      </c>
      <c r="F1040" s="13">
        <v>3117767.1</v>
      </c>
      <c r="G1040" s="13">
        <v>2695059.1</v>
      </c>
      <c r="H1040" s="13">
        <v>422708.0</v>
      </c>
      <c r="I1040" s="14">
        <v>0.1355803645500012</v>
      </c>
      <c r="J1040" s="3" t="s">
        <v>11</v>
      </c>
      <c r="K1040" s="3" t="s">
        <v>23</v>
      </c>
      <c r="L1040" s="3" t="s">
        <v>68</v>
      </c>
    </row>
    <row r="1041" ht="15.75" customHeight="1">
      <c r="A1041" s="3">
        <v>7.831169E8</v>
      </c>
      <c r="B1041" s="3" t="s">
        <v>746</v>
      </c>
      <c r="C1041" s="3">
        <v>16.0</v>
      </c>
      <c r="D1041" s="10">
        <v>2.0</v>
      </c>
      <c r="E1041" s="11">
        <v>2017.0</v>
      </c>
      <c r="F1041" s="13">
        <v>59885.44</v>
      </c>
      <c r="G1041" s="13">
        <v>19640.320000000003</v>
      </c>
      <c r="H1041" s="13">
        <v>40245.119999999995</v>
      </c>
      <c r="I1041" s="14">
        <v>0.67203513909224</v>
      </c>
      <c r="J1041" s="3" t="s">
        <v>5</v>
      </c>
      <c r="K1041" s="3" t="s">
        <v>28</v>
      </c>
      <c r="L1041" s="3" t="s">
        <v>29</v>
      </c>
    </row>
    <row r="1042" ht="15.75" customHeight="1">
      <c r="A1042" s="3">
        <v>7.83594977E8</v>
      </c>
      <c r="B1042" s="3" t="s">
        <v>740</v>
      </c>
      <c r="C1042" s="3">
        <v>6.0</v>
      </c>
      <c r="D1042" s="10">
        <v>4.0</v>
      </c>
      <c r="E1042" s="11">
        <v>2017.0</v>
      </c>
      <c r="F1042" s="13">
        <v>853061.58</v>
      </c>
      <c r="G1042" s="13">
        <v>737403.18</v>
      </c>
      <c r="H1042" s="13">
        <v>115658.3999999999</v>
      </c>
      <c r="I1042" s="14">
        <v>0.13558036455000108</v>
      </c>
      <c r="J1042" s="3" t="s">
        <v>11</v>
      </c>
      <c r="K1042" s="3" t="s">
        <v>28</v>
      </c>
      <c r="L1042" s="3" t="s">
        <v>98</v>
      </c>
    </row>
    <row r="1043" ht="15.75" customHeight="1">
      <c r="A1043" s="3">
        <v>7.83913838E8</v>
      </c>
      <c r="B1043" s="3" t="s">
        <v>821</v>
      </c>
      <c r="C1043" s="3">
        <v>32.0</v>
      </c>
      <c r="D1043" s="10">
        <v>2.0</v>
      </c>
      <c r="E1043" s="11">
        <v>2013.0</v>
      </c>
      <c r="F1043" s="13">
        <v>973460.4</v>
      </c>
      <c r="G1043" s="13">
        <v>621667.2</v>
      </c>
      <c r="H1043" s="13">
        <v>351793.20000000007</v>
      </c>
      <c r="I1043" s="14">
        <v>0.3613841918993316</v>
      </c>
      <c r="J1043" s="3" t="s">
        <v>13</v>
      </c>
      <c r="K1043" s="3" t="s">
        <v>821</v>
      </c>
      <c r="L1043" s="3" t="s">
        <v>821</v>
      </c>
    </row>
    <row r="1044" ht="15.75" customHeight="1">
      <c r="A1044" s="3">
        <v>7.84397923E8</v>
      </c>
      <c r="B1044" s="3" t="s">
        <v>221</v>
      </c>
      <c r="C1044" s="3">
        <v>12.0</v>
      </c>
      <c r="D1044" s="10">
        <v>6.0</v>
      </c>
      <c r="E1044" s="11">
        <v>2013.0</v>
      </c>
      <c r="F1044" s="13">
        <v>1469497.9800000002</v>
      </c>
      <c r="G1044" s="13">
        <v>938444.64</v>
      </c>
      <c r="H1044" s="13">
        <v>531053.3400000002</v>
      </c>
      <c r="I1044" s="14">
        <v>0.3613841918993316</v>
      </c>
      <c r="J1044" s="3" t="s">
        <v>13</v>
      </c>
      <c r="K1044" s="3" t="s">
        <v>28</v>
      </c>
      <c r="L1044" s="3" t="s">
        <v>29</v>
      </c>
    </row>
    <row r="1045" ht="15.75" customHeight="1">
      <c r="A1045" s="3">
        <v>7.85364806E8</v>
      </c>
      <c r="B1045" s="3" t="s">
        <v>97</v>
      </c>
      <c r="C1045" s="3">
        <v>37.0</v>
      </c>
      <c r="D1045" s="10">
        <v>2.0</v>
      </c>
      <c r="E1045" s="11">
        <v>2015.0</v>
      </c>
      <c r="F1045" s="13">
        <v>3845225.58</v>
      </c>
      <c r="G1045" s="13">
        <v>2891615.16</v>
      </c>
      <c r="H1045" s="13">
        <v>953610.4199999999</v>
      </c>
      <c r="I1045" s="14">
        <v>0.24799856345489096</v>
      </c>
      <c r="J1045" s="3" t="s">
        <v>4</v>
      </c>
      <c r="K1045" s="3" t="s">
        <v>28</v>
      </c>
      <c r="L1045" s="3" t="s">
        <v>98</v>
      </c>
    </row>
    <row r="1046" ht="15.75" customHeight="1">
      <c r="A1046" s="3">
        <v>7.86318385E8</v>
      </c>
      <c r="B1046" s="3" t="s">
        <v>512</v>
      </c>
      <c r="C1046" s="3">
        <v>43.0</v>
      </c>
      <c r="D1046" s="10">
        <v>7.0</v>
      </c>
      <c r="E1046" s="11">
        <v>2017.0</v>
      </c>
      <c r="F1046" s="13">
        <v>376705.55000000005</v>
      </c>
      <c r="G1046" s="13">
        <v>252380.81</v>
      </c>
      <c r="H1046" s="13">
        <v>124324.74000000005</v>
      </c>
      <c r="I1046" s="14">
        <v>0.3300316122233931</v>
      </c>
      <c r="J1046" s="3" t="s">
        <v>6</v>
      </c>
      <c r="K1046" s="3" t="s">
        <v>28</v>
      </c>
      <c r="L1046" s="3" t="s">
        <v>79</v>
      </c>
    </row>
    <row r="1047" ht="15.75" customHeight="1">
      <c r="A1047" s="3">
        <v>7.8948425E8</v>
      </c>
      <c r="B1047" s="3" t="s">
        <v>218</v>
      </c>
      <c r="C1047" s="3">
        <v>25.0</v>
      </c>
      <c r="D1047" s="10">
        <v>7.0</v>
      </c>
      <c r="E1047" s="11">
        <v>2011.0</v>
      </c>
      <c r="F1047" s="13">
        <v>730705.6200000001</v>
      </c>
      <c r="G1047" s="13">
        <v>466640.16</v>
      </c>
      <c r="H1047" s="13">
        <v>264065.46000000014</v>
      </c>
      <c r="I1047" s="14">
        <v>0.36138419189933163</v>
      </c>
      <c r="J1047" s="3" t="s">
        <v>13</v>
      </c>
      <c r="K1047" s="3" t="s">
        <v>28</v>
      </c>
      <c r="L1047" s="3" t="s">
        <v>98</v>
      </c>
    </row>
    <row r="1048" ht="15.75" customHeight="1">
      <c r="A1048" s="3">
        <v>7.89760196E8</v>
      </c>
      <c r="B1048" s="3" t="s">
        <v>67</v>
      </c>
      <c r="C1048" s="3">
        <v>27.0</v>
      </c>
      <c r="D1048" s="10">
        <v>12.0</v>
      </c>
      <c r="E1048" s="11">
        <v>2016.0</v>
      </c>
      <c r="F1048" s="13">
        <v>526913.31</v>
      </c>
      <c r="G1048" s="13">
        <v>365351.49</v>
      </c>
      <c r="H1048" s="13">
        <v>161561.82000000007</v>
      </c>
      <c r="I1048" s="14">
        <v>0.30661935641747223</v>
      </c>
      <c r="J1048" s="3" t="s">
        <v>14</v>
      </c>
      <c r="K1048" s="3" t="s">
        <v>23</v>
      </c>
      <c r="L1048" s="3" t="s">
        <v>68</v>
      </c>
    </row>
    <row r="1049" ht="15.75" customHeight="1">
      <c r="A1049" s="3">
        <v>7.90149009E8</v>
      </c>
      <c r="B1049" s="3" t="s">
        <v>248</v>
      </c>
      <c r="C1049" s="3">
        <v>6.0</v>
      </c>
      <c r="D1049" s="10">
        <v>5.0</v>
      </c>
      <c r="E1049" s="11">
        <v>2011.0</v>
      </c>
      <c r="F1049" s="13">
        <v>657986.0</v>
      </c>
      <c r="G1049" s="13">
        <v>396311.64999999997</v>
      </c>
      <c r="H1049" s="13">
        <v>261674.35000000003</v>
      </c>
      <c r="I1049" s="14">
        <v>0.3976898444647759</v>
      </c>
      <c r="J1049" s="3" t="s">
        <v>12</v>
      </c>
      <c r="K1049" s="3" t="s">
        <v>28</v>
      </c>
      <c r="L1049" s="3" t="s">
        <v>29</v>
      </c>
    </row>
    <row r="1050" ht="15.75" customHeight="1">
      <c r="A1050" s="3">
        <v>7.91692674E8</v>
      </c>
      <c r="B1050" s="3" t="s">
        <v>101</v>
      </c>
      <c r="C1050" s="3">
        <v>38.0</v>
      </c>
      <c r="D1050" s="10">
        <v>10.0</v>
      </c>
      <c r="E1050" s="11">
        <v>2013.0</v>
      </c>
      <c r="F1050" s="13">
        <v>77532.3</v>
      </c>
      <c r="G1050" s="13">
        <v>57505.2</v>
      </c>
      <c r="H1050" s="13">
        <v>20027.100000000006</v>
      </c>
      <c r="I1050" s="14">
        <v>0.25830653804930337</v>
      </c>
      <c r="J1050" s="3" t="s">
        <v>8</v>
      </c>
      <c r="K1050" s="3" t="s">
        <v>28</v>
      </c>
      <c r="L1050" s="3" t="s">
        <v>79</v>
      </c>
    </row>
    <row r="1051" ht="15.75" customHeight="1">
      <c r="A1051" s="3">
        <v>7.91890084E8</v>
      </c>
      <c r="B1051" s="3" t="s">
        <v>101</v>
      </c>
      <c r="C1051" s="3">
        <v>23.0</v>
      </c>
      <c r="D1051" s="10">
        <v>11.0</v>
      </c>
      <c r="E1051" s="11">
        <v>2014.0</v>
      </c>
      <c r="F1051" s="13">
        <v>1383949.5999999999</v>
      </c>
      <c r="G1051" s="13">
        <v>787916.08</v>
      </c>
      <c r="H1051" s="13">
        <v>596033.5199999999</v>
      </c>
      <c r="I1051" s="14">
        <v>0.4306757413709285</v>
      </c>
      <c r="J1051" s="3" t="s">
        <v>3</v>
      </c>
      <c r="K1051" s="3" t="s">
        <v>28</v>
      </c>
      <c r="L1051" s="3" t="s">
        <v>79</v>
      </c>
    </row>
    <row r="1052" ht="15.75" customHeight="1">
      <c r="A1052" s="3">
        <v>7.92178905E8</v>
      </c>
      <c r="B1052" s="3" t="s">
        <v>482</v>
      </c>
      <c r="C1052" s="3">
        <v>48.0</v>
      </c>
      <c r="D1052" s="10">
        <v>6.0</v>
      </c>
      <c r="E1052" s="11">
        <v>2017.0</v>
      </c>
      <c r="F1052" s="13">
        <v>451922.89999999997</v>
      </c>
      <c r="G1052" s="13">
        <v>257290.67</v>
      </c>
      <c r="H1052" s="13">
        <v>194632.22999999995</v>
      </c>
      <c r="I1052" s="14">
        <v>0.43067574137092846</v>
      </c>
      <c r="J1052" s="3" t="s">
        <v>3</v>
      </c>
      <c r="K1052" s="3" t="s">
        <v>28</v>
      </c>
      <c r="L1052" s="3" t="s">
        <v>79</v>
      </c>
    </row>
    <row r="1053" ht="15.75" customHeight="1">
      <c r="A1053" s="3">
        <v>7.92792594E8</v>
      </c>
      <c r="B1053" s="3" t="s">
        <v>821</v>
      </c>
      <c r="C1053" s="3">
        <v>38.0</v>
      </c>
      <c r="D1053" s="10">
        <v>11.0</v>
      </c>
      <c r="E1053" s="11">
        <v>2015.0</v>
      </c>
      <c r="F1053" s="13">
        <v>2540094.27</v>
      </c>
      <c r="G1053" s="13">
        <v>1910154.54</v>
      </c>
      <c r="H1053" s="13">
        <v>629939.73</v>
      </c>
      <c r="I1053" s="14">
        <v>0.247998563454891</v>
      </c>
      <c r="J1053" s="3" t="s">
        <v>4</v>
      </c>
      <c r="K1053" s="3" t="s">
        <v>821</v>
      </c>
      <c r="L1053" s="3" t="s">
        <v>821</v>
      </c>
    </row>
    <row r="1054" ht="15.75" customHeight="1">
      <c r="A1054" s="3">
        <v>7.95141351E8</v>
      </c>
      <c r="B1054" s="3" t="s">
        <v>300</v>
      </c>
      <c r="C1054" s="3">
        <v>4.0</v>
      </c>
      <c r="D1054" s="10">
        <v>2.0</v>
      </c>
      <c r="E1054" s="11">
        <v>2010.0</v>
      </c>
      <c r="F1054" s="13">
        <v>419932.5</v>
      </c>
      <c r="G1054" s="13">
        <v>281341.5</v>
      </c>
      <c r="H1054" s="13">
        <v>138591.0</v>
      </c>
      <c r="I1054" s="14">
        <v>0.33003161222339306</v>
      </c>
      <c r="J1054" s="3" t="s">
        <v>6</v>
      </c>
      <c r="K1054" s="3" t="s">
        <v>28</v>
      </c>
      <c r="L1054" s="3" t="s">
        <v>33</v>
      </c>
    </row>
    <row r="1055" ht="15.75" customHeight="1">
      <c r="A1055" s="3">
        <v>7.96418511E8</v>
      </c>
      <c r="B1055" s="3" t="s">
        <v>536</v>
      </c>
      <c r="C1055" s="3">
        <v>39.0</v>
      </c>
      <c r="D1055" s="10">
        <v>2.0</v>
      </c>
      <c r="E1055" s="11">
        <v>2017.0</v>
      </c>
      <c r="F1055" s="13">
        <v>2865054.9899999998</v>
      </c>
      <c r="G1055" s="13">
        <v>2476609.79</v>
      </c>
      <c r="H1055" s="13">
        <v>388445.1999999997</v>
      </c>
      <c r="I1055" s="14">
        <v>0.1355803645500011</v>
      </c>
      <c r="J1055" s="3" t="s">
        <v>11</v>
      </c>
      <c r="K1055" s="3" t="s">
        <v>28</v>
      </c>
      <c r="L1055" s="3" t="s">
        <v>33</v>
      </c>
    </row>
    <row r="1056" ht="15.75" customHeight="1">
      <c r="A1056" s="3">
        <v>7.97202146E8</v>
      </c>
      <c r="B1056" s="3" t="s">
        <v>593</v>
      </c>
      <c r="C1056" s="3">
        <v>38.0</v>
      </c>
      <c r="D1056" s="10">
        <v>10.0</v>
      </c>
      <c r="E1056" s="11">
        <v>2013.0</v>
      </c>
      <c r="F1056" s="13">
        <v>412103.25</v>
      </c>
      <c r="G1056" s="13">
        <v>276096.14999999997</v>
      </c>
      <c r="H1056" s="13">
        <v>136007.10000000003</v>
      </c>
      <c r="I1056" s="14">
        <v>0.3300316122233931</v>
      </c>
      <c r="J1056" s="3" t="s">
        <v>6</v>
      </c>
      <c r="K1056" s="3" t="s">
        <v>28</v>
      </c>
      <c r="L1056" s="3" t="s">
        <v>98</v>
      </c>
    </row>
    <row r="1057" ht="15.75" customHeight="1">
      <c r="A1057" s="3">
        <v>7.973163E8</v>
      </c>
      <c r="B1057" s="3" t="s">
        <v>635</v>
      </c>
      <c r="C1057" s="3">
        <v>0.0</v>
      </c>
      <c r="D1057" s="10">
        <v>11.0</v>
      </c>
      <c r="E1057" s="11">
        <v>2016.0</v>
      </c>
      <c r="F1057" s="13">
        <v>117011.70000000001</v>
      </c>
      <c r="G1057" s="13">
        <v>78394.14</v>
      </c>
      <c r="H1057" s="13">
        <v>38617.56000000001</v>
      </c>
      <c r="I1057" s="14">
        <v>0.3300316122233931</v>
      </c>
      <c r="J1057" s="3" t="s">
        <v>6</v>
      </c>
      <c r="K1057" s="3" t="s">
        <v>28</v>
      </c>
      <c r="L1057" s="3" t="s">
        <v>33</v>
      </c>
    </row>
    <row r="1058" ht="15.75" customHeight="1">
      <c r="A1058" s="3">
        <v>7.97461354E8</v>
      </c>
      <c r="B1058" s="3" t="s">
        <v>689</v>
      </c>
      <c r="C1058" s="3">
        <v>6.0</v>
      </c>
      <c r="D1058" s="10">
        <v>1.0</v>
      </c>
      <c r="E1058" s="11">
        <v>2010.0</v>
      </c>
      <c r="F1058" s="13">
        <v>255802.95</v>
      </c>
      <c r="G1058" s="13">
        <v>171379.88999999998</v>
      </c>
      <c r="H1058" s="13">
        <v>84423.06000000003</v>
      </c>
      <c r="I1058" s="14">
        <v>0.3300316122233931</v>
      </c>
      <c r="J1058" s="3" t="s">
        <v>6</v>
      </c>
      <c r="K1058" s="3" t="s">
        <v>28</v>
      </c>
      <c r="L1058" s="3" t="s">
        <v>79</v>
      </c>
    </row>
    <row r="1059" ht="15.75" customHeight="1">
      <c r="A1059" s="3">
        <v>7.97718417E8</v>
      </c>
      <c r="B1059" s="3" t="s">
        <v>270</v>
      </c>
      <c r="C1059" s="3">
        <v>48.0</v>
      </c>
      <c r="D1059" s="10">
        <v>8.0</v>
      </c>
      <c r="E1059" s="11">
        <v>2010.0</v>
      </c>
      <c r="F1059" s="13">
        <v>300733.39999999997</v>
      </c>
      <c r="G1059" s="13">
        <v>171214.82</v>
      </c>
      <c r="H1059" s="13">
        <v>129518.57999999996</v>
      </c>
      <c r="I1059" s="14">
        <v>0.43067574137092846</v>
      </c>
      <c r="J1059" s="3" t="s">
        <v>3</v>
      </c>
      <c r="K1059" s="3" t="s">
        <v>28</v>
      </c>
      <c r="L1059" s="3" t="s">
        <v>79</v>
      </c>
    </row>
    <row r="1060" ht="15.75" customHeight="1">
      <c r="A1060" s="3">
        <v>7.97788369E8</v>
      </c>
      <c r="B1060" s="3" t="s">
        <v>821</v>
      </c>
      <c r="C1060" s="3">
        <v>1.0</v>
      </c>
      <c r="D1060" s="10">
        <v>11.0</v>
      </c>
      <c r="E1060" s="11">
        <v>2016.0</v>
      </c>
      <c r="F1060" s="13">
        <v>1407916.02</v>
      </c>
      <c r="G1060" s="13">
        <v>1134963.52</v>
      </c>
      <c r="H1060" s="13">
        <v>272952.5</v>
      </c>
      <c r="I1060" s="14">
        <v>0.19386987300563566</v>
      </c>
      <c r="J1060" s="3" t="s">
        <v>7</v>
      </c>
      <c r="K1060" s="3" t="s">
        <v>821</v>
      </c>
      <c r="L1060" s="3" t="s">
        <v>821</v>
      </c>
    </row>
    <row r="1061" ht="15.75" customHeight="1">
      <c r="A1061" s="3">
        <v>7.99109733E8</v>
      </c>
      <c r="B1061" s="3" t="s">
        <v>536</v>
      </c>
      <c r="C1061" s="3">
        <v>46.0</v>
      </c>
      <c r="D1061" s="10">
        <v>3.0</v>
      </c>
      <c r="E1061" s="11">
        <v>2013.0</v>
      </c>
      <c r="F1061" s="13">
        <v>347838.24</v>
      </c>
      <c r="G1061" s="13">
        <v>114078.72000000002</v>
      </c>
      <c r="H1061" s="13">
        <v>233759.51999999996</v>
      </c>
      <c r="I1061" s="14">
        <v>0.67203513909224</v>
      </c>
      <c r="J1061" s="3" t="s">
        <v>5</v>
      </c>
      <c r="K1061" s="3" t="s">
        <v>28</v>
      </c>
      <c r="L1061" s="3" t="s">
        <v>33</v>
      </c>
    </row>
    <row r="1062" ht="15.75" customHeight="1">
      <c r="A1062" s="3">
        <v>7.99848306E8</v>
      </c>
      <c r="B1062" s="3" t="s">
        <v>300</v>
      </c>
      <c r="C1062" s="3">
        <v>43.0</v>
      </c>
      <c r="D1062" s="10">
        <v>3.0</v>
      </c>
      <c r="E1062" s="11">
        <v>2016.0</v>
      </c>
      <c r="F1062" s="13">
        <v>1164794.6099999999</v>
      </c>
      <c r="G1062" s="13">
        <v>875927.2200000001</v>
      </c>
      <c r="H1062" s="13">
        <v>288867.3899999998</v>
      </c>
      <c r="I1062" s="14">
        <v>0.24799856345489082</v>
      </c>
      <c r="J1062" s="3" t="s">
        <v>4</v>
      </c>
      <c r="K1062" s="3" t="s">
        <v>28</v>
      </c>
      <c r="L1062" s="3" t="s">
        <v>33</v>
      </c>
    </row>
    <row r="1063" ht="15.75" customHeight="1">
      <c r="A1063" s="3">
        <v>8.00045716E8</v>
      </c>
      <c r="B1063" s="3" t="s">
        <v>300</v>
      </c>
      <c r="C1063" s="3">
        <v>28.0</v>
      </c>
      <c r="D1063" s="10">
        <v>4.0</v>
      </c>
      <c r="E1063" s="11">
        <v>2017.0</v>
      </c>
      <c r="F1063" s="13">
        <v>13158.53</v>
      </c>
      <c r="G1063" s="13">
        <v>9123.87</v>
      </c>
      <c r="H1063" s="13">
        <v>4034.66</v>
      </c>
      <c r="I1063" s="14">
        <v>0.3066193564174721</v>
      </c>
      <c r="J1063" s="3" t="s">
        <v>14</v>
      </c>
      <c r="K1063" s="3" t="s">
        <v>28</v>
      </c>
      <c r="L1063" s="3" t="s">
        <v>33</v>
      </c>
    </row>
    <row r="1064" ht="15.75" customHeight="1">
      <c r="A1064" s="3">
        <v>8.00352561E8</v>
      </c>
      <c r="B1064" s="3" t="s">
        <v>267</v>
      </c>
      <c r="C1064" s="3">
        <v>23.0</v>
      </c>
      <c r="D1064" s="10">
        <v>9.0</v>
      </c>
      <c r="E1064" s="11">
        <v>2012.0</v>
      </c>
      <c r="F1064" s="13">
        <v>148359.78</v>
      </c>
      <c r="G1064" s="13">
        <v>87565.59000000001</v>
      </c>
      <c r="H1064" s="13">
        <v>60794.18999999999</v>
      </c>
      <c r="I1064" s="14">
        <v>0.4097754121770738</v>
      </c>
      <c r="J1064" s="3" t="s">
        <v>9</v>
      </c>
      <c r="K1064" s="3" t="s">
        <v>28</v>
      </c>
      <c r="L1064" s="3" t="s">
        <v>29</v>
      </c>
    </row>
    <row r="1065" ht="15.75" customHeight="1">
      <c r="A1065" s="3">
        <v>8.01352488E8</v>
      </c>
      <c r="B1065" s="3" t="s">
        <v>746</v>
      </c>
      <c r="C1065" s="3">
        <v>17.0</v>
      </c>
      <c r="D1065" s="10">
        <v>5.0</v>
      </c>
      <c r="E1065" s="11">
        <v>2015.0</v>
      </c>
      <c r="F1065" s="13">
        <v>3000940.8</v>
      </c>
      <c r="G1065" s="13">
        <v>1807497.1199999999</v>
      </c>
      <c r="H1065" s="13">
        <v>1193443.68</v>
      </c>
      <c r="I1065" s="14">
        <v>0.39768984446477584</v>
      </c>
      <c r="J1065" s="3" t="s">
        <v>12</v>
      </c>
      <c r="K1065" s="3" t="s">
        <v>28</v>
      </c>
      <c r="L1065" s="3" t="s">
        <v>29</v>
      </c>
    </row>
    <row r="1066" ht="15.75" customHeight="1">
      <c r="A1066" s="3">
        <v>8.01925837E8</v>
      </c>
      <c r="B1066" s="3" t="s">
        <v>428</v>
      </c>
      <c r="C1066" s="3">
        <v>9.0</v>
      </c>
      <c r="D1066" s="10">
        <v>10.0</v>
      </c>
      <c r="E1066" s="11">
        <v>2013.0</v>
      </c>
      <c r="F1066" s="13">
        <v>1006165.86</v>
      </c>
      <c r="G1066" s="13">
        <v>593863.8300000001</v>
      </c>
      <c r="H1066" s="13">
        <v>412302.0299999999</v>
      </c>
      <c r="I1066" s="14">
        <v>0.4097754121770738</v>
      </c>
      <c r="J1066" s="3" t="s">
        <v>9</v>
      </c>
      <c r="K1066" s="3" t="s">
        <v>28</v>
      </c>
      <c r="L1066" s="3" t="s">
        <v>79</v>
      </c>
    </row>
    <row r="1067" ht="15.75" customHeight="1">
      <c r="A1067" s="3">
        <v>8.05095136E8</v>
      </c>
      <c r="B1067" s="3" t="s">
        <v>821</v>
      </c>
      <c r="C1067" s="3">
        <v>7.0</v>
      </c>
      <c r="D1067" s="10">
        <v>1.0</v>
      </c>
      <c r="E1067" s="11">
        <v>2010.0</v>
      </c>
      <c r="F1067" s="13">
        <v>677247.76</v>
      </c>
      <c r="G1067" s="13">
        <v>399728.28</v>
      </c>
      <c r="H1067" s="13">
        <v>277519.48</v>
      </c>
      <c r="I1067" s="14">
        <v>0.40977541217707386</v>
      </c>
      <c r="J1067" s="3" t="s">
        <v>9</v>
      </c>
      <c r="K1067" s="3" t="s">
        <v>821</v>
      </c>
      <c r="L1067" s="3" t="s">
        <v>821</v>
      </c>
    </row>
    <row r="1068" ht="15.75" customHeight="1">
      <c r="A1068" s="3">
        <v>8.05974042E8</v>
      </c>
      <c r="B1068" s="3" t="s">
        <v>221</v>
      </c>
      <c r="C1068" s="3">
        <v>6.0</v>
      </c>
      <c r="D1068" s="10">
        <v>7.0</v>
      </c>
      <c r="E1068" s="11">
        <v>2012.0</v>
      </c>
      <c r="F1068" s="13">
        <v>1960404.8</v>
      </c>
      <c r="G1068" s="13">
        <v>1180771.72</v>
      </c>
      <c r="H1068" s="13">
        <v>779633.0800000001</v>
      </c>
      <c r="I1068" s="14">
        <v>0.3976898444647759</v>
      </c>
      <c r="J1068" s="3" t="s">
        <v>12</v>
      </c>
      <c r="K1068" s="3" t="s">
        <v>28</v>
      </c>
      <c r="L1068" s="3" t="s">
        <v>29</v>
      </c>
    </row>
    <row r="1069" ht="15.75" customHeight="1">
      <c r="A1069" s="3">
        <v>8.06197631E8</v>
      </c>
      <c r="B1069" s="3" t="s">
        <v>215</v>
      </c>
      <c r="C1069" s="3">
        <v>31.0</v>
      </c>
      <c r="D1069" s="10">
        <v>1.0</v>
      </c>
      <c r="E1069" s="11">
        <v>2010.0</v>
      </c>
      <c r="F1069" s="13">
        <v>165676.72</v>
      </c>
      <c r="G1069" s="13">
        <v>103463.57999999999</v>
      </c>
      <c r="H1069" s="13">
        <v>62213.140000000014</v>
      </c>
      <c r="I1069" s="14">
        <v>0.3755092447508619</v>
      </c>
      <c r="J1069" s="3" t="s">
        <v>10</v>
      </c>
      <c r="K1069" s="3" t="s">
        <v>23</v>
      </c>
      <c r="L1069" s="3" t="s">
        <v>68</v>
      </c>
    </row>
    <row r="1070" ht="15.75" customHeight="1">
      <c r="A1070" s="3">
        <v>8.06662404E8</v>
      </c>
      <c r="B1070" s="3" t="s">
        <v>671</v>
      </c>
      <c r="C1070" s="3">
        <v>3.0</v>
      </c>
      <c r="D1070" s="10">
        <v>12.0</v>
      </c>
      <c r="E1070" s="11">
        <v>2010.0</v>
      </c>
      <c r="F1070" s="13">
        <v>1683860.2</v>
      </c>
      <c r="G1070" s="13">
        <v>958662.46</v>
      </c>
      <c r="H1070" s="13">
        <v>725197.74</v>
      </c>
      <c r="I1070" s="14">
        <v>0.43067574137092857</v>
      </c>
      <c r="J1070" s="3" t="s">
        <v>3</v>
      </c>
      <c r="K1070" s="3" t="s">
        <v>28</v>
      </c>
      <c r="L1070" s="3" t="s">
        <v>33</v>
      </c>
    </row>
    <row r="1071" ht="15.75" customHeight="1">
      <c r="A1071" s="3">
        <v>8.10752236E8</v>
      </c>
      <c r="B1071" s="3" t="s">
        <v>821</v>
      </c>
      <c r="C1071" s="3">
        <v>37.0</v>
      </c>
      <c r="D1071" s="10">
        <v>3.0</v>
      </c>
      <c r="E1071" s="11">
        <v>2016.0</v>
      </c>
      <c r="F1071" s="13">
        <v>1303039.48</v>
      </c>
      <c r="G1071" s="13">
        <v>769085.9400000001</v>
      </c>
      <c r="H1071" s="13">
        <v>533953.5399999999</v>
      </c>
      <c r="I1071" s="14">
        <v>0.4097754121770738</v>
      </c>
      <c r="J1071" s="3" t="s">
        <v>9</v>
      </c>
      <c r="K1071" s="3" t="s">
        <v>821</v>
      </c>
      <c r="L1071" s="3" t="s">
        <v>821</v>
      </c>
    </row>
    <row r="1072" ht="15.75" customHeight="1">
      <c r="A1072" s="3">
        <v>8.1197704E8</v>
      </c>
      <c r="B1072" s="3" t="s">
        <v>689</v>
      </c>
      <c r="C1072" s="3">
        <v>43.0</v>
      </c>
      <c r="D1072" s="10">
        <v>4.0</v>
      </c>
      <c r="E1072" s="11">
        <v>2015.0</v>
      </c>
      <c r="F1072" s="13">
        <v>395666.0</v>
      </c>
      <c r="G1072" s="13">
        <v>238313.65</v>
      </c>
      <c r="H1072" s="13">
        <v>157352.35</v>
      </c>
      <c r="I1072" s="14">
        <v>0.39768984446477584</v>
      </c>
      <c r="J1072" s="3" t="s">
        <v>12</v>
      </c>
      <c r="K1072" s="3" t="s">
        <v>28</v>
      </c>
      <c r="L1072" s="3" t="s">
        <v>79</v>
      </c>
    </row>
    <row r="1073" ht="15.75" customHeight="1">
      <c r="A1073" s="3">
        <v>8.12632358E8</v>
      </c>
      <c r="B1073" s="3" t="s">
        <v>590</v>
      </c>
      <c r="C1073" s="3">
        <v>18.0</v>
      </c>
      <c r="D1073" s="10">
        <v>9.0</v>
      </c>
      <c r="E1073" s="11">
        <v>2012.0</v>
      </c>
      <c r="F1073" s="13">
        <v>993119.6</v>
      </c>
      <c r="G1073" s="13">
        <v>565407.08</v>
      </c>
      <c r="H1073" s="13">
        <v>427712.52</v>
      </c>
      <c r="I1073" s="14">
        <v>0.43067574137092857</v>
      </c>
      <c r="J1073" s="3" t="s">
        <v>3</v>
      </c>
      <c r="K1073" s="3" t="s">
        <v>28</v>
      </c>
      <c r="L1073" s="3" t="s">
        <v>98</v>
      </c>
    </row>
    <row r="1074" ht="15.75" customHeight="1">
      <c r="A1074" s="3">
        <v>8.12637078E8</v>
      </c>
      <c r="B1074" s="3" t="s">
        <v>653</v>
      </c>
      <c r="C1074" s="3">
        <v>21.0</v>
      </c>
      <c r="D1074" s="10">
        <v>12.0</v>
      </c>
      <c r="E1074" s="11">
        <v>2013.0</v>
      </c>
      <c r="F1074" s="13">
        <v>58079.25</v>
      </c>
      <c r="G1074" s="13">
        <v>43077.0</v>
      </c>
      <c r="H1074" s="13">
        <v>15002.25</v>
      </c>
      <c r="I1074" s="14">
        <v>0.2583065380493033</v>
      </c>
      <c r="J1074" s="3" t="s">
        <v>8</v>
      </c>
      <c r="K1074" s="3" t="s">
        <v>28</v>
      </c>
      <c r="L1074" s="3" t="s">
        <v>33</v>
      </c>
    </row>
    <row r="1075" ht="15.75" customHeight="1">
      <c r="A1075" s="3">
        <v>8.13973891E8</v>
      </c>
      <c r="B1075" s="3" t="s">
        <v>821</v>
      </c>
      <c r="C1075" s="3">
        <v>12.0</v>
      </c>
      <c r="D1075" s="10">
        <v>11.0</v>
      </c>
      <c r="E1075" s="11">
        <v>2012.0</v>
      </c>
      <c r="F1075" s="13">
        <v>794829.6</v>
      </c>
      <c r="G1075" s="13">
        <v>478733.93999999994</v>
      </c>
      <c r="H1075" s="13">
        <v>316095.66000000003</v>
      </c>
      <c r="I1075" s="14">
        <v>0.3976898444647759</v>
      </c>
      <c r="J1075" s="3" t="s">
        <v>12</v>
      </c>
      <c r="K1075" s="3" t="s">
        <v>821</v>
      </c>
      <c r="L1075" s="3" t="s">
        <v>821</v>
      </c>
    </row>
    <row r="1076" ht="15.75" customHeight="1">
      <c r="A1076" s="3">
        <v>8.15755307E8</v>
      </c>
      <c r="B1076" s="3" t="s">
        <v>821</v>
      </c>
      <c r="C1076" s="3">
        <v>27.0</v>
      </c>
      <c r="D1076" s="10">
        <v>5.0</v>
      </c>
      <c r="E1076" s="11">
        <v>2016.0</v>
      </c>
      <c r="F1076" s="13">
        <v>3787728.42</v>
      </c>
      <c r="G1076" s="13">
        <v>3274186.82</v>
      </c>
      <c r="H1076" s="13">
        <v>513541.6000000001</v>
      </c>
      <c r="I1076" s="14">
        <v>0.13558036455000122</v>
      </c>
      <c r="J1076" s="3" t="s">
        <v>11</v>
      </c>
      <c r="K1076" s="3" t="s">
        <v>821</v>
      </c>
      <c r="L1076" s="3" t="s">
        <v>821</v>
      </c>
    </row>
    <row r="1077" ht="15.75" customHeight="1">
      <c r="A1077" s="3">
        <v>8.15917098E8</v>
      </c>
      <c r="B1077" s="3" t="s">
        <v>364</v>
      </c>
      <c r="C1077" s="3">
        <v>16.0</v>
      </c>
      <c r="D1077" s="10">
        <v>1.0</v>
      </c>
      <c r="E1077" s="11">
        <v>2011.0</v>
      </c>
      <c r="F1077" s="13">
        <v>2997443.1999999997</v>
      </c>
      <c r="G1077" s="13">
        <v>1805390.48</v>
      </c>
      <c r="H1077" s="13">
        <v>1192052.7199999997</v>
      </c>
      <c r="I1077" s="14">
        <v>0.3976898444647758</v>
      </c>
      <c r="J1077" s="3" t="s">
        <v>12</v>
      </c>
      <c r="K1077" s="3" t="s">
        <v>28</v>
      </c>
      <c r="L1077" s="3" t="s">
        <v>29</v>
      </c>
    </row>
    <row r="1078" ht="15.75" customHeight="1">
      <c r="A1078" s="3">
        <v>8.17006289E8</v>
      </c>
      <c r="B1078" s="3" t="s">
        <v>671</v>
      </c>
      <c r="C1078" s="3">
        <v>23.0</v>
      </c>
      <c r="D1078" s="10">
        <v>10.0</v>
      </c>
      <c r="E1078" s="11">
        <v>2011.0</v>
      </c>
      <c r="F1078" s="13">
        <v>85574.76</v>
      </c>
      <c r="G1078" s="13">
        <v>63470.24</v>
      </c>
      <c r="H1078" s="13">
        <v>22104.519999999997</v>
      </c>
      <c r="I1078" s="14">
        <v>0.2583065380493033</v>
      </c>
      <c r="J1078" s="3" t="s">
        <v>8</v>
      </c>
      <c r="K1078" s="3" t="s">
        <v>28</v>
      </c>
      <c r="L1078" s="3" t="s">
        <v>33</v>
      </c>
    </row>
    <row r="1079" ht="15.75" customHeight="1">
      <c r="A1079" s="3">
        <v>8.17061221E8</v>
      </c>
      <c r="B1079" s="3" t="s">
        <v>142</v>
      </c>
      <c r="C1079" s="3">
        <v>26.0</v>
      </c>
      <c r="D1079" s="10">
        <v>1.0</v>
      </c>
      <c r="E1079" s="11">
        <v>2010.0</v>
      </c>
      <c r="F1079" s="13">
        <v>836083.62</v>
      </c>
      <c r="G1079" s="13">
        <v>493477.11000000004</v>
      </c>
      <c r="H1079" s="13">
        <v>342606.50999999995</v>
      </c>
      <c r="I1079" s="14">
        <v>0.4097754121770738</v>
      </c>
      <c r="J1079" s="3" t="s">
        <v>9</v>
      </c>
      <c r="K1079" s="3" t="s">
        <v>28</v>
      </c>
      <c r="L1079" s="3" t="s">
        <v>98</v>
      </c>
    </row>
    <row r="1080" ht="15.75" customHeight="1">
      <c r="A1080" s="3">
        <v>8.18976962E8</v>
      </c>
      <c r="B1080" s="3" t="s">
        <v>821</v>
      </c>
      <c r="C1080" s="3">
        <v>3.0</v>
      </c>
      <c r="D1080" s="10">
        <v>12.0</v>
      </c>
      <c r="E1080" s="11">
        <v>2012.0</v>
      </c>
      <c r="F1080" s="13">
        <v>360038.22000000003</v>
      </c>
      <c r="G1080" s="13">
        <v>212503.41</v>
      </c>
      <c r="H1080" s="13">
        <v>147534.81000000003</v>
      </c>
      <c r="I1080" s="14">
        <v>0.4097754121770739</v>
      </c>
      <c r="J1080" s="3" t="s">
        <v>9</v>
      </c>
      <c r="K1080" s="3" t="s">
        <v>821</v>
      </c>
      <c r="L1080" s="3" t="s">
        <v>821</v>
      </c>
    </row>
    <row r="1081" ht="15.75" customHeight="1">
      <c r="A1081" s="3">
        <v>8.19037473E8</v>
      </c>
      <c r="B1081" s="3" t="s">
        <v>689</v>
      </c>
      <c r="C1081" s="3">
        <v>0.0</v>
      </c>
      <c r="D1081" s="10">
        <v>10.0</v>
      </c>
      <c r="E1081" s="11">
        <v>2016.0</v>
      </c>
      <c r="F1081" s="13">
        <v>37590.64</v>
      </c>
      <c r="G1081" s="13">
        <v>22186.920000000002</v>
      </c>
      <c r="H1081" s="13">
        <v>15403.719999999998</v>
      </c>
      <c r="I1081" s="14">
        <v>0.4097754121770738</v>
      </c>
      <c r="J1081" s="3" t="s">
        <v>9</v>
      </c>
      <c r="K1081" s="3" t="s">
        <v>28</v>
      </c>
      <c r="L1081" s="3" t="s">
        <v>79</v>
      </c>
    </row>
    <row r="1082" ht="15.75" customHeight="1">
      <c r="A1082" s="3">
        <v>8.19152915E8</v>
      </c>
      <c r="B1082" s="3" t="s">
        <v>488</v>
      </c>
      <c r="C1082" s="3">
        <v>1.0</v>
      </c>
      <c r="D1082" s="10">
        <v>4.0</v>
      </c>
      <c r="E1082" s="11">
        <v>2011.0</v>
      </c>
      <c r="F1082" s="13">
        <v>2869231.2600000002</v>
      </c>
      <c r="G1082" s="13">
        <v>2312973.7600000002</v>
      </c>
      <c r="H1082" s="13">
        <v>556257.5</v>
      </c>
      <c r="I1082" s="14">
        <v>0.19386987300563566</v>
      </c>
      <c r="J1082" s="3" t="s">
        <v>7</v>
      </c>
      <c r="K1082" s="3" t="s">
        <v>28</v>
      </c>
      <c r="L1082" s="3" t="s">
        <v>33</v>
      </c>
    </row>
    <row r="1083" ht="15.75" customHeight="1">
      <c r="A1083" s="3">
        <v>8.19516837E8</v>
      </c>
      <c r="B1083" s="3" t="s">
        <v>455</v>
      </c>
      <c r="C1083" s="3">
        <v>29.0</v>
      </c>
      <c r="D1083" s="10">
        <v>11.0</v>
      </c>
      <c r="E1083" s="11">
        <v>2015.0</v>
      </c>
      <c r="F1083" s="13">
        <v>917245.6</v>
      </c>
      <c r="G1083" s="13">
        <v>552466.34</v>
      </c>
      <c r="H1083" s="13">
        <v>364779.26</v>
      </c>
      <c r="I1083" s="14">
        <v>0.39768984446477584</v>
      </c>
      <c r="J1083" s="3" t="s">
        <v>12</v>
      </c>
      <c r="K1083" s="3" t="s">
        <v>28</v>
      </c>
      <c r="L1083" s="3" t="s">
        <v>33</v>
      </c>
    </row>
    <row r="1084" ht="15.75" customHeight="1">
      <c r="A1084" s="3">
        <v>8.20195758E8</v>
      </c>
      <c r="B1084" s="3" t="s">
        <v>821</v>
      </c>
      <c r="C1084" s="3">
        <v>19.0</v>
      </c>
      <c r="D1084" s="10">
        <v>11.0</v>
      </c>
      <c r="E1084" s="11">
        <v>2011.0</v>
      </c>
      <c r="F1084" s="13">
        <v>458655.48000000004</v>
      </c>
      <c r="G1084" s="13">
        <v>292904.64</v>
      </c>
      <c r="H1084" s="13">
        <v>165750.84000000003</v>
      </c>
      <c r="I1084" s="14">
        <v>0.3613841918993315</v>
      </c>
      <c r="J1084" s="3" t="s">
        <v>13</v>
      </c>
      <c r="K1084" s="3" t="s">
        <v>821</v>
      </c>
      <c r="L1084" s="3" t="s">
        <v>821</v>
      </c>
    </row>
    <row r="1085" ht="15.75" customHeight="1">
      <c r="A1085" s="3">
        <v>8.20437371E8</v>
      </c>
      <c r="B1085" s="3" t="s">
        <v>291</v>
      </c>
      <c r="C1085" s="3">
        <v>14.0</v>
      </c>
      <c r="D1085" s="10">
        <v>5.0</v>
      </c>
      <c r="E1085" s="11">
        <v>2017.0</v>
      </c>
      <c r="F1085" s="13">
        <v>1900614.45</v>
      </c>
      <c r="G1085" s="13">
        <v>1642928.45</v>
      </c>
      <c r="H1085" s="13">
        <v>257686.0</v>
      </c>
      <c r="I1085" s="14">
        <v>0.1355803645500012</v>
      </c>
      <c r="J1085" s="3" t="s">
        <v>11</v>
      </c>
      <c r="K1085" s="3" t="s">
        <v>28</v>
      </c>
      <c r="L1085" s="3" t="s">
        <v>79</v>
      </c>
    </row>
    <row r="1086" ht="15.75" customHeight="1">
      <c r="A1086" s="3">
        <v>8.21131742E8</v>
      </c>
      <c r="B1086" s="3" t="s">
        <v>623</v>
      </c>
      <c r="C1086" s="3">
        <v>0.0</v>
      </c>
      <c r="D1086" s="10">
        <v>12.0</v>
      </c>
      <c r="E1086" s="11">
        <v>2015.0</v>
      </c>
      <c r="F1086" s="13">
        <v>6672675.95</v>
      </c>
      <c r="G1086" s="13">
        <v>5017861.9</v>
      </c>
      <c r="H1086" s="13">
        <v>1654814.0499999998</v>
      </c>
      <c r="I1086" s="14">
        <v>0.24799856345489096</v>
      </c>
      <c r="J1086" s="3" t="s">
        <v>4</v>
      </c>
      <c r="K1086" s="3" t="s">
        <v>28</v>
      </c>
      <c r="L1086" s="3" t="s">
        <v>33</v>
      </c>
    </row>
    <row r="1087" ht="15.75" customHeight="1">
      <c r="A1087" s="3">
        <v>8.21916663E8</v>
      </c>
      <c r="B1087" s="3" t="s">
        <v>542</v>
      </c>
      <c r="C1087" s="3">
        <v>37.0</v>
      </c>
      <c r="D1087" s="10">
        <v>7.0</v>
      </c>
      <c r="E1087" s="11">
        <v>2011.0</v>
      </c>
      <c r="F1087" s="13">
        <v>988072.0</v>
      </c>
      <c r="G1087" s="13">
        <v>595125.7999999999</v>
      </c>
      <c r="H1087" s="13">
        <v>392946.20000000007</v>
      </c>
      <c r="I1087" s="14">
        <v>0.3976898444647759</v>
      </c>
      <c r="J1087" s="3" t="s">
        <v>12</v>
      </c>
      <c r="K1087" s="3" t="s">
        <v>28</v>
      </c>
      <c r="L1087" s="3" t="s">
        <v>29</v>
      </c>
    </row>
    <row r="1088" ht="15.75" customHeight="1">
      <c r="A1088" s="3">
        <v>8.23236739E8</v>
      </c>
      <c r="B1088" s="3" t="s">
        <v>536</v>
      </c>
      <c r="C1088" s="3">
        <v>45.0</v>
      </c>
      <c r="D1088" s="10">
        <v>6.0</v>
      </c>
      <c r="E1088" s="11">
        <v>2016.0</v>
      </c>
      <c r="F1088" s="13">
        <v>1888509.0</v>
      </c>
      <c r="G1088" s="13">
        <v>1522384.0</v>
      </c>
      <c r="H1088" s="13">
        <v>366125.0</v>
      </c>
      <c r="I1088" s="14">
        <v>0.19386987300563566</v>
      </c>
      <c r="J1088" s="3" t="s">
        <v>7</v>
      </c>
      <c r="K1088" s="3" t="s">
        <v>28</v>
      </c>
      <c r="L1088" s="3" t="s">
        <v>33</v>
      </c>
    </row>
    <row r="1089" ht="15.75" customHeight="1">
      <c r="A1089" s="3">
        <v>8.23505389E8</v>
      </c>
      <c r="B1089" s="3" t="s">
        <v>740</v>
      </c>
      <c r="C1089" s="3">
        <v>19.0</v>
      </c>
      <c r="D1089" s="10">
        <v>3.0</v>
      </c>
      <c r="E1089" s="11">
        <v>2015.0</v>
      </c>
      <c r="F1089" s="13">
        <v>262272.0</v>
      </c>
      <c r="G1089" s="13">
        <v>86016.00000000001</v>
      </c>
      <c r="H1089" s="13">
        <v>176256.0</v>
      </c>
      <c r="I1089" s="14">
        <v>0.6720351390922401</v>
      </c>
      <c r="J1089" s="3" t="s">
        <v>5</v>
      </c>
      <c r="K1089" s="3" t="s">
        <v>28</v>
      </c>
      <c r="L1089" s="3" t="s">
        <v>98</v>
      </c>
    </row>
    <row r="1090" ht="15.75" customHeight="1">
      <c r="A1090" s="3">
        <v>8.25065791E8</v>
      </c>
      <c r="B1090" s="3" t="s">
        <v>413</v>
      </c>
      <c r="C1090" s="3">
        <v>35.0</v>
      </c>
      <c r="D1090" s="10">
        <v>7.0</v>
      </c>
      <c r="E1090" s="11">
        <v>2011.0</v>
      </c>
      <c r="F1090" s="13">
        <v>1753796.73</v>
      </c>
      <c r="G1090" s="13">
        <v>1516016.33</v>
      </c>
      <c r="H1090" s="13">
        <v>237780.3999999999</v>
      </c>
      <c r="I1090" s="14">
        <v>0.13558036455000114</v>
      </c>
      <c r="J1090" s="3" t="s">
        <v>11</v>
      </c>
      <c r="K1090" s="3" t="s">
        <v>28</v>
      </c>
      <c r="L1090" s="3" t="s">
        <v>29</v>
      </c>
    </row>
    <row r="1091" ht="15.75" customHeight="1">
      <c r="A1091" s="3">
        <v>8.26677262E8</v>
      </c>
      <c r="B1091" s="3" t="s">
        <v>248</v>
      </c>
      <c r="C1091" s="3">
        <v>42.0</v>
      </c>
      <c r="D1091" s="10">
        <v>11.0</v>
      </c>
      <c r="E1091" s="11">
        <v>2016.0</v>
      </c>
      <c r="F1091" s="13">
        <v>48731.15</v>
      </c>
      <c r="G1091" s="13">
        <v>32648.329999999998</v>
      </c>
      <c r="H1091" s="13">
        <v>16082.820000000003</v>
      </c>
      <c r="I1091" s="14">
        <v>0.3300316122233931</v>
      </c>
      <c r="J1091" s="3" t="s">
        <v>6</v>
      </c>
      <c r="K1091" s="3" t="s">
        <v>28</v>
      </c>
      <c r="L1091" s="3" t="s">
        <v>29</v>
      </c>
    </row>
    <row r="1092" ht="15.75" customHeight="1">
      <c r="A1092" s="3">
        <v>8.26936471E8</v>
      </c>
      <c r="B1092" s="3" t="s">
        <v>349</v>
      </c>
      <c r="C1092" s="3">
        <v>10.0</v>
      </c>
      <c r="D1092" s="10">
        <v>3.0</v>
      </c>
      <c r="E1092" s="11">
        <v>2013.0</v>
      </c>
      <c r="F1092" s="13">
        <v>1974080.24</v>
      </c>
      <c r="G1092" s="13">
        <v>1232794.8599999999</v>
      </c>
      <c r="H1092" s="13">
        <v>741285.3800000001</v>
      </c>
      <c r="I1092" s="14">
        <v>0.37550924475086184</v>
      </c>
      <c r="J1092" s="3" t="s">
        <v>10</v>
      </c>
      <c r="K1092" s="3" t="s">
        <v>28</v>
      </c>
      <c r="L1092" s="3" t="s">
        <v>29</v>
      </c>
    </row>
    <row r="1093" ht="15.75" customHeight="1">
      <c r="A1093" s="3">
        <v>8.26968657E8</v>
      </c>
      <c r="B1093" s="3" t="s">
        <v>142</v>
      </c>
      <c r="C1093" s="3">
        <v>40.0</v>
      </c>
      <c r="D1093" s="10">
        <v>5.0</v>
      </c>
      <c r="E1093" s="11">
        <v>2017.0</v>
      </c>
      <c r="F1093" s="13">
        <v>3173197.6</v>
      </c>
      <c r="G1093" s="13">
        <v>1911249.14</v>
      </c>
      <c r="H1093" s="13">
        <v>1261948.4600000002</v>
      </c>
      <c r="I1093" s="14">
        <v>0.3976898444647759</v>
      </c>
      <c r="J1093" s="3" t="s">
        <v>12</v>
      </c>
      <c r="K1093" s="3" t="s">
        <v>28</v>
      </c>
      <c r="L1093" s="3" t="s">
        <v>98</v>
      </c>
    </row>
    <row r="1094" ht="15.75" customHeight="1">
      <c r="A1094" s="3">
        <v>8.28993833E8</v>
      </c>
      <c r="B1094" s="3" t="s">
        <v>349</v>
      </c>
      <c r="C1094" s="3">
        <v>28.0</v>
      </c>
      <c r="D1094" s="10">
        <v>8.0</v>
      </c>
      <c r="E1094" s="11">
        <v>2014.0</v>
      </c>
      <c r="F1094" s="13">
        <v>1672594.56</v>
      </c>
      <c r="G1094" s="13">
        <v>1044519.84</v>
      </c>
      <c r="H1094" s="13">
        <v>628074.7200000001</v>
      </c>
      <c r="I1094" s="14">
        <v>0.37550924475086184</v>
      </c>
      <c r="J1094" s="3" t="s">
        <v>10</v>
      </c>
      <c r="K1094" s="3" t="s">
        <v>28</v>
      </c>
      <c r="L1094" s="3" t="s">
        <v>29</v>
      </c>
    </row>
    <row r="1095" ht="15.75" customHeight="1">
      <c r="A1095" s="3">
        <v>8.29356467E8</v>
      </c>
      <c r="B1095" s="3" t="s">
        <v>488</v>
      </c>
      <c r="C1095" s="3">
        <v>18.0</v>
      </c>
      <c r="D1095" s="10">
        <v>8.0</v>
      </c>
      <c r="E1095" s="11">
        <v>2012.0</v>
      </c>
      <c r="F1095" s="13">
        <v>2582195.28</v>
      </c>
      <c r="G1095" s="13">
        <v>1941814.56</v>
      </c>
      <c r="H1095" s="13">
        <v>640380.7199999997</v>
      </c>
      <c r="I1095" s="14">
        <v>0.2479985634548909</v>
      </c>
      <c r="J1095" s="3" t="s">
        <v>4</v>
      </c>
      <c r="K1095" s="3" t="s">
        <v>28</v>
      </c>
      <c r="L1095" s="3" t="s">
        <v>33</v>
      </c>
    </row>
    <row r="1096" ht="15.75" customHeight="1">
      <c r="A1096" s="3">
        <v>8.30172288E8</v>
      </c>
      <c r="B1096" s="3" t="s">
        <v>821</v>
      </c>
      <c r="C1096" s="3">
        <v>46.0</v>
      </c>
      <c r="D1096" s="10">
        <v>6.0</v>
      </c>
      <c r="E1096" s="11">
        <v>2013.0</v>
      </c>
      <c r="F1096" s="13">
        <v>2309727.6</v>
      </c>
      <c r="G1096" s="13">
        <v>1391172.39</v>
      </c>
      <c r="H1096" s="13">
        <v>918555.2100000002</v>
      </c>
      <c r="I1096" s="14">
        <v>0.3976898444647759</v>
      </c>
      <c r="J1096" s="3" t="s">
        <v>12</v>
      </c>
      <c r="K1096" s="3" t="s">
        <v>821</v>
      </c>
      <c r="L1096" s="3" t="s">
        <v>821</v>
      </c>
    </row>
    <row r="1097" ht="15.75" customHeight="1">
      <c r="A1097" s="3">
        <v>8.31143891E8</v>
      </c>
      <c r="B1097" s="3" t="s">
        <v>455</v>
      </c>
      <c r="C1097" s="3">
        <v>23.0</v>
      </c>
      <c r="D1097" s="10">
        <v>5.0</v>
      </c>
      <c r="E1097" s="11">
        <v>2016.0</v>
      </c>
      <c r="F1097" s="13">
        <v>26142.66</v>
      </c>
      <c r="G1097" s="13">
        <v>19389.84</v>
      </c>
      <c r="H1097" s="13">
        <v>6752.82</v>
      </c>
      <c r="I1097" s="14">
        <v>0.2583065380493033</v>
      </c>
      <c r="J1097" s="3" t="s">
        <v>8</v>
      </c>
      <c r="K1097" s="3" t="s">
        <v>28</v>
      </c>
      <c r="L1097" s="3" t="s">
        <v>33</v>
      </c>
    </row>
    <row r="1098" ht="15.75" customHeight="1">
      <c r="A1098" s="3">
        <v>8.3205713E8</v>
      </c>
      <c r="B1098" s="3" t="s">
        <v>671</v>
      </c>
      <c r="C1098" s="3">
        <v>31.0</v>
      </c>
      <c r="D1098" s="10">
        <v>3.0</v>
      </c>
      <c r="E1098" s="11">
        <v>2011.0</v>
      </c>
      <c r="F1098" s="13">
        <v>1333460.0</v>
      </c>
      <c r="G1098" s="13">
        <v>803156.5</v>
      </c>
      <c r="H1098" s="13">
        <v>530303.5</v>
      </c>
      <c r="I1098" s="14">
        <v>0.39768984446477584</v>
      </c>
      <c r="J1098" s="3" t="s">
        <v>12</v>
      </c>
      <c r="K1098" s="3" t="s">
        <v>28</v>
      </c>
      <c r="L1098" s="3" t="s">
        <v>33</v>
      </c>
    </row>
    <row r="1099" ht="15.75" customHeight="1">
      <c r="A1099" s="3">
        <v>8.33473765E8</v>
      </c>
      <c r="B1099" s="3" t="s">
        <v>32</v>
      </c>
      <c r="C1099" s="3">
        <v>27.0</v>
      </c>
      <c r="D1099" s="10">
        <v>4.0</v>
      </c>
      <c r="E1099" s="11">
        <v>2013.0</v>
      </c>
      <c r="F1099" s="13">
        <v>107426.8</v>
      </c>
      <c r="G1099" s="13">
        <v>71972.56</v>
      </c>
      <c r="H1099" s="13">
        <v>35454.240000000005</v>
      </c>
      <c r="I1099" s="14">
        <v>0.3300316122233931</v>
      </c>
      <c r="J1099" s="3" t="s">
        <v>6</v>
      </c>
      <c r="K1099" s="3" t="s">
        <v>28</v>
      </c>
      <c r="L1099" s="3" t="s">
        <v>33</v>
      </c>
    </row>
    <row r="1100" ht="15.75" customHeight="1">
      <c r="A1100" s="3">
        <v>8.33706796E8</v>
      </c>
      <c r="B1100" s="3" t="s">
        <v>215</v>
      </c>
      <c r="C1100" s="3">
        <v>7.0</v>
      </c>
      <c r="D1100" s="10">
        <v>3.0</v>
      </c>
      <c r="E1100" s="11">
        <v>2013.0</v>
      </c>
      <c r="F1100" s="13">
        <v>251571.09999999998</v>
      </c>
      <c r="G1100" s="13">
        <v>143225.53</v>
      </c>
      <c r="H1100" s="13">
        <v>108345.56999999998</v>
      </c>
      <c r="I1100" s="14">
        <v>0.4306757413709285</v>
      </c>
      <c r="J1100" s="3" t="s">
        <v>3</v>
      </c>
      <c r="K1100" s="3" t="s">
        <v>23</v>
      </c>
      <c r="L1100" s="3" t="s">
        <v>68</v>
      </c>
    </row>
    <row r="1101" ht="15.75" customHeight="1">
      <c r="A1101" s="3">
        <v>8.34065997E8</v>
      </c>
      <c r="B1101" s="3" t="s">
        <v>46</v>
      </c>
      <c r="C1101" s="3">
        <v>31.0</v>
      </c>
      <c r="D1101" s="10">
        <v>8.0</v>
      </c>
      <c r="E1101" s="11">
        <v>2016.0</v>
      </c>
      <c r="F1101" s="13">
        <v>5024053.859999999</v>
      </c>
      <c r="G1101" s="13">
        <v>3778095.72</v>
      </c>
      <c r="H1101" s="13">
        <v>1245958.1399999992</v>
      </c>
      <c r="I1101" s="14">
        <v>0.24799856345489085</v>
      </c>
      <c r="J1101" s="3" t="s">
        <v>4</v>
      </c>
      <c r="K1101" s="3" t="s">
        <v>28</v>
      </c>
      <c r="L1101" s="3" t="s">
        <v>33</v>
      </c>
    </row>
    <row r="1102" ht="15.75" customHeight="1">
      <c r="A1102" s="3">
        <v>8.3509339E8</v>
      </c>
      <c r="B1102" s="3" t="s">
        <v>291</v>
      </c>
      <c r="C1102" s="3">
        <v>2.0</v>
      </c>
      <c r="D1102" s="10">
        <v>7.0</v>
      </c>
      <c r="E1102" s="11">
        <v>2014.0</v>
      </c>
      <c r="F1102" s="13">
        <v>126436.31000000001</v>
      </c>
      <c r="G1102" s="13">
        <v>87668.49</v>
      </c>
      <c r="H1102" s="13">
        <v>38767.82000000001</v>
      </c>
      <c r="I1102" s="14">
        <v>0.3066193564174722</v>
      </c>
      <c r="J1102" s="3" t="s">
        <v>14</v>
      </c>
      <c r="K1102" s="3" t="s">
        <v>28</v>
      </c>
      <c r="L1102" s="3" t="s">
        <v>79</v>
      </c>
    </row>
    <row r="1103" ht="15.75" customHeight="1">
      <c r="A1103" s="3">
        <v>8.3526591E8</v>
      </c>
      <c r="B1103" s="3" t="s">
        <v>78</v>
      </c>
      <c r="C1103" s="3">
        <v>35.0</v>
      </c>
      <c r="D1103" s="10">
        <v>8.0</v>
      </c>
      <c r="E1103" s="11">
        <v>2010.0</v>
      </c>
      <c r="F1103" s="13">
        <v>1736833.73</v>
      </c>
      <c r="G1103" s="13">
        <v>1306101.46</v>
      </c>
      <c r="H1103" s="13">
        <v>430732.27</v>
      </c>
      <c r="I1103" s="14">
        <v>0.247998563454891</v>
      </c>
      <c r="J1103" s="3" t="s">
        <v>4</v>
      </c>
      <c r="K1103" s="3" t="s">
        <v>28</v>
      </c>
      <c r="L1103" s="3" t="s">
        <v>79</v>
      </c>
    </row>
    <row r="1104" ht="15.75" customHeight="1">
      <c r="A1104" s="3">
        <v>8.3534187E8</v>
      </c>
      <c r="B1104" s="3" t="s">
        <v>434</v>
      </c>
      <c r="C1104" s="3">
        <v>29.0</v>
      </c>
      <c r="D1104" s="10">
        <v>1.0</v>
      </c>
      <c r="E1104" s="11">
        <v>2017.0</v>
      </c>
      <c r="F1104" s="13">
        <v>2219664.4</v>
      </c>
      <c r="G1104" s="13">
        <v>1336926.41</v>
      </c>
      <c r="H1104" s="13">
        <v>882737.99</v>
      </c>
      <c r="I1104" s="14">
        <v>0.39768984446477584</v>
      </c>
      <c r="J1104" s="3" t="s">
        <v>12</v>
      </c>
      <c r="K1104" s="3" t="s">
        <v>28</v>
      </c>
      <c r="L1104" s="3" t="s">
        <v>79</v>
      </c>
    </row>
    <row r="1105" ht="15.75" customHeight="1">
      <c r="A1105" s="3">
        <v>8.37608659E8</v>
      </c>
      <c r="B1105" s="3" t="s">
        <v>142</v>
      </c>
      <c r="C1105" s="3">
        <v>11.0</v>
      </c>
      <c r="D1105" s="10">
        <v>4.0</v>
      </c>
      <c r="E1105" s="11">
        <v>2012.0</v>
      </c>
      <c r="F1105" s="13">
        <v>3923413.17</v>
      </c>
      <c r="G1105" s="13">
        <v>2950412.3400000003</v>
      </c>
      <c r="H1105" s="13">
        <v>973000.8299999996</v>
      </c>
      <c r="I1105" s="14">
        <v>0.24799856345489088</v>
      </c>
      <c r="J1105" s="3" t="s">
        <v>4</v>
      </c>
      <c r="K1105" s="3" t="s">
        <v>28</v>
      </c>
      <c r="L1105" s="3" t="s">
        <v>98</v>
      </c>
    </row>
    <row r="1106" ht="15.75" customHeight="1">
      <c r="A1106" s="3">
        <v>8.3790692E8</v>
      </c>
      <c r="B1106" s="3" t="s">
        <v>689</v>
      </c>
      <c r="C1106" s="3">
        <v>42.0</v>
      </c>
      <c r="D1106" s="10">
        <v>4.0</v>
      </c>
      <c r="E1106" s="11">
        <v>2017.0</v>
      </c>
      <c r="F1106" s="13">
        <v>196110.85</v>
      </c>
      <c r="G1106" s="13">
        <v>131388.07</v>
      </c>
      <c r="H1106" s="13">
        <v>64722.78</v>
      </c>
      <c r="I1106" s="14">
        <v>0.33003161222339306</v>
      </c>
      <c r="J1106" s="3" t="s">
        <v>6</v>
      </c>
      <c r="K1106" s="3" t="s">
        <v>28</v>
      </c>
      <c r="L1106" s="3" t="s">
        <v>79</v>
      </c>
    </row>
    <row r="1107" ht="15.75" customHeight="1">
      <c r="A1107" s="3">
        <v>8.38788402E8</v>
      </c>
      <c r="B1107" s="3" t="s">
        <v>67</v>
      </c>
      <c r="C1107" s="3">
        <v>16.0</v>
      </c>
      <c r="D1107" s="10">
        <v>2.0</v>
      </c>
      <c r="E1107" s="11">
        <v>2010.0</v>
      </c>
      <c r="F1107" s="13">
        <v>1272060.24</v>
      </c>
      <c r="G1107" s="13">
        <v>794389.86</v>
      </c>
      <c r="H1107" s="13">
        <v>477670.38</v>
      </c>
      <c r="I1107" s="14">
        <v>0.3755092447508618</v>
      </c>
      <c r="J1107" s="3" t="s">
        <v>10</v>
      </c>
      <c r="K1107" s="3" t="s">
        <v>23</v>
      </c>
      <c r="L1107" s="3" t="s">
        <v>68</v>
      </c>
    </row>
    <row r="1108" ht="15.75" customHeight="1">
      <c r="A1108" s="3">
        <v>8.38895261E8</v>
      </c>
      <c r="B1108" s="3" t="s">
        <v>821</v>
      </c>
      <c r="C1108" s="3">
        <v>2.0</v>
      </c>
      <c r="D1108" s="10">
        <v>2.0</v>
      </c>
      <c r="E1108" s="11">
        <v>2014.0</v>
      </c>
      <c r="F1108" s="13">
        <v>539826.65</v>
      </c>
      <c r="G1108" s="13">
        <v>374305.35000000003</v>
      </c>
      <c r="H1108" s="13">
        <v>165521.3</v>
      </c>
      <c r="I1108" s="14">
        <v>0.3066193564174721</v>
      </c>
      <c r="J1108" s="3" t="s">
        <v>14</v>
      </c>
      <c r="K1108" s="3" t="s">
        <v>821</v>
      </c>
      <c r="L1108" s="3" t="s">
        <v>821</v>
      </c>
    </row>
    <row r="1109" ht="15.75" customHeight="1">
      <c r="A1109" s="3">
        <v>8.39437711E8</v>
      </c>
      <c r="B1109" s="3" t="s">
        <v>97</v>
      </c>
      <c r="C1109" s="3">
        <v>1.0</v>
      </c>
      <c r="D1109" s="10">
        <v>12.0</v>
      </c>
      <c r="E1109" s="11">
        <v>2014.0</v>
      </c>
      <c r="F1109" s="13">
        <v>778947.84</v>
      </c>
      <c r="G1109" s="13">
        <v>255467.52000000002</v>
      </c>
      <c r="H1109" s="13">
        <v>523480.31999999995</v>
      </c>
      <c r="I1109" s="14">
        <v>0.6720351390922401</v>
      </c>
      <c r="J1109" s="3" t="s">
        <v>5</v>
      </c>
      <c r="K1109" s="3" t="s">
        <v>28</v>
      </c>
      <c r="L1109" s="3" t="s">
        <v>98</v>
      </c>
    </row>
    <row r="1110" ht="15.75" customHeight="1">
      <c r="A1110" s="3">
        <v>8.40747058E8</v>
      </c>
      <c r="B1110" s="3" t="s">
        <v>67</v>
      </c>
      <c r="C1110" s="3">
        <v>16.0</v>
      </c>
      <c r="D1110" s="10">
        <v>12.0</v>
      </c>
      <c r="E1110" s="11">
        <v>2010.0</v>
      </c>
      <c r="F1110" s="13">
        <v>375385.89</v>
      </c>
      <c r="G1110" s="13">
        <v>260285.31</v>
      </c>
      <c r="H1110" s="13">
        <v>115100.58000000002</v>
      </c>
      <c r="I1110" s="14">
        <v>0.3066193564174722</v>
      </c>
      <c r="J1110" s="3" t="s">
        <v>14</v>
      </c>
      <c r="K1110" s="3" t="s">
        <v>23</v>
      </c>
      <c r="L1110" s="3" t="s">
        <v>68</v>
      </c>
    </row>
    <row r="1111" ht="15.75" customHeight="1">
      <c r="A1111" s="3">
        <v>8.4078139E8</v>
      </c>
      <c r="B1111" s="3" t="s">
        <v>434</v>
      </c>
      <c r="C1111" s="3">
        <v>24.0</v>
      </c>
      <c r="D1111" s="10">
        <v>10.0</v>
      </c>
      <c r="E1111" s="11">
        <v>2010.0</v>
      </c>
      <c r="F1111" s="13">
        <v>3175619.04</v>
      </c>
      <c r="G1111" s="13">
        <v>2388070.08</v>
      </c>
      <c r="H1111" s="13">
        <v>787548.96</v>
      </c>
      <c r="I1111" s="14">
        <v>0.24799856345489096</v>
      </c>
      <c r="J1111" s="3" t="s">
        <v>4</v>
      </c>
      <c r="K1111" s="3" t="s">
        <v>28</v>
      </c>
      <c r="L1111" s="3" t="s">
        <v>79</v>
      </c>
    </row>
    <row r="1112" ht="15.75" customHeight="1">
      <c r="A1112" s="3">
        <v>8.4268769E8</v>
      </c>
      <c r="B1112" s="3" t="s">
        <v>488</v>
      </c>
      <c r="C1112" s="3">
        <v>46.0</v>
      </c>
      <c r="D1112" s="10">
        <v>4.0</v>
      </c>
      <c r="E1112" s="11">
        <v>2011.0</v>
      </c>
      <c r="F1112" s="13">
        <v>1366358.1400000001</v>
      </c>
      <c r="G1112" s="13">
        <v>806458.17</v>
      </c>
      <c r="H1112" s="13">
        <v>559899.9700000001</v>
      </c>
      <c r="I1112" s="14">
        <v>0.4097754121770739</v>
      </c>
      <c r="J1112" s="3" t="s">
        <v>9</v>
      </c>
      <c r="K1112" s="3" t="s">
        <v>28</v>
      </c>
      <c r="L1112" s="3" t="s">
        <v>33</v>
      </c>
    </row>
    <row r="1113" ht="15.75" customHeight="1">
      <c r="A1113" s="3">
        <v>8.42725884E8</v>
      </c>
      <c r="B1113" s="3" t="s">
        <v>215</v>
      </c>
      <c r="C1113" s="3">
        <v>15.0</v>
      </c>
      <c r="D1113" s="10">
        <v>7.0</v>
      </c>
      <c r="E1113" s="11">
        <v>2015.0</v>
      </c>
      <c r="F1113" s="13">
        <v>26091.180000000004</v>
      </c>
      <c r="G1113" s="13">
        <v>16662.239999999998</v>
      </c>
      <c r="H1113" s="13">
        <v>9428.940000000006</v>
      </c>
      <c r="I1113" s="14">
        <v>0.3613841918993317</v>
      </c>
      <c r="J1113" s="3" t="s">
        <v>13</v>
      </c>
      <c r="K1113" s="3" t="s">
        <v>23</v>
      </c>
      <c r="L1113" s="3" t="s">
        <v>68</v>
      </c>
    </row>
    <row r="1114" ht="15.75" customHeight="1">
      <c r="A1114" s="3">
        <v>8.44105184E8</v>
      </c>
      <c r="B1114" s="3" t="s">
        <v>653</v>
      </c>
      <c r="C1114" s="3">
        <v>34.0</v>
      </c>
      <c r="D1114" s="10">
        <v>3.0</v>
      </c>
      <c r="E1114" s="11">
        <v>2010.0</v>
      </c>
      <c r="F1114" s="13">
        <v>395590.65</v>
      </c>
      <c r="G1114" s="13">
        <v>265033.23</v>
      </c>
      <c r="H1114" s="13">
        <v>130557.42000000004</v>
      </c>
      <c r="I1114" s="14">
        <v>0.3300316122233931</v>
      </c>
      <c r="J1114" s="3" t="s">
        <v>6</v>
      </c>
      <c r="K1114" s="3" t="s">
        <v>28</v>
      </c>
      <c r="L1114" s="3" t="s">
        <v>33</v>
      </c>
    </row>
    <row r="1115" ht="15.75" customHeight="1">
      <c r="A1115" s="3">
        <v>8.44307315E8</v>
      </c>
      <c r="B1115" s="3" t="s">
        <v>746</v>
      </c>
      <c r="C1115" s="3">
        <v>21.0</v>
      </c>
      <c r="D1115" s="10">
        <v>7.0</v>
      </c>
      <c r="E1115" s="11">
        <v>2012.0</v>
      </c>
      <c r="F1115" s="13">
        <v>2081042.56</v>
      </c>
      <c r="G1115" s="13">
        <v>1299591.8399999999</v>
      </c>
      <c r="H1115" s="13">
        <v>781450.7200000002</v>
      </c>
      <c r="I1115" s="14">
        <v>0.3755092447508619</v>
      </c>
      <c r="J1115" s="3" t="s">
        <v>10</v>
      </c>
      <c r="K1115" s="3" t="s">
        <v>28</v>
      </c>
      <c r="L1115" s="3" t="s">
        <v>29</v>
      </c>
    </row>
    <row r="1116" ht="15.75" customHeight="1">
      <c r="A1116" s="3">
        <v>8.44575107E8</v>
      </c>
      <c r="B1116" s="3" t="s">
        <v>267</v>
      </c>
      <c r="C1116" s="3">
        <v>5.0</v>
      </c>
      <c r="D1116" s="10">
        <v>6.0</v>
      </c>
      <c r="E1116" s="11">
        <v>2014.0</v>
      </c>
      <c r="F1116" s="13">
        <v>3120720.33</v>
      </c>
      <c r="G1116" s="13">
        <v>2697611.93</v>
      </c>
      <c r="H1116" s="13">
        <v>423108.3999999999</v>
      </c>
      <c r="I1116" s="14">
        <v>0.13558036455000116</v>
      </c>
      <c r="J1116" s="3" t="s">
        <v>11</v>
      </c>
      <c r="K1116" s="3" t="s">
        <v>28</v>
      </c>
      <c r="L1116" s="3" t="s">
        <v>29</v>
      </c>
    </row>
    <row r="1117" ht="15.75" customHeight="1">
      <c r="A1117" s="3">
        <v>8.45067346E8</v>
      </c>
      <c r="B1117" s="3" t="s">
        <v>455</v>
      </c>
      <c r="C1117" s="3">
        <v>4.0</v>
      </c>
      <c r="D1117" s="10">
        <v>9.0</v>
      </c>
      <c r="E1117" s="11">
        <v>2010.0</v>
      </c>
      <c r="F1117" s="13">
        <v>2046242.74</v>
      </c>
      <c r="G1117" s="13">
        <v>1538777.48</v>
      </c>
      <c r="H1117" s="13">
        <v>507465.26</v>
      </c>
      <c r="I1117" s="14">
        <v>0.247998563454891</v>
      </c>
      <c r="J1117" s="3" t="s">
        <v>4</v>
      </c>
      <c r="K1117" s="3" t="s">
        <v>28</v>
      </c>
      <c r="L1117" s="3" t="s">
        <v>33</v>
      </c>
    </row>
    <row r="1118" ht="15.75" customHeight="1">
      <c r="A1118" s="3">
        <v>8.45738112E8</v>
      </c>
      <c r="B1118" s="3" t="s">
        <v>821</v>
      </c>
      <c r="C1118" s="3">
        <v>27.0</v>
      </c>
      <c r="D1118" s="10">
        <v>9.0</v>
      </c>
      <c r="E1118" s="11">
        <v>2010.0</v>
      </c>
      <c r="F1118" s="13">
        <v>680720.4</v>
      </c>
      <c r="G1118" s="13">
        <v>410004.81</v>
      </c>
      <c r="H1118" s="13">
        <v>270715.59</v>
      </c>
      <c r="I1118" s="14">
        <v>0.39768984446477584</v>
      </c>
      <c r="J1118" s="3" t="s">
        <v>12</v>
      </c>
      <c r="K1118" s="3" t="s">
        <v>821</v>
      </c>
      <c r="L1118" s="3" t="s">
        <v>821</v>
      </c>
    </row>
    <row r="1119" ht="15.75" customHeight="1">
      <c r="A1119" s="3">
        <v>8.464136E8</v>
      </c>
      <c r="B1119" s="3" t="s">
        <v>364</v>
      </c>
      <c r="C1119" s="3">
        <v>1.0</v>
      </c>
      <c r="D1119" s="10">
        <v>12.0</v>
      </c>
      <c r="E1119" s="11">
        <v>2011.0</v>
      </c>
      <c r="F1119" s="13">
        <v>220935.84000000003</v>
      </c>
      <c r="G1119" s="13">
        <v>141093.12</v>
      </c>
      <c r="H1119" s="13">
        <v>79842.72000000003</v>
      </c>
      <c r="I1119" s="14">
        <v>0.3613841918993316</v>
      </c>
      <c r="J1119" s="3" t="s">
        <v>13</v>
      </c>
      <c r="K1119" s="3" t="s">
        <v>28</v>
      </c>
      <c r="L1119" s="3" t="s">
        <v>29</v>
      </c>
    </row>
    <row r="1120" ht="15.75" customHeight="1">
      <c r="A1120" s="3">
        <v>8.47317397E8</v>
      </c>
      <c r="B1120" s="3" t="s">
        <v>413</v>
      </c>
      <c r="C1120" s="3">
        <v>3.0</v>
      </c>
      <c r="D1120" s="10">
        <v>12.0</v>
      </c>
      <c r="E1120" s="11">
        <v>2011.0</v>
      </c>
      <c r="F1120" s="13">
        <v>3755664.78</v>
      </c>
      <c r="G1120" s="13">
        <v>3246470.38</v>
      </c>
      <c r="H1120" s="13">
        <v>509194.3999999999</v>
      </c>
      <c r="I1120" s="14">
        <v>0.13558036455000116</v>
      </c>
      <c r="J1120" s="3" t="s">
        <v>11</v>
      </c>
      <c r="K1120" s="3" t="s">
        <v>28</v>
      </c>
      <c r="L1120" s="3" t="s">
        <v>29</v>
      </c>
    </row>
    <row r="1121" ht="15.75" customHeight="1">
      <c r="A1121" s="3">
        <v>8.48737466E8</v>
      </c>
      <c r="B1121" s="3" t="s">
        <v>67</v>
      </c>
      <c r="C1121" s="3">
        <v>16.0</v>
      </c>
      <c r="D1121" s="10">
        <v>5.0</v>
      </c>
      <c r="E1121" s="11">
        <v>2016.0</v>
      </c>
      <c r="F1121" s="13">
        <v>1406875.92</v>
      </c>
      <c r="G1121" s="13">
        <v>830372.76</v>
      </c>
      <c r="H1121" s="13">
        <v>576503.1599999999</v>
      </c>
      <c r="I1121" s="14">
        <v>0.4097754121770738</v>
      </c>
      <c r="J1121" s="3" t="s">
        <v>9</v>
      </c>
      <c r="K1121" s="3" t="s">
        <v>23</v>
      </c>
      <c r="L1121" s="3" t="s">
        <v>68</v>
      </c>
    </row>
    <row r="1122" ht="15.75" customHeight="1">
      <c r="A1122" s="3">
        <v>8.49431836E8</v>
      </c>
      <c r="B1122" s="3" t="s">
        <v>413</v>
      </c>
      <c r="C1122" s="3">
        <v>3.0</v>
      </c>
      <c r="D1122" s="10">
        <v>11.0</v>
      </c>
      <c r="E1122" s="11">
        <v>2014.0</v>
      </c>
      <c r="F1122" s="13">
        <v>1945334.79</v>
      </c>
      <c r="G1122" s="13">
        <v>1681585.59</v>
      </c>
      <c r="H1122" s="13">
        <v>263749.19999999995</v>
      </c>
      <c r="I1122" s="14">
        <v>0.13558036455000116</v>
      </c>
      <c r="J1122" s="3" t="s">
        <v>11</v>
      </c>
      <c r="K1122" s="3" t="s">
        <v>28</v>
      </c>
      <c r="L1122" s="3" t="s">
        <v>29</v>
      </c>
    </row>
    <row r="1123" ht="15.75" customHeight="1">
      <c r="A1123" s="3">
        <v>8.49454581E8</v>
      </c>
      <c r="B1123" s="3" t="s">
        <v>32</v>
      </c>
      <c r="C1123" s="3">
        <v>27.0</v>
      </c>
      <c r="D1123" s="10">
        <v>8.0</v>
      </c>
      <c r="E1123" s="11">
        <v>2016.0</v>
      </c>
      <c r="F1123" s="13">
        <v>873923.8200000001</v>
      </c>
      <c r="G1123" s="13">
        <v>704496.3200000001</v>
      </c>
      <c r="H1123" s="13">
        <v>169427.5</v>
      </c>
      <c r="I1123" s="14">
        <v>0.19386987300563566</v>
      </c>
      <c r="J1123" s="3" t="s">
        <v>7</v>
      </c>
      <c r="K1123" s="3" t="s">
        <v>28</v>
      </c>
      <c r="L1123" s="3" t="s">
        <v>33</v>
      </c>
    </row>
    <row r="1124" ht="15.75" customHeight="1">
      <c r="A1124" s="3">
        <v>8.50279843E8</v>
      </c>
      <c r="B1124" s="3" t="s">
        <v>215</v>
      </c>
      <c r="C1124" s="3">
        <v>10.0</v>
      </c>
      <c r="D1124" s="10">
        <v>3.0</v>
      </c>
      <c r="E1124" s="11">
        <v>2012.0</v>
      </c>
      <c r="F1124" s="13">
        <v>51837.48</v>
      </c>
      <c r="G1124" s="13">
        <v>38447.52</v>
      </c>
      <c r="H1124" s="13">
        <v>13389.960000000006</v>
      </c>
      <c r="I1124" s="14">
        <v>0.2583065380493034</v>
      </c>
      <c r="J1124" s="3" t="s">
        <v>8</v>
      </c>
      <c r="K1124" s="3" t="s">
        <v>23</v>
      </c>
      <c r="L1124" s="3" t="s">
        <v>68</v>
      </c>
    </row>
    <row r="1125" ht="15.75" customHeight="1">
      <c r="A1125" s="3">
        <v>8.50562655E8</v>
      </c>
      <c r="B1125" s="3" t="s">
        <v>689</v>
      </c>
      <c r="C1125" s="3">
        <v>45.0</v>
      </c>
      <c r="D1125" s="10">
        <v>8.0</v>
      </c>
      <c r="E1125" s="11">
        <v>2014.0</v>
      </c>
      <c r="F1125" s="13">
        <v>2360318.88</v>
      </c>
      <c r="G1125" s="13">
        <v>1473997.3199999998</v>
      </c>
      <c r="H1125" s="13">
        <v>886321.56</v>
      </c>
      <c r="I1125" s="14">
        <v>0.37550924475086184</v>
      </c>
      <c r="J1125" s="3" t="s">
        <v>10</v>
      </c>
      <c r="K1125" s="3" t="s">
        <v>28</v>
      </c>
      <c r="L1125" s="3" t="s">
        <v>79</v>
      </c>
    </row>
    <row r="1126" ht="15.75" customHeight="1">
      <c r="A1126" s="3">
        <v>8.50872075E8</v>
      </c>
      <c r="B1126" s="3" t="s">
        <v>218</v>
      </c>
      <c r="C1126" s="3">
        <v>14.0</v>
      </c>
      <c r="D1126" s="10">
        <v>7.0</v>
      </c>
      <c r="E1126" s="11">
        <v>2015.0</v>
      </c>
      <c r="F1126" s="13">
        <v>206776.8</v>
      </c>
      <c r="G1126" s="13">
        <v>129130.2</v>
      </c>
      <c r="H1126" s="13">
        <v>77646.59999999999</v>
      </c>
      <c r="I1126" s="14">
        <v>0.3755092447508618</v>
      </c>
      <c r="J1126" s="3" t="s">
        <v>10</v>
      </c>
      <c r="K1126" s="3" t="s">
        <v>28</v>
      </c>
      <c r="L1126" s="3" t="s">
        <v>98</v>
      </c>
    </row>
    <row r="1127" ht="15.75" customHeight="1">
      <c r="A1127" s="3">
        <v>8.52392995E8</v>
      </c>
      <c r="B1127" s="3" t="s">
        <v>431</v>
      </c>
      <c r="C1127" s="3">
        <v>22.0</v>
      </c>
      <c r="D1127" s="10">
        <v>3.0</v>
      </c>
      <c r="E1127" s="11">
        <v>2016.0</v>
      </c>
      <c r="F1127" s="13">
        <v>386484.8</v>
      </c>
      <c r="G1127" s="13">
        <v>232783.71999999997</v>
      </c>
      <c r="H1127" s="13">
        <v>153701.08000000002</v>
      </c>
      <c r="I1127" s="14">
        <v>0.3976898444647759</v>
      </c>
      <c r="J1127" s="3" t="s">
        <v>12</v>
      </c>
      <c r="K1127" s="3" t="s">
        <v>28</v>
      </c>
      <c r="L1127" s="3" t="s">
        <v>29</v>
      </c>
    </row>
    <row r="1128" ht="15.75" customHeight="1">
      <c r="A1128" s="3">
        <v>8.53036296E8</v>
      </c>
      <c r="B1128" s="3" t="s">
        <v>590</v>
      </c>
      <c r="C1128" s="3">
        <v>18.0</v>
      </c>
      <c r="D1128" s="10">
        <v>5.0</v>
      </c>
      <c r="E1128" s="11">
        <v>2013.0</v>
      </c>
      <c r="F1128" s="13">
        <v>102244.23000000001</v>
      </c>
      <c r="G1128" s="13">
        <v>70894.17</v>
      </c>
      <c r="H1128" s="13">
        <v>31350.060000000012</v>
      </c>
      <c r="I1128" s="14">
        <v>0.30661935641747223</v>
      </c>
      <c r="J1128" s="3" t="s">
        <v>14</v>
      </c>
      <c r="K1128" s="3" t="s">
        <v>28</v>
      </c>
      <c r="L1128" s="3" t="s">
        <v>98</v>
      </c>
    </row>
    <row r="1129" ht="15.75" customHeight="1">
      <c r="A1129" s="3">
        <v>8.56648051E8</v>
      </c>
      <c r="B1129" s="3" t="s">
        <v>428</v>
      </c>
      <c r="C1129" s="3">
        <v>10.0</v>
      </c>
      <c r="D1129" s="10">
        <v>12.0</v>
      </c>
      <c r="E1129" s="11">
        <v>2010.0</v>
      </c>
      <c r="F1129" s="13">
        <v>10285.0</v>
      </c>
      <c r="G1129" s="13">
        <v>5855.5</v>
      </c>
      <c r="H1129" s="13">
        <v>4429.5</v>
      </c>
      <c r="I1129" s="14">
        <v>0.4306757413709285</v>
      </c>
      <c r="J1129" s="3" t="s">
        <v>3</v>
      </c>
      <c r="K1129" s="3" t="s">
        <v>28</v>
      </c>
      <c r="L1129" s="3" t="s">
        <v>79</v>
      </c>
    </row>
    <row r="1130" ht="15.75" customHeight="1">
      <c r="A1130" s="3">
        <v>8.57457864E8</v>
      </c>
      <c r="B1130" s="3" t="s">
        <v>512</v>
      </c>
      <c r="C1130" s="3">
        <v>49.0</v>
      </c>
      <c r="D1130" s="10">
        <v>7.0</v>
      </c>
      <c r="E1130" s="11">
        <v>2011.0</v>
      </c>
      <c r="F1130" s="13">
        <v>6310876.11</v>
      </c>
      <c r="G1130" s="13">
        <v>5087387.36</v>
      </c>
      <c r="H1130" s="13">
        <v>1223488.75</v>
      </c>
      <c r="I1130" s="14">
        <v>0.19386987300563566</v>
      </c>
      <c r="J1130" s="3" t="s">
        <v>7</v>
      </c>
      <c r="K1130" s="3" t="s">
        <v>28</v>
      </c>
      <c r="L1130" s="3" t="s">
        <v>79</v>
      </c>
    </row>
    <row r="1131" ht="15.75" customHeight="1">
      <c r="A1131" s="3">
        <v>8.59914767E8</v>
      </c>
      <c r="B1131" s="3" t="s">
        <v>623</v>
      </c>
      <c r="C1131" s="3">
        <v>38.0</v>
      </c>
      <c r="D1131" s="10">
        <v>5.0</v>
      </c>
      <c r="E1131" s="11">
        <v>2016.0</v>
      </c>
      <c r="F1131" s="13">
        <v>4391760.24</v>
      </c>
      <c r="G1131" s="13">
        <v>3540330.24</v>
      </c>
      <c r="H1131" s="13">
        <v>851430.0</v>
      </c>
      <c r="I1131" s="14">
        <v>0.19386987300563566</v>
      </c>
      <c r="J1131" s="3" t="s">
        <v>7</v>
      </c>
      <c r="K1131" s="3" t="s">
        <v>28</v>
      </c>
      <c r="L1131" s="3" t="s">
        <v>33</v>
      </c>
    </row>
    <row r="1132" ht="15.75" customHeight="1">
      <c r="A1132" s="3">
        <v>8.60104024E8</v>
      </c>
      <c r="B1132" s="3" t="s">
        <v>221</v>
      </c>
      <c r="C1132" s="3">
        <v>3.0</v>
      </c>
      <c r="D1132" s="10">
        <v>12.0</v>
      </c>
      <c r="E1132" s="11">
        <v>2013.0</v>
      </c>
      <c r="F1132" s="13">
        <v>1201862.8</v>
      </c>
      <c r="G1132" s="13">
        <v>723894.1699999999</v>
      </c>
      <c r="H1132" s="13">
        <v>477968.6300000001</v>
      </c>
      <c r="I1132" s="14">
        <v>0.39768984446477595</v>
      </c>
      <c r="J1132" s="3" t="s">
        <v>12</v>
      </c>
      <c r="K1132" s="3" t="s">
        <v>28</v>
      </c>
      <c r="L1132" s="3" t="s">
        <v>29</v>
      </c>
    </row>
    <row r="1133" ht="15.75" customHeight="1">
      <c r="A1133" s="3">
        <v>8.61180341E8</v>
      </c>
      <c r="B1133" s="3" t="s">
        <v>46</v>
      </c>
      <c r="C1133" s="3">
        <v>38.0</v>
      </c>
      <c r="D1133" s="10">
        <v>1.0</v>
      </c>
      <c r="E1133" s="11">
        <v>2010.0</v>
      </c>
      <c r="F1133" s="13">
        <v>59549.75</v>
      </c>
      <c r="G1133" s="13">
        <v>39896.45</v>
      </c>
      <c r="H1133" s="13">
        <v>19653.300000000003</v>
      </c>
      <c r="I1133" s="14">
        <v>0.3300316122233931</v>
      </c>
      <c r="J1133" s="3" t="s">
        <v>6</v>
      </c>
      <c r="K1133" s="3" t="s">
        <v>28</v>
      </c>
      <c r="L1133" s="3" t="s">
        <v>33</v>
      </c>
    </row>
    <row r="1134" ht="15.75" customHeight="1">
      <c r="A1134" s="3">
        <v>8.61252868E8</v>
      </c>
      <c r="B1134" s="3" t="s">
        <v>78</v>
      </c>
      <c r="C1134" s="3">
        <v>16.0</v>
      </c>
      <c r="D1134" s="10">
        <v>3.0</v>
      </c>
      <c r="E1134" s="11">
        <v>2014.0</v>
      </c>
      <c r="F1134" s="13">
        <v>1769337.57</v>
      </c>
      <c r="G1134" s="13">
        <v>1426316.32</v>
      </c>
      <c r="H1134" s="13">
        <v>343021.25</v>
      </c>
      <c r="I1134" s="14">
        <v>0.19386987300563566</v>
      </c>
      <c r="J1134" s="3" t="s">
        <v>7</v>
      </c>
      <c r="K1134" s="3" t="s">
        <v>28</v>
      </c>
      <c r="L1134" s="3" t="s">
        <v>79</v>
      </c>
    </row>
    <row r="1135" ht="15.75" customHeight="1">
      <c r="A1135" s="3">
        <v>8.6197685E8</v>
      </c>
      <c r="B1135" s="3" t="s">
        <v>686</v>
      </c>
      <c r="C1135" s="3">
        <v>8.0</v>
      </c>
      <c r="D1135" s="10">
        <v>5.0</v>
      </c>
      <c r="E1135" s="11">
        <v>2011.0</v>
      </c>
      <c r="F1135" s="13">
        <v>568840.8</v>
      </c>
      <c r="G1135" s="13">
        <v>394423.2</v>
      </c>
      <c r="H1135" s="13">
        <v>174417.60000000003</v>
      </c>
      <c r="I1135" s="14">
        <v>0.3066193564174722</v>
      </c>
      <c r="J1135" s="3" t="s">
        <v>14</v>
      </c>
      <c r="K1135" s="3" t="s">
        <v>28</v>
      </c>
      <c r="L1135" s="3" t="s">
        <v>29</v>
      </c>
    </row>
    <row r="1136" ht="15.75" customHeight="1">
      <c r="A1136" s="3">
        <v>8.61982858E8</v>
      </c>
      <c r="B1136" s="3" t="s">
        <v>542</v>
      </c>
      <c r="C1136" s="3">
        <v>49.0</v>
      </c>
      <c r="D1136" s="10">
        <v>7.0</v>
      </c>
      <c r="E1136" s="11">
        <v>2011.0</v>
      </c>
      <c r="F1136" s="13">
        <v>1333244.04</v>
      </c>
      <c r="G1136" s="13">
        <v>851430.72</v>
      </c>
      <c r="H1136" s="13">
        <v>481813.32000000007</v>
      </c>
      <c r="I1136" s="14">
        <v>0.3613841918993315</v>
      </c>
      <c r="J1136" s="3" t="s">
        <v>13</v>
      </c>
      <c r="K1136" s="3" t="s">
        <v>28</v>
      </c>
      <c r="L1136" s="3" t="s">
        <v>29</v>
      </c>
    </row>
    <row r="1137" ht="15.75" customHeight="1">
      <c r="A1137" s="3">
        <v>8.6232661E8</v>
      </c>
      <c r="B1137" s="3" t="s">
        <v>413</v>
      </c>
      <c r="C1137" s="3">
        <v>26.0</v>
      </c>
      <c r="D1137" s="10">
        <v>5.0</v>
      </c>
      <c r="E1137" s="11">
        <v>2012.0</v>
      </c>
      <c r="F1137" s="13">
        <v>21874.45</v>
      </c>
      <c r="G1137" s="13">
        <v>14655.19</v>
      </c>
      <c r="H1137" s="13">
        <v>7219.26</v>
      </c>
      <c r="I1137" s="14">
        <v>0.33003161222339306</v>
      </c>
      <c r="J1137" s="3" t="s">
        <v>6</v>
      </c>
      <c r="K1137" s="3" t="s">
        <v>28</v>
      </c>
      <c r="L1137" s="3" t="s">
        <v>29</v>
      </c>
    </row>
    <row r="1138" ht="15.75" customHeight="1">
      <c r="A1138" s="3">
        <v>8.62485826E8</v>
      </c>
      <c r="B1138" s="3" t="s">
        <v>740</v>
      </c>
      <c r="C1138" s="3">
        <v>41.0</v>
      </c>
      <c r="D1138" s="10">
        <v>9.0</v>
      </c>
      <c r="E1138" s="11">
        <v>2016.0</v>
      </c>
      <c r="F1138" s="13">
        <v>4934218.17</v>
      </c>
      <c r="G1138" s="13">
        <v>3977621.9200000004</v>
      </c>
      <c r="H1138" s="13">
        <v>956596.2499999995</v>
      </c>
      <c r="I1138" s="14">
        <v>0.19386987300563557</v>
      </c>
      <c r="J1138" s="3" t="s">
        <v>7</v>
      </c>
      <c r="K1138" s="3" t="s">
        <v>28</v>
      </c>
      <c r="L1138" s="3" t="s">
        <v>98</v>
      </c>
    </row>
    <row r="1139" ht="15.75" customHeight="1">
      <c r="A1139" s="3">
        <v>8.63138997E8</v>
      </c>
      <c r="B1139" s="3" t="s">
        <v>32</v>
      </c>
      <c r="C1139" s="3">
        <v>39.0</v>
      </c>
      <c r="D1139" s="10">
        <v>11.0</v>
      </c>
      <c r="E1139" s="11">
        <v>2010.0</v>
      </c>
      <c r="F1139" s="13">
        <v>364934.85</v>
      </c>
      <c r="G1139" s="13">
        <v>315456.85</v>
      </c>
      <c r="H1139" s="13">
        <v>49478.0</v>
      </c>
      <c r="I1139" s="14">
        <v>0.1355803645500012</v>
      </c>
      <c r="J1139" s="3" t="s">
        <v>11</v>
      </c>
      <c r="K1139" s="3" t="s">
        <v>28</v>
      </c>
      <c r="L1139" s="3" t="s">
        <v>33</v>
      </c>
    </row>
    <row r="1140" ht="15.75" customHeight="1">
      <c r="A1140" s="3">
        <v>8.63202941E8</v>
      </c>
      <c r="B1140" s="3" t="s">
        <v>686</v>
      </c>
      <c r="C1140" s="3">
        <v>1.0</v>
      </c>
      <c r="D1140" s="10">
        <v>12.0</v>
      </c>
      <c r="E1140" s="11">
        <v>2016.0</v>
      </c>
      <c r="F1140" s="13">
        <v>4129037.4299999997</v>
      </c>
      <c r="G1140" s="13">
        <v>3569221.03</v>
      </c>
      <c r="H1140" s="13">
        <v>559816.3999999999</v>
      </c>
      <c r="I1140" s="14">
        <v>0.13558036455000116</v>
      </c>
      <c r="J1140" s="3" t="s">
        <v>11</v>
      </c>
      <c r="K1140" s="3" t="s">
        <v>28</v>
      </c>
      <c r="L1140" s="3" t="s">
        <v>29</v>
      </c>
    </row>
    <row r="1141" ht="15.75" customHeight="1">
      <c r="A1141" s="3">
        <v>8.63890445E8</v>
      </c>
      <c r="B1141" s="3" t="s">
        <v>413</v>
      </c>
      <c r="C1141" s="3">
        <v>7.0</v>
      </c>
      <c r="D1141" s="10">
        <v>12.0</v>
      </c>
      <c r="E1141" s="11">
        <v>2010.0</v>
      </c>
      <c r="F1141" s="13">
        <v>2161853.4499999997</v>
      </c>
      <c r="G1141" s="13">
        <v>1625716.9000000001</v>
      </c>
      <c r="H1141" s="13">
        <v>536136.5499999996</v>
      </c>
      <c r="I1141" s="14">
        <v>0.24799856345489082</v>
      </c>
      <c r="J1141" s="3" t="s">
        <v>4</v>
      </c>
      <c r="K1141" s="3" t="s">
        <v>28</v>
      </c>
      <c r="L1141" s="3" t="s">
        <v>29</v>
      </c>
    </row>
    <row r="1142" ht="15.75" customHeight="1">
      <c r="A1142" s="3">
        <v>8.64071118E8</v>
      </c>
      <c r="B1142" s="3" t="s">
        <v>590</v>
      </c>
      <c r="C1142" s="3">
        <v>8.0</v>
      </c>
      <c r="D1142" s="10">
        <v>7.0</v>
      </c>
      <c r="E1142" s="11">
        <v>2010.0</v>
      </c>
      <c r="F1142" s="13">
        <v>317915.0</v>
      </c>
      <c r="G1142" s="13">
        <v>212993.0</v>
      </c>
      <c r="H1142" s="13">
        <v>104922.0</v>
      </c>
      <c r="I1142" s="14">
        <v>0.33003161222339306</v>
      </c>
      <c r="J1142" s="3" t="s">
        <v>6</v>
      </c>
      <c r="K1142" s="3" t="s">
        <v>28</v>
      </c>
      <c r="L1142" s="3" t="s">
        <v>98</v>
      </c>
    </row>
    <row r="1143" ht="15.75" customHeight="1">
      <c r="A1143" s="3">
        <v>8.6582421E8</v>
      </c>
      <c r="B1143" s="3" t="s">
        <v>218</v>
      </c>
      <c r="C1143" s="3">
        <v>5.0</v>
      </c>
      <c r="D1143" s="10">
        <v>5.0</v>
      </c>
      <c r="E1143" s="11">
        <v>2014.0</v>
      </c>
      <c r="F1143" s="13">
        <v>3567979.5900000003</v>
      </c>
      <c r="G1143" s="13">
        <v>2876255.8400000003</v>
      </c>
      <c r="H1143" s="13">
        <v>691723.75</v>
      </c>
      <c r="I1143" s="14">
        <v>0.19386987300563566</v>
      </c>
      <c r="J1143" s="3" t="s">
        <v>7</v>
      </c>
      <c r="K1143" s="3" t="s">
        <v>28</v>
      </c>
      <c r="L1143" s="3" t="s">
        <v>98</v>
      </c>
    </row>
    <row r="1144" ht="15.75" customHeight="1">
      <c r="A1144" s="3">
        <v>8.66396272E8</v>
      </c>
      <c r="B1144" s="3" t="s">
        <v>78</v>
      </c>
      <c r="C1144" s="3">
        <v>10.0</v>
      </c>
      <c r="D1144" s="10">
        <v>11.0</v>
      </c>
      <c r="E1144" s="11">
        <v>2013.0</v>
      </c>
      <c r="F1144" s="13">
        <v>2010305.8499999999</v>
      </c>
      <c r="G1144" s="13">
        <v>1737747.85</v>
      </c>
      <c r="H1144" s="13">
        <v>272557.99999999977</v>
      </c>
      <c r="I1144" s="14">
        <v>0.13558036455000108</v>
      </c>
      <c r="J1144" s="3" t="s">
        <v>11</v>
      </c>
      <c r="K1144" s="3" t="s">
        <v>28</v>
      </c>
      <c r="L1144" s="3" t="s">
        <v>79</v>
      </c>
    </row>
    <row r="1145" ht="15.75" customHeight="1">
      <c r="A1145" s="3">
        <v>8.67138278E8</v>
      </c>
      <c r="B1145" s="3" t="s">
        <v>270</v>
      </c>
      <c r="C1145" s="3">
        <v>23.0</v>
      </c>
      <c r="D1145" s="10">
        <v>7.0</v>
      </c>
      <c r="E1145" s="11">
        <v>2011.0</v>
      </c>
      <c r="F1145" s="13">
        <v>2826902.6100000003</v>
      </c>
      <c r="G1145" s="13">
        <v>2278851.3600000003</v>
      </c>
      <c r="H1145" s="13">
        <v>548051.25</v>
      </c>
      <c r="I1145" s="14">
        <v>0.19386987300563563</v>
      </c>
      <c r="J1145" s="3" t="s">
        <v>7</v>
      </c>
      <c r="K1145" s="3" t="s">
        <v>28</v>
      </c>
      <c r="L1145" s="3" t="s">
        <v>79</v>
      </c>
    </row>
    <row r="1146" ht="15.75" customHeight="1">
      <c r="A1146" s="3">
        <v>8.6929177E8</v>
      </c>
      <c r="B1146" s="3" t="s">
        <v>689</v>
      </c>
      <c r="C1146" s="3">
        <v>33.0</v>
      </c>
      <c r="D1146" s="10">
        <v>7.0</v>
      </c>
      <c r="E1146" s="11">
        <v>2015.0</v>
      </c>
      <c r="F1146" s="13">
        <v>1073909.89</v>
      </c>
      <c r="G1146" s="13">
        <v>807581.78</v>
      </c>
      <c r="H1146" s="13">
        <v>266328.10999999987</v>
      </c>
      <c r="I1146" s="14">
        <v>0.24799856345489088</v>
      </c>
      <c r="J1146" s="3" t="s">
        <v>4</v>
      </c>
      <c r="K1146" s="3" t="s">
        <v>28</v>
      </c>
      <c r="L1146" s="3" t="s">
        <v>79</v>
      </c>
    </row>
    <row r="1147" ht="15.75" customHeight="1">
      <c r="A1147" s="3">
        <v>8.70173251E8</v>
      </c>
      <c r="B1147" s="3" t="s">
        <v>78</v>
      </c>
      <c r="C1147" s="3">
        <v>7.0</v>
      </c>
      <c r="D1147" s="10">
        <v>12.0</v>
      </c>
      <c r="E1147" s="11">
        <v>2015.0</v>
      </c>
      <c r="F1147" s="13">
        <v>268500.96</v>
      </c>
      <c r="G1147" s="13">
        <v>88058.88</v>
      </c>
      <c r="H1147" s="13">
        <v>180442.08000000002</v>
      </c>
      <c r="I1147" s="14">
        <v>0.6720351390922401</v>
      </c>
      <c r="J1147" s="3" t="s">
        <v>5</v>
      </c>
      <c r="K1147" s="3" t="s">
        <v>28</v>
      </c>
      <c r="L1147" s="3" t="s">
        <v>79</v>
      </c>
    </row>
    <row r="1148" ht="15.75" customHeight="1">
      <c r="A1148" s="3">
        <v>8.70218312E8</v>
      </c>
      <c r="B1148" s="3" t="s">
        <v>413</v>
      </c>
      <c r="C1148" s="3">
        <v>8.0</v>
      </c>
      <c r="D1148" s="10">
        <v>3.0</v>
      </c>
      <c r="E1148" s="11">
        <v>2017.0</v>
      </c>
      <c r="F1148" s="13">
        <v>54039.36</v>
      </c>
      <c r="G1148" s="13">
        <v>40080.64</v>
      </c>
      <c r="H1148" s="13">
        <v>13958.720000000001</v>
      </c>
      <c r="I1148" s="14">
        <v>0.2583065380493033</v>
      </c>
      <c r="J1148" s="3" t="s">
        <v>8</v>
      </c>
      <c r="K1148" s="3" t="s">
        <v>28</v>
      </c>
      <c r="L1148" s="3" t="s">
        <v>29</v>
      </c>
    </row>
    <row r="1149" ht="15.75" customHeight="1">
      <c r="A1149" s="3">
        <v>8.71147E8</v>
      </c>
      <c r="B1149" s="3" t="s">
        <v>623</v>
      </c>
      <c r="C1149" s="3">
        <v>13.0</v>
      </c>
      <c r="D1149" s="10">
        <v>8.0</v>
      </c>
      <c r="E1149" s="11">
        <v>2014.0</v>
      </c>
      <c r="F1149" s="13">
        <v>408312.97</v>
      </c>
      <c r="G1149" s="13">
        <v>307051.94</v>
      </c>
      <c r="H1149" s="13">
        <v>101261.02999999997</v>
      </c>
      <c r="I1149" s="14">
        <v>0.24799856345489094</v>
      </c>
      <c r="J1149" s="3" t="s">
        <v>4</v>
      </c>
      <c r="K1149" s="3" t="s">
        <v>28</v>
      </c>
      <c r="L1149" s="3" t="s">
        <v>33</v>
      </c>
    </row>
    <row r="1150" ht="15.75" customHeight="1">
      <c r="A1150" s="3">
        <v>8.71923768E8</v>
      </c>
      <c r="B1150" s="3" t="s">
        <v>123</v>
      </c>
      <c r="C1150" s="3">
        <v>30.0</v>
      </c>
      <c r="D1150" s="10">
        <v>4.0</v>
      </c>
      <c r="E1150" s="11">
        <v>2014.0</v>
      </c>
      <c r="F1150" s="13">
        <v>121002.72</v>
      </c>
      <c r="G1150" s="13">
        <v>75565.07999999999</v>
      </c>
      <c r="H1150" s="13">
        <v>45437.640000000014</v>
      </c>
      <c r="I1150" s="14">
        <v>0.3755092447508619</v>
      </c>
      <c r="J1150" s="3" t="s">
        <v>10</v>
      </c>
      <c r="K1150" s="3" t="s">
        <v>28</v>
      </c>
      <c r="L1150" s="3" t="s">
        <v>33</v>
      </c>
    </row>
    <row r="1151" ht="15.75" customHeight="1">
      <c r="A1151" s="3">
        <v>8.73432672E8</v>
      </c>
      <c r="B1151" s="3" t="s">
        <v>653</v>
      </c>
      <c r="C1151" s="3">
        <v>7.0</v>
      </c>
      <c r="D1151" s="10">
        <v>9.0</v>
      </c>
      <c r="E1151" s="11">
        <v>2014.0</v>
      </c>
      <c r="F1151" s="13">
        <v>4672543.84</v>
      </c>
      <c r="G1151" s="13">
        <v>3513759.68</v>
      </c>
      <c r="H1151" s="13">
        <v>1158784.1599999997</v>
      </c>
      <c r="I1151" s="14">
        <v>0.24799856345489094</v>
      </c>
      <c r="J1151" s="3" t="s">
        <v>4</v>
      </c>
      <c r="K1151" s="3" t="s">
        <v>28</v>
      </c>
      <c r="L1151" s="3" t="s">
        <v>33</v>
      </c>
    </row>
    <row r="1152" ht="15.75" customHeight="1">
      <c r="A1152" s="3">
        <v>8.74172532E8</v>
      </c>
      <c r="B1152" s="3" t="s">
        <v>291</v>
      </c>
      <c r="C1152" s="3">
        <v>42.0</v>
      </c>
      <c r="D1152" s="10">
        <v>8.0</v>
      </c>
      <c r="E1152" s="11">
        <v>2016.0</v>
      </c>
      <c r="F1152" s="13">
        <v>3964845.9099999997</v>
      </c>
      <c r="G1152" s="13">
        <v>2981569.8200000003</v>
      </c>
      <c r="H1152" s="13">
        <v>983276.0899999994</v>
      </c>
      <c r="I1152" s="14">
        <v>0.24799856345489085</v>
      </c>
      <c r="J1152" s="3" t="s">
        <v>4</v>
      </c>
      <c r="K1152" s="3" t="s">
        <v>28</v>
      </c>
      <c r="L1152" s="3" t="s">
        <v>79</v>
      </c>
    </row>
    <row r="1153" ht="15.75" customHeight="1">
      <c r="A1153" s="3">
        <v>8.74349772E8</v>
      </c>
      <c r="B1153" s="3" t="s">
        <v>215</v>
      </c>
      <c r="C1153" s="3">
        <v>27.0</v>
      </c>
      <c r="D1153" s="10">
        <v>12.0</v>
      </c>
      <c r="E1153" s="11">
        <v>2013.0</v>
      </c>
      <c r="F1153" s="13">
        <v>397773.35000000003</v>
      </c>
      <c r="G1153" s="13">
        <v>266495.57</v>
      </c>
      <c r="H1153" s="13">
        <v>131277.78000000003</v>
      </c>
      <c r="I1153" s="14">
        <v>0.3300316122233931</v>
      </c>
      <c r="J1153" s="3" t="s">
        <v>6</v>
      </c>
      <c r="K1153" s="3" t="s">
        <v>23</v>
      </c>
      <c r="L1153" s="3" t="s">
        <v>68</v>
      </c>
    </row>
    <row r="1154" ht="15.75" customHeight="1">
      <c r="A1154" s="3">
        <v>8.75220096E8</v>
      </c>
      <c r="B1154" s="3" t="s">
        <v>623</v>
      </c>
      <c r="C1154" s="3">
        <v>12.0</v>
      </c>
      <c r="D1154" s="10">
        <v>10.0</v>
      </c>
      <c r="E1154" s="11">
        <v>2010.0</v>
      </c>
      <c r="F1154" s="13">
        <v>55326.9</v>
      </c>
      <c r="G1154" s="13">
        <v>41035.6</v>
      </c>
      <c r="H1154" s="13">
        <v>14291.300000000003</v>
      </c>
      <c r="I1154" s="14">
        <v>0.25830653804930337</v>
      </c>
      <c r="J1154" s="3" t="s">
        <v>8</v>
      </c>
      <c r="K1154" s="3" t="s">
        <v>28</v>
      </c>
      <c r="L1154" s="3" t="s">
        <v>33</v>
      </c>
    </row>
    <row r="1155" ht="15.75" customHeight="1">
      <c r="A1155" s="3">
        <v>8.76856458E8</v>
      </c>
      <c r="B1155" s="3" t="s">
        <v>650</v>
      </c>
      <c r="C1155" s="3">
        <v>21.0</v>
      </c>
      <c r="D1155" s="10">
        <v>8.0</v>
      </c>
      <c r="E1155" s="11">
        <v>2013.0</v>
      </c>
      <c r="F1155" s="13">
        <v>70033.73999999999</v>
      </c>
      <c r="G1155" s="13">
        <v>60538.54</v>
      </c>
      <c r="H1155" s="13">
        <v>9495.19999999999</v>
      </c>
      <c r="I1155" s="14">
        <v>0.13558036455000105</v>
      </c>
      <c r="J1155" s="3" t="s">
        <v>11</v>
      </c>
      <c r="K1155" s="3" t="s">
        <v>28</v>
      </c>
      <c r="L1155" s="3" t="s">
        <v>98</v>
      </c>
    </row>
    <row r="1156" ht="15.75" customHeight="1">
      <c r="A1156" s="3">
        <v>8.77062451E8</v>
      </c>
      <c r="B1156" s="3" t="s">
        <v>32</v>
      </c>
      <c r="C1156" s="3">
        <v>20.0</v>
      </c>
      <c r="D1156" s="10">
        <v>10.0</v>
      </c>
      <c r="E1156" s="11">
        <v>2012.0</v>
      </c>
      <c r="F1156" s="13">
        <v>53333.8</v>
      </c>
      <c r="G1156" s="13">
        <v>35731.96</v>
      </c>
      <c r="H1156" s="13">
        <v>17601.840000000004</v>
      </c>
      <c r="I1156" s="14">
        <v>0.3300316122233931</v>
      </c>
      <c r="J1156" s="3" t="s">
        <v>6</v>
      </c>
      <c r="K1156" s="3" t="s">
        <v>28</v>
      </c>
      <c r="L1156" s="3" t="s">
        <v>33</v>
      </c>
    </row>
    <row r="1157" ht="15.75" customHeight="1">
      <c r="A1157" s="3">
        <v>8.77084767E8</v>
      </c>
      <c r="B1157" s="3" t="s">
        <v>689</v>
      </c>
      <c r="C1157" s="3">
        <v>49.0</v>
      </c>
      <c r="D1157" s="10">
        <v>4.0</v>
      </c>
      <c r="E1157" s="11">
        <v>2012.0</v>
      </c>
      <c r="F1157" s="13">
        <v>3260365.92</v>
      </c>
      <c r="G1157" s="13">
        <v>2818324.32</v>
      </c>
      <c r="H1157" s="13">
        <v>442041.6000000001</v>
      </c>
      <c r="I1157" s="14">
        <v>0.13558036455000122</v>
      </c>
      <c r="J1157" s="3" t="s">
        <v>11</v>
      </c>
      <c r="K1157" s="3" t="s">
        <v>28</v>
      </c>
      <c r="L1157" s="3" t="s">
        <v>79</v>
      </c>
    </row>
    <row r="1158" ht="15.75" customHeight="1">
      <c r="A1158" s="3">
        <v>8.77687728E8</v>
      </c>
      <c r="B1158" s="3" t="s">
        <v>650</v>
      </c>
      <c r="C1158" s="3">
        <v>46.0</v>
      </c>
      <c r="D1158" s="10">
        <v>12.0</v>
      </c>
      <c r="E1158" s="11">
        <v>2016.0</v>
      </c>
      <c r="F1158" s="13">
        <v>503293.34</v>
      </c>
      <c r="G1158" s="13">
        <v>348973.86</v>
      </c>
      <c r="H1158" s="13">
        <v>154319.48000000004</v>
      </c>
      <c r="I1158" s="14">
        <v>0.30661935641747223</v>
      </c>
      <c r="J1158" s="3" t="s">
        <v>14</v>
      </c>
      <c r="K1158" s="3" t="s">
        <v>28</v>
      </c>
      <c r="L1158" s="3" t="s">
        <v>98</v>
      </c>
    </row>
    <row r="1159" ht="15.75" customHeight="1">
      <c r="A1159" s="3">
        <v>8.7861427E8</v>
      </c>
      <c r="B1159" s="3" t="s">
        <v>349</v>
      </c>
      <c r="C1159" s="3">
        <v>21.0</v>
      </c>
      <c r="D1159" s="10">
        <v>1.0</v>
      </c>
      <c r="E1159" s="11">
        <v>2011.0</v>
      </c>
      <c r="F1159" s="13">
        <v>149522.4</v>
      </c>
      <c r="G1159" s="13">
        <v>90058.86</v>
      </c>
      <c r="H1159" s="13">
        <v>59463.53999999999</v>
      </c>
      <c r="I1159" s="14">
        <v>0.39768984446477584</v>
      </c>
      <c r="J1159" s="3" t="s">
        <v>12</v>
      </c>
      <c r="K1159" s="3" t="s">
        <v>28</v>
      </c>
      <c r="L1159" s="3" t="s">
        <v>29</v>
      </c>
    </row>
    <row r="1160" ht="15.75" customHeight="1">
      <c r="A1160" s="3">
        <v>8.794052E8</v>
      </c>
      <c r="B1160" s="3" t="s">
        <v>97</v>
      </c>
      <c r="C1160" s="3">
        <v>47.0</v>
      </c>
      <c r="D1160" s="10">
        <v>6.0</v>
      </c>
      <c r="E1160" s="11">
        <v>2014.0</v>
      </c>
      <c r="F1160" s="13">
        <v>208590.2</v>
      </c>
      <c r="G1160" s="13">
        <v>139748.84</v>
      </c>
      <c r="H1160" s="13">
        <v>68841.36000000002</v>
      </c>
      <c r="I1160" s="14">
        <v>0.3300316122233931</v>
      </c>
      <c r="J1160" s="3" t="s">
        <v>6</v>
      </c>
      <c r="K1160" s="3" t="s">
        <v>28</v>
      </c>
      <c r="L1160" s="3" t="s">
        <v>98</v>
      </c>
    </row>
    <row r="1161" ht="15.75" customHeight="1">
      <c r="A1161" s="3">
        <v>8.79845082E8</v>
      </c>
      <c r="B1161" s="3" t="s">
        <v>431</v>
      </c>
      <c r="C1161" s="3">
        <v>17.0</v>
      </c>
      <c r="D1161" s="10">
        <v>4.0</v>
      </c>
      <c r="E1161" s="11">
        <v>2010.0</v>
      </c>
      <c r="F1161" s="13">
        <v>42610.11</v>
      </c>
      <c r="G1161" s="13">
        <v>31603.64</v>
      </c>
      <c r="H1161" s="13">
        <v>11006.470000000001</v>
      </c>
      <c r="I1161" s="14">
        <v>0.25830653804930337</v>
      </c>
      <c r="J1161" s="3" t="s">
        <v>8</v>
      </c>
      <c r="K1161" s="3" t="s">
        <v>28</v>
      </c>
      <c r="L1161" s="3" t="s">
        <v>29</v>
      </c>
    </row>
    <row r="1162" ht="15.75" customHeight="1">
      <c r="A1162" s="3">
        <v>8.79923617E8</v>
      </c>
      <c r="B1162" s="3" t="s">
        <v>346</v>
      </c>
      <c r="C1162" s="3">
        <v>36.0</v>
      </c>
      <c r="D1162" s="10">
        <v>8.0</v>
      </c>
      <c r="E1162" s="11">
        <v>2014.0</v>
      </c>
      <c r="F1162" s="13">
        <v>1992970.96</v>
      </c>
      <c r="G1162" s="13">
        <v>1244591.94</v>
      </c>
      <c r="H1162" s="13">
        <v>748379.02</v>
      </c>
      <c r="I1162" s="14">
        <v>0.37550924475086184</v>
      </c>
      <c r="J1162" s="3" t="s">
        <v>10</v>
      </c>
      <c r="K1162" s="3" t="s">
        <v>28</v>
      </c>
      <c r="L1162" s="3" t="s">
        <v>98</v>
      </c>
    </row>
    <row r="1163" ht="15.75" customHeight="1">
      <c r="A1163" s="3">
        <v>8.80176818E8</v>
      </c>
      <c r="B1163" s="3" t="s">
        <v>575</v>
      </c>
      <c r="C1163" s="3">
        <v>14.0</v>
      </c>
      <c r="D1163" s="10">
        <v>10.0</v>
      </c>
      <c r="E1163" s="11">
        <v>2010.0</v>
      </c>
      <c r="F1163" s="13">
        <v>298880.8</v>
      </c>
      <c r="G1163" s="13">
        <v>98022.40000000001</v>
      </c>
      <c r="H1163" s="13">
        <v>200858.39999999997</v>
      </c>
      <c r="I1163" s="14">
        <v>0.67203513909224</v>
      </c>
      <c r="J1163" s="3" t="s">
        <v>5</v>
      </c>
      <c r="K1163" s="3" t="s">
        <v>28</v>
      </c>
      <c r="L1163" s="3" t="s">
        <v>98</v>
      </c>
    </row>
    <row r="1164" ht="15.75" customHeight="1">
      <c r="A1164" s="3">
        <v>8.8119477E8</v>
      </c>
      <c r="B1164" s="3" t="s">
        <v>623</v>
      </c>
      <c r="C1164" s="3">
        <v>30.0</v>
      </c>
      <c r="D1164" s="10">
        <v>11.0</v>
      </c>
      <c r="E1164" s="11">
        <v>2013.0</v>
      </c>
      <c r="F1164" s="13">
        <v>2584652.49</v>
      </c>
      <c r="G1164" s="13">
        <v>2083566.2400000002</v>
      </c>
      <c r="H1164" s="13">
        <v>501086.25</v>
      </c>
      <c r="I1164" s="14">
        <v>0.19386987300563566</v>
      </c>
      <c r="J1164" s="3" t="s">
        <v>7</v>
      </c>
      <c r="K1164" s="3" t="s">
        <v>28</v>
      </c>
      <c r="L1164" s="3" t="s">
        <v>33</v>
      </c>
    </row>
    <row r="1165" ht="15.75" customHeight="1">
      <c r="A1165" s="3">
        <v>8.8171705E8</v>
      </c>
      <c r="B1165" s="3" t="s">
        <v>101</v>
      </c>
      <c r="C1165" s="3">
        <v>31.0</v>
      </c>
      <c r="D1165" s="10">
        <v>11.0</v>
      </c>
      <c r="E1165" s="11">
        <v>2010.0</v>
      </c>
      <c r="F1165" s="13">
        <v>1300591.9200000002</v>
      </c>
      <c r="G1165" s="13">
        <v>830578.5599999999</v>
      </c>
      <c r="H1165" s="13">
        <v>470013.3600000002</v>
      </c>
      <c r="I1165" s="14">
        <v>0.36138419189933163</v>
      </c>
      <c r="J1165" s="3" t="s">
        <v>13</v>
      </c>
      <c r="K1165" s="3" t="s">
        <v>28</v>
      </c>
      <c r="L1165" s="3" t="s">
        <v>79</v>
      </c>
    </row>
    <row r="1166" ht="15.75" customHeight="1">
      <c r="A1166" s="3">
        <v>8.83504474E8</v>
      </c>
      <c r="B1166" s="3" t="s">
        <v>67</v>
      </c>
      <c r="C1166" s="3">
        <v>36.0</v>
      </c>
      <c r="D1166" s="10">
        <v>8.0</v>
      </c>
      <c r="E1166" s="11">
        <v>2014.0</v>
      </c>
      <c r="F1166" s="13">
        <v>4859329.0200000005</v>
      </c>
      <c r="G1166" s="13">
        <v>3917251.5200000005</v>
      </c>
      <c r="H1166" s="13">
        <v>942077.5</v>
      </c>
      <c r="I1166" s="14">
        <v>0.19386987300563566</v>
      </c>
      <c r="J1166" s="3" t="s">
        <v>7</v>
      </c>
      <c r="K1166" s="3" t="s">
        <v>23</v>
      </c>
      <c r="L1166" s="3" t="s">
        <v>68</v>
      </c>
    </row>
    <row r="1167" ht="15.75" customHeight="1">
      <c r="A1167" s="3">
        <v>8.84147775E8</v>
      </c>
      <c r="B1167" s="3" t="s">
        <v>267</v>
      </c>
      <c r="C1167" s="3">
        <v>31.0</v>
      </c>
      <c r="D1167" s="10">
        <v>9.0</v>
      </c>
      <c r="E1167" s="11">
        <v>2011.0</v>
      </c>
      <c r="F1167" s="13">
        <v>371486.05000000005</v>
      </c>
      <c r="G1167" s="13">
        <v>248883.91</v>
      </c>
      <c r="H1167" s="13">
        <v>122602.14000000004</v>
      </c>
      <c r="I1167" s="14">
        <v>0.3300316122233931</v>
      </c>
      <c r="J1167" s="3" t="s">
        <v>6</v>
      </c>
      <c r="K1167" s="3" t="s">
        <v>28</v>
      </c>
      <c r="L1167" s="3" t="s">
        <v>29</v>
      </c>
    </row>
    <row r="1168" ht="15.75" customHeight="1">
      <c r="A1168" s="3">
        <v>8.84192836E8</v>
      </c>
      <c r="B1168" s="3" t="s">
        <v>542</v>
      </c>
      <c r="C1168" s="3">
        <v>32.0</v>
      </c>
      <c r="D1168" s="10">
        <v>12.0</v>
      </c>
      <c r="E1168" s="11">
        <v>2012.0</v>
      </c>
      <c r="F1168" s="13">
        <v>758008.4400000001</v>
      </c>
      <c r="G1168" s="13">
        <v>611053.4400000001</v>
      </c>
      <c r="H1168" s="13">
        <v>146955.0</v>
      </c>
      <c r="I1168" s="14">
        <v>0.19386987300563566</v>
      </c>
      <c r="J1168" s="3" t="s">
        <v>7</v>
      </c>
      <c r="K1168" s="3" t="s">
        <v>28</v>
      </c>
      <c r="L1168" s="3" t="s">
        <v>29</v>
      </c>
    </row>
    <row r="1169" ht="15.75" customHeight="1">
      <c r="A1169" s="3">
        <v>8.84462773E8</v>
      </c>
      <c r="B1169" s="3" t="s">
        <v>590</v>
      </c>
      <c r="C1169" s="3">
        <v>45.0</v>
      </c>
      <c r="D1169" s="10">
        <v>8.0</v>
      </c>
      <c r="E1169" s="11">
        <v>2010.0</v>
      </c>
      <c r="F1169" s="13">
        <v>159293.52000000002</v>
      </c>
      <c r="G1169" s="13">
        <v>101727.36</v>
      </c>
      <c r="H1169" s="13">
        <v>57566.16000000002</v>
      </c>
      <c r="I1169" s="14">
        <v>0.3613841918993316</v>
      </c>
      <c r="J1169" s="3" t="s">
        <v>13</v>
      </c>
      <c r="K1169" s="3" t="s">
        <v>28</v>
      </c>
      <c r="L1169" s="3" t="s">
        <v>98</v>
      </c>
    </row>
    <row r="1170" ht="15.75" customHeight="1">
      <c r="A1170" s="3">
        <v>8.85046851E8</v>
      </c>
      <c r="B1170" s="3" t="s">
        <v>218</v>
      </c>
      <c r="C1170" s="3">
        <v>30.0</v>
      </c>
      <c r="D1170" s="10">
        <v>6.0</v>
      </c>
      <c r="E1170" s="11">
        <v>2010.0</v>
      </c>
      <c r="F1170" s="13">
        <v>2530602.06</v>
      </c>
      <c r="G1170" s="13">
        <v>2039994.56</v>
      </c>
      <c r="H1170" s="13">
        <v>490607.5</v>
      </c>
      <c r="I1170" s="14">
        <v>0.19386987300563566</v>
      </c>
      <c r="J1170" s="3" t="s">
        <v>7</v>
      </c>
      <c r="K1170" s="3" t="s">
        <v>28</v>
      </c>
      <c r="L1170" s="3" t="s">
        <v>98</v>
      </c>
    </row>
    <row r="1171" ht="15.75" customHeight="1">
      <c r="A1171" s="3">
        <v>8.85397469E8</v>
      </c>
      <c r="B1171" s="3" t="s">
        <v>653</v>
      </c>
      <c r="C1171" s="3">
        <v>39.0</v>
      </c>
      <c r="D1171" s="10">
        <v>10.0</v>
      </c>
      <c r="E1171" s="11">
        <v>2015.0</v>
      </c>
      <c r="F1171" s="13">
        <v>3224083.38</v>
      </c>
      <c r="G1171" s="13">
        <v>2786960.98</v>
      </c>
      <c r="H1171" s="13">
        <v>437122.3999999999</v>
      </c>
      <c r="I1171" s="14">
        <v>0.13558036455000116</v>
      </c>
      <c r="J1171" s="3" t="s">
        <v>11</v>
      </c>
      <c r="K1171" s="3" t="s">
        <v>28</v>
      </c>
      <c r="L1171" s="3" t="s">
        <v>33</v>
      </c>
    </row>
    <row r="1172" ht="15.75" customHeight="1">
      <c r="A1172" s="3">
        <v>8.85998284E8</v>
      </c>
      <c r="B1172" s="3" t="s">
        <v>67</v>
      </c>
      <c r="C1172" s="3">
        <v>7.0</v>
      </c>
      <c r="D1172" s="10">
        <v>2.0</v>
      </c>
      <c r="E1172" s="11">
        <v>2017.0</v>
      </c>
      <c r="F1172" s="13">
        <v>594046.08</v>
      </c>
      <c r="G1172" s="13">
        <v>194826.24000000002</v>
      </c>
      <c r="H1172" s="13">
        <v>399219.83999999997</v>
      </c>
      <c r="I1172" s="14">
        <v>0.6720351390922401</v>
      </c>
      <c r="J1172" s="3" t="s">
        <v>5</v>
      </c>
      <c r="K1172" s="3" t="s">
        <v>23</v>
      </c>
      <c r="L1172" s="3" t="s">
        <v>68</v>
      </c>
    </row>
    <row r="1173" ht="15.75" customHeight="1">
      <c r="A1173" s="3">
        <v>8.86620128E8</v>
      </c>
      <c r="B1173" s="3" t="s">
        <v>373</v>
      </c>
      <c r="C1173" s="3">
        <v>17.0</v>
      </c>
      <c r="D1173" s="10">
        <v>7.0</v>
      </c>
      <c r="E1173" s="11">
        <v>2011.0</v>
      </c>
      <c r="F1173" s="13">
        <v>6155888.13</v>
      </c>
      <c r="G1173" s="13">
        <v>4962446.88</v>
      </c>
      <c r="H1173" s="13">
        <v>1193441.25</v>
      </c>
      <c r="I1173" s="14">
        <v>0.19386987300563566</v>
      </c>
      <c r="J1173" s="3" t="s">
        <v>7</v>
      </c>
      <c r="K1173" s="3" t="s">
        <v>28</v>
      </c>
      <c r="L1173" s="3" t="s">
        <v>33</v>
      </c>
    </row>
    <row r="1174" ht="15.75" customHeight="1">
      <c r="A1174" s="3">
        <v>8.86763894E8</v>
      </c>
      <c r="B1174" s="3" t="s">
        <v>653</v>
      </c>
      <c r="C1174" s="3">
        <v>36.0</v>
      </c>
      <c r="D1174" s="10">
        <v>4.0</v>
      </c>
      <c r="E1174" s="11">
        <v>2013.0</v>
      </c>
      <c r="F1174" s="13">
        <v>307657.82</v>
      </c>
      <c r="G1174" s="13">
        <v>181587.21000000002</v>
      </c>
      <c r="H1174" s="13">
        <v>126070.60999999999</v>
      </c>
      <c r="I1174" s="14">
        <v>0.4097754121770738</v>
      </c>
      <c r="J1174" s="3" t="s">
        <v>9</v>
      </c>
      <c r="K1174" s="3" t="s">
        <v>28</v>
      </c>
      <c r="L1174" s="3" t="s">
        <v>33</v>
      </c>
    </row>
    <row r="1175" ht="15.75" customHeight="1">
      <c r="A1175" s="3">
        <v>8.8750118E8</v>
      </c>
      <c r="B1175" s="3" t="s">
        <v>746</v>
      </c>
      <c r="C1175" s="3">
        <v>46.0</v>
      </c>
      <c r="D1175" s="10">
        <v>5.0</v>
      </c>
      <c r="E1175" s="11">
        <v>2017.0</v>
      </c>
      <c r="F1175" s="13">
        <v>76947.2</v>
      </c>
      <c r="G1175" s="13">
        <v>46346.079999999994</v>
      </c>
      <c r="H1175" s="13">
        <v>30601.120000000003</v>
      </c>
      <c r="I1175" s="14">
        <v>0.3976898444647759</v>
      </c>
      <c r="J1175" s="3" t="s">
        <v>12</v>
      </c>
      <c r="K1175" s="3" t="s">
        <v>28</v>
      </c>
      <c r="L1175" s="3" t="s">
        <v>29</v>
      </c>
    </row>
    <row r="1176" ht="15.75" customHeight="1">
      <c r="A1176" s="3">
        <v>8.89093768E8</v>
      </c>
      <c r="B1176" s="3" t="s">
        <v>267</v>
      </c>
      <c r="C1176" s="3">
        <v>40.0</v>
      </c>
      <c r="D1176" s="10">
        <v>4.0</v>
      </c>
      <c r="E1176" s="11">
        <v>2010.0</v>
      </c>
      <c r="F1176" s="13">
        <v>299910.6</v>
      </c>
      <c r="G1176" s="13">
        <v>170746.38</v>
      </c>
      <c r="H1176" s="13">
        <v>129164.21999999997</v>
      </c>
      <c r="I1176" s="14">
        <v>0.43067574137092846</v>
      </c>
      <c r="J1176" s="3" t="s">
        <v>3</v>
      </c>
      <c r="K1176" s="3" t="s">
        <v>28</v>
      </c>
      <c r="L1176" s="3" t="s">
        <v>29</v>
      </c>
    </row>
    <row r="1177" ht="15.75" customHeight="1">
      <c r="A1177" s="3">
        <v>8.89125955E8</v>
      </c>
      <c r="B1177" s="3" t="s">
        <v>46</v>
      </c>
      <c r="C1177" s="3">
        <v>19.0</v>
      </c>
      <c r="D1177" s="10">
        <v>5.0</v>
      </c>
      <c r="E1177" s="11">
        <v>2014.0</v>
      </c>
      <c r="F1177" s="13">
        <v>9171.39</v>
      </c>
      <c r="G1177" s="13">
        <v>6802.36</v>
      </c>
      <c r="H1177" s="13">
        <v>2369.0299999999997</v>
      </c>
      <c r="I1177" s="14">
        <v>0.2583065380493033</v>
      </c>
      <c r="J1177" s="3" t="s">
        <v>8</v>
      </c>
      <c r="K1177" s="3" t="s">
        <v>28</v>
      </c>
      <c r="L1177" s="3" t="s">
        <v>33</v>
      </c>
    </row>
    <row r="1178" ht="15.75" customHeight="1">
      <c r="A1178" s="3">
        <v>8.91681563E8</v>
      </c>
      <c r="B1178" s="3" t="s">
        <v>123</v>
      </c>
      <c r="C1178" s="3">
        <v>26.0</v>
      </c>
      <c r="D1178" s="10">
        <v>3.0</v>
      </c>
      <c r="E1178" s="11">
        <v>2012.0</v>
      </c>
      <c r="F1178" s="13">
        <v>4841616.149999999</v>
      </c>
      <c r="G1178" s="13">
        <v>3640902.3000000003</v>
      </c>
      <c r="H1178" s="13">
        <v>1200713.8499999992</v>
      </c>
      <c r="I1178" s="14">
        <v>0.24799856345489085</v>
      </c>
      <c r="J1178" s="3" t="s">
        <v>4</v>
      </c>
      <c r="K1178" s="3" t="s">
        <v>28</v>
      </c>
      <c r="L1178" s="3" t="s">
        <v>33</v>
      </c>
    </row>
    <row r="1179" ht="15.75" customHeight="1">
      <c r="A1179" s="3">
        <v>8.91808593E8</v>
      </c>
      <c r="B1179" s="3" t="s">
        <v>650</v>
      </c>
      <c r="C1179" s="3">
        <v>12.0</v>
      </c>
      <c r="D1179" s="10">
        <v>5.0</v>
      </c>
      <c r="E1179" s="11">
        <v>2012.0</v>
      </c>
      <c r="F1179" s="13">
        <v>1234278.8</v>
      </c>
      <c r="G1179" s="13">
        <v>770795.7</v>
      </c>
      <c r="H1179" s="13">
        <v>463483.1000000001</v>
      </c>
      <c r="I1179" s="14">
        <v>0.37550924475086184</v>
      </c>
      <c r="J1179" s="3" t="s">
        <v>10</v>
      </c>
      <c r="K1179" s="3" t="s">
        <v>28</v>
      </c>
      <c r="L1179" s="3" t="s">
        <v>98</v>
      </c>
    </row>
    <row r="1180" ht="15.75" customHeight="1">
      <c r="A1180" s="3">
        <v>8.92042911E8</v>
      </c>
      <c r="B1180" s="3" t="s">
        <v>575</v>
      </c>
      <c r="C1180" s="3">
        <v>29.0</v>
      </c>
      <c r="D1180" s="10">
        <v>4.0</v>
      </c>
      <c r="E1180" s="11">
        <v>2011.0</v>
      </c>
      <c r="F1180" s="13">
        <v>1825310.0</v>
      </c>
      <c r="G1180" s="13">
        <v>1099402.75</v>
      </c>
      <c r="H1180" s="13">
        <v>725907.25</v>
      </c>
      <c r="I1180" s="14">
        <v>0.39768984446477584</v>
      </c>
      <c r="J1180" s="3" t="s">
        <v>12</v>
      </c>
      <c r="K1180" s="3" t="s">
        <v>28</v>
      </c>
      <c r="L1180" s="3" t="s">
        <v>98</v>
      </c>
    </row>
    <row r="1181" ht="15.75" customHeight="1">
      <c r="A1181" s="3">
        <v>8.94589078E8</v>
      </c>
      <c r="B1181" s="3" t="s">
        <v>455</v>
      </c>
      <c r="C1181" s="3">
        <v>30.0</v>
      </c>
      <c r="D1181" s="10">
        <v>3.0</v>
      </c>
      <c r="E1181" s="11">
        <v>2014.0</v>
      </c>
      <c r="F1181" s="13">
        <v>1177480.58</v>
      </c>
      <c r="G1181" s="13">
        <v>694977.9900000001</v>
      </c>
      <c r="H1181" s="13">
        <v>482502.58999999997</v>
      </c>
      <c r="I1181" s="14">
        <v>0.4097754121770738</v>
      </c>
      <c r="J1181" s="3" t="s">
        <v>9</v>
      </c>
      <c r="K1181" s="3" t="s">
        <v>28</v>
      </c>
      <c r="L1181" s="3" t="s">
        <v>33</v>
      </c>
    </row>
    <row r="1182" ht="15.75" customHeight="1">
      <c r="A1182" s="3">
        <v>8.97317206E8</v>
      </c>
      <c r="B1182" s="3" t="s">
        <v>373</v>
      </c>
      <c r="C1182" s="3">
        <v>19.0</v>
      </c>
      <c r="D1182" s="10">
        <v>8.0</v>
      </c>
      <c r="E1182" s="11">
        <v>2015.0</v>
      </c>
      <c r="F1182" s="13">
        <v>235209.65000000002</v>
      </c>
      <c r="G1182" s="13">
        <v>157583.03</v>
      </c>
      <c r="H1182" s="13">
        <v>77626.62000000002</v>
      </c>
      <c r="I1182" s="14">
        <v>0.3300316122233931</v>
      </c>
      <c r="J1182" s="3" t="s">
        <v>6</v>
      </c>
      <c r="K1182" s="3" t="s">
        <v>28</v>
      </c>
      <c r="L1182" s="3" t="s">
        <v>33</v>
      </c>
    </row>
    <row r="1183" ht="15.75" customHeight="1">
      <c r="A1183" s="3">
        <v>8.97638213E8</v>
      </c>
      <c r="B1183" s="3" t="s">
        <v>578</v>
      </c>
      <c r="C1183" s="3">
        <v>24.0</v>
      </c>
      <c r="D1183" s="10">
        <v>9.0</v>
      </c>
      <c r="E1183" s="11">
        <v>2014.0</v>
      </c>
      <c r="F1183" s="13">
        <v>2046715.0</v>
      </c>
      <c r="G1183" s="13">
        <v>1165244.5</v>
      </c>
      <c r="H1183" s="13">
        <v>881470.5</v>
      </c>
      <c r="I1183" s="14">
        <v>0.4306757413709285</v>
      </c>
      <c r="J1183" s="3" t="s">
        <v>3</v>
      </c>
      <c r="K1183" s="3" t="s">
        <v>28</v>
      </c>
      <c r="L1183" s="3" t="s">
        <v>33</v>
      </c>
    </row>
    <row r="1184" ht="15.75" customHeight="1">
      <c r="A1184" s="3">
        <v>8.97785842E8</v>
      </c>
      <c r="B1184" s="3" t="s">
        <v>215</v>
      </c>
      <c r="C1184" s="3">
        <v>4.0</v>
      </c>
      <c r="D1184" s="10">
        <v>5.0</v>
      </c>
      <c r="E1184" s="11">
        <v>2013.0</v>
      </c>
      <c r="F1184" s="13">
        <v>2367799.56</v>
      </c>
      <c r="G1184" s="13">
        <v>1908754.56</v>
      </c>
      <c r="H1184" s="13">
        <v>459045.0</v>
      </c>
      <c r="I1184" s="14">
        <v>0.19386987300563566</v>
      </c>
      <c r="J1184" s="3" t="s">
        <v>7</v>
      </c>
      <c r="K1184" s="3" t="s">
        <v>23</v>
      </c>
      <c r="L1184" s="3" t="s">
        <v>68</v>
      </c>
    </row>
    <row r="1185" ht="15.75" customHeight="1">
      <c r="A1185" s="3">
        <v>8.98211562E8</v>
      </c>
      <c r="B1185" s="3" t="s">
        <v>248</v>
      </c>
      <c r="C1185" s="3">
        <v>15.0</v>
      </c>
      <c r="D1185" s="10">
        <v>2.0</v>
      </c>
      <c r="E1185" s="11">
        <v>2013.0</v>
      </c>
      <c r="F1185" s="13">
        <v>89717.28</v>
      </c>
      <c r="G1185" s="13">
        <v>66542.72</v>
      </c>
      <c r="H1185" s="13">
        <v>23174.559999999998</v>
      </c>
      <c r="I1185" s="14">
        <v>0.2583065380493033</v>
      </c>
      <c r="J1185" s="3" t="s">
        <v>8</v>
      </c>
      <c r="K1185" s="3" t="s">
        <v>28</v>
      </c>
      <c r="L1185" s="3" t="s">
        <v>29</v>
      </c>
    </row>
    <row r="1186" ht="15.75" customHeight="1">
      <c r="A1186" s="3">
        <v>8.99868094E8</v>
      </c>
      <c r="B1186" s="3" t="s">
        <v>821</v>
      </c>
      <c r="C1186" s="3">
        <v>24.0</v>
      </c>
      <c r="D1186" s="10">
        <v>3.0</v>
      </c>
      <c r="E1186" s="11">
        <v>2012.0</v>
      </c>
      <c r="F1186" s="13">
        <v>91629.93000000001</v>
      </c>
      <c r="G1186" s="13">
        <v>67961.31999999999</v>
      </c>
      <c r="H1186" s="13">
        <v>23668.610000000015</v>
      </c>
      <c r="I1186" s="14">
        <v>0.2583065380493035</v>
      </c>
      <c r="J1186" s="3" t="s">
        <v>8</v>
      </c>
      <c r="K1186" s="3" t="s">
        <v>821</v>
      </c>
      <c r="L1186" s="3" t="s">
        <v>821</v>
      </c>
    </row>
    <row r="1187" ht="15.75" customHeight="1">
      <c r="A1187" s="3">
        <v>9.00808799E8</v>
      </c>
      <c r="B1187" s="3" t="s">
        <v>300</v>
      </c>
      <c r="C1187" s="3">
        <v>8.0</v>
      </c>
      <c r="D1187" s="10">
        <v>6.0</v>
      </c>
      <c r="E1187" s="11">
        <v>2017.0</v>
      </c>
      <c r="F1187" s="13">
        <v>3583291.1999999997</v>
      </c>
      <c r="G1187" s="13">
        <v>2158252.6799999997</v>
      </c>
      <c r="H1187" s="13">
        <v>1425038.52</v>
      </c>
      <c r="I1187" s="14">
        <v>0.3976898444647759</v>
      </c>
      <c r="J1187" s="3" t="s">
        <v>12</v>
      </c>
      <c r="K1187" s="3" t="s">
        <v>28</v>
      </c>
      <c r="L1187" s="3" t="s">
        <v>33</v>
      </c>
    </row>
    <row r="1188" ht="15.75" customHeight="1">
      <c r="A1188" s="3">
        <v>9.01670968E8</v>
      </c>
      <c r="B1188" s="3" t="s">
        <v>364</v>
      </c>
      <c r="C1188" s="3">
        <v>25.0</v>
      </c>
      <c r="D1188" s="10">
        <v>11.0</v>
      </c>
      <c r="E1188" s="11">
        <v>2010.0</v>
      </c>
      <c r="F1188" s="13">
        <v>513173.86</v>
      </c>
      <c r="G1188" s="13">
        <v>302887.83</v>
      </c>
      <c r="H1188" s="13">
        <v>210286.02999999997</v>
      </c>
      <c r="I1188" s="14">
        <v>0.4097754121770738</v>
      </c>
      <c r="J1188" s="3" t="s">
        <v>9</v>
      </c>
      <c r="K1188" s="3" t="s">
        <v>28</v>
      </c>
      <c r="L1188" s="3" t="s">
        <v>29</v>
      </c>
    </row>
    <row r="1189" ht="15.75" customHeight="1">
      <c r="A1189" s="3">
        <v>9.01789844E8</v>
      </c>
      <c r="B1189" s="3" t="s">
        <v>455</v>
      </c>
      <c r="C1189" s="3">
        <v>42.0</v>
      </c>
      <c r="D1189" s="10">
        <v>3.0</v>
      </c>
      <c r="E1189" s="11">
        <v>2015.0</v>
      </c>
      <c r="F1189" s="13">
        <v>3589862.01</v>
      </c>
      <c r="G1189" s="13">
        <v>3103147.21</v>
      </c>
      <c r="H1189" s="13">
        <v>486714.7999999998</v>
      </c>
      <c r="I1189" s="14">
        <v>0.13558036455000114</v>
      </c>
      <c r="J1189" s="3" t="s">
        <v>11</v>
      </c>
      <c r="K1189" s="3" t="s">
        <v>28</v>
      </c>
      <c r="L1189" s="3" t="s">
        <v>33</v>
      </c>
    </row>
    <row r="1190" ht="15.75" customHeight="1">
      <c r="A1190" s="3">
        <v>9.04589211E8</v>
      </c>
      <c r="B1190" s="3" t="s">
        <v>623</v>
      </c>
      <c r="C1190" s="3">
        <v>21.0</v>
      </c>
      <c r="D1190" s="10">
        <v>4.0</v>
      </c>
      <c r="E1190" s="11">
        <v>2014.0</v>
      </c>
      <c r="F1190" s="13">
        <v>4496605.05</v>
      </c>
      <c r="G1190" s="13">
        <v>3624848.8000000003</v>
      </c>
      <c r="H1190" s="13">
        <v>871756.2499999995</v>
      </c>
      <c r="I1190" s="14">
        <v>0.19386987300563557</v>
      </c>
      <c r="J1190" s="3" t="s">
        <v>7</v>
      </c>
      <c r="K1190" s="3" t="s">
        <v>28</v>
      </c>
      <c r="L1190" s="3" t="s">
        <v>33</v>
      </c>
    </row>
    <row r="1191" ht="15.75" customHeight="1">
      <c r="A1191" s="3">
        <v>9.048128E8</v>
      </c>
      <c r="B1191" s="3" t="s">
        <v>590</v>
      </c>
      <c r="C1191" s="3">
        <v>46.0</v>
      </c>
      <c r="D1191" s="10">
        <v>10.0</v>
      </c>
      <c r="E1191" s="11">
        <v>2011.0</v>
      </c>
      <c r="F1191" s="13">
        <v>28633.77</v>
      </c>
      <c r="G1191" s="13">
        <v>21237.48</v>
      </c>
      <c r="H1191" s="13">
        <v>7396.290000000001</v>
      </c>
      <c r="I1191" s="14">
        <v>0.25830653804930337</v>
      </c>
      <c r="J1191" s="3" t="s">
        <v>8</v>
      </c>
      <c r="K1191" s="3" t="s">
        <v>28</v>
      </c>
      <c r="L1191" s="3" t="s">
        <v>98</v>
      </c>
    </row>
    <row r="1192" ht="15.75" customHeight="1">
      <c r="A1192" s="3">
        <v>9.05036389E8</v>
      </c>
      <c r="B1192" s="3" t="s">
        <v>575</v>
      </c>
      <c r="C1192" s="3">
        <v>19.0</v>
      </c>
      <c r="D1192" s="10">
        <v>11.0</v>
      </c>
      <c r="E1192" s="11">
        <v>2016.0</v>
      </c>
      <c r="F1192" s="13">
        <v>1899433.7999999998</v>
      </c>
      <c r="G1192" s="13">
        <v>1081393.74</v>
      </c>
      <c r="H1192" s="13">
        <v>818040.0599999998</v>
      </c>
      <c r="I1192" s="14">
        <v>0.4306757413709285</v>
      </c>
      <c r="J1192" s="3" t="s">
        <v>3</v>
      </c>
      <c r="K1192" s="3" t="s">
        <v>28</v>
      </c>
      <c r="L1192" s="3" t="s">
        <v>98</v>
      </c>
    </row>
    <row r="1193" ht="15.75" customHeight="1">
      <c r="A1193" s="3">
        <v>9.05509746E8</v>
      </c>
      <c r="B1193" s="3" t="s">
        <v>536</v>
      </c>
      <c r="C1193" s="3">
        <v>7.0</v>
      </c>
      <c r="D1193" s="10">
        <v>10.0</v>
      </c>
      <c r="E1193" s="11">
        <v>2015.0</v>
      </c>
      <c r="F1193" s="13">
        <v>6222261.97</v>
      </c>
      <c r="G1193" s="13">
        <v>4679149.94</v>
      </c>
      <c r="H1193" s="13">
        <v>1543112.0299999993</v>
      </c>
      <c r="I1193" s="14">
        <v>0.24799856345489088</v>
      </c>
      <c r="J1193" s="3" t="s">
        <v>4</v>
      </c>
      <c r="K1193" s="3" t="s">
        <v>28</v>
      </c>
      <c r="L1193" s="3" t="s">
        <v>33</v>
      </c>
    </row>
    <row r="1194" ht="15.75" customHeight="1">
      <c r="A1194" s="3">
        <v>9.05947482E8</v>
      </c>
      <c r="B1194" s="3" t="s">
        <v>221</v>
      </c>
      <c r="C1194" s="3">
        <v>49.0</v>
      </c>
      <c r="D1194" s="10">
        <v>11.0</v>
      </c>
      <c r="E1194" s="11">
        <v>2015.0</v>
      </c>
      <c r="F1194" s="13">
        <v>1819827.9</v>
      </c>
      <c r="G1194" s="13">
        <v>1036072.17</v>
      </c>
      <c r="H1194" s="13">
        <v>783755.7299999999</v>
      </c>
      <c r="I1194" s="14">
        <v>0.4306757413709285</v>
      </c>
      <c r="J1194" s="3" t="s">
        <v>3</v>
      </c>
      <c r="K1194" s="3" t="s">
        <v>28</v>
      </c>
      <c r="L1194" s="3" t="s">
        <v>29</v>
      </c>
    </row>
    <row r="1195" ht="15.75" customHeight="1">
      <c r="A1195" s="3">
        <v>9.06345736E8</v>
      </c>
      <c r="B1195" s="3" t="s">
        <v>512</v>
      </c>
      <c r="C1195" s="3">
        <v>34.0</v>
      </c>
      <c r="D1195" s="10">
        <v>10.0</v>
      </c>
      <c r="E1195" s="11">
        <v>2012.0</v>
      </c>
      <c r="F1195" s="13">
        <v>317867.55000000005</v>
      </c>
      <c r="G1195" s="13">
        <v>212961.21</v>
      </c>
      <c r="H1195" s="13">
        <v>104906.34000000005</v>
      </c>
      <c r="I1195" s="14">
        <v>0.33003161222339317</v>
      </c>
      <c r="J1195" s="3" t="s">
        <v>6</v>
      </c>
      <c r="K1195" s="3" t="s">
        <v>28</v>
      </c>
      <c r="L1195" s="3" t="s">
        <v>79</v>
      </c>
    </row>
    <row r="1196" ht="15.75" customHeight="1">
      <c r="A1196" s="3">
        <v>9.06508815E8</v>
      </c>
      <c r="B1196" s="3" t="s">
        <v>206</v>
      </c>
      <c r="C1196" s="3">
        <v>10.0</v>
      </c>
      <c r="D1196" s="10">
        <v>1.0</v>
      </c>
      <c r="E1196" s="11">
        <v>2014.0</v>
      </c>
      <c r="F1196" s="13">
        <v>541810.24</v>
      </c>
      <c r="G1196" s="13">
        <v>177694.72000000003</v>
      </c>
      <c r="H1196" s="13">
        <v>364115.51999999996</v>
      </c>
      <c r="I1196" s="14">
        <v>0.6720351390922401</v>
      </c>
      <c r="J1196" s="3" t="s">
        <v>5</v>
      </c>
      <c r="K1196" s="3" t="s">
        <v>28</v>
      </c>
      <c r="L1196" s="3" t="s">
        <v>33</v>
      </c>
    </row>
    <row r="1197" ht="15.75" customHeight="1">
      <c r="A1197" s="3">
        <v>9.06794202E8</v>
      </c>
      <c r="B1197" s="3" t="s">
        <v>267</v>
      </c>
      <c r="C1197" s="3">
        <v>19.0</v>
      </c>
      <c r="D1197" s="10">
        <v>4.0</v>
      </c>
      <c r="E1197" s="11">
        <v>2014.0</v>
      </c>
      <c r="F1197" s="13">
        <v>1028324.8</v>
      </c>
      <c r="G1197" s="13">
        <v>337254.4</v>
      </c>
      <c r="H1197" s="13">
        <v>691070.4</v>
      </c>
      <c r="I1197" s="14">
        <v>0.6720351390922401</v>
      </c>
      <c r="J1197" s="3" t="s">
        <v>5</v>
      </c>
      <c r="K1197" s="3" t="s">
        <v>28</v>
      </c>
      <c r="L1197" s="3" t="s">
        <v>29</v>
      </c>
    </row>
    <row r="1198" ht="15.75" customHeight="1">
      <c r="A1198" s="3">
        <v>9.07047402E8</v>
      </c>
      <c r="B1198" s="3" t="s">
        <v>821</v>
      </c>
      <c r="C1198" s="3">
        <v>49.0</v>
      </c>
      <c r="D1198" s="10">
        <v>6.0</v>
      </c>
      <c r="E1198" s="11">
        <v>2010.0</v>
      </c>
      <c r="F1198" s="13">
        <v>1830158.8199999998</v>
      </c>
      <c r="G1198" s="13">
        <v>1582025.22</v>
      </c>
      <c r="H1198" s="13">
        <v>248133.59999999986</v>
      </c>
      <c r="I1198" s="14">
        <v>0.1355803645500011</v>
      </c>
      <c r="J1198" s="3" t="s">
        <v>11</v>
      </c>
      <c r="K1198" s="3" t="s">
        <v>821</v>
      </c>
      <c r="L1198" s="3" t="s">
        <v>821</v>
      </c>
    </row>
    <row r="1199" ht="15.75" customHeight="1">
      <c r="A1199" s="3">
        <v>9.07349526E8</v>
      </c>
      <c r="B1199" s="3" t="s">
        <v>349</v>
      </c>
      <c r="C1199" s="3">
        <v>41.0</v>
      </c>
      <c r="D1199" s="10">
        <v>4.0</v>
      </c>
      <c r="E1199" s="11">
        <v>2012.0</v>
      </c>
      <c r="F1199" s="13">
        <v>1636439.5999999999</v>
      </c>
      <c r="G1199" s="13">
        <v>985644.19</v>
      </c>
      <c r="H1199" s="13">
        <v>650795.4099999999</v>
      </c>
      <c r="I1199" s="14">
        <v>0.39768984446477584</v>
      </c>
      <c r="J1199" s="3" t="s">
        <v>12</v>
      </c>
      <c r="K1199" s="3" t="s">
        <v>28</v>
      </c>
      <c r="L1199" s="3" t="s">
        <v>29</v>
      </c>
    </row>
    <row r="1200" ht="15.75" customHeight="1">
      <c r="A1200" s="3">
        <v>9.07691991E8</v>
      </c>
      <c r="B1200" s="3" t="s">
        <v>431</v>
      </c>
      <c r="C1200" s="3">
        <v>31.0</v>
      </c>
      <c r="D1200" s="10">
        <v>2.0</v>
      </c>
      <c r="E1200" s="11">
        <v>2014.0</v>
      </c>
      <c r="F1200" s="13">
        <v>1046190.2</v>
      </c>
      <c r="G1200" s="13">
        <v>595621.46</v>
      </c>
      <c r="H1200" s="13">
        <v>450568.74</v>
      </c>
      <c r="I1200" s="14">
        <v>0.43067574137092857</v>
      </c>
      <c r="J1200" s="3" t="s">
        <v>3</v>
      </c>
      <c r="K1200" s="3" t="s">
        <v>28</v>
      </c>
      <c r="L1200" s="3" t="s">
        <v>29</v>
      </c>
    </row>
    <row r="1201" ht="15.75" customHeight="1">
      <c r="A1201" s="3">
        <v>9.10610234E8</v>
      </c>
      <c r="B1201" s="3" t="s">
        <v>686</v>
      </c>
      <c r="C1201" s="3">
        <v>28.0</v>
      </c>
      <c r="D1201" s="10">
        <v>7.0</v>
      </c>
      <c r="E1201" s="11">
        <v>2017.0</v>
      </c>
      <c r="F1201" s="13">
        <v>3785714.8</v>
      </c>
      <c r="G1201" s="13">
        <v>2280174.4699999997</v>
      </c>
      <c r="H1201" s="13">
        <v>1505540.33</v>
      </c>
      <c r="I1201" s="14">
        <v>0.3976898444647759</v>
      </c>
      <c r="J1201" s="3" t="s">
        <v>12</v>
      </c>
      <c r="K1201" s="3" t="s">
        <v>28</v>
      </c>
      <c r="L1201" s="3" t="s">
        <v>29</v>
      </c>
    </row>
    <row r="1202" ht="15.75" customHeight="1">
      <c r="A1202" s="3">
        <v>9.1088618E8</v>
      </c>
      <c r="B1202" s="3" t="s">
        <v>590</v>
      </c>
      <c r="C1202" s="3">
        <v>31.0</v>
      </c>
      <c r="D1202" s="10">
        <v>5.0</v>
      </c>
      <c r="E1202" s="11">
        <v>2015.0</v>
      </c>
      <c r="F1202" s="13">
        <v>15041.650000000001</v>
      </c>
      <c r="G1202" s="13">
        <v>10077.43</v>
      </c>
      <c r="H1202" s="13">
        <v>4964.220000000001</v>
      </c>
      <c r="I1202" s="14">
        <v>0.3300316122233931</v>
      </c>
      <c r="J1202" s="3" t="s">
        <v>6</v>
      </c>
      <c r="K1202" s="3" t="s">
        <v>28</v>
      </c>
      <c r="L1202" s="3" t="s">
        <v>98</v>
      </c>
    </row>
    <row r="1203" ht="15.75" customHeight="1">
      <c r="A1203" s="3">
        <v>9.11891257E8</v>
      </c>
      <c r="B1203" s="3" t="s">
        <v>142</v>
      </c>
      <c r="C1203" s="3">
        <v>24.0</v>
      </c>
      <c r="D1203" s="10">
        <v>10.0</v>
      </c>
      <c r="E1203" s="11">
        <v>2013.0</v>
      </c>
      <c r="F1203" s="13">
        <v>72232.86</v>
      </c>
      <c r="G1203" s="13">
        <v>53574.64</v>
      </c>
      <c r="H1203" s="13">
        <v>18658.22</v>
      </c>
      <c r="I1203" s="14">
        <v>0.2583065380493033</v>
      </c>
      <c r="J1203" s="3" t="s">
        <v>8</v>
      </c>
      <c r="K1203" s="3" t="s">
        <v>28</v>
      </c>
      <c r="L1203" s="3" t="s">
        <v>98</v>
      </c>
    </row>
    <row r="1204" ht="15.75" customHeight="1">
      <c r="A1204" s="3">
        <v>9.13074433E8</v>
      </c>
      <c r="B1204" s="3" t="s">
        <v>413</v>
      </c>
      <c r="C1204" s="3">
        <v>45.0</v>
      </c>
      <c r="D1204" s="10">
        <v>11.0</v>
      </c>
      <c r="E1204" s="11">
        <v>2013.0</v>
      </c>
      <c r="F1204" s="13">
        <v>643215.1</v>
      </c>
      <c r="G1204" s="13">
        <v>445992.9</v>
      </c>
      <c r="H1204" s="13">
        <v>197222.19999999995</v>
      </c>
      <c r="I1204" s="14">
        <v>0.3066193564174721</v>
      </c>
      <c r="J1204" s="3" t="s">
        <v>14</v>
      </c>
      <c r="K1204" s="3" t="s">
        <v>28</v>
      </c>
      <c r="L1204" s="3" t="s">
        <v>29</v>
      </c>
    </row>
    <row r="1205" ht="15.75" customHeight="1">
      <c r="A1205" s="3">
        <v>9.13729751E8</v>
      </c>
      <c r="B1205" s="3" t="s">
        <v>288</v>
      </c>
      <c r="C1205" s="3">
        <v>21.0</v>
      </c>
      <c r="D1205" s="10">
        <v>4.0</v>
      </c>
      <c r="E1205" s="11">
        <v>2011.0</v>
      </c>
      <c r="F1205" s="13">
        <v>756448.77</v>
      </c>
      <c r="G1205" s="13">
        <v>653889.17</v>
      </c>
      <c r="H1205" s="13">
        <v>102559.59999999998</v>
      </c>
      <c r="I1205" s="14">
        <v>0.13558036455000116</v>
      </c>
      <c r="J1205" s="3" t="s">
        <v>11</v>
      </c>
      <c r="K1205" s="3" t="s">
        <v>23</v>
      </c>
      <c r="L1205" s="3" t="s">
        <v>68</v>
      </c>
    </row>
    <row r="1206" ht="15.75" customHeight="1">
      <c r="A1206" s="3">
        <v>9.16089236E8</v>
      </c>
      <c r="B1206" s="3" t="s">
        <v>101</v>
      </c>
      <c r="C1206" s="3">
        <v>31.0</v>
      </c>
      <c r="D1206" s="10">
        <v>6.0</v>
      </c>
      <c r="E1206" s="11">
        <v>2014.0</v>
      </c>
      <c r="F1206" s="13">
        <v>7432.4</v>
      </c>
      <c r="G1206" s="13">
        <v>4476.61</v>
      </c>
      <c r="H1206" s="13">
        <v>2955.79</v>
      </c>
      <c r="I1206" s="14">
        <v>0.39768984446477584</v>
      </c>
      <c r="J1206" s="3" t="s">
        <v>12</v>
      </c>
      <c r="K1206" s="3" t="s">
        <v>28</v>
      </c>
      <c r="L1206" s="3" t="s">
        <v>79</v>
      </c>
    </row>
    <row r="1207" ht="15.75" customHeight="1">
      <c r="A1207" s="3">
        <v>9.17485272E8</v>
      </c>
      <c r="B1207" s="3" t="s">
        <v>413</v>
      </c>
      <c r="C1207" s="3">
        <v>32.0</v>
      </c>
      <c r="D1207" s="10">
        <v>9.0</v>
      </c>
      <c r="E1207" s="11">
        <v>2010.0</v>
      </c>
      <c r="F1207" s="13">
        <v>800558.08</v>
      </c>
      <c r="G1207" s="13">
        <v>499941.11999999994</v>
      </c>
      <c r="H1207" s="13">
        <v>300616.96</v>
      </c>
      <c r="I1207" s="14">
        <v>0.37550924475086184</v>
      </c>
      <c r="J1207" s="3" t="s">
        <v>10</v>
      </c>
      <c r="K1207" s="3" t="s">
        <v>28</v>
      </c>
      <c r="L1207" s="3" t="s">
        <v>29</v>
      </c>
    </row>
    <row r="1208" ht="15.75" customHeight="1">
      <c r="A1208" s="3">
        <v>9.17639768E8</v>
      </c>
      <c r="B1208" s="3" t="s">
        <v>635</v>
      </c>
      <c r="C1208" s="3">
        <v>44.0</v>
      </c>
      <c r="D1208" s="10">
        <v>10.0</v>
      </c>
      <c r="E1208" s="11">
        <v>2013.0</v>
      </c>
      <c r="F1208" s="13">
        <v>1364047.24</v>
      </c>
      <c r="G1208" s="13">
        <v>805094.2200000001</v>
      </c>
      <c r="H1208" s="13">
        <v>558953.0199999999</v>
      </c>
      <c r="I1208" s="14">
        <v>0.4097754121770738</v>
      </c>
      <c r="J1208" s="3" t="s">
        <v>9</v>
      </c>
      <c r="K1208" s="3" t="s">
        <v>28</v>
      </c>
      <c r="L1208" s="3" t="s">
        <v>33</v>
      </c>
    </row>
    <row r="1209" ht="15.75" customHeight="1">
      <c r="A1209" s="3">
        <v>9.17792117E8</v>
      </c>
      <c r="B1209" s="3" t="s">
        <v>349</v>
      </c>
      <c r="C1209" s="3">
        <v>27.0</v>
      </c>
      <c r="D1209" s="10">
        <v>9.0</v>
      </c>
      <c r="E1209" s="11">
        <v>2013.0</v>
      </c>
      <c r="F1209" s="13">
        <v>430344.64</v>
      </c>
      <c r="G1209" s="13">
        <v>141137.92</v>
      </c>
      <c r="H1209" s="13">
        <v>289206.72</v>
      </c>
      <c r="I1209" s="14">
        <v>0.67203513909224</v>
      </c>
      <c r="J1209" s="3" t="s">
        <v>5</v>
      </c>
      <c r="K1209" s="3" t="s">
        <v>28</v>
      </c>
      <c r="L1209" s="3" t="s">
        <v>29</v>
      </c>
    </row>
    <row r="1210" ht="15.75" customHeight="1">
      <c r="A1210" s="3">
        <v>9.17835032E8</v>
      </c>
      <c r="B1210" s="3" t="s">
        <v>78</v>
      </c>
      <c r="C1210" s="3">
        <v>50.0</v>
      </c>
      <c r="D1210" s="10">
        <v>8.0</v>
      </c>
      <c r="E1210" s="11">
        <v>2011.0</v>
      </c>
      <c r="F1210" s="13">
        <v>1022496.22</v>
      </c>
      <c r="G1210" s="13">
        <v>603502.41</v>
      </c>
      <c r="H1210" s="13">
        <v>418993.80999999994</v>
      </c>
      <c r="I1210" s="14">
        <v>0.4097754121770738</v>
      </c>
      <c r="J1210" s="3" t="s">
        <v>9</v>
      </c>
      <c r="K1210" s="3" t="s">
        <v>28</v>
      </c>
      <c r="L1210" s="3" t="s">
        <v>79</v>
      </c>
    </row>
    <row r="1211" ht="15.75" customHeight="1">
      <c r="A1211" s="3">
        <v>9.17874085E8</v>
      </c>
      <c r="B1211" s="3" t="s">
        <v>542</v>
      </c>
      <c r="C1211" s="3">
        <v>11.0</v>
      </c>
      <c r="D1211" s="10">
        <v>9.0</v>
      </c>
      <c r="E1211" s="11">
        <v>2012.0</v>
      </c>
      <c r="F1211" s="13">
        <v>3456966.6599999997</v>
      </c>
      <c r="G1211" s="13">
        <v>2988269.86</v>
      </c>
      <c r="H1211" s="13">
        <v>468696.7999999998</v>
      </c>
      <c r="I1211" s="14">
        <v>0.13558036455000114</v>
      </c>
      <c r="J1211" s="3" t="s">
        <v>11</v>
      </c>
      <c r="K1211" s="3" t="s">
        <v>28</v>
      </c>
      <c r="L1211" s="3" t="s">
        <v>29</v>
      </c>
    </row>
    <row r="1212" ht="15.75" customHeight="1">
      <c r="A1212" s="3">
        <v>9.17904984E8</v>
      </c>
      <c r="B1212" s="3" t="s">
        <v>590</v>
      </c>
      <c r="C1212" s="3">
        <v>3.0</v>
      </c>
      <c r="D1212" s="10">
        <v>4.0</v>
      </c>
      <c r="E1212" s="11">
        <v>2010.0</v>
      </c>
      <c r="F1212" s="13">
        <v>599734.74</v>
      </c>
      <c r="G1212" s="13">
        <v>415844.46</v>
      </c>
      <c r="H1212" s="13">
        <v>183890.27999999997</v>
      </c>
      <c r="I1212" s="14">
        <v>0.3066193564174721</v>
      </c>
      <c r="J1212" s="3" t="s">
        <v>14</v>
      </c>
      <c r="K1212" s="3" t="s">
        <v>28</v>
      </c>
      <c r="L1212" s="3" t="s">
        <v>98</v>
      </c>
    </row>
    <row r="1213" ht="15.75" customHeight="1">
      <c r="A1213" s="3">
        <v>9.18364179E8</v>
      </c>
      <c r="B1213" s="3" t="s">
        <v>267</v>
      </c>
      <c r="C1213" s="3">
        <v>32.0</v>
      </c>
      <c r="D1213" s="10">
        <v>3.0</v>
      </c>
      <c r="E1213" s="11">
        <v>2013.0</v>
      </c>
      <c r="F1213" s="13">
        <v>491765.34</v>
      </c>
      <c r="G1213" s="13">
        <v>314049.12</v>
      </c>
      <c r="H1213" s="13">
        <v>177716.22000000003</v>
      </c>
      <c r="I1213" s="14">
        <v>0.3613841918993315</v>
      </c>
      <c r="J1213" s="3" t="s">
        <v>13</v>
      </c>
      <c r="K1213" s="3" t="s">
        <v>28</v>
      </c>
      <c r="L1213" s="3" t="s">
        <v>29</v>
      </c>
    </row>
    <row r="1214" ht="15.75" customHeight="1">
      <c r="A1214" s="3">
        <v>9.19133651E8</v>
      </c>
      <c r="B1214" s="3" t="s">
        <v>123</v>
      </c>
      <c r="C1214" s="3">
        <v>21.0</v>
      </c>
      <c r="D1214" s="10">
        <v>10.0</v>
      </c>
      <c r="E1214" s="11">
        <v>2013.0</v>
      </c>
      <c r="F1214" s="13">
        <v>101302.56</v>
      </c>
      <c r="G1214" s="13">
        <v>33223.68</v>
      </c>
      <c r="H1214" s="13">
        <v>68078.88</v>
      </c>
      <c r="I1214" s="14">
        <v>0.6720351390922402</v>
      </c>
      <c r="J1214" s="3" t="s">
        <v>5</v>
      </c>
      <c r="K1214" s="3" t="s">
        <v>28</v>
      </c>
      <c r="L1214" s="3" t="s">
        <v>33</v>
      </c>
    </row>
    <row r="1215" ht="15.75" customHeight="1">
      <c r="A1215" s="3">
        <v>9.19922006E8</v>
      </c>
      <c r="B1215" s="3" t="s">
        <v>821</v>
      </c>
      <c r="C1215" s="3">
        <v>22.0</v>
      </c>
      <c r="D1215" s="10">
        <v>8.0</v>
      </c>
      <c r="E1215" s="11">
        <v>2011.0</v>
      </c>
      <c r="F1215" s="13">
        <v>39363.27</v>
      </c>
      <c r="G1215" s="13">
        <v>29195.48</v>
      </c>
      <c r="H1215" s="13">
        <v>10167.789999999997</v>
      </c>
      <c r="I1215" s="14">
        <v>0.25830653804930326</v>
      </c>
      <c r="J1215" s="3" t="s">
        <v>8</v>
      </c>
      <c r="K1215" s="3" t="s">
        <v>821</v>
      </c>
      <c r="L1215" s="3" t="s">
        <v>821</v>
      </c>
    </row>
    <row r="1216" ht="15.75" customHeight="1">
      <c r="A1216" s="3">
        <v>9.2001127E8</v>
      </c>
      <c r="B1216" s="3" t="s">
        <v>218</v>
      </c>
      <c r="C1216" s="3">
        <v>34.0</v>
      </c>
      <c r="D1216" s="10">
        <v>5.0</v>
      </c>
      <c r="E1216" s="11">
        <v>2017.0</v>
      </c>
      <c r="F1216" s="13">
        <v>267478.26</v>
      </c>
      <c r="G1216" s="13">
        <v>231213.46</v>
      </c>
      <c r="H1216" s="13">
        <v>36264.80000000002</v>
      </c>
      <c r="I1216" s="14">
        <v>0.13558036455000125</v>
      </c>
      <c r="J1216" s="3" t="s">
        <v>11</v>
      </c>
      <c r="K1216" s="3" t="s">
        <v>28</v>
      </c>
      <c r="L1216" s="3" t="s">
        <v>98</v>
      </c>
    </row>
    <row r="1217" ht="15.75" customHeight="1">
      <c r="A1217" s="3">
        <v>9.20688903E8</v>
      </c>
      <c r="B1217" s="3" t="s">
        <v>740</v>
      </c>
      <c r="C1217" s="3">
        <v>38.0</v>
      </c>
      <c r="D1217" s="10">
        <v>5.0</v>
      </c>
      <c r="E1217" s="11">
        <v>2014.0</v>
      </c>
      <c r="F1217" s="13">
        <v>296380.08</v>
      </c>
      <c r="G1217" s="13">
        <v>185086.62</v>
      </c>
      <c r="H1217" s="13">
        <v>111293.46000000002</v>
      </c>
      <c r="I1217" s="14">
        <v>0.37550924475086184</v>
      </c>
      <c r="J1217" s="3" t="s">
        <v>10</v>
      </c>
      <c r="K1217" s="3" t="s">
        <v>28</v>
      </c>
      <c r="L1217" s="3" t="s">
        <v>98</v>
      </c>
    </row>
    <row r="1218" ht="15.75" customHeight="1">
      <c r="A1218" s="3">
        <v>9.21133935E8</v>
      </c>
      <c r="B1218" s="3" t="s">
        <v>101</v>
      </c>
      <c r="C1218" s="3">
        <v>6.0</v>
      </c>
      <c r="D1218" s="10">
        <v>8.0</v>
      </c>
      <c r="E1218" s="11">
        <v>2013.0</v>
      </c>
      <c r="F1218" s="13">
        <v>435768.48000000004</v>
      </c>
      <c r="G1218" s="13">
        <v>278288.64</v>
      </c>
      <c r="H1218" s="13">
        <v>157479.84000000003</v>
      </c>
      <c r="I1218" s="14">
        <v>0.3613841918993315</v>
      </c>
      <c r="J1218" s="3" t="s">
        <v>13</v>
      </c>
      <c r="K1218" s="3" t="s">
        <v>28</v>
      </c>
      <c r="L1218" s="3" t="s">
        <v>79</v>
      </c>
    </row>
    <row r="1219" ht="15.75" customHeight="1">
      <c r="A1219" s="3">
        <v>9.21230065E8</v>
      </c>
      <c r="B1219" s="3" t="s">
        <v>578</v>
      </c>
      <c r="C1219" s="3">
        <v>50.0</v>
      </c>
      <c r="D1219" s="10">
        <v>3.0</v>
      </c>
      <c r="E1219" s="11">
        <v>2016.0</v>
      </c>
      <c r="F1219" s="13">
        <v>332629.84</v>
      </c>
      <c r="G1219" s="13">
        <v>207724.25999999998</v>
      </c>
      <c r="H1219" s="13">
        <v>124905.58000000005</v>
      </c>
      <c r="I1219" s="14">
        <v>0.3755092447508619</v>
      </c>
      <c r="J1219" s="3" t="s">
        <v>10</v>
      </c>
      <c r="K1219" s="3" t="s">
        <v>28</v>
      </c>
      <c r="L1219" s="3" t="s">
        <v>33</v>
      </c>
    </row>
    <row r="1220" ht="15.75" customHeight="1">
      <c r="A1220" s="3">
        <v>9.2169398E8</v>
      </c>
      <c r="B1220" s="3" t="s">
        <v>300</v>
      </c>
      <c r="C1220" s="3">
        <v>31.0</v>
      </c>
      <c r="D1220" s="10">
        <v>10.0</v>
      </c>
      <c r="E1220" s="11">
        <v>2012.0</v>
      </c>
      <c r="F1220" s="13">
        <v>1322759.16</v>
      </c>
      <c r="G1220" s="13">
        <v>780724.9800000001</v>
      </c>
      <c r="H1220" s="13">
        <v>542034.1799999998</v>
      </c>
      <c r="I1220" s="14">
        <v>0.40977541217707375</v>
      </c>
      <c r="J1220" s="3" t="s">
        <v>9</v>
      </c>
      <c r="K1220" s="3" t="s">
        <v>28</v>
      </c>
      <c r="L1220" s="3" t="s">
        <v>33</v>
      </c>
    </row>
    <row r="1221" ht="15.75" customHeight="1">
      <c r="A1221" s="3">
        <v>9.2236346E8</v>
      </c>
      <c r="B1221" s="3" t="s">
        <v>434</v>
      </c>
      <c r="C1221" s="3">
        <v>16.0</v>
      </c>
      <c r="D1221" s="10">
        <v>11.0</v>
      </c>
      <c r="E1221" s="11">
        <v>2013.0</v>
      </c>
      <c r="F1221" s="13">
        <v>732176.0</v>
      </c>
      <c r="G1221" s="13">
        <v>240128.00000000003</v>
      </c>
      <c r="H1221" s="13">
        <v>492048.0</v>
      </c>
      <c r="I1221" s="14">
        <v>0.6720351390922401</v>
      </c>
      <c r="J1221" s="3" t="s">
        <v>5</v>
      </c>
      <c r="K1221" s="3" t="s">
        <v>28</v>
      </c>
      <c r="L1221" s="3" t="s">
        <v>79</v>
      </c>
    </row>
    <row r="1222" ht="15.75" customHeight="1">
      <c r="A1222" s="3">
        <v>9.22564303E8</v>
      </c>
      <c r="B1222" s="3" t="s">
        <v>821</v>
      </c>
      <c r="C1222" s="3">
        <v>16.0</v>
      </c>
      <c r="D1222" s="10">
        <v>3.0</v>
      </c>
      <c r="E1222" s="11">
        <v>2017.0</v>
      </c>
      <c r="F1222" s="13">
        <v>4099168.1799999997</v>
      </c>
      <c r="G1222" s="13">
        <v>3082580.3600000003</v>
      </c>
      <c r="H1222" s="13">
        <v>1016587.8199999994</v>
      </c>
      <c r="I1222" s="14">
        <v>0.24799856345489085</v>
      </c>
      <c r="J1222" s="3" t="s">
        <v>4</v>
      </c>
      <c r="K1222" s="3" t="s">
        <v>821</v>
      </c>
      <c r="L1222" s="3" t="s">
        <v>821</v>
      </c>
    </row>
    <row r="1223" ht="15.75" customHeight="1">
      <c r="A1223" s="3">
        <v>9.23160398E8</v>
      </c>
      <c r="B1223" s="3" t="s">
        <v>46</v>
      </c>
      <c r="C1223" s="3">
        <v>32.0</v>
      </c>
      <c r="D1223" s="10">
        <v>5.0</v>
      </c>
      <c r="E1223" s="11">
        <v>2017.0</v>
      </c>
      <c r="F1223" s="13">
        <v>276587.68</v>
      </c>
      <c r="G1223" s="13">
        <v>90711.04000000001</v>
      </c>
      <c r="H1223" s="13">
        <v>185876.63999999998</v>
      </c>
      <c r="I1223" s="14">
        <v>0.6720351390922401</v>
      </c>
      <c r="J1223" s="3" t="s">
        <v>5</v>
      </c>
      <c r="K1223" s="3" t="s">
        <v>28</v>
      </c>
      <c r="L1223" s="3" t="s">
        <v>33</v>
      </c>
    </row>
    <row r="1224" ht="15.75" customHeight="1">
      <c r="A1224" s="3">
        <v>9.23922574E8</v>
      </c>
      <c r="B1224" s="3" t="s">
        <v>364</v>
      </c>
      <c r="C1224" s="3">
        <v>44.0</v>
      </c>
      <c r="D1224" s="10">
        <v>4.0</v>
      </c>
      <c r="E1224" s="11">
        <v>2011.0</v>
      </c>
      <c r="F1224" s="13">
        <v>1244188.56</v>
      </c>
      <c r="G1224" s="13">
        <v>734350.68</v>
      </c>
      <c r="H1224" s="13">
        <v>509837.88</v>
      </c>
      <c r="I1224" s="14">
        <v>0.40977541217707386</v>
      </c>
      <c r="J1224" s="3" t="s">
        <v>9</v>
      </c>
      <c r="K1224" s="3" t="s">
        <v>28</v>
      </c>
      <c r="L1224" s="3" t="s">
        <v>29</v>
      </c>
    </row>
    <row r="1225" ht="15.75" customHeight="1">
      <c r="A1225" s="3">
        <v>9.26064479E8</v>
      </c>
      <c r="B1225" s="3" t="s">
        <v>78</v>
      </c>
      <c r="C1225" s="3">
        <v>20.0</v>
      </c>
      <c r="D1225" s="10">
        <v>2.0</v>
      </c>
      <c r="E1225" s="11">
        <v>2017.0</v>
      </c>
      <c r="F1225" s="13">
        <v>1245764.73</v>
      </c>
      <c r="G1225" s="13">
        <v>1004248.4800000001</v>
      </c>
      <c r="H1225" s="13">
        <v>241516.24999999988</v>
      </c>
      <c r="I1225" s="14">
        <v>0.19386987300563557</v>
      </c>
      <c r="J1225" s="3" t="s">
        <v>7</v>
      </c>
      <c r="K1225" s="3" t="s">
        <v>28</v>
      </c>
      <c r="L1225" s="3" t="s">
        <v>79</v>
      </c>
    </row>
    <row r="1226" ht="15.75" customHeight="1">
      <c r="A1226" s="3">
        <v>9.26280772E8</v>
      </c>
      <c r="B1226" s="3" t="s">
        <v>431</v>
      </c>
      <c r="C1226" s="3">
        <v>16.0</v>
      </c>
      <c r="D1226" s="10">
        <v>7.0</v>
      </c>
      <c r="E1226" s="11">
        <v>2015.0</v>
      </c>
      <c r="F1226" s="13">
        <v>280856.55</v>
      </c>
      <c r="G1226" s="13">
        <v>188165.01</v>
      </c>
      <c r="H1226" s="13">
        <v>92691.53999999998</v>
      </c>
      <c r="I1226" s="14">
        <v>0.330031612223393</v>
      </c>
      <c r="J1226" s="3" t="s">
        <v>6</v>
      </c>
      <c r="K1226" s="3" t="s">
        <v>28</v>
      </c>
      <c r="L1226" s="3" t="s">
        <v>29</v>
      </c>
    </row>
    <row r="1227" ht="15.75" customHeight="1">
      <c r="A1227" s="3">
        <v>9.2676357E8</v>
      </c>
      <c r="B1227" s="3" t="s">
        <v>482</v>
      </c>
      <c r="C1227" s="3">
        <v>9.0</v>
      </c>
      <c r="D1227" s="10">
        <v>11.0</v>
      </c>
      <c r="E1227" s="11">
        <v>2016.0</v>
      </c>
      <c r="F1227" s="13">
        <v>960571.2</v>
      </c>
      <c r="G1227" s="13">
        <v>315033.60000000003</v>
      </c>
      <c r="H1227" s="13">
        <v>645537.5999999999</v>
      </c>
      <c r="I1227" s="14">
        <v>0.67203513909224</v>
      </c>
      <c r="J1227" s="3" t="s">
        <v>5</v>
      </c>
      <c r="K1227" s="3" t="s">
        <v>28</v>
      </c>
      <c r="L1227" s="3" t="s">
        <v>79</v>
      </c>
    </row>
    <row r="1228" ht="15.75" customHeight="1">
      <c r="A1228" s="3">
        <v>9.26826655E8</v>
      </c>
      <c r="B1228" s="3" t="s">
        <v>373</v>
      </c>
      <c r="C1228" s="3">
        <v>32.0</v>
      </c>
      <c r="D1228" s="10">
        <v>1.0</v>
      </c>
      <c r="E1228" s="11">
        <v>2011.0</v>
      </c>
      <c r="F1228" s="13">
        <v>1903878.24</v>
      </c>
      <c r="G1228" s="13">
        <v>1188954.3599999999</v>
      </c>
      <c r="H1228" s="13">
        <v>714923.8800000001</v>
      </c>
      <c r="I1228" s="14">
        <v>0.37550924475086184</v>
      </c>
      <c r="J1228" s="3" t="s">
        <v>10</v>
      </c>
      <c r="K1228" s="3" t="s">
        <v>28</v>
      </c>
      <c r="L1228" s="3" t="s">
        <v>33</v>
      </c>
    </row>
    <row r="1229" ht="15.75" customHeight="1">
      <c r="A1229" s="3">
        <v>9.27351081E8</v>
      </c>
      <c r="B1229" s="3" t="s">
        <v>428</v>
      </c>
      <c r="C1229" s="3">
        <v>10.0</v>
      </c>
      <c r="D1229" s="10">
        <v>5.0</v>
      </c>
      <c r="E1229" s="11">
        <v>2011.0</v>
      </c>
      <c r="F1229" s="13">
        <v>407796.82</v>
      </c>
      <c r="G1229" s="13">
        <v>240691.71000000002</v>
      </c>
      <c r="H1229" s="13">
        <v>167105.11</v>
      </c>
      <c r="I1229" s="14">
        <v>0.4097754121770738</v>
      </c>
      <c r="J1229" s="3" t="s">
        <v>9</v>
      </c>
      <c r="K1229" s="3" t="s">
        <v>28</v>
      </c>
      <c r="L1229" s="3" t="s">
        <v>79</v>
      </c>
    </row>
    <row r="1230" ht="15.75" customHeight="1">
      <c r="A1230" s="3">
        <v>9.28168189E8</v>
      </c>
      <c r="B1230" s="3" t="s">
        <v>142</v>
      </c>
      <c r="C1230" s="3">
        <v>26.0</v>
      </c>
      <c r="D1230" s="10">
        <v>2.0</v>
      </c>
      <c r="E1230" s="11">
        <v>2011.0</v>
      </c>
      <c r="F1230" s="13">
        <v>914953.6</v>
      </c>
      <c r="G1230" s="13">
        <v>520905.27999999997</v>
      </c>
      <c r="H1230" s="13">
        <v>394048.32</v>
      </c>
      <c r="I1230" s="14">
        <v>0.43067574137092857</v>
      </c>
      <c r="J1230" s="3" t="s">
        <v>3</v>
      </c>
      <c r="K1230" s="3" t="s">
        <v>28</v>
      </c>
      <c r="L1230" s="3" t="s">
        <v>98</v>
      </c>
    </row>
    <row r="1231" ht="15.75" customHeight="1">
      <c r="A1231" s="3">
        <v>9.29812705E8</v>
      </c>
      <c r="B1231" s="3" t="s">
        <v>590</v>
      </c>
      <c r="C1231" s="3">
        <v>3.0</v>
      </c>
      <c r="D1231" s="10">
        <v>5.0</v>
      </c>
      <c r="E1231" s="11">
        <v>2017.0</v>
      </c>
      <c r="F1231" s="13">
        <v>462813.32999999996</v>
      </c>
      <c r="G1231" s="13">
        <v>400064.93</v>
      </c>
      <c r="H1231" s="13">
        <v>62748.399999999965</v>
      </c>
      <c r="I1231" s="14">
        <v>0.1355803645500011</v>
      </c>
      <c r="J1231" s="3" t="s">
        <v>11</v>
      </c>
      <c r="K1231" s="3" t="s">
        <v>28</v>
      </c>
      <c r="L1231" s="3" t="s">
        <v>98</v>
      </c>
    </row>
    <row r="1232" ht="15.75" customHeight="1">
      <c r="A1232" s="3">
        <v>9.30136287E8</v>
      </c>
      <c r="B1232" s="3" t="s">
        <v>346</v>
      </c>
      <c r="C1232" s="3">
        <v>32.0</v>
      </c>
      <c r="D1232" s="10">
        <v>5.0</v>
      </c>
      <c r="E1232" s="11">
        <v>2014.0</v>
      </c>
      <c r="F1232" s="13">
        <v>325127.4</v>
      </c>
      <c r="G1232" s="13">
        <v>217825.08</v>
      </c>
      <c r="H1232" s="13">
        <v>107302.32000000004</v>
      </c>
      <c r="I1232" s="14">
        <v>0.3300316122233931</v>
      </c>
      <c r="J1232" s="3" t="s">
        <v>6</v>
      </c>
      <c r="K1232" s="3" t="s">
        <v>28</v>
      </c>
      <c r="L1232" s="3" t="s">
        <v>98</v>
      </c>
    </row>
    <row r="1233" ht="15.75" customHeight="1">
      <c r="A1233" s="3">
        <v>9.3029679E8</v>
      </c>
      <c r="B1233" s="3" t="s">
        <v>431</v>
      </c>
      <c r="C1233" s="3">
        <v>34.0</v>
      </c>
      <c r="D1233" s="10">
        <v>2.0</v>
      </c>
      <c r="E1233" s="11">
        <v>2010.0</v>
      </c>
      <c r="F1233" s="13">
        <v>1834377.72</v>
      </c>
      <c r="G1233" s="13">
        <v>1585672.1199999999</v>
      </c>
      <c r="H1233" s="13">
        <v>248705.6000000001</v>
      </c>
      <c r="I1233" s="14">
        <v>0.13558036455000125</v>
      </c>
      <c r="J1233" s="3" t="s">
        <v>11</v>
      </c>
      <c r="K1233" s="3" t="s">
        <v>28</v>
      </c>
      <c r="L1233" s="3" t="s">
        <v>29</v>
      </c>
    </row>
    <row r="1234" ht="15.75" customHeight="1">
      <c r="A1234" s="3">
        <v>9.30457293E8</v>
      </c>
      <c r="B1234" s="3" t="s">
        <v>488</v>
      </c>
      <c r="C1234" s="3">
        <v>36.0</v>
      </c>
      <c r="D1234" s="10">
        <v>6.0</v>
      </c>
      <c r="E1234" s="11">
        <v>2013.0</v>
      </c>
      <c r="F1234" s="13">
        <v>379516.5</v>
      </c>
      <c r="G1234" s="13">
        <v>216067.95</v>
      </c>
      <c r="H1234" s="13">
        <v>163448.55</v>
      </c>
      <c r="I1234" s="14">
        <v>0.4306757413709285</v>
      </c>
      <c r="J1234" s="3" t="s">
        <v>3</v>
      </c>
      <c r="K1234" s="3" t="s">
        <v>28</v>
      </c>
      <c r="L1234" s="3" t="s">
        <v>33</v>
      </c>
    </row>
    <row r="1235" ht="15.75" customHeight="1">
      <c r="A1235" s="3">
        <v>9.30670154E8</v>
      </c>
      <c r="B1235" s="3" t="s">
        <v>542</v>
      </c>
      <c r="C1235" s="3">
        <v>17.0</v>
      </c>
      <c r="D1235" s="10">
        <v>2.0</v>
      </c>
      <c r="E1235" s="11">
        <v>2017.0</v>
      </c>
      <c r="F1235" s="13">
        <v>2039838.15</v>
      </c>
      <c r="G1235" s="13">
        <v>1763276.15</v>
      </c>
      <c r="H1235" s="13">
        <v>276562.0</v>
      </c>
      <c r="I1235" s="14">
        <v>0.1355803645500012</v>
      </c>
      <c r="J1235" s="3" t="s">
        <v>11</v>
      </c>
      <c r="K1235" s="3" t="s">
        <v>28</v>
      </c>
      <c r="L1235" s="3" t="s">
        <v>29</v>
      </c>
    </row>
    <row r="1236" ht="15.75" customHeight="1">
      <c r="A1236" s="3">
        <v>9.3147782E8</v>
      </c>
      <c r="B1236" s="3" t="s">
        <v>101</v>
      </c>
      <c r="C1236" s="3">
        <v>26.0</v>
      </c>
      <c r="D1236" s="10">
        <v>6.0</v>
      </c>
      <c r="E1236" s="11">
        <v>2014.0</v>
      </c>
      <c r="F1236" s="13">
        <v>182255.45</v>
      </c>
      <c r="G1236" s="13">
        <v>122105.39</v>
      </c>
      <c r="H1236" s="13">
        <v>60150.06000000001</v>
      </c>
      <c r="I1236" s="14">
        <v>0.3300316122233931</v>
      </c>
      <c r="J1236" s="3" t="s">
        <v>6</v>
      </c>
      <c r="K1236" s="3" t="s">
        <v>28</v>
      </c>
      <c r="L1236" s="3" t="s">
        <v>79</v>
      </c>
    </row>
    <row r="1237" ht="15.75" customHeight="1">
      <c r="A1237" s="3">
        <v>9.31559789E8</v>
      </c>
      <c r="B1237" s="3" t="s">
        <v>346</v>
      </c>
      <c r="C1237" s="3">
        <v>10.0</v>
      </c>
      <c r="D1237" s="10">
        <v>6.0</v>
      </c>
      <c r="E1237" s="11">
        <v>2013.0</v>
      </c>
      <c r="F1237" s="13">
        <v>884949.4400000001</v>
      </c>
      <c r="G1237" s="13">
        <v>290232.32</v>
      </c>
      <c r="H1237" s="13">
        <v>594717.1200000001</v>
      </c>
      <c r="I1237" s="14">
        <v>0.6720351390922402</v>
      </c>
      <c r="J1237" s="3" t="s">
        <v>5</v>
      </c>
      <c r="K1237" s="3" t="s">
        <v>28</v>
      </c>
      <c r="L1237" s="3" t="s">
        <v>98</v>
      </c>
    </row>
    <row r="1238" ht="15.75" customHeight="1">
      <c r="A1238" s="3">
        <v>9.32475602E8</v>
      </c>
      <c r="B1238" s="3" t="s">
        <v>46</v>
      </c>
      <c r="C1238" s="3">
        <v>43.0</v>
      </c>
      <c r="D1238" s="10">
        <v>10.0</v>
      </c>
      <c r="E1238" s="11">
        <v>2013.0</v>
      </c>
      <c r="F1238" s="13">
        <v>432127.15</v>
      </c>
      <c r="G1238" s="13">
        <v>289511.52999999997</v>
      </c>
      <c r="H1238" s="13">
        <v>142615.62000000005</v>
      </c>
      <c r="I1238" s="14">
        <v>0.33003161222339317</v>
      </c>
      <c r="J1238" s="3" t="s">
        <v>6</v>
      </c>
      <c r="K1238" s="3" t="s">
        <v>28</v>
      </c>
      <c r="L1238" s="3" t="s">
        <v>33</v>
      </c>
    </row>
    <row r="1239" ht="15.75" customHeight="1">
      <c r="A1239" s="3">
        <v>9.33642041E8</v>
      </c>
      <c r="B1239" s="3" t="s">
        <v>488</v>
      </c>
      <c r="C1239" s="3">
        <v>30.0</v>
      </c>
      <c r="D1239" s="10">
        <v>4.0</v>
      </c>
      <c r="E1239" s="11">
        <v>2012.0</v>
      </c>
      <c r="F1239" s="13">
        <v>349967.86000000004</v>
      </c>
      <c r="G1239" s="13">
        <v>242660.94</v>
      </c>
      <c r="H1239" s="13">
        <v>107306.92000000004</v>
      </c>
      <c r="I1239" s="14">
        <v>0.30661935641747223</v>
      </c>
      <c r="J1239" s="3" t="s">
        <v>14</v>
      </c>
      <c r="K1239" s="3" t="s">
        <v>28</v>
      </c>
      <c r="L1239" s="3" t="s">
        <v>33</v>
      </c>
    </row>
    <row r="1240" ht="15.75" customHeight="1">
      <c r="A1240" s="3">
        <v>9.33699119E8</v>
      </c>
      <c r="B1240" s="3" t="s">
        <v>512</v>
      </c>
      <c r="C1240" s="3">
        <v>11.0</v>
      </c>
      <c r="D1240" s="10">
        <v>11.0</v>
      </c>
      <c r="E1240" s="11">
        <v>2013.0</v>
      </c>
      <c r="F1240" s="13">
        <v>95869.29000000001</v>
      </c>
      <c r="G1240" s="13">
        <v>66473.91</v>
      </c>
      <c r="H1240" s="13">
        <v>29395.380000000005</v>
      </c>
      <c r="I1240" s="14">
        <v>0.3066193564174722</v>
      </c>
      <c r="J1240" s="3" t="s">
        <v>14</v>
      </c>
      <c r="K1240" s="3" t="s">
        <v>28</v>
      </c>
      <c r="L1240" s="3" t="s">
        <v>79</v>
      </c>
    </row>
    <row r="1241" ht="15.75" customHeight="1">
      <c r="A1241" s="3">
        <v>9.33720576E8</v>
      </c>
      <c r="B1241" s="3" t="s">
        <v>428</v>
      </c>
      <c r="C1241" s="3">
        <v>48.0</v>
      </c>
      <c r="D1241" s="10">
        <v>8.0</v>
      </c>
      <c r="E1241" s="11">
        <v>2016.0</v>
      </c>
      <c r="F1241" s="13">
        <v>1158993.3800000001</v>
      </c>
      <c r="G1241" s="13">
        <v>684066.39</v>
      </c>
      <c r="H1241" s="13">
        <v>474926.9900000001</v>
      </c>
      <c r="I1241" s="14">
        <v>0.4097754121770739</v>
      </c>
      <c r="J1241" s="3" t="s">
        <v>9</v>
      </c>
      <c r="K1241" s="3" t="s">
        <v>28</v>
      </c>
      <c r="L1241" s="3" t="s">
        <v>79</v>
      </c>
    </row>
    <row r="1242" ht="15.75" customHeight="1">
      <c r="A1242" s="3">
        <v>9.33963048E8</v>
      </c>
      <c r="B1242" s="3" t="s">
        <v>689</v>
      </c>
      <c r="C1242" s="3">
        <v>34.0</v>
      </c>
      <c r="D1242" s="10">
        <v>5.0</v>
      </c>
      <c r="E1242" s="11">
        <v>2011.0</v>
      </c>
      <c r="F1242" s="13">
        <v>1013572.0</v>
      </c>
      <c r="G1242" s="13">
        <v>332416.00000000006</v>
      </c>
      <c r="H1242" s="13">
        <v>681156.0</v>
      </c>
      <c r="I1242" s="14">
        <v>0.6720351390922401</v>
      </c>
      <c r="J1242" s="3" t="s">
        <v>5</v>
      </c>
      <c r="K1242" s="3" t="s">
        <v>28</v>
      </c>
      <c r="L1242" s="3" t="s">
        <v>79</v>
      </c>
    </row>
    <row r="1243" ht="15.75" customHeight="1">
      <c r="A1243" s="3">
        <v>9.34718358E8</v>
      </c>
      <c r="B1243" s="3" t="s">
        <v>364</v>
      </c>
      <c r="C1243" s="3">
        <v>14.0</v>
      </c>
      <c r="D1243" s="10">
        <v>12.0</v>
      </c>
      <c r="E1243" s="11">
        <v>2015.0</v>
      </c>
      <c r="F1243" s="13">
        <v>429673.34</v>
      </c>
      <c r="G1243" s="13">
        <v>253603.77000000002</v>
      </c>
      <c r="H1243" s="13">
        <v>176069.57</v>
      </c>
      <c r="I1243" s="14">
        <v>0.40977541217707386</v>
      </c>
      <c r="J1243" s="3" t="s">
        <v>9</v>
      </c>
      <c r="K1243" s="3" t="s">
        <v>28</v>
      </c>
      <c r="L1243" s="3" t="s">
        <v>29</v>
      </c>
    </row>
    <row r="1244" ht="15.75" customHeight="1">
      <c r="A1244" s="3">
        <v>9.35789954E8</v>
      </c>
      <c r="B1244" s="3" t="s">
        <v>97</v>
      </c>
      <c r="C1244" s="3">
        <v>46.0</v>
      </c>
      <c r="D1244" s="10">
        <v>10.0</v>
      </c>
      <c r="E1244" s="11">
        <v>2010.0</v>
      </c>
      <c r="F1244" s="13">
        <v>469660.10000000003</v>
      </c>
      <c r="G1244" s="13">
        <v>314657.42</v>
      </c>
      <c r="H1244" s="13">
        <v>155002.68000000005</v>
      </c>
      <c r="I1244" s="14">
        <v>0.3300316122233931</v>
      </c>
      <c r="J1244" s="3" t="s">
        <v>6</v>
      </c>
      <c r="K1244" s="3" t="s">
        <v>28</v>
      </c>
      <c r="L1244" s="3" t="s">
        <v>98</v>
      </c>
    </row>
    <row r="1245" ht="15.75" customHeight="1">
      <c r="A1245" s="3">
        <v>9.35907542E8</v>
      </c>
      <c r="B1245" s="3" t="s">
        <v>536</v>
      </c>
      <c r="C1245" s="3">
        <v>25.0</v>
      </c>
      <c r="D1245" s="10">
        <v>2.0</v>
      </c>
      <c r="E1245" s="11">
        <v>2016.0</v>
      </c>
      <c r="F1245" s="13">
        <v>222777.75</v>
      </c>
      <c r="G1245" s="13">
        <v>149254.05</v>
      </c>
      <c r="H1245" s="13">
        <v>73523.70000000001</v>
      </c>
      <c r="I1245" s="14">
        <v>0.3300316122233931</v>
      </c>
      <c r="J1245" s="3" t="s">
        <v>6</v>
      </c>
      <c r="K1245" s="3" t="s">
        <v>28</v>
      </c>
      <c r="L1245" s="3" t="s">
        <v>33</v>
      </c>
    </row>
    <row r="1246" ht="15.75" customHeight="1">
      <c r="A1246" s="3">
        <v>9.36411798E8</v>
      </c>
      <c r="B1246" s="3" t="s">
        <v>413</v>
      </c>
      <c r="C1246" s="3">
        <v>4.0</v>
      </c>
      <c r="D1246" s="10">
        <v>9.0</v>
      </c>
      <c r="E1246" s="11">
        <v>2012.0</v>
      </c>
      <c r="F1246" s="13">
        <v>319972.95</v>
      </c>
      <c r="G1246" s="13">
        <v>221863.05000000002</v>
      </c>
      <c r="H1246" s="13">
        <v>98109.9</v>
      </c>
      <c r="I1246" s="14">
        <v>0.3066193564174721</v>
      </c>
      <c r="J1246" s="3" t="s">
        <v>14</v>
      </c>
      <c r="K1246" s="3" t="s">
        <v>28</v>
      </c>
      <c r="L1246" s="3" t="s">
        <v>29</v>
      </c>
    </row>
    <row r="1247" ht="15.75" customHeight="1">
      <c r="A1247" s="3">
        <v>9.3654741E8</v>
      </c>
      <c r="B1247" s="3" t="s">
        <v>300</v>
      </c>
      <c r="C1247" s="3">
        <v>4.0</v>
      </c>
      <c r="D1247" s="10">
        <v>1.0</v>
      </c>
      <c r="E1247" s="11">
        <v>2011.0</v>
      </c>
      <c r="F1247" s="13">
        <v>623326.76</v>
      </c>
      <c r="G1247" s="13">
        <v>367902.78</v>
      </c>
      <c r="H1247" s="13">
        <v>255423.97999999998</v>
      </c>
      <c r="I1247" s="14">
        <v>0.4097754121770738</v>
      </c>
      <c r="J1247" s="3" t="s">
        <v>9</v>
      </c>
      <c r="K1247" s="3" t="s">
        <v>28</v>
      </c>
      <c r="L1247" s="3" t="s">
        <v>33</v>
      </c>
    </row>
    <row r="1248" ht="15.75" customHeight="1">
      <c r="A1248" s="3">
        <v>9.36664998E8</v>
      </c>
      <c r="B1248" s="3" t="s">
        <v>650</v>
      </c>
      <c r="C1248" s="3">
        <v>34.0</v>
      </c>
      <c r="D1248" s="10">
        <v>6.0</v>
      </c>
      <c r="E1248" s="11">
        <v>2016.0</v>
      </c>
      <c r="F1248" s="13">
        <v>1362352.58</v>
      </c>
      <c r="G1248" s="13">
        <v>804093.9900000001</v>
      </c>
      <c r="H1248" s="13">
        <v>558258.59</v>
      </c>
      <c r="I1248" s="14">
        <v>0.4097754121770738</v>
      </c>
      <c r="J1248" s="3" t="s">
        <v>9</v>
      </c>
      <c r="K1248" s="3" t="s">
        <v>28</v>
      </c>
      <c r="L1248" s="3" t="s">
        <v>98</v>
      </c>
    </row>
    <row r="1249" ht="15.75" customHeight="1">
      <c r="A1249" s="3">
        <v>9.3787564E8</v>
      </c>
      <c r="B1249" s="3" t="s">
        <v>623</v>
      </c>
      <c r="C1249" s="3">
        <v>31.0</v>
      </c>
      <c r="D1249" s="10">
        <v>10.0</v>
      </c>
      <c r="E1249" s="11">
        <v>2011.0</v>
      </c>
      <c r="F1249" s="13">
        <v>775669.4400000001</v>
      </c>
      <c r="G1249" s="13">
        <v>254392.32000000004</v>
      </c>
      <c r="H1249" s="13">
        <v>521277.12</v>
      </c>
      <c r="I1249" s="14">
        <v>0.6720351390922401</v>
      </c>
      <c r="J1249" s="3" t="s">
        <v>5</v>
      </c>
      <c r="K1249" s="3" t="s">
        <v>28</v>
      </c>
      <c r="L1249" s="3" t="s">
        <v>33</v>
      </c>
    </row>
    <row r="1250" ht="15.75" customHeight="1">
      <c r="A1250" s="3">
        <v>9.3820995E8</v>
      </c>
      <c r="B1250" s="3" t="s">
        <v>291</v>
      </c>
      <c r="C1250" s="3">
        <v>2.0</v>
      </c>
      <c r="D1250" s="10">
        <v>3.0</v>
      </c>
      <c r="E1250" s="11">
        <v>2010.0</v>
      </c>
      <c r="F1250" s="13">
        <v>492668.44</v>
      </c>
      <c r="G1250" s="13">
        <v>341606.76</v>
      </c>
      <c r="H1250" s="13">
        <v>151061.68</v>
      </c>
      <c r="I1250" s="14">
        <v>0.3066193564174721</v>
      </c>
      <c r="J1250" s="3" t="s">
        <v>14</v>
      </c>
      <c r="K1250" s="3" t="s">
        <v>28</v>
      </c>
      <c r="L1250" s="3" t="s">
        <v>79</v>
      </c>
    </row>
    <row r="1251" ht="15.75" customHeight="1">
      <c r="A1251" s="3">
        <v>9.40682303E8</v>
      </c>
      <c r="B1251" s="3" t="s">
        <v>428</v>
      </c>
      <c r="C1251" s="3">
        <v>39.0</v>
      </c>
      <c r="D1251" s="10">
        <v>1.0</v>
      </c>
      <c r="E1251" s="11">
        <v>2010.0</v>
      </c>
      <c r="F1251" s="13">
        <v>1574016.4</v>
      </c>
      <c r="G1251" s="13">
        <v>896125.72</v>
      </c>
      <c r="H1251" s="13">
        <v>677890.6799999999</v>
      </c>
      <c r="I1251" s="14">
        <v>0.4306757413709285</v>
      </c>
      <c r="J1251" s="3" t="s">
        <v>3</v>
      </c>
      <c r="K1251" s="3" t="s">
        <v>28</v>
      </c>
      <c r="L1251" s="3" t="s">
        <v>79</v>
      </c>
    </row>
    <row r="1252" ht="15.75" customHeight="1">
      <c r="A1252" s="3">
        <v>9.41061675E8</v>
      </c>
      <c r="B1252" s="3" t="s">
        <v>821</v>
      </c>
      <c r="C1252" s="3">
        <v>12.0</v>
      </c>
      <c r="D1252" s="10">
        <v>3.0</v>
      </c>
      <c r="E1252" s="11">
        <v>2017.0</v>
      </c>
      <c r="F1252" s="13">
        <v>1527813.02</v>
      </c>
      <c r="G1252" s="13">
        <v>901752.81</v>
      </c>
      <c r="H1252" s="13">
        <v>626060.21</v>
      </c>
      <c r="I1252" s="14">
        <v>0.40977541217707386</v>
      </c>
      <c r="J1252" s="3" t="s">
        <v>9</v>
      </c>
      <c r="K1252" s="3" t="s">
        <v>821</v>
      </c>
      <c r="L1252" s="3" t="s">
        <v>821</v>
      </c>
    </row>
    <row r="1253" ht="15.75" customHeight="1">
      <c r="A1253" s="3">
        <v>9.41524302E8</v>
      </c>
      <c r="B1253" s="3" t="s">
        <v>364</v>
      </c>
      <c r="C1253" s="3">
        <v>6.0</v>
      </c>
      <c r="D1253" s="10">
        <v>10.0</v>
      </c>
      <c r="E1253" s="11">
        <v>2014.0</v>
      </c>
      <c r="F1253" s="13">
        <v>557316.87</v>
      </c>
      <c r="G1253" s="13">
        <v>386432.73000000004</v>
      </c>
      <c r="H1253" s="13">
        <v>170884.13999999996</v>
      </c>
      <c r="I1253" s="14">
        <v>0.30661935641747207</v>
      </c>
      <c r="J1253" s="3" t="s">
        <v>14</v>
      </c>
      <c r="K1253" s="3" t="s">
        <v>28</v>
      </c>
      <c r="L1253" s="3" t="s">
        <v>29</v>
      </c>
    </row>
    <row r="1254" ht="15.75" customHeight="1">
      <c r="A1254" s="3">
        <v>9.41933286E8</v>
      </c>
      <c r="B1254" s="3" t="s">
        <v>593</v>
      </c>
      <c r="C1254" s="3">
        <v>34.0</v>
      </c>
      <c r="D1254" s="10">
        <v>1.0</v>
      </c>
      <c r="E1254" s="11">
        <v>2013.0</v>
      </c>
      <c r="F1254" s="13">
        <v>1197142.6800000002</v>
      </c>
      <c r="G1254" s="13">
        <v>764514.24</v>
      </c>
      <c r="H1254" s="13">
        <v>432628.4400000002</v>
      </c>
      <c r="I1254" s="14">
        <v>0.3613841918993316</v>
      </c>
      <c r="J1254" s="3" t="s">
        <v>13</v>
      </c>
      <c r="K1254" s="3" t="s">
        <v>28</v>
      </c>
      <c r="L1254" s="3" t="s">
        <v>98</v>
      </c>
    </row>
    <row r="1255" ht="15.75" customHeight="1">
      <c r="A1255" s="3">
        <v>9.4237231E8</v>
      </c>
      <c r="B1255" s="3" t="s">
        <v>123</v>
      </c>
      <c r="C1255" s="3">
        <v>13.0</v>
      </c>
      <c r="D1255" s="10">
        <v>2.0</v>
      </c>
      <c r="E1255" s="11">
        <v>2012.0</v>
      </c>
      <c r="F1255" s="13">
        <v>1195967.78</v>
      </c>
      <c r="G1255" s="13">
        <v>705889.5900000001</v>
      </c>
      <c r="H1255" s="13">
        <v>490078.18999999994</v>
      </c>
      <c r="I1255" s="14">
        <v>0.4097754121770738</v>
      </c>
      <c r="J1255" s="3" t="s">
        <v>9</v>
      </c>
      <c r="K1255" s="3" t="s">
        <v>28</v>
      </c>
      <c r="L1255" s="3" t="s">
        <v>33</v>
      </c>
    </row>
    <row r="1256" ht="15.75" customHeight="1">
      <c r="A1256" s="3">
        <v>9.42454278E8</v>
      </c>
      <c r="B1256" s="3" t="s">
        <v>349</v>
      </c>
      <c r="C1256" s="3">
        <v>48.0</v>
      </c>
      <c r="D1256" s="10">
        <v>2.0</v>
      </c>
      <c r="E1256" s="11">
        <v>2011.0</v>
      </c>
      <c r="F1256" s="13">
        <v>882706.7999999999</v>
      </c>
      <c r="G1256" s="13">
        <v>531663.27</v>
      </c>
      <c r="H1256" s="13">
        <v>351043.5299999999</v>
      </c>
      <c r="I1256" s="14">
        <v>0.3976898444647758</v>
      </c>
      <c r="J1256" s="3" t="s">
        <v>12</v>
      </c>
      <c r="K1256" s="3" t="s">
        <v>28</v>
      </c>
      <c r="L1256" s="3" t="s">
        <v>29</v>
      </c>
    </row>
    <row r="1257" ht="15.75" customHeight="1">
      <c r="A1257" s="3">
        <v>9.43274819E8</v>
      </c>
      <c r="B1257" s="3" t="s">
        <v>413</v>
      </c>
      <c r="C1257" s="3">
        <v>28.0</v>
      </c>
      <c r="D1257" s="10">
        <v>2.0</v>
      </c>
      <c r="E1257" s="11">
        <v>2013.0</v>
      </c>
      <c r="F1257" s="13">
        <v>737876.88</v>
      </c>
      <c r="G1257" s="13">
        <v>471219.83999999997</v>
      </c>
      <c r="H1257" s="13">
        <v>266657.04000000004</v>
      </c>
      <c r="I1257" s="14">
        <v>0.3613841918993315</v>
      </c>
      <c r="J1257" s="3" t="s">
        <v>13</v>
      </c>
      <c r="K1257" s="3" t="s">
        <v>28</v>
      </c>
      <c r="L1257" s="3" t="s">
        <v>29</v>
      </c>
    </row>
    <row r="1258" ht="15.75" customHeight="1">
      <c r="A1258" s="3">
        <v>9.4424771E8</v>
      </c>
      <c r="B1258" s="3" t="s">
        <v>142</v>
      </c>
      <c r="C1258" s="3">
        <v>43.0</v>
      </c>
      <c r="D1258" s="10">
        <v>12.0</v>
      </c>
      <c r="E1258" s="11">
        <v>2014.0</v>
      </c>
      <c r="F1258" s="13">
        <v>698446.08</v>
      </c>
      <c r="G1258" s="13">
        <v>436173.11999999994</v>
      </c>
      <c r="H1258" s="13">
        <v>262272.96</v>
      </c>
      <c r="I1258" s="14">
        <v>0.37550924475086184</v>
      </c>
      <c r="J1258" s="3" t="s">
        <v>10</v>
      </c>
      <c r="K1258" s="3" t="s">
        <v>28</v>
      </c>
      <c r="L1258" s="3" t="s">
        <v>98</v>
      </c>
    </row>
    <row r="1259" ht="15.75" customHeight="1">
      <c r="A1259" s="3">
        <v>9.44609057E8</v>
      </c>
      <c r="B1259" s="3" t="s">
        <v>578</v>
      </c>
      <c r="C1259" s="3">
        <v>45.0</v>
      </c>
      <c r="D1259" s="10">
        <v>1.0</v>
      </c>
      <c r="E1259" s="11">
        <v>2014.0</v>
      </c>
      <c r="F1259" s="13">
        <v>4077988.7399999998</v>
      </c>
      <c r="G1259" s="13">
        <v>3525093.54</v>
      </c>
      <c r="H1259" s="13">
        <v>552895.1999999997</v>
      </c>
      <c r="I1259" s="14">
        <v>0.13558036455000114</v>
      </c>
      <c r="J1259" s="3" t="s">
        <v>11</v>
      </c>
      <c r="K1259" s="3" t="s">
        <v>28</v>
      </c>
      <c r="L1259" s="3" t="s">
        <v>33</v>
      </c>
    </row>
    <row r="1260" ht="15.75" customHeight="1">
      <c r="A1260" s="3">
        <v>9.46421372E8</v>
      </c>
      <c r="B1260" s="3" t="s">
        <v>740</v>
      </c>
      <c r="C1260" s="3">
        <v>2.0</v>
      </c>
      <c r="D1260" s="10">
        <v>3.0</v>
      </c>
      <c r="E1260" s="11">
        <v>2015.0</v>
      </c>
      <c r="F1260" s="13">
        <v>283323.95</v>
      </c>
      <c r="G1260" s="13">
        <v>189818.09</v>
      </c>
      <c r="H1260" s="13">
        <v>93505.86000000002</v>
      </c>
      <c r="I1260" s="14">
        <v>0.3300316122233931</v>
      </c>
      <c r="J1260" s="3" t="s">
        <v>6</v>
      </c>
      <c r="K1260" s="3" t="s">
        <v>28</v>
      </c>
      <c r="L1260" s="3" t="s">
        <v>98</v>
      </c>
    </row>
    <row r="1261" ht="15.75" customHeight="1">
      <c r="A1261" s="3">
        <v>9.46823489E8</v>
      </c>
      <c r="B1261" s="3" t="s">
        <v>364</v>
      </c>
      <c r="C1261" s="3">
        <v>49.0</v>
      </c>
      <c r="D1261" s="10">
        <v>7.0</v>
      </c>
      <c r="E1261" s="11">
        <v>2016.0</v>
      </c>
      <c r="F1261" s="13">
        <v>1021506.2</v>
      </c>
      <c r="G1261" s="13">
        <v>581568.26</v>
      </c>
      <c r="H1261" s="13">
        <v>439937.93999999994</v>
      </c>
      <c r="I1261" s="14">
        <v>0.4306757413709285</v>
      </c>
      <c r="J1261" s="3" t="s">
        <v>3</v>
      </c>
      <c r="K1261" s="3" t="s">
        <v>28</v>
      </c>
      <c r="L1261" s="3" t="s">
        <v>29</v>
      </c>
    </row>
    <row r="1262" ht="15.75" customHeight="1">
      <c r="A1262" s="3">
        <v>9.47073256E8</v>
      </c>
      <c r="B1262" s="3" t="s">
        <v>288</v>
      </c>
      <c r="C1262" s="3">
        <v>12.0</v>
      </c>
      <c r="D1262" s="10">
        <v>5.0</v>
      </c>
      <c r="E1262" s="11">
        <v>2010.0</v>
      </c>
      <c r="F1262" s="13">
        <v>1354605.2400000002</v>
      </c>
      <c r="G1262" s="13">
        <v>865072.32</v>
      </c>
      <c r="H1262" s="13">
        <v>489532.9200000003</v>
      </c>
      <c r="I1262" s="14">
        <v>0.36138419189933163</v>
      </c>
      <c r="J1262" s="3" t="s">
        <v>13</v>
      </c>
      <c r="K1262" s="3" t="s">
        <v>23</v>
      </c>
      <c r="L1262" s="3" t="s">
        <v>68</v>
      </c>
    </row>
    <row r="1263" ht="15.75" customHeight="1">
      <c r="A1263" s="3">
        <v>9.47507131E8</v>
      </c>
      <c r="B1263" s="3" t="s">
        <v>740</v>
      </c>
      <c r="C1263" s="3">
        <v>43.0</v>
      </c>
      <c r="D1263" s="10">
        <v>9.0</v>
      </c>
      <c r="E1263" s="11">
        <v>2013.0</v>
      </c>
      <c r="F1263" s="13">
        <v>345008.95</v>
      </c>
      <c r="G1263" s="13">
        <v>231145.09</v>
      </c>
      <c r="H1263" s="13">
        <v>113863.86000000002</v>
      </c>
      <c r="I1263" s="14">
        <v>0.33003161222339306</v>
      </c>
      <c r="J1263" s="3" t="s">
        <v>6</v>
      </c>
      <c r="K1263" s="3" t="s">
        <v>28</v>
      </c>
      <c r="L1263" s="3" t="s">
        <v>98</v>
      </c>
    </row>
    <row r="1264" ht="15.75" customHeight="1">
      <c r="A1264" s="3">
        <v>9.48075759E8</v>
      </c>
      <c r="B1264" s="3" t="s">
        <v>346</v>
      </c>
      <c r="C1264" s="3">
        <v>32.0</v>
      </c>
      <c r="D1264" s="10">
        <v>12.0</v>
      </c>
      <c r="E1264" s="11">
        <v>2010.0</v>
      </c>
      <c r="F1264" s="13">
        <v>262873.0</v>
      </c>
      <c r="G1264" s="13">
        <v>176116.6</v>
      </c>
      <c r="H1264" s="13">
        <v>86756.4</v>
      </c>
      <c r="I1264" s="14">
        <v>0.330031612223393</v>
      </c>
      <c r="J1264" s="3" t="s">
        <v>6</v>
      </c>
      <c r="K1264" s="3" t="s">
        <v>28</v>
      </c>
      <c r="L1264" s="3" t="s">
        <v>98</v>
      </c>
    </row>
    <row r="1265" ht="15.75" customHeight="1">
      <c r="A1265" s="3">
        <v>9.48518216E8</v>
      </c>
      <c r="B1265" s="3" t="s">
        <v>142</v>
      </c>
      <c r="C1265" s="3">
        <v>27.0</v>
      </c>
      <c r="D1265" s="10">
        <v>4.0</v>
      </c>
      <c r="E1265" s="11">
        <v>2012.0</v>
      </c>
      <c r="F1265" s="13">
        <v>2730893.9699999997</v>
      </c>
      <c r="G1265" s="13">
        <v>2360638.37</v>
      </c>
      <c r="H1265" s="13">
        <v>370255.5999999996</v>
      </c>
      <c r="I1265" s="14">
        <v>0.13558036455000105</v>
      </c>
      <c r="J1265" s="3" t="s">
        <v>11</v>
      </c>
      <c r="K1265" s="3" t="s">
        <v>28</v>
      </c>
      <c r="L1265" s="3" t="s">
        <v>98</v>
      </c>
    </row>
    <row r="1266" ht="15.75" customHeight="1">
      <c r="A1266" s="3">
        <v>9.49388539E8</v>
      </c>
      <c r="B1266" s="3" t="s">
        <v>593</v>
      </c>
      <c r="C1266" s="3">
        <v>12.0</v>
      </c>
      <c r="D1266" s="10">
        <v>9.0</v>
      </c>
      <c r="E1266" s="11">
        <v>2016.0</v>
      </c>
      <c r="F1266" s="13">
        <v>613524.18</v>
      </c>
      <c r="G1266" s="13">
        <v>391806.24</v>
      </c>
      <c r="H1266" s="13">
        <v>221717.94000000006</v>
      </c>
      <c r="I1266" s="14">
        <v>0.3613841918993316</v>
      </c>
      <c r="J1266" s="3" t="s">
        <v>13</v>
      </c>
      <c r="K1266" s="3" t="s">
        <v>28</v>
      </c>
      <c r="L1266" s="3" t="s">
        <v>98</v>
      </c>
    </row>
    <row r="1267" ht="15.75" customHeight="1">
      <c r="A1267" s="3">
        <v>9.49732291E8</v>
      </c>
      <c r="B1267" s="3" t="s">
        <v>536</v>
      </c>
      <c r="C1267" s="3">
        <v>40.0</v>
      </c>
      <c r="D1267" s="10">
        <v>7.0</v>
      </c>
      <c r="E1267" s="11">
        <v>2017.0</v>
      </c>
      <c r="F1267" s="13">
        <v>272600.25</v>
      </c>
      <c r="G1267" s="13">
        <v>182633.55</v>
      </c>
      <c r="H1267" s="13">
        <v>89966.70000000001</v>
      </c>
      <c r="I1267" s="14">
        <v>0.3300316122233931</v>
      </c>
      <c r="J1267" s="3" t="s">
        <v>6</v>
      </c>
      <c r="K1267" s="3" t="s">
        <v>28</v>
      </c>
      <c r="L1267" s="3" t="s">
        <v>33</v>
      </c>
    </row>
    <row r="1268" ht="15.75" customHeight="1">
      <c r="A1268" s="3">
        <v>9.49912965E8</v>
      </c>
      <c r="B1268" s="3" t="s">
        <v>653</v>
      </c>
      <c r="C1268" s="3">
        <v>41.0</v>
      </c>
      <c r="D1268" s="10">
        <v>1.0</v>
      </c>
      <c r="E1268" s="11">
        <v>2017.0</v>
      </c>
      <c r="F1268" s="13">
        <v>4026612.0</v>
      </c>
      <c r="G1268" s="13">
        <v>2425269.3</v>
      </c>
      <c r="H1268" s="13">
        <v>1601342.7000000002</v>
      </c>
      <c r="I1268" s="14">
        <v>0.3976898444647759</v>
      </c>
      <c r="J1268" s="3" t="s">
        <v>12</v>
      </c>
      <c r="K1268" s="3" t="s">
        <v>28</v>
      </c>
      <c r="L1268" s="3" t="s">
        <v>33</v>
      </c>
    </row>
    <row r="1269" ht="15.75" customHeight="1">
      <c r="A1269" s="3">
        <v>9.51698243E8</v>
      </c>
      <c r="B1269" s="3" t="s">
        <v>67</v>
      </c>
      <c r="C1269" s="3">
        <v>17.0</v>
      </c>
      <c r="D1269" s="10">
        <v>6.0</v>
      </c>
      <c r="E1269" s="11">
        <v>2017.0</v>
      </c>
      <c r="F1269" s="13">
        <v>1146486.12</v>
      </c>
      <c r="G1269" s="13">
        <v>732164.16</v>
      </c>
      <c r="H1269" s="13">
        <v>414321.9600000001</v>
      </c>
      <c r="I1269" s="14">
        <v>0.3613841918993315</v>
      </c>
      <c r="J1269" s="3" t="s">
        <v>13</v>
      </c>
      <c r="K1269" s="3" t="s">
        <v>23</v>
      </c>
      <c r="L1269" s="3" t="s">
        <v>68</v>
      </c>
    </row>
    <row r="1270" ht="15.75" customHeight="1">
      <c r="A1270" s="3">
        <v>9.54040992E8</v>
      </c>
      <c r="B1270" s="3" t="s">
        <v>123</v>
      </c>
      <c r="C1270" s="3">
        <v>44.0</v>
      </c>
      <c r="D1270" s="10">
        <v>7.0</v>
      </c>
      <c r="E1270" s="11">
        <v>2011.0</v>
      </c>
      <c r="F1270" s="13">
        <v>119775.3</v>
      </c>
      <c r="G1270" s="13">
        <v>76490.4</v>
      </c>
      <c r="H1270" s="13">
        <v>43284.90000000001</v>
      </c>
      <c r="I1270" s="14">
        <v>0.3613841918993316</v>
      </c>
      <c r="J1270" s="3" t="s">
        <v>13</v>
      </c>
      <c r="K1270" s="3" t="s">
        <v>28</v>
      </c>
      <c r="L1270" s="3" t="s">
        <v>33</v>
      </c>
    </row>
    <row r="1271" ht="15.75" customHeight="1">
      <c r="A1271" s="3">
        <v>9.54065883E8</v>
      </c>
      <c r="B1271" s="3" t="s">
        <v>346</v>
      </c>
      <c r="C1271" s="3">
        <v>46.0</v>
      </c>
      <c r="D1271" s="10">
        <v>7.0</v>
      </c>
      <c r="E1271" s="11">
        <v>2016.0</v>
      </c>
      <c r="F1271" s="13">
        <v>5447068.77</v>
      </c>
      <c r="G1271" s="13">
        <v>4096203.54</v>
      </c>
      <c r="H1271" s="13">
        <v>1350865.2299999995</v>
      </c>
      <c r="I1271" s="14">
        <v>0.2479985634548909</v>
      </c>
      <c r="J1271" s="3" t="s">
        <v>4</v>
      </c>
      <c r="K1271" s="3" t="s">
        <v>28</v>
      </c>
      <c r="L1271" s="3" t="s">
        <v>98</v>
      </c>
    </row>
    <row r="1272" ht="15.75" customHeight="1">
      <c r="A1272" s="3">
        <v>9.54341828E8</v>
      </c>
      <c r="B1272" s="3" t="s">
        <v>221</v>
      </c>
      <c r="C1272" s="3">
        <v>49.0</v>
      </c>
      <c r="D1272" s="10">
        <v>5.0</v>
      </c>
      <c r="E1272" s="11">
        <v>2014.0</v>
      </c>
      <c r="F1272" s="13">
        <v>1511174.54</v>
      </c>
      <c r="G1272" s="13">
        <v>891932.3700000001</v>
      </c>
      <c r="H1272" s="13">
        <v>619242.1699999999</v>
      </c>
      <c r="I1272" s="14">
        <v>0.4097754121770738</v>
      </c>
      <c r="J1272" s="3" t="s">
        <v>9</v>
      </c>
      <c r="K1272" s="3" t="s">
        <v>28</v>
      </c>
      <c r="L1272" s="3" t="s">
        <v>29</v>
      </c>
    </row>
    <row r="1273" ht="15.75" customHeight="1">
      <c r="A1273" s="3">
        <v>9.55466639E8</v>
      </c>
      <c r="B1273" s="3" t="s">
        <v>671</v>
      </c>
      <c r="C1273" s="3">
        <v>50.0</v>
      </c>
      <c r="D1273" s="10">
        <v>12.0</v>
      </c>
      <c r="E1273" s="11">
        <v>2013.0</v>
      </c>
      <c r="F1273" s="13">
        <v>217892.18000000002</v>
      </c>
      <c r="G1273" s="13">
        <v>151082.22</v>
      </c>
      <c r="H1273" s="13">
        <v>66809.96000000002</v>
      </c>
      <c r="I1273" s="14">
        <v>0.30661935641747223</v>
      </c>
      <c r="J1273" s="3" t="s">
        <v>14</v>
      </c>
      <c r="K1273" s="3" t="s">
        <v>28</v>
      </c>
      <c r="L1273" s="3" t="s">
        <v>33</v>
      </c>
    </row>
    <row r="1274" ht="15.75" customHeight="1">
      <c r="A1274" s="3">
        <v>9.56594026E8</v>
      </c>
      <c r="B1274" s="3" t="s">
        <v>671</v>
      </c>
      <c r="C1274" s="3">
        <v>26.0</v>
      </c>
      <c r="D1274" s="10">
        <v>5.0</v>
      </c>
      <c r="E1274" s="11">
        <v>2011.0</v>
      </c>
      <c r="F1274" s="13">
        <v>1604434.8</v>
      </c>
      <c r="G1274" s="13">
        <v>1001954.7</v>
      </c>
      <c r="H1274" s="13">
        <v>602480.1000000001</v>
      </c>
      <c r="I1274" s="14">
        <v>0.37550924475086184</v>
      </c>
      <c r="J1274" s="3" t="s">
        <v>10</v>
      </c>
      <c r="K1274" s="3" t="s">
        <v>28</v>
      </c>
      <c r="L1274" s="3" t="s">
        <v>33</v>
      </c>
    </row>
    <row r="1275" ht="15.75" customHeight="1">
      <c r="A1275" s="3">
        <v>9.56969964E8</v>
      </c>
      <c r="B1275" s="3" t="s">
        <v>364</v>
      </c>
      <c r="C1275" s="3">
        <v>33.0</v>
      </c>
      <c r="D1275" s="10">
        <v>4.0</v>
      </c>
      <c r="E1275" s="11">
        <v>2016.0</v>
      </c>
      <c r="F1275" s="13">
        <v>1160533.98</v>
      </c>
      <c r="G1275" s="13">
        <v>684975.6900000001</v>
      </c>
      <c r="H1275" s="13">
        <v>475558.2899999999</v>
      </c>
      <c r="I1275" s="14">
        <v>0.4097754121770738</v>
      </c>
      <c r="J1275" s="3" t="s">
        <v>9</v>
      </c>
      <c r="K1275" s="3" t="s">
        <v>28</v>
      </c>
      <c r="L1275" s="3" t="s">
        <v>29</v>
      </c>
    </row>
    <row r="1276" ht="15.75" customHeight="1">
      <c r="A1276" s="3">
        <v>9.57926118E8</v>
      </c>
      <c r="B1276" s="3" t="s">
        <v>300</v>
      </c>
      <c r="C1276" s="3">
        <v>14.0</v>
      </c>
      <c r="D1276" s="10">
        <v>8.0</v>
      </c>
      <c r="E1276" s="11">
        <v>2016.0</v>
      </c>
      <c r="F1276" s="13">
        <v>73238.40000000001</v>
      </c>
      <c r="G1276" s="13">
        <v>46771.2</v>
      </c>
      <c r="H1276" s="13">
        <v>26467.20000000001</v>
      </c>
      <c r="I1276" s="14">
        <v>0.36138419189933163</v>
      </c>
      <c r="J1276" s="3" t="s">
        <v>13</v>
      </c>
      <c r="K1276" s="3" t="s">
        <v>28</v>
      </c>
      <c r="L1276" s="3" t="s">
        <v>33</v>
      </c>
    </row>
    <row r="1277" ht="15.75" customHeight="1">
      <c r="A1277" s="3">
        <v>9.58366E8</v>
      </c>
      <c r="B1277" s="3" t="s">
        <v>593</v>
      </c>
      <c r="C1277" s="3">
        <v>35.0</v>
      </c>
      <c r="D1277" s="10">
        <v>6.0</v>
      </c>
      <c r="E1277" s="11">
        <v>2012.0</v>
      </c>
      <c r="F1277" s="13">
        <v>133910.69999999998</v>
      </c>
      <c r="G1277" s="13">
        <v>76238.61</v>
      </c>
      <c r="H1277" s="13">
        <v>57672.08999999998</v>
      </c>
      <c r="I1277" s="14">
        <v>0.43067574137092846</v>
      </c>
      <c r="J1277" s="3" t="s">
        <v>3</v>
      </c>
      <c r="K1277" s="3" t="s">
        <v>28</v>
      </c>
      <c r="L1277" s="3" t="s">
        <v>98</v>
      </c>
    </row>
    <row r="1278" ht="15.75" customHeight="1">
      <c r="A1278" s="3">
        <v>9.60213077E8</v>
      </c>
      <c r="B1278" s="3" t="s">
        <v>101</v>
      </c>
      <c r="C1278" s="3">
        <v>46.0</v>
      </c>
      <c r="D1278" s="10">
        <v>8.0</v>
      </c>
      <c r="E1278" s="11">
        <v>2015.0</v>
      </c>
      <c r="F1278" s="13">
        <v>343632.9</v>
      </c>
      <c r="G1278" s="13">
        <v>230223.18</v>
      </c>
      <c r="H1278" s="13">
        <v>113409.72000000003</v>
      </c>
      <c r="I1278" s="14">
        <v>0.3300316122233931</v>
      </c>
      <c r="J1278" s="3" t="s">
        <v>6</v>
      </c>
      <c r="K1278" s="3" t="s">
        <v>28</v>
      </c>
      <c r="L1278" s="3" t="s">
        <v>79</v>
      </c>
    </row>
    <row r="1279" ht="15.75" customHeight="1">
      <c r="A1279" s="3">
        <v>9.62560546E8</v>
      </c>
      <c r="B1279" s="3" t="s">
        <v>288</v>
      </c>
      <c r="C1279" s="3">
        <v>25.0</v>
      </c>
      <c r="D1279" s="10">
        <v>12.0</v>
      </c>
      <c r="E1279" s="11">
        <v>2010.0</v>
      </c>
      <c r="F1279" s="13">
        <v>393092.69999999995</v>
      </c>
      <c r="G1279" s="13">
        <v>223797.21</v>
      </c>
      <c r="H1279" s="13">
        <v>169295.48999999996</v>
      </c>
      <c r="I1279" s="14">
        <v>0.4306757413709285</v>
      </c>
      <c r="J1279" s="3" t="s">
        <v>3</v>
      </c>
      <c r="K1279" s="3" t="s">
        <v>23</v>
      </c>
      <c r="L1279" s="3" t="s">
        <v>68</v>
      </c>
    </row>
    <row r="1280" ht="15.75" customHeight="1">
      <c r="A1280" s="3">
        <v>9.63219296E8</v>
      </c>
      <c r="B1280" s="3" t="s">
        <v>536</v>
      </c>
      <c r="C1280" s="3">
        <v>17.0</v>
      </c>
      <c r="D1280" s="10">
        <v>9.0</v>
      </c>
      <c r="E1280" s="11">
        <v>2010.0</v>
      </c>
      <c r="F1280" s="13">
        <v>1409045.0</v>
      </c>
      <c r="G1280" s="13">
        <v>802203.5</v>
      </c>
      <c r="H1280" s="13">
        <v>606841.5</v>
      </c>
      <c r="I1280" s="14">
        <v>0.4306757413709285</v>
      </c>
      <c r="J1280" s="3" t="s">
        <v>3</v>
      </c>
      <c r="K1280" s="3" t="s">
        <v>28</v>
      </c>
      <c r="L1280" s="3" t="s">
        <v>33</v>
      </c>
    </row>
    <row r="1281" ht="15.75" customHeight="1">
      <c r="A1281" s="3">
        <v>9.65796363E8</v>
      </c>
      <c r="B1281" s="3" t="s">
        <v>431</v>
      </c>
      <c r="C1281" s="3">
        <v>10.0</v>
      </c>
      <c r="D1281" s="10">
        <v>3.0</v>
      </c>
      <c r="E1281" s="11">
        <v>2011.0</v>
      </c>
      <c r="F1281" s="13">
        <v>88271.13</v>
      </c>
      <c r="G1281" s="13">
        <v>65470.12</v>
      </c>
      <c r="H1281" s="13">
        <v>22801.010000000002</v>
      </c>
      <c r="I1281" s="14">
        <v>0.2583065380493033</v>
      </c>
      <c r="J1281" s="3" t="s">
        <v>8</v>
      </c>
      <c r="K1281" s="3" t="s">
        <v>28</v>
      </c>
      <c r="L1281" s="3" t="s">
        <v>29</v>
      </c>
    </row>
    <row r="1282" ht="15.75" customHeight="1">
      <c r="A1282" s="3">
        <v>9.66800153E8</v>
      </c>
      <c r="B1282" s="3" t="s">
        <v>248</v>
      </c>
      <c r="C1282" s="3">
        <v>16.0</v>
      </c>
      <c r="D1282" s="10">
        <v>8.0</v>
      </c>
      <c r="E1282" s="11">
        <v>2010.0</v>
      </c>
      <c r="F1282" s="13">
        <v>2744394.4499999997</v>
      </c>
      <c r="G1282" s="13">
        <v>2372308.45</v>
      </c>
      <c r="H1282" s="13">
        <v>372085.99999999953</v>
      </c>
      <c r="I1282" s="14">
        <v>0.13558036455000103</v>
      </c>
      <c r="J1282" s="3" t="s">
        <v>11</v>
      </c>
      <c r="K1282" s="3" t="s">
        <v>28</v>
      </c>
      <c r="L1282" s="3" t="s">
        <v>29</v>
      </c>
    </row>
    <row r="1283" ht="15.75" customHeight="1">
      <c r="A1283" s="3">
        <v>9.67258059E8</v>
      </c>
      <c r="B1283" s="3" t="s">
        <v>78</v>
      </c>
      <c r="C1283" s="3">
        <v>8.0</v>
      </c>
      <c r="D1283" s="10">
        <v>7.0</v>
      </c>
      <c r="E1283" s="11">
        <v>2014.0</v>
      </c>
      <c r="F1283" s="13">
        <v>164195.57</v>
      </c>
      <c r="G1283" s="13">
        <v>113850.03</v>
      </c>
      <c r="H1283" s="13">
        <v>50345.54000000001</v>
      </c>
      <c r="I1283" s="14">
        <v>0.3066193564174722</v>
      </c>
      <c r="J1283" s="3" t="s">
        <v>14</v>
      </c>
      <c r="K1283" s="3" t="s">
        <v>28</v>
      </c>
      <c r="L1283" s="3" t="s">
        <v>79</v>
      </c>
    </row>
    <row r="1284" ht="15.75" customHeight="1">
      <c r="A1284" s="3">
        <v>9.67679059E8</v>
      </c>
      <c r="B1284" s="3" t="s">
        <v>46</v>
      </c>
      <c r="C1284" s="3">
        <v>16.0</v>
      </c>
      <c r="D1284" s="10">
        <v>3.0</v>
      </c>
      <c r="E1284" s="11">
        <v>2013.0</v>
      </c>
      <c r="F1284" s="13">
        <v>1015563.52</v>
      </c>
      <c r="G1284" s="13">
        <v>599410.56</v>
      </c>
      <c r="H1284" s="13">
        <v>416152.95999999996</v>
      </c>
      <c r="I1284" s="14">
        <v>0.4097754121770738</v>
      </c>
      <c r="J1284" s="3" t="s">
        <v>9</v>
      </c>
      <c r="K1284" s="3" t="s">
        <v>28</v>
      </c>
      <c r="L1284" s="3" t="s">
        <v>33</v>
      </c>
    </row>
    <row r="1285" ht="15.75" customHeight="1">
      <c r="A1285" s="3">
        <v>9.6818546E8</v>
      </c>
      <c r="B1285" s="3" t="s">
        <v>575</v>
      </c>
      <c r="C1285" s="3">
        <v>25.0</v>
      </c>
      <c r="D1285" s="10">
        <v>1.0</v>
      </c>
      <c r="E1285" s="11">
        <v>2013.0</v>
      </c>
      <c r="F1285" s="13">
        <v>983835.8400000001</v>
      </c>
      <c r="G1285" s="13">
        <v>628293.12</v>
      </c>
      <c r="H1285" s="13">
        <v>355542.7200000001</v>
      </c>
      <c r="I1285" s="14">
        <v>0.3613841918993316</v>
      </c>
      <c r="J1285" s="3" t="s">
        <v>13</v>
      </c>
      <c r="K1285" s="3" t="s">
        <v>28</v>
      </c>
      <c r="L1285" s="3" t="s">
        <v>98</v>
      </c>
    </row>
    <row r="1286" ht="15.75" customHeight="1">
      <c r="A1286" s="3">
        <v>9.69195258E8</v>
      </c>
      <c r="B1286" s="3" t="s">
        <v>221</v>
      </c>
      <c r="C1286" s="3">
        <v>22.0</v>
      </c>
      <c r="D1286" s="10">
        <v>8.0</v>
      </c>
      <c r="E1286" s="11">
        <v>2012.0</v>
      </c>
      <c r="F1286" s="13">
        <v>811742.14</v>
      </c>
      <c r="G1286" s="13">
        <v>479110.17000000004</v>
      </c>
      <c r="H1286" s="13">
        <v>332631.97</v>
      </c>
      <c r="I1286" s="14">
        <v>0.4097754121770738</v>
      </c>
      <c r="J1286" s="3" t="s">
        <v>9</v>
      </c>
      <c r="K1286" s="3" t="s">
        <v>28</v>
      </c>
      <c r="L1286" s="3" t="s">
        <v>29</v>
      </c>
    </row>
    <row r="1287" ht="15.75" customHeight="1">
      <c r="A1287" s="3">
        <v>9.69199979E8</v>
      </c>
      <c r="B1287" s="3" t="s">
        <v>300</v>
      </c>
      <c r="C1287" s="3">
        <v>25.0</v>
      </c>
      <c r="D1287" s="10">
        <v>11.0</v>
      </c>
      <c r="E1287" s="11">
        <v>2013.0</v>
      </c>
      <c r="F1287" s="13">
        <v>2812318.7399999998</v>
      </c>
      <c r="G1287" s="13">
        <v>2431023.54</v>
      </c>
      <c r="H1287" s="13">
        <v>381295.1999999997</v>
      </c>
      <c r="I1287" s="14">
        <v>0.1355803645500011</v>
      </c>
      <c r="J1287" s="3" t="s">
        <v>11</v>
      </c>
      <c r="K1287" s="3" t="s">
        <v>28</v>
      </c>
      <c r="L1287" s="3" t="s">
        <v>33</v>
      </c>
    </row>
    <row r="1288" ht="15.75" customHeight="1">
      <c r="A1288" s="3">
        <v>9.69289243E8</v>
      </c>
      <c r="B1288" s="3" t="s">
        <v>123</v>
      </c>
      <c r="C1288" s="3">
        <v>36.0</v>
      </c>
      <c r="D1288" s="10">
        <v>12.0</v>
      </c>
      <c r="E1288" s="11">
        <v>2011.0</v>
      </c>
      <c r="F1288" s="13">
        <v>2059608.14</v>
      </c>
      <c r="G1288" s="13">
        <v>1548828.28</v>
      </c>
      <c r="H1288" s="13">
        <v>510779.85999999987</v>
      </c>
      <c r="I1288" s="14">
        <v>0.24799856345489094</v>
      </c>
      <c r="J1288" s="3" t="s">
        <v>4</v>
      </c>
      <c r="K1288" s="3" t="s">
        <v>28</v>
      </c>
      <c r="L1288" s="3" t="s">
        <v>33</v>
      </c>
    </row>
    <row r="1289" ht="15.75" customHeight="1">
      <c r="A1289" s="3">
        <v>9.70427358E8</v>
      </c>
      <c r="B1289" s="3" t="s">
        <v>67</v>
      </c>
      <c r="C1289" s="3">
        <v>5.0</v>
      </c>
      <c r="D1289" s="10">
        <v>10.0</v>
      </c>
      <c r="E1289" s="11">
        <v>2010.0</v>
      </c>
      <c r="F1289" s="13">
        <v>4166163.75</v>
      </c>
      <c r="G1289" s="13">
        <v>3601313.75</v>
      </c>
      <c r="H1289" s="13">
        <v>564850.0</v>
      </c>
      <c r="I1289" s="14">
        <v>0.1355803645500012</v>
      </c>
      <c r="J1289" s="3" t="s">
        <v>11</v>
      </c>
      <c r="K1289" s="3" t="s">
        <v>23</v>
      </c>
      <c r="L1289" s="3" t="s">
        <v>68</v>
      </c>
    </row>
    <row r="1290" ht="15.75" customHeight="1">
      <c r="A1290" s="3">
        <v>9.71578347E8</v>
      </c>
      <c r="B1290" s="3" t="s">
        <v>482</v>
      </c>
      <c r="C1290" s="3">
        <v>47.0</v>
      </c>
      <c r="D1290" s="10">
        <v>4.0</v>
      </c>
      <c r="E1290" s="11">
        <v>2014.0</v>
      </c>
      <c r="F1290" s="13">
        <v>319433.06</v>
      </c>
      <c r="G1290" s="13">
        <v>240214.12</v>
      </c>
      <c r="H1290" s="13">
        <v>79218.94</v>
      </c>
      <c r="I1290" s="14">
        <v>0.247998563454891</v>
      </c>
      <c r="J1290" s="3" t="s">
        <v>4</v>
      </c>
      <c r="K1290" s="3" t="s">
        <v>28</v>
      </c>
      <c r="L1290" s="3" t="s">
        <v>79</v>
      </c>
    </row>
    <row r="1291" ht="15.75" customHeight="1">
      <c r="A1291" s="3">
        <v>9.71899354E8</v>
      </c>
      <c r="B1291" s="3" t="s">
        <v>686</v>
      </c>
      <c r="C1291" s="3">
        <v>0.0</v>
      </c>
      <c r="D1291" s="10">
        <v>6.0</v>
      </c>
      <c r="E1291" s="11">
        <v>2013.0</v>
      </c>
      <c r="F1291" s="13">
        <v>834765.18</v>
      </c>
      <c r="G1291" s="13">
        <v>533094.24</v>
      </c>
      <c r="H1291" s="13">
        <v>301670.94000000006</v>
      </c>
      <c r="I1291" s="14">
        <v>0.3613841918993316</v>
      </c>
      <c r="J1291" s="3" t="s">
        <v>13</v>
      </c>
      <c r="K1291" s="3" t="s">
        <v>28</v>
      </c>
      <c r="L1291" s="3" t="s">
        <v>29</v>
      </c>
    </row>
    <row r="1292" ht="15.75" customHeight="1">
      <c r="A1292" s="3">
        <v>9.72419059E8</v>
      </c>
      <c r="B1292" s="3" t="s">
        <v>653</v>
      </c>
      <c r="C1292" s="3">
        <v>26.0</v>
      </c>
      <c r="D1292" s="10">
        <v>7.0</v>
      </c>
      <c r="E1292" s="11">
        <v>2012.0</v>
      </c>
      <c r="F1292" s="13">
        <v>1905604.7999999998</v>
      </c>
      <c r="G1292" s="13">
        <v>1084907.04</v>
      </c>
      <c r="H1292" s="13">
        <v>820697.7599999998</v>
      </c>
      <c r="I1292" s="14">
        <v>0.43067574137092846</v>
      </c>
      <c r="J1292" s="3" t="s">
        <v>3</v>
      </c>
      <c r="K1292" s="3" t="s">
        <v>28</v>
      </c>
      <c r="L1292" s="3" t="s">
        <v>33</v>
      </c>
    </row>
    <row r="1293" ht="15.75" customHeight="1">
      <c r="A1293" s="3">
        <v>9.72452533E8</v>
      </c>
      <c r="B1293" s="3" t="s">
        <v>267</v>
      </c>
      <c r="C1293" s="3">
        <v>43.0</v>
      </c>
      <c r="D1293" s="10">
        <v>8.0</v>
      </c>
      <c r="E1293" s="11">
        <v>2015.0</v>
      </c>
      <c r="F1293" s="13">
        <v>1412576.1400000001</v>
      </c>
      <c r="G1293" s="13">
        <v>833737.17</v>
      </c>
      <c r="H1293" s="13">
        <v>578838.9700000001</v>
      </c>
      <c r="I1293" s="14">
        <v>0.4097754121770739</v>
      </c>
      <c r="J1293" s="3" t="s">
        <v>9</v>
      </c>
      <c r="K1293" s="3" t="s">
        <v>28</v>
      </c>
      <c r="L1293" s="3" t="s">
        <v>29</v>
      </c>
    </row>
    <row r="1294" ht="15.75" customHeight="1">
      <c r="A1294" s="3">
        <v>9.72981679E8</v>
      </c>
      <c r="B1294" s="3" t="s">
        <v>413</v>
      </c>
      <c r="C1294" s="3">
        <v>25.0</v>
      </c>
      <c r="D1294" s="10">
        <v>3.0</v>
      </c>
      <c r="E1294" s="11">
        <v>2017.0</v>
      </c>
      <c r="F1294" s="13">
        <v>878097.9</v>
      </c>
      <c r="G1294" s="13">
        <v>560767.2</v>
      </c>
      <c r="H1294" s="13">
        <v>317330.70000000007</v>
      </c>
      <c r="I1294" s="14">
        <v>0.3613841918993316</v>
      </c>
      <c r="J1294" s="3" t="s">
        <v>13</v>
      </c>
      <c r="K1294" s="3" t="s">
        <v>28</v>
      </c>
      <c r="L1294" s="3" t="s">
        <v>29</v>
      </c>
    </row>
    <row r="1295" ht="15.75" customHeight="1">
      <c r="A1295" s="3">
        <v>9.73268353E8</v>
      </c>
      <c r="B1295" s="3" t="s">
        <v>221</v>
      </c>
      <c r="C1295" s="3">
        <v>21.0</v>
      </c>
      <c r="D1295" s="10">
        <v>6.0</v>
      </c>
      <c r="E1295" s="11">
        <v>2016.0</v>
      </c>
      <c r="F1295" s="13">
        <v>27948.050000000003</v>
      </c>
      <c r="G1295" s="13">
        <v>18724.31</v>
      </c>
      <c r="H1295" s="13">
        <v>9223.740000000002</v>
      </c>
      <c r="I1295" s="14">
        <v>0.33003161222339306</v>
      </c>
      <c r="J1295" s="3" t="s">
        <v>6</v>
      </c>
      <c r="K1295" s="3" t="s">
        <v>28</v>
      </c>
      <c r="L1295" s="3" t="s">
        <v>29</v>
      </c>
    </row>
    <row r="1296" ht="15.75" customHeight="1">
      <c r="A1296" s="3">
        <v>9.7414726E8</v>
      </c>
      <c r="B1296" s="3" t="s">
        <v>46</v>
      </c>
      <c r="C1296" s="3">
        <v>21.0</v>
      </c>
      <c r="D1296" s="10">
        <v>5.0</v>
      </c>
      <c r="E1296" s="11">
        <v>2011.0</v>
      </c>
      <c r="F1296" s="13">
        <v>73982.56</v>
      </c>
      <c r="G1296" s="13">
        <v>24263.680000000004</v>
      </c>
      <c r="H1296" s="13">
        <v>49718.87999999999</v>
      </c>
      <c r="I1296" s="14">
        <v>0.67203513909224</v>
      </c>
      <c r="J1296" s="3" t="s">
        <v>5</v>
      </c>
      <c r="K1296" s="3" t="s">
        <v>28</v>
      </c>
      <c r="L1296" s="3" t="s">
        <v>33</v>
      </c>
    </row>
    <row r="1297" ht="15.75" customHeight="1">
      <c r="A1297" s="3">
        <v>9.7442063E8</v>
      </c>
      <c r="B1297" s="3" t="s">
        <v>428</v>
      </c>
      <c r="C1297" s="3">
        <v>50.0</v>
      </c>
      <c r="D1297" s="10">
        <v>4.0</v>
      </c>
      <c r="E1297" s="11">
        <v>2011.0</v>
      </c>
      <c r="F1297" s="13">
        <v>14676.09</v>
      </c>
      <c r="G1297" s="13">
        <v>10885.16</v>
      </c>
      <c r="H1297" s="13">
        <v>3790.9300000000003</v>
      </c>
      <c r="I1297" s="14">
        <v>0.2583065380493033</v>
      </c>
      <c r="J1297" s="3" t="s">
        <v>8</v>
      </c>
      <c r="K1297" s="3" t="s">
        <v>28</v>
      </c>
      <c r="L1297" s="3" t="s">
        <v>79</v>
      </c>
    </row>
    <row r="1298" ht="15.75" customHeight="1">
      <c r="A1298" s="3">
        <v>9.75080668E8</v>
      </c>
      <c r="B1298" s="3" t="s">
        <v>821</v>
      </c>
      <c r="C1298" s="3">
        <v>28.0</v>
      </c>
      <c r="D1298" s="10">
        <v>7.0</v>
      </c>
      <c r="E1298" s="11">
        <v>2017.0</v>
      </c>
      <c r="F1298" s="13">
        <v>1061935.58</v>
      </c>
      <c r="G1298" s="13">
        <v>626780.49</v>
      </c>
      <c r="H1298" s="13">
        <v>435155.0900000001</v>
      </c>
      <c r="I1298" s="14">
        <v>0.4097754121770739</v>
      </c>
      <c r="J1298" s="3" t="s">
        <v>9</v>
      </c>
      <c r="K1298" s="3" t="s">
        <v>821</v>
      </c>
      <c r="L1298" s="3" t="s">
        <v>821</v>
      </c>
    </row>
    <row r="1299" ht="15.75" customHeight="1">
      <c r="A1299" s="3">
        <v>9.75823962E8</v>
      </c>
      <c r="B1299" s="3" t="s">
        <v>300</v>
      </c>
      <c r="C1299" s="3">
        <v>28.0</v>
      </c>
      <c r="D1299" s="10">
        <v>3.0</v>
      </c>
      <c r="E1299" s="11">
        <v>2014.0</v>
      </c>
      <c r="F1299" s="13">
        <v>4460788.5</v>
      </c>
      <c r="G1299" s="13">
        <v>3595976.0000000005</v>
      </c>
      <c r="H1299" s="13">
        <v>864812.4999999995</v>
      </c>
      <c r="I1299" s="14">
        <v>0.19386987300563555</v>
      </c>
      <c r="J1299" s="3" t="s">
        <v>7</v>
      </c>
      <c r="K1299" s="3" t="s">
        <v>28</v>
      </c>
      <c r="L1299" s="3" t="s">
        <v>33</v>
      </c>
    </row>
    <row r="1300" ht="15.75" customHeight="1">
      <c r="A1300" s="3">
        <v>9.76323497E8</v>
      </c>
      <c r="B1300" s="3" t="s">
        <v>206</v>
      </c>
      <c r="C1300" s="3">
        <v>4.0</v>
      </c>
      <c r="D1300" s="10">
        <v>2.0</v>
      </c>
      <c r="E1300" s="11">
        <v>2017.0</v>
      </c>
      <c r="F1300" s="13">
        <v>221781.30000000002</v>
      </c>
      <c r="G1300" s="13">
        <v>148586.46</v>
      </c>
      <c r="H1300" s="13">
        <v>73194.84000000003</v>
      </c>
      <c r="I1300" s="14">
        <v>0.3300316122233931</v>
      </c>
      <c r="J1300" s="3" t="s">
        <v>6</v>
      </c>
      <c r="K1300" s="3" t="s">
        <v>28</v>
      </c>
      <c r="L1300" s="3" t="s">
        <v>33</v>
      </c>
    </row>
    <row r="1301" ht="15.75" customHeight="1">
      <c r="A1301" s="3">
        <v>9.77324712E8</v>
      </c>
      <c r="B1301" s="3" t="s">
        <v>434</v>
      </c>
      <c r="C1301" s="3">
        <v>37.0</v>
      </c>
      <c r="D1301" s="10">
        <v>2.0</v>
      </c>
      <c r="E1301" s="11">
        <v>2011.0</v>
      </c>
      <c r="F1301" s="13">
        <v>145713.90000000002</v>
      </c>
      <c r="G1301" s="13">
        <v>93055.2</v>
      </c>
      <c r="H1301" s="13">
        <v>52658.700000000026</v>
      </c>
      <c r="I1301" s="14">
        <v>0.36138419189933163</v>
      </c>
      <c r="J1301" s="3" t="s">
        <v>13</v>
      </c>
      <c r="K1301" s="3" t="s">
        <v>28</v>
      </c>
      <c r="L1301" s="3" t="s">
        <v>79</v>
      </c>
    </row>
    <row r="1302" ht="15.75" customHeight="1">
      <c r="A1302" s="3">
        <v>9.79073941E8</v>
      </c>
      <c r="B1302" s="3" t="s">
        <v>689</v>
      </c>
      <c r="C1302" s="3">
        <v>22.0</v>
      </c>
      <c r="D1302" s="10">
        <v>6.0</v>
      </c>
      <c r="E1302" s="11">
        <v>2010.0</v>
      </c>
      <c r="F1302" s="13">
        <v>2193110.48</v>
      </c>
      <c r="G1302" s="13">
        <v>1369577.22</v>
      </c>
      <c r="H1302" s="13">
        <v>823533.26</v>
      </c>
      <c r="I1302" s="14">
        <v>0.3755092447508618</v>
      </c>
      <c r="J1302" s="3" t="s">
        <v>10</v>
      </c>
      <c r="K1302" s="3" t="s">
        <v>28</v>
      </c>
      <c r="L1302" s="3" t="s">
        <v>79</v>
      </c>
    </row>
    <row r="1303" ht="15.75" customHeight="1">
      <c r="A1303" s="3">
        <v>9.79200112E8</v>
      </c>
      <c r="B1303" s="3" t="s">
        <v>536</v>
      </c>
      <c r="C1303" s="3">
        <v>16.0</v>
      </c>
      <c r="D1303" s="10">
        <v>12.0</v>
      </c>
      <c r="E1303" s="11">
        <v>2013.0</v>
      </c>
      <c r="F1303" s="13">
        <v>2500963.92</v>
      </c>
      <c r="G1303" s="13">
        <v>2161882.32</v>
      </c>
      <c r="H1303" s="13">
        <v>339081.6000000001</v>
      </c>
      <c r="I1303" s="14">
        <v>0.13558036455000122</v>
      </c>
      <c r="J1303" s="3" t="s">
        <v>11</v>
      </c>
      <c r="K1303" s="3" t="s">
        <v>28</v>
      </c>
      <c r="L1303" s="3" t="s">
        <v>33</v>
      </c>
    </row>
    <row r="1304" ht="15.75" customHeight="1">
      <c r="A1304" s="3">
        <v>9.80381143E8</v>
      </c>
      <c r="B1304" s="3" t="s">
        <v>142</v>
      </c>
      <c r="C1304" s="3">
        <v>8.0</v>
      </c>
      <c r="D1304" s="10">
        <v>9.0</v>
      </c>
      <c r="E1304" s="11">
        <v>2010.0</v>
      </c>
      <c r="F1304" s="13">
        <v>1383872.8800000001</v>
      </c>
      <c r="G1304" s="13">
        <v>864215.82</v>
      </c>
      <c r="H1304" s="13">
        <v>519657.0600000002</v>
      </c>
      <c r="I1304" s="14">
        <v>0.3755092447508619</v>
      </c>
      <c r="J1304" s="3" t="s">
        <v>10</v>
      </c>
      <c r="K1304" s="3" t="s">
        <v>28</v>
      </c>
      <c r="L1304" s="3" t="s">
        <v>98</v>
      </c>
    </row>
    <row r="1305" ht="15.75" customHeight="1">
      <c r="A1305" s="3">
        <v>9.80598723E8</v>
      </c>
      <c r="B1305" s="3" t="s">
        <v>270</v>
      </c>
      <c r="C1305" s="3">
        <v>42.0</v>
      </c>
      <c r="D1305" s="10">
        <v>8.0</v>
      </c>
      <c r="E1305" s="11">
        <v>2015.0</v>
      </c>
      <c r="F1305" s="13">
        <v>801607.8400000001</v>
      </c>
      <c r="G1305" s="13">
        <v>555819.36</v>
      </c>
      <c r="H1305" s="13">
        <v>245788.4800000001</v>
      </c>
      <c r="I1305" s="14">
        <v>0.30661935641747223</v>
      </c>
      <c r="J1305" s="3" t="s">
        <v>14</v>
      </c>
      <c r="K1305" s="3" t="s">
        <v>28</v>
      </c>
      <c r="L1305" s="3" t="s">
        <v>79</v>
      </c>
    </row>
    <row r="1306" ht="15.75" customHeight="1">
      <c r="A1306" s="3">
        <v>9.80961358E8</v>
      </c>
      <c r="B1306" s="3" t="s">
        <v>434</v>
      </c>
      <c r="C1306" s="3">
        <v>32.0</v>
      </c>
      <c r="D1306" s="10">
        <v>9.0</v>
      </c>
      <c r="E1306" s="11">
        <v>2013.0</v>
      </c>
      <c r="F1306" s="13">
        <v>3112864.0</v>
      </c>
      <c r="G1306" s="13">
        <v>1874909.5999999999</v>
      </c>
      <c r="H1306" s="13">
        <v>1237954.4000000001</v>
      </c>
      <c r="I1306" s="14">
        <v>0.3976898444647759</v>
      </c>
      <c r="J1306" s="3" t="s">
        <v>12</v>
      </c>
      <c r="K1306" s="3" t="s">
        <v>28</v>
      </c>
      <c r="L1306" s="3" t="s">
        <v>79</v>
      </c>
    </row>
    <row r="1307" ht="15.75" customHeight="1">
      <c r="A1307" s="3">
        <v>9.81154048E8</v>
      </c>
      <c r="B1307" s="3" t="s">
        <v>373</v>
      </c>
      <c r="C1307" s="3">
        <v>13.0</v>
      </c>
      <c r="D1307" s="10">
        <v>7.0</v>
      </c>
      <c r="E1307" s="11">
        <v>2013.0</v>
      </c>
      <c r="F1307" s="13">
        <v>196490.45</v>
      </c>
      <c r="G1307" s="13">
        <v>131642.38999999998</v>
      </c>
      <c r="H1307" s="13">
        <v>64848.06000000003</v>
      </c>
      <c r="I1307" s="14">
        <v>0.33003161222339317</v>
      </c>
      <c r="J1307" s="3" t="s">
        <v>6</v>
      </c>
      <c r="K1307" s="3" t="s">
        <v>28</v>
      </c>
      <c r="L1307" s="3" t="s">
        <v>33</v>
      </c>
    </row>
    <row r="1308" ht="15.75" customHeight="1">
      <c r="A1308" s="3">
        <v>9.81808078E8</v>
      </c>
      <c r="B1308" s="3" t="s">
        <v>455</v>
      </c>
      <c r="C1308" s="3">
        <v>1.0</v>
      </c>
      <c r="D1308" s="10">
        <v>1.0</v>
      </c>
      <c r="E1308" s="11">
        <v>2012.0</v>
      </c>
      <c r="F1308" s="13">
        <v>1172272.1400000001</v>
      </c>
      <c r="G1308" s="13">
        <v>748631.52</v>
      </c>
      <c r="H1308" s="13">
        <v>423640.6200000001</v>
      </c>
      <c r="I1308" s="14">
        <v>0.3613841918993316</v>
      </c>
      <c r="J1308" s="3" t="s">
        <v>13</v>
      </c>
      <c r="K1308" s="3" t="s">
        <v>28</v>
      </c>
      <c r="L1308" s="3" t="s">
        <v>33</v>
      </c>
    </row>
    <row r="1309" ht="15.75" customHeight="1">
      <c r="A1309" s="3">
        <v>9.82566821E8</v>
      </c>
      <c r="B1309" s="3" t="s">
        <v>431</v>
      </c>
      <c r="C1309" s="3">
        <v>49.0</v>
      </c>
      <c r="D1309" s="10">
        <v>4.0</v>
      </c>
      <c r="E1309" s="11">
        <v>2011.0</v>
      </c>
      <c r="F1309" s="13">
        <v>1440476.52</v>
      </c>
      <c r="G1309" s="13">
        <v>1161211.52</v>
      </c>
      <c r="H1309" s="13">
        <v>279265.0</v>
      </c>
      <c r="I1309" s="14">
        <v>0.19386987300563566</v>
      </c>
      <c r="J1309" s="3" t="s">
        <v>7</v>
      </c>
      <c r="K1309" s="3" t="s">
        <v>28</v>
      </c>
      <c r="L1309" s="3" t="s">
        <v>29</v>
      </c>
    </row>
    <row r="1310" ht="15.75" customHeight="1">
      <c r="A1310" s="3">
        <v>9.85039174E8</v>
      </c>
      <c r="B1310" s="3" t="s">
        <v>512</v>
      </c>
      <c r="C1310" s="3">
        <v>34.0</v>
      </c>
      <c r="D1310" s="10">
        <v>2.0</v>
      </c>
      <c r="E1310" s="11">
        <v>2011.0</v>
      </c>
      <c r="F1310" s="13">
        <v>182018.2</v>
      </c>
      <c r="G1310" s="13">
        <v>121946.44</v>
      </c>
      <c r="H1310" s="13">
        <v>60071.76000000001</v>
      </c>
      <c r="I1310" s="14">
        <v>0.33003161222339306</v>
      </c>
      <c r="J1310" s="3" t="s">
        <v>6</v>
      </c>
      <c r="K1310" s="3" t="s">
        <v>28</v>
      </c>
      <c r="L1310" s="3" t="s">
        <v>79</v>
      </c>
    </row>
    <row r="1311" ht="15.75" customHeight="1">
      <c r="A1311" s="3">
        <v>9.85417258E8</v>
      </c>
      <c r="B1311" s="3" t="s">
        <v>746</v>
      </c>
      <c r="C1311" s="3">
        <v>20.0</v>
      </c>
      <c r="D1311" s="10">
        <v>10.0</v>
      </c>
      <c r="E1311" s="11">
        <v>2011.0</v>
      </c>
      <c r="F1311" s="13">
        <v>1176604.0</v>
      </c>
      <c r="G1311" s="13">
        <v>669869.2</v>
      </c>
      <c r="H1311" s="13">
        <v>506734.80000000005</v>
      </c>
      <c r="I1311" s="14">
        <v>0.43067574137092857</v>
      </c>
      <c r="J1311" s="3" t="s">
        <v>3</v>
      </c>
      <c r="K1311" s="3" t="s">
        <v>28</v>
      </c>
      <c r="L1311" s="3" t="s">
        <v>29</v>
      </c>
    </row>
    <row r="1312" ht="15.75" customHeight="1">
      <c r="A1312" s="3">
        <v>9.86449801E8</v>
      </c>
      <c r="B1312" s="3" t="s">
        <v>32</v>
      </c>
      <c r="C1312" s="3">
        <v>41.0</v>
      </c>
      <c r="D1312" s="10">
        <v>1.0</v>
      </c>
      <c r="E1312" s="11">
        <v>2013.0</v>
      </c>
      <c r="F1312" s="13">
        <v>536644.08</v>
      </c>
      <c r="G1312" s="13">
        <v>463885.68</v>
      </c>
      <c r="H1312" s="13">
        <v>72758.39999999997</v>
      </c>
      <c r="I1312" s="14">
        <v>0.13558036455000114</v>
      </c>
      <c r="J1312" s="3" t="s">
        <v>11</v>
      </c>
      <c r="K1312" s="3" t="s">
        <v>28</v>
      </c>
      <c r="L1312" s="3" t="s">
        <v>33</v>
      </c>
    </row>
    <row r="1313" ht="15.75" customHeight="1">
      <c r="A1313" s="3">
        <v>9.87050187E8</v>
      </c>
      <c r="B1313" s="3" t="s">
        <v>536</v>
      </c>
      <c r="C1313" s="3">
        <v>13.0</v>
      </c>
      <c r="D1313" s="10">
        <v>4.0</v>
      </c>
      <c r="E1313" s="11">
        <v>2012.0</v>
      </c>
      <c r="F1313" s="13">
        <v>1377296.4</v>
      </c>
      <c r="G1313" s="13">
        <v>812914.2000000001</v>
      </c>
      <c r="H1313" s="13">
        <v>564382.1999999998</v>
      </c>
      <c r="I1313" s="14">
        <v>0.40977541217707375</v>
      </c>
      <c r="J1313" s="3" t="s">
        <v>9</v>
      </c>
      <c r="K1313" s="3" t="s">
        <v>28</v>
      </c>
      <c r="L1313" s="3" t="s">
        <v>33</v>
      </c>
    </row>
    <row r="1314" ht="15.75" customHeight="1">
      <c r="A1314" s="3">
        <v>9.87410676E8</v>
      </c>
      <c r="B1314" s="3" t="s">
        <v>78</v>
      </c>
      <c r="C1314" s="3">
        <v>24.0</v>
      </c>
      <c r="D1314" s="10">
        <v>8.0</v>
      </c>
      <c r="E1314" s="11">
        <v>2014.0</v>
      </c>
      <c r="F1314" s="13">
        <v>1155211.2</v>
      </c>
      <c r="G1314" s="13">
        <v>657689.76</v>
      </c>
      <c r="H1314" s="13">
        <v>497521.43999999994</v>
      </c>
      <c r="I1314" s="14">
        <v>0.4306757413709285</v>
      </c>
      <c r="J1314" s="3" t="s">
        <v>3</v>
      </c>
      <c r="K1314" s="3" t="s">
        <v>28</v>
      </c>
      <c r="L1314" s="3" t="s">
        <v>79</v>
      </c>
    </row>
    <row r="1315" ht="15.75" customHeight="1">
      <c r="A1315" s="3">
        <v>9.8745917E8</v>
      </c>
      <c r="B1315" s="3" t="s">
        <v>740</v>
      </c>
      <c r="C1315" s="3">
        <v>42.0</v>
      </c>
      <c r="D1315" s="10">
        <v>7.0</v>
      </c>
      <c r="E1315" s="11">
        <v>2010.0</v>
      </c>
      <c r="F1315" s="13">
        <v>814602.91</v>
      </c>
      <c r="G1315" s="13">
        <v>564829.89</v>
      </c>
      <c r="H1315" s="13">
        <v>249773.02000000002</v>
      </c>
      <c r="I1315" s="14">
        <v>0.3066193564174722</v>
      </c>
      <c r="J1315" s="3" t="s">
        <v>14</v>
      </c>
      <c r="K1315" s="3" t="s">
        <v>28</v>
      </c>
      <c r="L1315" s="3" t="s">
        <v>98</v>
      </c>
    </row>
    <row r="1316" ht="15.75" customHeight="1">
      <c r="A1316" s="3">
        <v>9.87767302E8</v>
      </c>
      <c r="B1316" s="3" t="s">
        <v>431</v>
      </c>
      <c r="C1316" s="3">
        <v>24.0</v>
      </c>
      <c r="D1316" s="10">
        <v>7.0</v>
      </c>
      <c r="E1316" s="11">
        <v>2012.0</v>
      </c>
      <c r="F1316" s="13">
        <v>748891.5</v>
      </c>
      <c r="G1316" s="13">
        <v>603704.0</v>
      </c>
      <c r="H1316" s="13">
        <v>145187.5</v>
      </c>
      <c r="I1316" s="14">
        <v>0.19386987300563566</v>
      </c>
      <c r="J1316" s="3" t="s">
        <v>7</v>
      </c>
      <c r="K1316" s="3" t="s">
        <v>28</v>
      </c>
      <c r="L1316" s="3" t="s">
        <v>29</v>
      </c>
    </row>
    <row r="1317" ht="15.75" customHeight="1">
      <c r="A1317" s="3">
        <v>9.8859986E8</v>
      </c>
      <c r="B1317" s="3" t="s">
        <v>218</v>
      </c>
      <c r="C1317" s="3">
        <v>35.0</v>
      </c>
      <c r="D1317" s="10">
        <v>11.0</v>
      </c>
      <c r="E1317" s="11">
        <v>2014.0</v>
      </c>
      <c r="F1317" s="13">
        <v>5026726.9399999995</v>
      </c>
      <c r="G1317" s="13">
        <v>3780105.8800000004</v>
      </c>
      <c r="H1317" s="13">
        <v>1246621.0599999991</v>
      </c>
      <c r="I1317" s="14">
        <v>0.24799856345489085</v>
      </c>
      <c r="J1317" s="3" t="s">
        <v>4</v>
      </c>
      <c r="K1317" s="3" t="s">
        <v>28</v>
      </c>
      <c r="L1317" s="3" t="s">
        <v>98</v>
      </c>
    </row>
    <row r="1318" ht="15.75" customHeight="1">
      <c r="A1318" s="3">
        <v>9.88614022E8</v>
      </c>
      <c r="B1318" s="3" t="s">
        <v>536</v>
      </c>
      <c r="C1318" s="3">
        <v>44.0</v>
      </c>
      <c r="D1318" s="10">
        <v>11.0</v>
      </c>
      <c r="E1318" s="11">
        <v>2010.0</v>
      </c>
      <c r="F1318" s="13">
        <v>352364.1</v>
      </c>
      <c r="G1318" s="13">
        <v>200609.43</v>
      </c>
      <c r="H1318" s="13">
        <v>151754.66999999998</v>
      </c>
      <c r="I1318" s="14">
        <v>0.4306757413709285</v>
      </c>
      <c r="J1318" s="3" t="s">
        <v>3</v>
      </c>
      <c r="K1318" s="3" t="s">
        <v>28</v>
      </c>
      <c r="L1318" s="3" t="s">
        <v>33</v>
      </c>
    </row>
    <row r="1319" ht="15.75" customHeight="1">
      <c r="A1319" s="3">
        <v>9.89102828E8</v>
      </c>
      <c r="B1319" s="3" t="s">
        <v>821</v>
      </c>
      <c r="C1319" s="3">
        <v>27.0</v>
      </c>
      <c r="D1319" s="10">
        <v>6.0</v>
      </c>
      <c r="E1319" s="11">
        <v>2012.0</v>
      </c>
      <c r="F1319" s="13">
        <v>59357.46</v>
      </c>
      <c r="G1319" s="13">
        <v>44025.04</v>
      </c>
      <c r="H1319" s="13">
        <v>15332.419999999998</v>
      </c>
      <c r="I1319" s="14">
        <v>0.2583065380493033</v>
      </c>
      <c r="J1319" s="3" t="s">
        <v>8</v>
      </c>
      <c r="K1319" s="3" t="s">
        <v>821</v>
      </c>
      <c r="L1319" s="3" t="s">
        <v>821</v>
      </c>
    </row>
    <row r="1320" ht="15.75" customHeight="1">
      <c r="A1320" s="3">
        <v>9.89403665E8</v>
      </c>
      <c r="B1320" s="3" t="s">
        <v>536</v>
      </c>
      <c r="C1320" s="3">
        <v>33.0</v>
      </c>
      <c r="D1320" s="10">
        <v>4.0</v>
      </c>
      <c r="E1320" s="11">
        <v>2015.0</v>
      </c>
      <c r="F1320" s="13">
        <v>588582.08</v>
      </c>
      <c r="G1320" s="13">
        <v>193034.24000000002</v>
      </c>
      <c r="H1320" s="13">
        <v>395547.83999999997</v>
      </c>
      <c r="I1320" s="14">
        <v>0.6720351390922401</v>
      </c>
      <c r="J1320" s="3" t="s">
        <v>5</v>
      </c>
      <c r="K1320" s="3" t="s">
        <v>28</v>
      </c>
      <c r="L1320" s="3" t="s">
        <v>33</v>
      </c>
    </row>
    <row r="1321" ht="15.75" customHeight="1">
      <c r="A1321" s="3">
        <v>9.9045509E8</v>
      </c>
      <c r="B1321" s="3" t="s">
        <v>97</v>
      </c>
      <c r="C1321" s="3">
        <v>14.0</v>
      </c>
      <c r="D1321" s="10">
        <v>11.0</v>
      </c>
      <c r="E1321" s="11">
        <v>2013.0</v>
      </c>
      <c r="F1321" s="13">
        <v>4361130.02</v>
      </c>
      <c r="G1321" s="13">
        <v>3279576.04</v>
      </c>
      <c r="H1321" s="13">
        <v>1081553.9799999995</v>
      </c>
      <c r="I1321" s="14">
        <v>0.2479985634548909</v>
      </c>
      <c r="J1321" s="3" t="s">
        <v>4</v>
      </c>
      <c r="K1321" s="3" t="s">
        <v>28</v>
      </c>
      <c r="L1321" s="3" t="s">
        <v>98</v>
      </c>
    </row>
    <row r="1322" ht="15.75" customHeight="1">
      <c r="A1322" s="3">
        <v>9.9077481E8</v>
      </c>
      <c r="B1322" s="3" t="s">
        <v>512</v>
      </c>
      <c r="C1322" s="3">
        <v>32.0</v>
      </c>
      <c r="D1322" s="10">
        <v>1.0</v>
      </c>
      <c r="E1322" s="11">
        <v>2014.0</v>
      </c>
      <c r="F1322" s="13">
        <v>760491.26</v>
      </c>
      <c r="G1322" s="13">
        <v>571890.52</v>
      </c>
      <c r="H1322" s="13">
        <v>188600.74</v>
      </c>
      <c r="I1322" s="14">
        <v>0.24799856345489096</v>
      </c>
      <c r="J1322" s="3" t="s">
        <v>4</v>
      </c>
      <c r="K1322" s="3" t="s">
        <v>28</v>
      </c>
      <c r="L1322" s="3" t="s">
        <v>79</v>
      </c>
    </row>
    <row r="1323" ht="15.75" customHeight="1">
      <c r="A1323" s="3">
        <v>9.91761863E8</v>
      </c>
      <c r="B1323" s="3" t="s">
        <v>542</v>
      </c>
      <c r="C1323" s="3">
        <v>4.0</v>
      </c>
      <c r="D1323" s="10">
        <v>12.0</v>
      </c>
      <c r="E1323" s="11">
        <v>2011.0</v>
      </c>
      <c r="F1323" s="13">
        <v>30126.57</v>
      </c>
      <c r="G1323" s="13">
        <v>22344.68</v>
      </c>
      <c r="H1323" s="13">
        <v>7781.889999999999</v>
      </c>
      <c r="I1323" s="14">
        <v>0.2583065380493033</v>
      </c>
      <c r="J1323" s="3" t="s">
        <v>8</v>
      </c>
      <c r="K1323" s="3" t="s">
        <v>28</v>
      </c>
      <c r="L1323" s="3" t="s">
        <v>29</v>
      </c>
    </row>
    <row r="1324" ht="15.75" customHeight="1">
      <c r="A1324" s="3">
        <v>9.92992675E8</v>
      </c>
      <c r="B1324" s="3" t="s">
        <v>635</v>
      </c>
      <c r="C1324" s="3">
        <v>1.0</v>
      </c>
      <c r="D1324" s="10">
        <v>3.0</v>
      </c>
      <c r="E1324" s="11">
        <v>2011.0</v>
      </c>
      <c r="F1324" s="13">
        <v>1148363.24</v>
      </c>
      <c r="G1324" s="13">
        <v>677792.2200000001</v>
      </c>
      <c r="H1324" s="13">
        <v>470571.0199999999</v>
      </c>
      <c r="I1324" s="14">
        <v>0.4097754121770738</v>
      </c>
      <c r="J1324" s="3" t="s">
        <v>9</v>
      </c>
      <c r="K1324" s="3" t="s">
        <v>28</v>
      </c>
      <c r="L1324" s="3" t="s">
        <v>33</v>
      </c>
    </row>
    <row r="1325" ht="15.75" customHeight="1">
      <c r="A1325" s="3">
        <v>9.93368613E8</v>
      </c>
      <c r="B1325" s="3" t="s">
        <v>291</v>
      </c>
      <c r="C1325" s="3">
        <v>8.0</v>
      </c>
      <c r="D1325" s="10">
        <v>2.0</v>
      </c>
      <c r="E1325" s="11">
        <v>2016.0</v>
      </c>
      <c r="F1325" s="13">
        <v>711214.4600000001</v>
      </c>
      <c r="G1325" s="13">
        <v>493142.34</v>
      </c>
      <c r="H1325" s="13">
        <v>218072.12000000005</v>
      </c>
      <c r="I1325" s="14">
        <v>0.30661935641747223</v>
      </c>
      <c r="J1325" s="3" t="s">
        <v>14</v>
      </c>
      <c r="K1325" s="3" t="s">
        <v>28</v>
      </c>
      <c r="L1325" s="3" t="s">
        <v>79</v>
      </c>
    </row>
    <row r="1326" ht="15.75" customHeight="1">
      <c r="A1326" s="3">
        <v>9.94406735E8</v>
      </c>
      <c r="B1326" s="3" t="s">
        <v>455</v>
      </c>
      <c r="C1326" s="3">
        <v>23.0</v>
      </c>
      <c r="D1326" s="10">
        <v>6.0</v>
      </c>
      <c r="E1326" s="11">
        <v>2015.0</v>
      </c>
      <c r="F1326" s="13">
        <v>280239.7</v>
      </c>
      <c r="G1326" s="13">
        <v>187751.74</v>
      </c>
      <c r="H1326" s="13">
        <v>92487.96000000002</v>
      </c>
      <c r="I1326" s="14">
        <v>0.3300316122233931</v>
      </c>
      <c r="J1326" s="3" t="s">
        <v>6</v>
      </c>
      <c r="K1326" s="3" t="s">
        <v>28</v>
      </c>
      <c r="L1326" s="3" t="s">
        <v>33</v>
      </c>
    </row>
    <row r="1327" ht="15.75" customHeight="1">
      <c r="A1327" s="3">
        <v>9.94504153E8</v>
      </c>
      <c r="B1327" s="3" t="s">
        <v>686</v>
      </c>
      <c r="C1327" s="3">
        <v>3.0</v>
      </c>
      <c r="D1327" s="10">
        <v>1.0</v>
      </c>
      <c r="E1327" s="11">
        <v>2017.0</v>
      </c>
      <c r="F1327" s="13">
        <v>44168.22</v>
      </c>
      <c r="G1327" s="13">
        <v>32759.28</v>
      </c>
      <c r="H1327" s="13">
        <v>11408.940000000002</v>
      </c>
      <c r="I1327" s="14">
        <v>0.25830653804930337</v>
      </c>
      <c r="J1327" s="3" t="s">
        <v>8</v>
      </c>
      <c r="K1327" s="3" t="s">
        <v>28</v>
      </c>
      <c r="L1327" s="3" t="s">
        <v>29</v>
      </c>
    </row>
    <row r="1328" ht="15.75" customHeight="1">
      <c r="A1328" s="3">
        <v>9.94978797E8</v>
      </c>
      <c r="B1328" s="3" t="s">
        <v>373</v>
      </c>
      <c r="C1328" s="3">
        <v>28.0</v>
      </c>
      <c r="D1328" s="10">
        <v>12.0</v>
      </c>
      <c r="E1328" s="11">
        <v>2014.0</v>
      </c>
      <c r="F1328" s="13">
        <v>246360.40000000002</v>
      </c>
      <c r="G1328" s="13">
        <v>165053.68</v>
      </c>
      <c r="H1328" s="13">
        <v>81306.72000000003</v>
      </c>
      <c r="I1328" s="14">
        <v>0.3300316122233931</v>
      </c>
      <c r="J1328" s="3" t="s">
        <v>6</v>
      </c>
      <c r="K1328" s="3" t="s">
        <v>28</v>
      </c>
      <c r="L1328" s="3" t="s">
        <v>33</v>
      </c>
    </row>
    <row r="1329" ht="15.75" customHeight="1">
      <c r="A1329" s="3">
        <v>9.96754205E8</v>
      </c>
      <c r="B1329" s="3" t="s">
        <v>593</v>
      </c>
      <c r="C1329" s="3">
        <v>2.0</v>
      </c>
      <c r="D1329" s="10">
        <v>9.0</v>
      </c>
      <c r="E1329" s="11">
        <v>2010.0</v>
      </c>
      <c r="F1329" s="13">
        <v>146530.72</v>
      </c>
      <c r="G1329" s="13">
        <v>91507.07999999999</v>
      </c>
      <c r="H1329" s="13">
        <v>55023.640000000014</v>
      </c>
      <c r="I1329" s="14">
        <v>0.3755092447508619</v>
      </c>
      <c r="J1329" s="3" t="s">
        <v>10</v>
      </c>
      <c r="K1329" s="3" t="s">
        <v>28</v>
      </c>
      <c r="L1329" s="3" t="s">
        <v>98</v>
      </c>
    </row>
    <row r="1330" ht="15.75" customHeight="1">
      <c r="A1330" s="3">
        <v>9.98043382E8</v>
      </c>
      <c r="B1330" s="3" t="s">
        <v>455</v>
      </c>
      <c r="C1330" s="3">
        <v>18.0</v>
      </c>
      <c r="D1330" s="10">
        <v>6.0</v>
      </c>
      <c r="E1330" s="11">
        <v>2010.0</v>
      </c>
      <c r="F1330" s="13">
        <v>905004.0</v>
      </c>
      <c r="G1330" s="13">
        <v>545093.1</v>
      </c>
      <c r="H1330" s="13">
        <v>359910.9</v>
      </c>
      <c r="I1330" s="14">
        <v>0.3976898444647759</v>
      </c>
      <c r="J1330" s="3" t="s">
        <v>12</v>
      </c>
      <c r="K1330" s="3" t="s">
        <v>28</v>
      </c>
      <c r="L1330" s="3" t="s">
        <v>33</v>
      </c>
    </row>
    <row r="1331" ht="15.75" customHeight="1">
      <c r="A1331" s="3">
        <v>9.99879729E8</v>
      </c>
      <c r="B1331" s="3" t="s">
        <v>32</v>
      </c>
      <c r="C1331" s="3">
        <v>36.0</v>
      </c>
      <c r="D1331" s="10">
        <v>3.0</v>
      </c>
      <c r="E1331" s="11">
        <v>2012.0</v>
      </c>
      <c r="F1331" s="13">
        <v>3666129.2199999997</v>
      </c>
      <c r="G1331" s="13">
        <v>2756934.44</v>
      </c>
      <c r="H1331" s="13">
        <v>909194.7799999998</v>
      </c>
      <c r="I1331" s="14">
        <v>0.24799856345489094</v>
      </c>
      <c r="J1331" s="3" t="s">
        <v>4</v>
      </c>
      <c r="K1331" s="3" t="s">
        <v>28</v>
      </c>
      <c r="L1331" s="3" t="s">
        <v>33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1.5"/>
    <col customWidth="1" min="2" max="2" width="14.75"/>
    <col customWidth="1" min="3" max="3" width="14.25"/>
    <col customWidth="1" min="4" max="4" width="16.13"/>
    <col customWidth="1" min="5" max="5" width="16.5"/>
    <col customWidth="1" min="6" max="6" width="30.88"/>
    <col customWidth="1" min="8" max="8" width="30.88"/>
  </cols>
  <sheetData>
    <row r="1">
      <c r="G1" s="39" t="s">
        <v>1893</v>
      </c>
      <c r="H1" s="39" t="s">
        <v>1894</v>
      </c>
      <c r="I1" s="40" t="s">
        <v>1895</v>
      </c>
    </row>
    <row r="2">
      <c r="G2" s="41">
        <f t="shared" ref="G2:G4" si="1">B2/SUM($B$2:$B$4)</f>
        <v>0.8945471817</v>
      </c>
      <c r="H2" s="41">
        <f t="shared" ref="H2:H4" si="2">E2/SUM($E$2:$E$4)</f>
        <v>0.8845701547</v>
      </c>
      <c r="I2" s="41">
        <f t="shared" ref="I2:I4" si="3">B2/E2</f>
        <v>0.2979151369</v>
      </c>
    </row>
    <row r="3">
      <c r="G3" s="41">
        <f t="shared" si="1"/>
        <v>0.05529221904</v>
      </c>
      <c r="H3" s="41">
        <f t="shared" si="2"/>
        <v>0.06059800533</v>
      </c>
      <c r="I3" s="41">
        <f t="shared" si="3"/>
        <v>0.2687987788</v>
      </c>
    </row>
    <row r="4">
      <c r="G4" s="41">
        <f t="shared" si="1"/>
        <v>0.05016059925</v>
      </c>
      <c r="H4" s="41">
        <f t="shared" si="2"/>
        <v>0.05483184</v>
      </c>
      <c r="I4" s="41">
        <f t="shared" si="3"/>
        <v>0.2694954871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18.88"/>
    <col customWidth="1" min="3" max="6" width="12.63"/>
    <col customWidth="1" min="8" max="8" width="18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>
      <c r="B15" s="42"/>
    </row>
    <row r="16">
      <c r="B16" s="42"/>
    </row>
    <row r="17">
      <c r="A17" s="43" t="s">
        <v>1898</v>
      </c>
      <c r="B17" s="42"/>
    </row>
    <row r="18">
      <c r="A18" s="34" t="s">
        <v>1899</v>
      </c>
      <c r="B18" s="42"/>
    </row>
    <row r="19">
      <c r="B19" s="42"/>
    </row>
    <row r="20">
      <c r="B20" s="42"/>
    </row>
    <row r="21" ht="15.75" customHeight="1">
      <c r="B21" s="42"/>
    </row>
    <row r="22" ht="15.75" customHeight="1">
      <c r="B22" s="42"/>
    </row>
    <row r="23" ht="15.75" customHeight="1">
      <c r="B23" s="42"/>
    </row>
    <row r="24" ht="15.75" customHeight="1">
      <c r="B24" s="42"/>
    </row>
    <row r="25" ht="15.75" customHeight="1">
      <c r="B25" s="42"/>
    </row>
    <row r="26" ht="15.75" customHeight="1">
      <c r="B26" s="42"/>
    </row>
    <row r="27" ht="15.75" customHeight="1">
      <c r="B27" s="42"/>
    </row>
    <row r="28" ht="15.75" customHeight="1">
      <c r="B28" s="42"/>
    </row>
    <row r="29" ht="15.75" customHeight="1">
      <c r="B29" s="42"/>
    </row>
    <row r="30" ht="15.75" customHeight="1">
      <c r="B30" s="42"/>
    </row>
    <row r="31" ht="15.75" customHeight="1">
      <c r="B31" s="42"/>
    </row>
    <row r="32" ht="15.75" customHeight="1">
      <c r="B32" s="42"/>
    </row>
    <row r="33" ht="15.75" customHeight="1">
      <c r="B33" s="42"/>
    </row>
    <row r="34" ht="15.75" customHeight="1">
      <c r="B34" s="42"/>
    </row>
    <row r="35" ht="15.75" customHeight="1">
      <c r="B35" s="42"/>
    </row>
    <row r="36" ht="15.75" customHeight="1">
      <c r="B36" s="42"/>
    </row>
    <row r="37" ht="15.75" customHeight="1">
      <c r="B37" s="42"/>
    </row>
    <row r="38" ht="15.75" customHeight="1">
      <c r="B38" s="42"/>
    </row>
    <row r="39" ht="15.75" customHeight="1">
      <c r="B39" s="42"/>
    </row>
    <row r="40" ht="15.75" customHeight="1">
      <c r="B40" s="42"/>
    </row>
    <row r="41" ht="15.75" customHeight="1">
      <c r="B41" s="42"/>
    </row>
    <row r="42" ht="15.75" customHeight="1">
      <c r="B42" s="42"/>
    </row>
    <row r="43" ht="15.75" customHeight="1">
      <c r="B43" s="42"/>
    </row>
    <row r="44" ht="15.75" customHeight="1">
      <c r="B44" s="42"/>
    </row>
    <row r="45" ht="15.75" customHeight="1">
      <c r="B45" s="42"/>
    </row>
    <row r="46" ht="15.75" customHeight="1">
      <c r="B46" s="42"/>
    </row>
    <row r="47" ht="15.75" customHeight="1">
      <c r="B47" s="42"/>
    </row>
    <row r="48" ht="15.75" customHeight="1">
      <c r="B48" s="42"/>
    </row>
    <row r="49" ht="15.75" customHeight="1">
      <c r="B49" s="42"/>
      <c r="H49" s="42"/>
    </row>
    <row r="50" ht="15.75" customHeight="1">
      <c r="B50" s="42"/>
      <c r="H50" s="42"/>
    </row>
    <row r="51" ht="15.75" customHeight="1">
      <c r="B51" s="42"/>
      <c r="H51" s="42"/>
    </row>
    <row r="52" ht="15.75" customHeight="1">
      <c r="B52" s="42"/>
      <c r="H52" s="42"/>
    </row>
    <row r="53" ht="15.75" customHeight="1">
      <c r="B53" s="42"/>
      <c r="H53" s="42"/>
    </row>
    <row r="54" ht="15.75" customHeight="1">
      <c r="B54" s="42"/>
      <c r="H54" s="42"/>
    </row>
    <row r="55" ht="15.75" customHeight="1">
      <c r="B55" s="42"/>
      <c r="H55" s="42"/>
    </row>
    <row r="56" ht="15.75" customHeight="1">
      <c r="B56" s="42"/>
      <c r="H56" s="42"/>
    </row>
    <row r="57" ht="15.75" customHeight="1">
      <c r="B57" s="42"/>
      <c r="H57" s="42"/>
    </row>
    <row r="58" ht="15.75" customHeight="1">
      <c r="B58" s="42"/>
      <c r="H58" s="42"/>
    </row>
    <row r="59" ht="15.75" customHeight="1">
      <c r="B59" s="42"/>
      <c r="H59" s="42"/>
    </row>
    <row r="60" ht="15.75" customHeight="1">
      <c r="B60" s="42"/>
      <c r="H60" s="42"/>
    </row>
    <row r="61" ht="15.75" customHeight="1">
      <c r="B61" s="42"/>
      <c r="H61" s="42"/>
    </row>
    <row r="62" ht="15.75" customHeight="1">
      <c r="B62" s="42"/>
      <c r="H62" s="42"/>
    </row>
    <row r="63" ht="15.75" customHeight="1">
      <c r="B63" s="42"/>
      <c r="H63" s="42"/>
    </row>
    <row r="64" ht="15.75" customHeight="1">
      <c r="B64" s="42"/>
      <c r="H64" s="42"/>
    </row>
    <row r="65" ht="15.75" customHeight="1">
      <c r="B65" s="42"/>
      <c r="H65" s="42"/>
    </row>
    <row r="66" ht="15.75" customHeight="1">
      <c r="B66" s="42"/>
      <c r="H66" s="42"/>
    </row>
    <row r="67" ht="15.75" customHeight="1">
      <c r="B67" s="42"/>
      <c r="H67" s="42"/>
    </row>
    <row r="68" ht="15.75" customHeight="1">
      <c r="B68" s="42"/>
      <c r="H68" s="42"/>
    </row>
    <row r="69" ht="15.75" customHeight="1">
      <c r="B69" s="42"/>
      <c r="H69" s="42"/>
    </row>
    <row r="70" ht="15.75" customHeight="1">
      <c r="B70" s="42"/>
      <c r="H70" s="42"/>
    </row>
    <row r="71" ht="15.75" customHeight="1">
      <c r="B71" s="42"/>
      <c r="H71" s="42"/>
    </row>
    <row r="72" ht="15.75" customHeight="1">
      <c r="B72" s="42"/>
      <c r="H72" s="42"/>
    </row>
    <row r="73" ht="15.75" customHeight="1">
      <c r="B73" s="42"/>
      <c r="H73" s="42"/>
    </row>
    <row r="74" ht="15.75" customHeight="1">
      <c r="B74" s="42"/>
      <c r="H74" s="42"/>
    </row>
    <row r="75" ht="15.75" customHeight="1">
      <c r="B75" s="42"/>
      <c r="H75" s="42"/>
    </row>
    <row r="76" ht="15.75" customHeight="1">
      <c r="B76" s="42"/>
      <c r="H76" s="42"/>
    </row>
    <row r="77" ht="15.75" customHeight="1">
      <c r="B77" s="42"/>
      <c r="H77" s="42"/>
    </row>
    <row r="78" ht="15.75" customHeight="1">
      <c r="B78" s="42"/>
      <c r="H78" s="42"/>
    </row>
    <row r="79" ht="15.75" customHeight="1">
      <c r="B79" s="42"/>
      <c r="H79" s="42"/>
    </row>
    <row r="80" ht="15.75" customHeight="1">
      <c r="B80" s="42"/>
      <c r="H80" s="42"/>
    </row>
    <row r="81" ht="15.75" customHeight="1">
      <c r="B81" s="42"/>
      <c r="H81" s="42"/>
    </row>
    <row r="82" ht="15.75" customHeight="1">
      <c r="B82" s="42"/>
      <c r="H82" s="42"/>
    </row>
    <row r="83" ht="15.75" customHeight="1">
      <c r="B83" s="42"/>
      <c r="H83" s="42"/>
    </row>
    <row r="84" ht="15.75" customHeight="1">
      <c r="B84" s="42"/>
      <c r="H84" s="42"/>
    </row>
    <row r="85" ht="15.75" customHeight="1">
      <c r="B85" s="42"/>
      <c r="H85" s="42"/>
    </row>
    <row r="86" ht="15.75" customHeight="1">
      <c r="B86" s="42"/>
      <c r="H86" s="42"/>
    </row>
    <row r="87" ht="15.75" customHeight="1">
      <c r="B87" s="42"/>
      <c r="H87" s="42"/>
    </row>
    <row r="88" ht="15.75" customHeight="1">
      <c r="B88" s="42"/>
      <c r="H88" s="42"/>
    </row>
    <row r="89" ht="15.75" customHeight="1">
      <c r="B89" s="42"/>
      <c r="H89" s="42"/>
    </row>
    <row r="90" ht="15.75" customHeight="1">
      <c r="B90" s="42"/>
      <c r="H90" s="42"/>
    </row>
    <row r="91" ht="15.75" customHeight="1">
      <c r="B91" s="42"/>
      <c r="H91" s="42"/>
    </row>
    <row r="92" ht="15.75" customHeight="1">
      <c r="B92" s="42"/>
      <c r="H92" s="42"/>
    </row>
    <row r="93" ht="15.75" customHeight="1">
      <c r="B93" s="42"/>
      <c r="H93" s="42"/>
    </row>
    <row r="94" ht="15.75" customHeight="1">
      <c r="B94" s="42"/>
      <c r="H94" s="42"/>
    </row>
    <row r="95" ht="15.75" customHeight="1">
      <c r="B95" s="42"/>
      <c r="H95" s="42"/>
    </row>
    <row r="96" ht="15.75" customHeight="1">
      <c r="B96" s="42"/>
      <c r="H96" s="42"/>
    </row>
    <row r="97" ht="15.75" customHeight="1">
      <c r="B97" s="42"/>
      <c r="H97" s="42"/>
    </row>
    <row r="98" ht="15.75" customHeight="1">
      <c r="B98" s="42"/>
      <c r="H98" s="42"/>
    </row>
    <row r="99" ht="15.75" customHeight="1">
      <c r="B99" s="42"/>
      <c r="H99" s="42"/>
    </row>
    <row r="100" ht="15.75" customHeight="1">
      <c r="B100" s="42"/>
      <c r="H100" s="42"/>
    </row>
    <row r="101" ht="15.75" customHeight="1">
      <c r="B101" s="42"/>
      <c r="H101" s="42"/>
    </row>
    <row r="102" ht="15.75" customHeight="1">
      <c r="B102" s="42"/>
      <c r="H102" s="42"/>
    </row>
    <row r="103" ht="15.75" customHeight="1">
      <c r="B103" s="42"/>
      <c r="H103" s="42"/>
    </row>
    <row r="104" ht="15.75" customHeight="1">
      <c r="B104" s="42"/>
      <c r="H104" s="42"/>
    </row>
    <row r="105" ht="15.75" customHeight="1">
      <c r="B105" s="42"/>
      <c r="H105" s="42"/>
    </row>
    <row r="106" ht="15.75" customHeight="1">
      <c r="B106" s="42"/>
      <c r="H106" s="42"/>
    </row>
    <row r="107" ht="15.75" customHeight="1">
      <c r="B107" s="42"/>
      <c r="H107" s="42"/>
    </row>
    <row r="108" ht="15.75" customHeight="1">
      <c r="B108" s="42"/>
      <c r="H108" s="42"/>
    </row>
    <row r="109" ht="15.75" customHeight="1">
      <c r="B109" s="42"/>
      <c r="H109" s="42"/>
    </row>
    <row r="110" ht="15.75" customHeight="1">
      <c r="B110" s="42"/>
      <c r="H110" s="42"/>
    </row>
    <row r="111" ht="15.75" customHeight="1">
      <c r="B111" s="42"/>
      <c r="H111" s="42"/>
    </row>
    <row r="112" ht="15.75" customHeight="1">
      <c r="B112" s="42"/>
      <c r="H112" s="42"/>
    </row>
    <row r="113" ht="15.75" customHeight="1">
      <c r="B113" s="42"/>
      <c r="H113" s="42"/>
    </row>
    <row r="114" ht="15.75" customHeight="1">
      <c r="B114" s="42"/>
      <c r="H114" s="42"/>
    </row>
    <row r="115" ht="15.75" customHeight="1">
      <c r="B115" s="42"/>
      <c r="H115" s="42"/>
    </row>
    <row r="116" ht="15.75" customHeight="1">
      <c r="B116" s="42"/>
      <c r="H116" s="42"/>
    </row>
    <row r="117" ht="15.75" customHeight="1">
      <c r="B117" s="42"/>
      <c r="H117" s="42"/>
    </row>
    <row r="118" ht="15.75" customHeight="1">
      <c r="B118" s="42"/>
      <c r="H118" s="42"/>
    </row>
    <row r="119" ht="15.75" customHeight="1">
      <c r="B119" s="42"/>
      <c r="H119" s="42"/>
    </row>
    <row r="120" ht="15.75" customHeight="1">
      <c r="B120" s="42"/>
      <c r="H120" s="42"/>
    </row>
    <row r="121" ht="15.75" customHeight="1">
      <c r="B121" s="42"/>
      <c r="H121" s="42"/>
    </row>
    <row r="122" ht="15.75" customHeight="1">
      <c r="B122" s="42"/>
      <c r="H122" s="42"/>
    </row>
    <row r="123" ht="15.75" customHeight="1">
      <c r="B123" s="42"/>
      <c r="H123" s="42"/>
    </row>
    <row r="124" ht="15.75" customHeight="1">
      <c r="B124" s="42"/>
      <c r="H124" s="42"/>
    </row>
    <row r="125" ht="15.75" customHeight="1">
      <c r="B125" s="42"/>
      <c r="H125" s="42"/>
    </row>
    <row r="126" ht="15.75" customHeight="1">
      <c r="B126" s="42"/>
      <c r="H126" s="42"/>
    </row>
    <row r="127" ht="15.75" customHeight="1">
      <c r="B127" s="42"/>
      <c r="H127" s="42"/>
    </row>
    <row r="128" ht="15.75" customHeight="1">
      <c r="B128" s="42"/>
      <c r="H128" s="42"/>
    </row>
    <row r="129" ht="15.75" customHeight="1">
      <c r="B129" s="42"/>
      <c r="H129" s="42"/>
    </row>
    <row r="130" ht="15.75" customHeight="1">
      <c r="B130" s="42"/>
      <c r="H130" s="42"/>
    </row>
    <row r="131" ht="15.75" customHeight="1">
      <c r="B131" s="42"/>
      <c r="H131" s="42"/>
    </row>
    <row r="132" ht="15.75" customHeight="1">
      <c r="B132" s="42"/>
      <c r="H132" s="42"/>
    </row>
    <row r="133" ht="15.75" customHeight="1">
      <c r="B133" s="42"/>
      <c r="H133" s="42"/>
    </row>
    <row r="134" ht="15.75" customHeight="1">
      <c r="B134" s="42"/>
      <c r="H134" s="42"/>
    </row>
    <row r="135" ht="15.75" customHeight="1">
      <c r="B135" s="42"/>
      <c r="H135" s="42"/>
    </row>
    <row r="136" ht="15.75" customHeight="1">
      <c r="B136" s="42"/>
      <c r="H136" s="42"/>
    </row>
    <row r="137" ht="15.75" customHeight="1">
      <c r="B137" s="42"/>
      <c r="H137" s="42"/>
    </row>
    <row r="138" ht="15.75" customHeight="1">
      <c r="B138" s="42"/>
      <c r="H138" s="42"/>
    </row>
    <row r="139" ht="15.75" customHeight="1">
      <c r="B139" s="42"/>
      <c r="H139" s="42"/>
    </row>
    <row r="140" ht="15.75" customHeight="1">
      <c r="B140" s="42"/>
      <c r="H140" s="42"/>
    </row>
    <row r="141" ht="15.75" customHeight="1">
      <c r="B141" s="42"/>
      <c r="H141" s="42"/>
    </row>
    <row r="142" ht="15.75" customHeight="1">
      <c r="B142" s="42"/>
      <c r="H142" s="42"/>
    </row>
    <row r="143" ht="15.75" customHeight="1">
      <c r="B143" s="42"/>
      <c r="H143" s="42"/>
    </row>
    <row r="144" ht="15.75" customHeight="1">
      <c r="B144" s="42"/>
      <c r="H144" s="42"/>
    </row>
    <row r="145" ht="15.75" customHeight="1">
      <c r="B145" s="42"/>
      <c r="H145" s="42"/>
    </row>
    <row r="146" ht="15.75" customHeight="1">
      <c r="B146" s="42"/>
      <c r="H146" s="42"/>
    </row>
    <row r="147" ht="15.75" customHeight="1">
      <c r="B147" s="42"/>
      <c r="H147" s="42"/>
    </row>
    <row r="148" ht="15.75" customHeight="1">
      <c r="B148" s="42"/>
      <c r="H148" s="42"/>
    </row>
    <row r="149" ht="15.75" customHeight="1">
      <c r="B149" s="42"/>
      <c r="H149" s="42"/>
    </row>
    <row r="150" ht="15.75" customHeight="1">
      <c r="B150" s="42"/>
      <c r="H150" s="42"/>
    </row>
    <row r="151" ht="15.75" customHeight="1">
      <c r="B151" s="42"/>
      <c r="H151" s="42"/>
    </row>
    <row r="152" ht="15.75" customHeight="1">
      <c r="B152" s="42"/>
      <c r="H152" s="42"/>
    </row>
    <row r="153" ht="15.75" customHeight="1">
      <c r="B153" s="42"/>
      <c r="H153" s="42"/>
    </row>
    <row r="154" ht="15.75" customHeight="1">
      <c r="B154" s="42"/>
      <c r="H154" s="42"/>
    </row>
    <row r="155" ht="15.75" customHeight="1">
      <c r="B155" s="42"/>
      <c r="H155" s="42"/>
    </row>
    <row r="156" ht="15.75" customHeight="1">
      <c r="B156" s="42"/>
      <c r="H156" s="42"/>
    </row>
    <row r="157" ht="15.75" customHeight="1">
      <c r="B157" s="42"/>
      <c r="H157" s="42"/>
    </row>
    <row r="158" ht="15.75" customHeight="1">
      <c r="B158" s="42"/>
      <c r="H158" s="42"/>
    </row>
    <row r="159" ht="15.75" customHeight="1">
      <c r="B159" s="42"/>
      <c r="H159" s="42"/>
    </row>
    <row r="160" ht="15.75" customHeight="1">
      <c r="B160" s="42"/>
      <c r="H160" s="42"/>
    </row>
    <row r="161" ht="15.75" customHeight="1">
      <c r="B161" s="42"/>
      <c r="H161" s="42"/>
    </row>
    <row r="162" ht="15.75" customHeight="1">
      <c r="B162" s="42"/>
      <c r="H162" s="42"/>
    </row>
    <row r="163" ht="15.75" customHeight="1">
      <c r="B163" s="42"/>
      <c r="H163" s="42"/>
    </row>
    <row r="164" ht="15.75" customHeight="1">
      <c r="B164" s="42"/>
      <c r="H164" s="42"/>
    </row>
    <row r="165" ht="15.75" customHeight="1">
      <c r="B165" s="42"/>
      <c r="H165" s="42"/>
    </row>
    <row r="166" ht="15.75" customHeight="1">
      <c r="B166" s="42"/>
      <c r="H166" s="42"/>
    </row>
    <row r="167" ht="15.75" customHeight="1">
      <c r="B167" s="42"/>
      <c r="H167" s="42"/>
    </row>
    <row r="168" ht="15.75" customHeight="1">
      <c r="B168" s="42"/>
      <c r="H168" s="42"/>
    </row>
    <row r="169" ht="15.75" customHeight="1">
      <c r="B169" s="42"/>
      <c r="H169" s="42"/>
    </row>
    <row r="170" ht="15.75" customHeight="1">
      <c r="B170" s="42"/>
      <c r="H170" s="42"/>
    </row>
    <row r="171" ht="15.75" customHeight="1">
      <c r="B171" s="42"/>
      <c r="H171" s="42"/>
    </row>
    <row r="172" ht="15.75" customHeight="1">
      <c r="B172" s="42"/>
      <c r="H172" s="42"/>
    </row>
    <row r="173" ht="15.75" customHeight="1">
      <c r="B173" s="42"/>
      <c r="H173" s="42"/>
    </row>
    <row r="174" ht="15.75" customHeight="1">
      <c r="B174" s="42"/>
      <c r="H174" s="42"/>
    </row>
    <row r="175" ht="15.75" customHeight="1">
      <c r="B175" s="42"/>
      <c r="H175" s="42"/>
    </row>
    <row r="176" ht="15.75" customHeight="1">
      <c r="B176" s="42"/>
      <c r="H176" s="42"/>
    </row>
    <row r="177" ht="15.75" customHeight="1">
      <c r="B177" s="42"/>
      <c r="H177" s="42"/>
    </row>
    <row r="178" ht="15.75" customHeight="1">
      <c r="B178" s="42"/>
      <c r="H178" s="42"/>
    </row>
    <row r="179" ht="15.75" customHeight="1">
      <c r="B179" s="42"/>
      <c r="H179" s="42"/>
    </row>
    <row r="180" ht="15.75" customHeight="1">
      <c r="B180" s="42"/>
      <c r="H180" s="42"/>
    </row>
    <row r="181" ht="15.75" customHeight="1">
      <c r="B181" s="42"/>
      <c r="H181" s="42"/>
    </row>
    <row r="182" ht="15.75" customHeight="1">
      <c r="B182" s="42"/>
      <c r="H182" s="42"/>
    </row>
    <row r="183" ht="15.75" customHeight="1">
      <c r="B183" s="42"/>
      <c r="H183" s="42"/>
    </row>
    <row r="184" ht="15.75" customHeight="1">
      <c r="B184" s="42"/>
      <c r="H184" s="42"/>
    </row>
    <row r="185" ht="15.75" customHeight="1">
      <c r="B185" s="42"/>
      <c r="H185" s="42"/>
    </row>
    <row r="186" ht="15.75" customHeight="1">
      <c r="B186" s="42"/>
      <c r="H186" s="42"/>
    </row>
    <row r="187" ht="15.75" customHeight="1">
      <c r="B187" s="42"/>
      <c r="H187" s="42"/>
    </row>
    <row r="188" ht="15.75" customHeight="1">
      <c r="B188" s="42"/>
      <c r="H188" s="42"/>
    </row>
    <row r="189" ht="15.75" customHeight="1">
      <c r="B189" s="42"/>
      <c r="H189" s="42"/>
    </row>
    <row r="190" ht="15.75" customHeight="1">
      <c r="B190" s="42"/>
      <c r="H190" s="42"/>
    </row>
    <row r="191" ht="15.75" customHeight="1">
      <c r="B191" s="42"/>
      <c r="H191" s="42"/>
    </row>
    <row r="192" ht="15.75" customHeight="1">
      <c r="B192" s="42"/>
      <c r="H192" s="42"/>
    </row>
    <row r="193" ht="15.75" customHeight="1">
      <c r="B193" s="42"/>
      <c r="H193" s="42"/>
    </row>
    <row r="194" ht="15.75" customHeight="1">
      <c r="B194" s="42"/>
      <c r="H194" s="42"/>
    </row>
    <row r="195" ht="15.75" customHeight="1">
      <c r="B195" s="42"/>
      <c r="H195" s="42"/>
    </row>
    <row r="196" ht="15.75" customHeight="1">
      <c r="B196" s="42"/>
      <c r="H196" s="42"/>
    </row>
    <row r="197" ht="15.75" customHeight="1">
      <c r="B197" s="42"/>
      <c r="H197" s="42"/>
    </row>
    <row r="198" ht="15.75" customHeight="1">
      <c r="B198" s="42"/>
      <c r="H198" s="42"/>
    </row>
    <row r="199" ht="15.75" customHeight="1">
      <c r="B199" s="42"/>
      <c r="H199" s="42"/>
    </row>
    <row r="200" ht="15.75" customHeight="1">
      <c r="B200" s="42"/>
      <c r="H200" s="42"/>
    </row>
    <row r="201" ht="15.75" customHeight="1">
      <c r="B201" s="42"/>
      <c r="H201" s="42"/>
    </row>
    <row r="202" ht="15.75" customHeight="1">
      <c r="B202" s="42"/>
      <c r="H202" s="42"/>
    </row>
    <row r="203" ht="15.75" customHeight="1">
      <c r="B203" s="42"/>
      <c r="H203" s="42"/>
    </row>
    <row r="204" ht="15.75" customHeight="1">
      <c r="B204" s="42"/>
      <c r="H204" s="42"/>
    </row>
    <row r="205" ht="15.75" customHeight="1">
      <c r="B205" s="42"/>
      <c r="H205" s="42"/>
    </row>
    <row r="206" ht="15.75" customHeight="1">
      <c r="B206" s="42"/>
      <c r="H206" s="42"/>
    </row>
    <row r="207" ht="15.75" customHeight="1">
      <c r="B207" s="42"/>
      <c r="H207" s="42"/>
    </row>
    <row r="208" ht="15.75" customHeight="1">
      <c r="B208" s="42"/>
      <c r="H208" s="42"/>
    </row>
    <row r="209" ht="15.75" customHeight="1">
      <c r="B209" s="42"/>
      <c r="H209" s="42"/>
    </row>
    <row r="210" ht="15.75" customHeight="1">
      <c r="B210" s="42"/>
      <c r="H210" s="42"/>
    </row>
    <row r="211" ht="15.75" customHeight="1">
      <c r="B211" s="42"/>
      <c r="H211" s="42"/>
    </row>
    <row r="212" ht="15.75" customHeight="1">
      <c r="B212" s="42"/>
      <c r="H212" s="42"/>
    </row>
    <row r="213" ht="15.75" customHeight="1">
      <c r="B213" s="42"/>
      <c r="H213" s="42"/>
    </row>
    <row r="214" ht="15.75" customHeight="1">
      <c r="B214" s="42"/>
      <c r="H214" s="42"/>
    </row>
    <row r="215" ht="15.75" customHeight="1">
      <c r="B215" s="42"/>
      <c r="H215" s="42"/>
    </row>
    <row r="216" ht="15.75" customHeight="1">
      <c r="B216" s="42"/>
      <c r="H216" s="42"/>
    </row>
    <row r="217" ht="15.75" customHeight="1">
      <c r="B217" s="42"/>
      <c r="H217" s="42"/>
    </row>
    <row r="218" ht="15.75" customHeight="1">
      <c r="B218" s="42"/>
      <c r="H218" s="42"/>
    </row>
    <row r="219" ht="15.75" customHeight="1">
      <c r="B219" s="42"/>
      <c r="H219" s="42"/>
    </row>
    <row r="220" ht="15.75" customHeight="1">
      <c r="B220" s="42"/>
      <c r="H220" s="4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1.5"/>
    <col customWidth="1" min="2" max="2" width="16.5"/>
    <col customWidth="1" min="3" max="3" width="15.13"/>
    <col customWidth="1" min="4" max="4" width="22.63"/>
    <col customWidth="1" min="5" max="5" width="13.13"/>
    <col customWidth="1" min="6" max="6" width="14.0"/>
    <col customWidth="1" min="7" max="8" width="4.25"/>
    <col customWidth="1" min="10" max="10" width="14.75"/>
  </cols>
  <sheetData>
    <row r="1">
      <c r="A1" s="27" t="s">
        <v>801</v>
      </c>
      <c r="B1" s="27" t="s">
        <v>1872</v>
      </c>
      <c r="C1" s="27" t="s">
        <v>1873</v>
      </c>
      <c r="D1" s="27" t="s">
        <v>1900</v>
      </c>
      <c r="E1" s="44" t="s">
        <v>1901</v>
      </c>
      <c r="F1" s="45" t="s">
        <v>1902</v>
      </c>
      <c r="R1" s="27" t="s">
        <v>801</v>
      </c>
      <c r="S1" s="32" t="s">
        <v>1901</v>
      </c>
    </row>
    <row r="2">
      <c r="A2" s="27" t="s">
        <v>821</v>
      </c>
      <c r="B2" s="31">
        <v>1.0314564695E8</v>
      </c>
      <c r="C2" s="31">
        <v>2.7725423939999998E7</v>
      </c>
      <c r="D2" s="27">
        <v>82.0</v>
      </c>
      <c r="E2" s="32">
        <f t="shared" ref="E2:E48" si="1">C2/B2</f>
        <v>0.2687987788</v>
      </c>
      <c r="F2" s="46">
        <f t="shared" ref="F2:F48" si="2">B2/D2</f>
        <v>1257873.743</v>
      </c>
      <c r="R2" s="27" t="s">
        <v>221</v>
      </c>
      <c r="S2" s="32">
        <v>0.35661629170469966</v>
      </c>
    </row>
    <row r="3">
      <c r="A3" s="27" t="s">
        <v>46</v>
      </c>
      <c r="B3" s="31">
        <v>4.775669317000001E7</v>
      </c>
      <c r="C3" s="31">
        <v>1.5410036629999997E7</v>
      </c>
      <c r="D3" s="27">
        <v>40.0</v>
      </c>
      <c r="E3" s="32">
        <f t="shared" si="1"/>
        <v>0.3226780501</v>
      </c>
      <c r="F3" s="46">
        <f t="shared" si="2"/>
        <v>1193917.329</v>
      </c>
      <c r="R3" s="27" t="s">
        <v>488</v>
      </c>
      <c r="S3" s="32">
        <v>0.3563290571898368</v>
      </c>
    </row>
    <row r="4">
      <c r="A4" s="27" t="s">
        <v>740</v>
      </c>
      <c r="B4" s="31">
        <v>5.325231754000001E7</v>
      </c>
      <c r="C4" s="31">
        <v>1.4804925739999998E7</v>
      </c>
      <c r="D4" s="27">
        <v>33.0</v>
      </c>
      <c r="E4" s="32">
        <f t="shared" si="1"/>
        <v>0.2780146747</v>
      </c>
      <c r="F4" s="46">
        <f t="shared" si="2"/>
        <v>1613706.592</v>
      </c>
      <c r="R4" s="27" t="s">
        <v>746</v>
      </c>
      <c r="S4" s="32">
        <v>0.3498899228790428</v>
      </c>
    </row>
    <row r="5">
      <c r="A5" s="27" t="s">
        <v>455</v>
      </c>
      <c r="B5" s="31">
        <v>4.7145320809999995E7</v>
      </c>
      <c r="C5" s="31">
        <v>1.4610127880000005E7</v>
      </c>
      <c r="D5" s="27">
        <v>32.0</v>
      </c>
      <c r="E5" s="32">
        <f t="shared" si="1"/>
        <v>0.3098956085</v>
      </c>
      <c r="F5" s="46">
        <f t="shared" si="2"/>
        <v>1473291.275</v>
      </c>
      <c r="R5" s="27" t="s">
        <v>482</v>
      </c>
      <c r="S5" s="32">
        <v>0.3468898401645635</v>
      </c>
    </row>
    <row r="6">
      <c r="A6" s="27" t="s">
        <v>623</v>
      </c>
      <c r="B6" s="31">
        <v>4.7883708480000004E7</v>
      </c>
      <c r="C6" s="31">
        <v>1.3792992809999999E7</v>
      </c>
      <c r="D6" s="27">
        <v>40.0</v>
      </c>
      <c r="E6" s="32">
        <f t="shared" si="1"/>
        <v>0.2880518917</v>
      </c>
      <c r="F6" s="46">
        <f t="shared" si="2"/>
        <v>1197092.712</v>
      </c>
      <c r="R6" s="27" t="s">
        <v>689</v>
      </c>
      <c r="S6" s="32">
        <v>0.3462662697935389</v>
      </c>
    </row>
    <row r="7">
      <c r="A7" s="27" t="s">
        <v>346</v>
      </c>
      <c r="B7" s="31">
        <v>4.2408249120000005E7</v>
      </c>
      <c r="C7" s="31">
        <v>1.3786231030000001E7</v>
      </c>
      <c r="D7" s="27">
        <v>25.0</v>
      </c>
      <c r="E7" s="32">
        <f t="shared" si="1"/>
        <v>0.3250837117</v>
      </c>
      <c r="F7" s="46">
        <f t="shared" si="2"/>
        <v>1696329.965</v>
      </c>
      <c r="R7" s="27" t="s">
        <v>97</v>
      </c>
      <c r="S7" s="32">
        <v>0.346194963568739</v>
      </c>
    </row>
    <row r="8">
      <c r="A8" s="27" t="s">
        <v>536</v>
      </c>
      <c r="B8" s="31">
        <v>4.922208525000001E7</v>
      </c>
      <c r="C8" s="31">
        <v>1.3684099949999996E7</v>
      </c>
      <c r="D8" s="27">
        <v>32.0</v>
      </c>
      <c r="E8" s="32">
        <f t="shared" si="1"/>
        <v>0.2780073189</v>
      </c>
      <c r="F8" s="46">
        <f t="shared" si="2"/>
        <v>1538190.164</v>
      </c>
      <c r="R8" s="27" t="s">
        <v>248</v>
      </c>
      <c r="S8" s="32">
        <v>0.334412343502858</v>
      </c>
    </row>
    <row r="9">
      <c r="A9" s="27" t="s">
        <v>218</v>
      </c>
      <c r="B9" s="31">
        <v>5.354393214E7</v>
      </c>
      <c r="C9" s="31">
        <v>1.363559378E7</v>
      </c>
      <c r="D9" s="27">
        <v>31.0</v>
      </c>
      <c r="E9" s="32">
        <f t="shared" si="1"/>
        <v>0.2546617933</v>
      </c>
      <c r="F9" s="46">
        <f t="shared" si="2"/>
        <v>1727223.617</v>
      </c>
      <c r="R9" s="27" t="s">
        <v>32</v>
      </c>
      <c r="S9" s="32">
        <v>0.3255470470811478</v>
      </c>
    </row>
    <row r="10">
      <c r="A10" s="14" t="s">
        <v>593</v>
      </c>
      <c r="B10" s="31">
        <v>4.605165981E7</v>
      </c>
      <c r="C10" s="31">
        <v>1.3267682639999999E7</v>
      </c>
      <c r="D10" s="27">
        <v>32.0</v>
      </c>
      <c r="E10" s="32">
        <f t="shared" si="1"/>
        <v>0.288104331</v>
      </c>
      <c r="F10" s="46">
        <f t="shared" si="2"/>
        <v>1439114.369</v>
      </c>
      <c r="I10" s="14"/>
      <c r="R10" s="27" t="s">
        <v>346</v>
      </c>
      <c r="S10" s="32">
        <v>0.3250837116851949</v>
      </c>
    </row>
    <row r="11">
      <c r="A11" s="27" t="s">
        <v>123</v>
      </c>
      <c r="B11" s="31">
        <v>5.0117508489999995E7</v>
      </c>
      <c r="C11" s="31">
        <v>1.3257602770000001E7</v>
      </c>
      <c r="D11" s="27">
        <v>33.0</v>
      </c>
      <c r="E11" s="32">
        <f t="shared" si="1"/>
        <v>0.2645303641</v>
      </c>
      <c r="F11" s="46">
        <f t="shared" si="2"/>
        <v>1518712.378</v>
      </c>
      <c r="R11" s="27" t="s">
        <v>46</v>
      </c>
      <c r="S11" s="32">
        <v>0.3226780500723684</v>
      </c>
    </row>
    <row r="12">
      <c r="A12" s="27" t="s">
        <v>300</v>
      </c>
      <c r="B12" s="31">
        <v>3.8699541699999996E7</v>
      </c>
      <c r="C12" s="31">
        <v>1.2324450129999999E7</v>
      </c>
      <c r="D12" s="27">
        <v>32.0</v>
      </c>
      <c r="E12" s="32">
        <f t="shared" si="1"/>
        <v>0.3184650151</v>
      </c>
      <c r="F12" s="46">
        <f t="shared" si="2"/>
        <v>1209360.678</v>
      </c>
      <c r="R12" s="27" t="s">
        <v>300</v>
      </c>
      <c r="S12" s="32">
        <v>0.31846501505210334</v>
      </c>
    </row>
    <row r="13">
      <c r="A13" s="27" t="s">
        <v>653</v>
      </c>
      <c r="B13" s="31">
        <v>3.8892531269999996E7</v>
      </c>
      <c r="C13" s="31">
        <v>1.2123524519999998E7</v>
      </c>
      <c r="D13" s="27">
        <v>27.0</v>
      </c>
      <c r="E13" s="32">
        <f t="shared" si="1"/>
        <v>0.3117185774</v>
      </c>
      <c r="F13" s="46">
        <f t="shared" si="2"/>
        <v>1440464.121</v>
      </c>
      <c r="R13" s="27" t="s">
        <v>575</v>
      </c>
      <c r="S13" s="32">
        <v>0.3156625856687533</v>
      </c>
    </row>
    <row r="14">
      <c r="A14" s="27" t="s">
        <v>650</v>
      </c>
      <c r="B14" s="31">
        <v>4.294099832E7</v>
      </c>
      <c r="C14" s="31">
        <v>1.2052790029999996E7</v>
      </c>
      <c r="D14" s="27">
        <v>30.0</v>
      </c>
      <c r="E14" s="32">
        <f t="shared" si="1"/>
        <v>0.2806825761</v>
      </c>
      <c r="F14" s="46">
        <f t="shared" si="2"/>
        <v>1431366.611</v>
      </c>
      <c r="R14" s="27" t="s">
        <v>590</v>
      </c>
      <c r="S14" s="32">
        <v>0.31480782830423787</v>
      </c>
    </row>
    <row r="15">
      <c r="A15" s="27" t="s">
        <v>635</v>
      </c>
      <c r="B15" s="31">
        <v>4.219353774E7</v>
      </c>
      <c r="C15" s="31">
        <v>1.185351438E7</v>
      </c>
      <c r="D15" s="27">
        <v>29.0</v>
      </c>
      <c r="E15" s="32">
        <f t="shared" si="1"/>
        <v>0.2809319866</v>
      </c>
      <c r="F15" s="46">
        <f t="shared" si="2"/>
        <v>1454949.577</v>
      </c>
      <c r="R15" s="27" t="s">
        <v>686</v>
      </c>
      <c r="S15" s="32">
        <v>0.31439288488312045</v>
      </c>
    </row>
    <row r="16">
      <c r="A16" s="27" t="s">
        <v>97</v>
      </c>
      <c r="B16" s="31">
        <v>3.4236260769999996E7</v>
      </c>
      <c r="C16" s="31">
        <v>1.1852421049999997E7</v>
      </c>
      <c r="D16" s="27">
        <v>28.0</v>
      </c>
      <c r="E16" s="32">
        <f t="shared" si="1"/>
        <v>0.3461949636</v>
      </c>
      <c r="F16" s="46">
        <f t="shared" si="2"/>
        <v>1222723.599</v>
      </c>
      <c r="R16" s="27" t="s">
        <v>542</v>
      </c>
      <c r="S16" s="32">
        <v>0.31331069043409676</v>
      </c>
    </row>
    <row r="17">
      <c r="A17" s="27" t="s">
        <v>291</v>
      </c>
      <c r="B17" s="31">
        <v>3.8055087559999995E7</v>
      </c>
      <c r="C17" s="31">
        <v>1.15829191E7</v>
      </c>
      <c r="D17" s="27">
        <v>26.0</v>
      </c>
      <c r="E17" s="32">
        <f t="shared" si="1"/>
        <v>0.3043724202</v>
      </c>
      <c r="F17" s="46">
        <f t="shared" si="2"/>
        <v>1463657.214</v>
      </c>
      <c r="R17" s="27" t="s">
        <v>653</v>
      </c>
      <c r="S17" s="32">
        <v>0.3117185774264982</v>
      </c>
    </row>
    <row r="18">
      <c r="A18" s="27" t="s">
        <v>578</v>
      </c>
      <c r="B18" s="31">
        <v>4.717218984000001E7</v>
      </c>
      <c r="C18" s="31">
        <v>1.1345407589999998E7</v>
      </c>
      <c r="D18" s="27">
        <v>25.0</v>
      </c>
      <c r="E18" s="32">
        <f t="shared" si="1"/>
        <v>0.2405105133</v>
      </c>
      <c r="F18" s="46">
        <f t="shared" si="2"/>
        <v>1886887.594</v>
      </c>
      <c r="R18" s="27" t="s">
        <v>455</v>
      </c>
      <c r="S18" s="32">
        <v>0.3098956084927319</v>
      </c>
    </row>
    <row r="19">
      <c r="A19" s="27" t="s">
        <v>488</v>
      </c>
      <c r="B19" s="31">
        <v>3.1346476900000002E7</v>
      </c>
      <c r="C19" s="31">
        <v>1.1169660559999999E7</v>
      </c>
      <c r="D19" s="27">
        <v>28.0</v>
      </c>
      <c r="E19" s="32">
        <f t="shared" si="1"/>
        <v>0.3563290572</v>
      </c>
      <c r="F19" s="46">
        <f t="shared" si="2"/>
        <v>1119517.032</v>
      </c>
      <c r="R19" s="27" t="s">
        <v>291</v>
      </c>
      <c r="S19" s="32">
        <v>0.30437242015900384</v>
      </c>
    </row>
    <row r="20">
      <c r="A20" s="27" t="s">
        <v>686</v>
      </c>
      <c r="B20" s="31">
        <v>3.5482128019999996E7</v>
      </c>
      <c r="C20" s="31">
        <v>1.1155328590000002E7</v>
      </c>
      <c r="D20" s="27">
        <v>29.0</v>
      </c>
      <c r="E20" s="32">
        <f t="shared" si="1"/>
        <v>0.3143928849</v>
      </c>
      <c r="F20" s="46">
        <f t="shared" si="2"/>
        <v>1223521.656</v>
      </c>
      <c r="R20" s="27" t="s">
        <v>373</v>
      </c>
      <c r="S20" s="32">
        <v>0.30419239806490866</v>
      </c>
    </row>
    <row r="21" ht="15.75" customHeight="1">
      <c r="A21" s="27" t="s">
        <v>689</v>
      </c>
      <c r="B21" s="31">
        <v>3.1875174000000004E7</v>
      </c>
      <c r="C21" s="31">
        <v>1.1037297599999998E7</v>
      </c>
      <c r="D21" s="27">
        <v>28.0</v>
      </c>
      <c r="E21" s="32">
        <f t="shared" si="1"/>
        <v>0.3462662698</v>
      </c>
      <c r="F21" s="46">
        <f t="shared" si="2"/>
        <v>1138399.071</v>
      </c>
      <c r="R21" s="27" t="s">
        <v>215</v>
      </c>
      <c r="S21" s="32">
        <v>0.3039251626188811</v>
      </c>
    </row>
    <row r="22" ht="15.75" customHeight="1">
      <c r="A22" s="27" t="s">
        <v>373</v>
      </c>
      <c r="B22" s="31">
        <v>3.587835212E7</v>
      </c>
      <c r="C22" s="31">
        <v>1.0913921969999999E7</v>
      </c>
      <c r="D22" s="27">
        <v>30.0</v>
      </c>
      <c r="E22" s="32">
        <f t="shared" si="1"/>
        <v>0.3041923981</v>
      </c>
      <c r="F22" s="46">
        <f t="shared" si="2"/>
        <v>1195945.071</v>
      </c>
      <c r="R22" s="27" t="s">
        <v>671</v>
      </c>
      <c r="S22" s="32">
        <v>0.3033390508670568</v>
      </c>
    </row>
    <row r="23" ht="15.75" customHeight="1">
      <c r="A23" s="27" t="s">
        <v>270</v>
      </c>
      <c r="B23" s="31">
        <v>3.9362112150000006E7</v>
      </c>
      <c r="C23" s="31">
        <v>1.0842345660000002E7</v>
      </c>
      <c r="D23" s="27">
        <v>26.0</v>
      </c>
      <c r="E23" s="32">
        <f t="shared" si="1"/>
        <v>0.2754513177</v>
      </c>
      <c r="F23" s="46">
        <f t="shared" si="2"/>
        <v>1513927.39</v>
      </c>
      <c r="R23" s="27" t="s">
        <v>434</v>
      </c>
      <c r="S23" s="32">
        <v>0.2984324576959224</v>
      </c>
    </row>
    <row r="24" ht="15.75" customHeight="1">
      <c r="A24" s="27" t="s">
        <v>590</v>
      </c>
      <c r="B24" s="31">
        <v>3.428615085E7</v>
      </c>
      <c r="C24" s="31">
        <v>1.079354869E7</v>
      </c>
      <c r="D24" s="27">
        <v>34.0</v>
      </c>
      <c r="E24" s="32">
        <f t="shared" si="1"/>
        <v>0.3148078283</v>
      </c>
      <c r="F24" s="46">
        <f t="shared" si="2"/>
        <v>1008416.201</v>
      </c>
      <c r="R24" s="27" t="s">
        <v>364</v>
      </c>
      <c r="S24" s="32">
        <v>0.29768939594758015</v>
      </c>
    </row>
    <row r="25" ht="15.75" customHeight="1">
      <c r="A25" s="27" t="s">
        <v>413</v>
      </c>
      <c r="B25" s="31">
        <v>3.8722084150000006E7</v>
      </c>
      <c r="C25" s="31">
        <v>1.075928529E7</v>
      </c>
      <c r="D25" s="27">
        <v>27.0</v>
      </c>
      <c r="E25" s="32">
        <f t="shared" si="1"/>
        <v>0.2778591475</v>
      </c>
      <c r="F25" s="46">
        <f t="shared" si="2"/>
        <v>1434151.265</v>
      </c>
      <c r="R25" s="27" t="s">
        <v>1874</v>
      </c>
      <c r="S25" s="32">
        <v>0.294592442020798</v>
      </c>
    </row>
    <row r="26" ht="15.75" customHeight="1">
      <c r="A26" s="27" t="s">
        <v>575</v>
      </c>
      <c r="B26" s="31">
        <v>3.3805403220000006E7</v>
      </c>
      <c r="C26" s="31">
        <v>1.0671100990000002E7</v>
      </c>
      <c r="D26" s="27">
        <v>28.0</v>
      </c>
      <c r="E26" s="32">
        <f t="shared" si="1"/>
        <v>0.3156625857</v>
      </c>
      <c r="F26" s="46">
        <f t="shared" si="2"/>
        <v>1207335.829</v>
      </c>
      <c r="R26" s="27" t="s">
        <v>101</v>
      </c>
      <c r="S26" s="32">
        <v>0.2891805137703841</v>
      </c>
    </row>
    <row r="27" ht="15.75" customHeight="1">
      <c r="A27" s="27" t="s">
        <v>32</v>
      </c>
      <c r="B27" s="31">
        <v>3.222485387E7</v>
      </c>
      <c r="C27" s="31">
        <v>1.0490706019999998E7</v>
      </c>
      <c r="D27" s="27">
        <v>21.0</v>
      </c>
      <c r="E27" s="32">
        <f t="shared" si="1"/>
        <v>0.3255470471</v>
      </c>
      <c r="F27" s="46">
        <f t="shared" si="2"/>
        <v>1534516.851</v>
      </c>
      <c r="R27" s="27" t="s">
        <v>267</v>
      </c>
      <c r="S27" s="32">
        <v>0.2891262325657131</v>
      </c>
    </row>
    <row r="28" ht="15.75" customHeight="1">
      <c r="A28" s="27" t="s">
        <v>142</v>
      </c>
      <c r="B28" s="31">
        <v>3.81615557E7</v>
      </c>
      <c r="C28" s="31">
        <v>1.0408342610000001E7</v>
      </c>
      <c r="D28" s="27">
        <v>30.0</v>
      </c>
      <c r="E28" s="32">
        <f t="shared" si="1"/>
        <v>0.2727441903</v>
      </c>
      <c r="F28" s="46">
        <f t="shared" si="2"/>
        <v>1272051.857</v>
      </c>
      <c r="R28" s="32" t="s">
        <v>593</v>
      </c>
      <c r="S28" s="32">
        <v>0.2881043309782931</v>
      </c>
    </row>
    <row r="29" ht="15.75" customHeight="1">
      <c r="A29" s="27" t="s">
        <v>215</v>
      </c>
      <c r="B29" s="31">
        <v>3.30088515E7</v>
      </c>
      <c r="C29" s="31">
        <v>1.0032220559999997E7</v>
      </c>
      <c r="D29" s="27">
        <v>30.0</v>
      </c>
      <c r="E29" s="32">
        <f t="shared" si="1"/>
        <v>0.3039251626</v>
      </c>
      <c r="F29" s="46">
        <f t="shared" si="2"/>
        <v>1100295.05</v>
      </c>
      <c r="R29" s="27" t="s">
        <v>623</v>
      </c>
      <c r="S29" s="32">
        <v>0.28805189171513385</v>
      </c>
    </row>
    <row r="30" ht="15.75" customHeight="1">
      <c r="A30" s="27" t="s">
        <v>78</v>
      </c>
      <c r="B30" s="31">
        <v>3.574087149E7</v>
      </c>
      <c r="C30" s="31">
        <v>1.002750964E7</v>
      </c>
      <c r="D30" s="27">
        <v>28.0</v>
      </c>
      <c r="E30" s="32">
        <f t="shared" si="1"/>
        <v>0.2805614195</v>
      </c>
      <c r="F30" s="46">
        <f t="shared" si="2"/>
        <v>1276459.696</v>
      </c>
      <c r="R30" s="27" t="s">
        <v>349</v>
      </c>
      <c r="S30" s="32">
        <v>0.28463228097846327</v>
      </c>
    </row>
    <row r="31" ht="15.75" customHeight="1">
      <c r="A31" s="27" t="s">
        <v>542</v>
      </c>
      <c r="B31" s="31">
        <v>3.15206985E7</v>
      </c>
      <c r="C31" s="31">
        <v>9875771.809999999</v>
      </c>
      <c r="D31" s="27">
        <v>30.0</v>
      </c>
      <c r="E31" s="32">
        <f t="shared" si="1"/>
        <v>0.3133106904</v>
      </c>
      <c r="F31" s="46">
        <f t="shared" si="2"/>
        <v>1050689.95</v>
      </c>
      <c r="R31" s="27" t="s">
        <v>428</v>
      </c>
      <c r="S31" s="32">
        <v>0.2811078083135348</v>
      </c>
    </row>
    <row r="32" ht="15.75" customHeight="1">
      <c r="A32" s="27" t="s">
        <v>434</v>
      </c>
      <c r="B32" s="31">
        <v>3.3075377209999997E7</v>
      </c>
      <c r="C32" s="31">
        <v>9870766.110000001</v>
      </c>
      <c r="D32" s="27">
        <v>28.0</v>
      </c>
      <c r="E32" s="32">
        <f t="shared" si="1"/>
        <v>0.2984324577</v>
      </c>
      <c r="F32" s="46">
        <f t="shared" si="2"/>
        <v>1181263.472</v>
      </c>
      <c r="R32" s="27" t="s">
        <v>635</v>
      </c>
      <c r="S32" s="32">
        <v>0.2809319866241678</v>
      </c>
    </row>
    <row r="33" ht="15.75" customHeight="1">
      <c r="A33" s="27" t="s">
        <v>364</v>
      </c>
      <c r="B33" s="31">
        <v>3.302222331E7</v>
      </c>
      <c r="C33" s="31">
        <v>9830365.71</v>
      </c>
      <c r="D33" s="27">
        <v>30.0</v>
      </c>
      <c r="E33" s="32">
        <f t="shared" si="1"/>
        <v>0.2976893959</v>
      </c>
      <c r="F33" s="46">
        <f t="shared" si="2"/>
        <v>1100740.777</v>
      </c>
      <c r="R33" s="27" t="s">
        <v>650</v>
      </c>
      <c r="S33" s="32">
        <v>0.2806825761287982</v>
      </c>
    </row>
    <row r="34" ht="15.75" customHeight="1">
      <c r="A34" s="27" t="s">
        <v>221</v>
      </c>
      <c r="B34" s="31">
        <v>2.6968532520000003E7</v>
      </c>
      <c r="C34" s="31">
        <v>9617418.06</v>
      </c>
      <c r="D34" s="27">
        <v>26.0</v>
      </c>
      <c r="E34" s="32">
        <f t="shared" si="1"/>
        <v>0.3566162917</v>
      </c>
      <c r="F34" s="46">
        <f t="shared" si="2"/>
        <v>1037251.251</v>
      </c>
      <c r="R34" s="27" t="s">
        <v>78</v>
      </c>
      <c r="S34" s="32">
        <v>0.28056141951674607</v>
      </c>
    </row>
    <row r="35" ht="15.75" customHeight="1">
      <c r="A35" s="27" t="s">
        <v>67</v>
      </c>
      <c r="B35" s="31">
        <v>3.751984020999999E7</v>
      </c>
      <c r="C35" s="31">
        <v>9422353.180000002</v>
      </c>
      <c r="D35" s="27">
        <v>29.0</v>
      </c>
      <c r="E35" s="32">
        <f t="shared" si="1"/>
        <v>0.2511298856</v>
      </c>
      <c r="F35" s="46">
        <f t="shared" si="2"/>
        <v>1293787.593</v>
      </c>
      <c r="R35" s="27" t="s">
        <v>740</v>
      </c>
      <c r="S35" s="32">
        <v>0.27801467473935587</v>
      </c>
    </row>
    <row r="36" ht="15.75" customHeight="1">
      <c r="A36" s="27" t="s">
        <v>746</v>
      </c>
      <c r="B36" s="31">
        <v>2.6654989470000003E7</v>
      </c>
      <c r="C36" s="31">
        <v>9326312.209999999</v>
      </c>
      <c r="D36" s="27">
        <v>23.0</v>
      </c>
      <c r="E36" s="32">
        <f t="shared" si="1"/>
        <v>0.3498899229</v>
      </c>
      <c r="F36" s="46">
        <f t="shared" si="2"/>
        <v>1158912.586</v>
      </c>
      <c r="R36" s="27" t="s">
        <v>536</v>
      </c>
      <c r="S36" s="32">
        <v>0.2780073188792828</v>
      </c>
    </row>
    <row r="37" ht="15.75" customHeight="1">
      <c r="A37" s="27" t="s">
        <v>428</v>
      </c>
      <c r="B37" s="31">
        <v>2.9872564409999996E7</v>
      </c>
      <c r="C37" s="31">
        <v>8397411.110000001</v>
      </c>
      <c r="D37" s="27">
        <v>24.0</v>
      </c>
      <c r="E37" s="32">
        <f t="shared" si="1"/>
        <v>0.2811078083</v>
      </c>
      <c r="F37" s="46">
        <f t="shared" si="2"/>
        <v>1244690.184</v>
      </c>
      <c r="R37" s="27" t="s">
        <v>413</v>
      </c>
      <c r="S37" s="32">
        <v>0.27785914746533596</v>
      </c>
    </row>
    <row r="38" ht="15.75" customHeight="1">
      <c r="A38" s="27" t="s">
        <v>671</v>
      </c>
      <c r="B38" s="31">
        <v>2.638029623E7</v>
      </c>
      <c r="C38" s="31">
        <v>8002174.019999998</v>
      </c>
      <c r="D38" s="27">
        <v>26.0</v>
      </c>
      <c r="E38" s="32">
        <f t="shared" si="1"/>
        <v>0.3033390509</v>
      </c>
      <c r="F38" s="46">
        <f t="shared" si="2"/>
        <v>1014626.778</v>
      </c>
      <c r="R38" s="27" t="s">
        <v>512</v>
      </c>
      <c r="S38" s="32">
        <v>0.2762355133360228</v>
      </c>
    </row>
    <row r="39" ht="15.75" customHeight="1">
      <c r="A39" s="27" t="s">
        <v>431</v>
      </c>
      <c r="B39" s="31">
        <v>2.90319421E7</v>
      </c>
      <c r="C39" s="31">
        <v>7997297.83</v>
      </c>
      <c r="D39" s="27">
        <v>25.0</v>
      </c>
      <c r="E39" s="32">
        <f t="shared" si="1"/>
        <v>0.2754654788</v>
      </c>
      <c r="F39" s="46">
        <f t="shared" si="2"/>
        <v>1161277.684</v>
      </c>
      <c r="R39" s="27" t="s">
        <v>431</v>
      </c>
      <c r="S39" s="32">
        <v>0.27546547876313104</v>
      </c>
    </row>
    <row r="40" ht="15.75" customHeight="1">
      <c r="A40" s="27" t="s">
        <v>248</v>
      </c>
      <c r="B40" s="31">
        <v>2.3410001790000003E7</v>
      </c>
      <c r="C40" s="31">
        <v>7828593.5600000005</v>
      </c>
      <c r="D40" s="27">
        <v>23.0</v>
      </c>
      <c r="E40" s="32">
        <f t="shared" si="1"/>
        <v>0.3344123435</v>
      </c>
      <c r="F40" s="46">
        <f t="shared" si="2"/>
        <v>1017826.165</v>
      </c>
      <c r="R40" s="27" t="s">
        <v>270</v>
      </c>
      <c r="S40" s="32">
        <v>0.27545131772101816</v>
      </c>
    </row>
    <row r="41" ht="15.75" customHeight="1">
      <c r="A41" s="27" t="s">
        <v>267</v>
      </c>
      <c r="B41" s="31">
        <v>2.6027948980000008E7</v>
      </c>
      <c r="C41" s="31">
        <v>7525362.829999998</v>
      </c>
      <c r="D41" s="27">
        <v>23.0</v>
      </c>
      <c r="E41" s="32">
        <f t="shared" si="1"/>
        <v>0.2891262326</v>
      </c>
      <c r="F41" s="46">
        <f t="shared" si="2"/>
        <v>1131649.956</v>
      </c>
      <c r="R41" s="27" t="s">
        <v>142</v>
      </c>
      <c r="S41" s="32">
        <v>0.27274419030039704</v>
      </c>
    </row>
    <row r="42" ht="15.75" customHeight="1">
      <c r="A42" s="27" t="s">
        <v>101</v>
      </c>
      <c r="B42" s="31">
        <v>2.5852572299999997E7</v>
      </c>
      <c r="C42" s="31">
        <v>7476060.14</v>
      </c>
      <c r="D42" s="27">
        <v>26.0</v>
      </c>
      <c r="E42" s="32">
        <f t="shared" si="1"/>
        <v>0.2891805138</v>
      </c>
      <c r="F42" s="46">
        <f t="shared" si="2"/>
        <v>994329.7038</v>
      </c>
      <c r="R42" s="27" t="s">
        <v>206</v>
      </c>
      <c r="S42" s="32">
        <v>0.26985429597799787</v>
      </c>
    </row>
    <row r="43" ht="15.75" customHeight="1">
      <c r="A43" s="27" t="s">
        <v>206</v>
      </c>
      <c r="B43" s="31">
        <v>2.711918824E7</v>
      </c>
      <c r="C43" s="31">
        <v>7318229.449999998</v>
      </c>
      <c r="D43" s="27">
        <v>18.0</v>
      </c>
      <c r="E43" s="32">
        <f t="shared" si="1"/>
        <v>0.269854296</v>
      </c>
      <c r="F43" s="46">
        <f t="shared" si="2"/>
        <v>1506621.569</v>
      </c>
      <c r="R43" s="27" t="s">
        <v>821</v>
      </c>
      <c r="S43" s="32">
        <v>0.2687987788126428</v>
      </c>
    </row>
    <row r="44" ht="15.75" customHeight="1">
      <c r="A44" s="27" t="s">
        <v>349</v>
      </c>
      <c r="B44" s="31">
        <v>2.55702274E7</v>
      </c>
      <c r="C44" s="31">
        <v>7278112.149999999</v>
      </c>
      <c r="D44" s="27">
        <v>23.0</v>
      </c>
      <c r="E44" s="32">
        <f t="shared" si="1"/>
        <v>0.284632281</v>
      </c>
      <c r="F44" s="46">
        <f t="shared" si="2"/>
        <v>1111749.017</v>
      </c>
      <c r="R44" s="27" t="s">
        <v>123</v>
      </c>
      <c r="S44" s="32">
        <v>0.26453036412704567</v>
      </c>
    </row>
    <row r="45" ht="15.75" customHeight="1">
      <c r="A45" s="27" t="s">
        <v>512</v>
      </c>
      <c r="B45" s="31">
        <v>2.086078879E7</v>
      </c>
      <c r="C45" s="31">
        <v>5762490.7</v>
      </c>
      <c r="D45" s="27">
        <v>24.0</v>
      </c>
      <c r="E45" s="32">
        <f t="shared" si="1"/>
        <v>0.2762355133</v>
      </c>
      <c r="F45" s="46">
        <f t="shared" si="2"/>
        <v>869199.5329</v>
      </c>
      <c r="R45" s="27" t="s">
        <v>218</v>
      </c>
      <c r="S45" s="32">
        <v>0.2546617933166983</v>
      </c>
    </row>
    <row r="46" ht="15.75" customHeight="1">
      <c r="A46" s="27" t="s">
        <v>288</v>
      </c>
      <c r="B46" s="31">
        <v>2.280219566E7</v>
      </c>
      <c r="C46" s="31">
        <v>5697679.21</v>
      </c>
      <c r="D46" s="27">
        <v>23.0</v>
      </c>
      <c r="E46" s="32">
        <f t="shared" si="1"/>
        <v>0.2498741479</v>
      </c>
      <c r="F46" s="46">
        <f t="shared" si="2"/>
        <v>991399.8113</v>
      </c>
      <c r="R46" s="27" t="s">
        <v>67</v>
      </c>
      <c r="S46" s="32">
        <v>0.25112988560885996</v>
      </c>
    </row>
    <row r="47" ht="15.75" customHeight="1">
      <c r="A47" s="27" t="s">
        <v>482</v>
      </c>
      <c r="B47" s="31">
        <v>1.382873816E7</v>
      </c>
      <c r="C47" s="31">
        <v>4797048.77</v>
      </c>
      <c r="D47" s="27">
        <v>13.0</v>
      </c>
      <c r="E47" s="32">
        <f t="shared" si="1"/>
        <v>0.3468898402</v>
      </c>
      <c r="F47" s="46">
        <f t="shared" si="2"/>
        <v>1063749.089</v>
      </c>
      <c r="R47" s="27" t="s">
        <v>288</v>
      </c>
      <c r="S47" s="32">
        <v>0.249874147865285</v>
      </c>
    </row>
    <row r="48" ht="15.75" customHeight="1">
      <c r="A48" s="27" t="s">
        <v>1874</v>
      </c>
      <c r="B48" s="31">
        <v>1.7021294082100003E9</v>
      </c>
      <c r="C48" s="31">
        <v>5.014344589999997E8</v>
      </c>
      <c r="D48" s="27">
        <v>1330.0</v>
      </c>
      <c r="E48" s="32">
        <f t="shared" si="1"/>
        <v>0.294592442</v>
      </c>
      <c r="F48" s="46">
        <f t="shared" si="2"/>
        <v>1279796.548</v>
      </c>
      <c r="R48" s="27" t="s">
        <v>578</v>
      </c>
      <c r="S48" s="32">
        <v>0.2405105132596489</v>
      </c>
    </row>
    <row r="49" ht="15.75" customHeight="1">
      <c r="E49" s="32"/>
      <c r="F49" s="46"/>
      <c r="S49" s="32"/>
    </row>
    <row r="50" ht="15.75" customHeight="1">
      <c r="E50" s="32"/>
      <c r="F50" s="46"/>
      <c r="S50" s="32"/>
    </row>
    <row r="51" ht="15.75" customHeight="1">
      <c r="E51" s="32"/>
      <c r="F51" s="46"/>
      <c r="S51" s="32"/>
    </row>
    <row r="52" ht="15.75" customHeight="1">
      <c r="E52" s="32"/>
      <c r="F52" s="46"/>
      <c r="S52" s="32"/>
    </row>
    <row r="53" ht="15.75" customHeight="1">
      <c r="E53" s="32"/>
      <c r="F53" s="46"/>
      <c r="S53" s="32"/>
    </row>
    <row r="54" ht="15.75" customHeight="1">
      <c r="E54" s="32"/>
      <c r="F54" s="46"/>
      <c r="S54" s="32"/>
    </row>
    <row r="55" ht="15.75" customHeight="1">
      <c r="E55" s="32"/>
      <c r="F55" s="46"/>
      <c r="S55" s="32"/>
    </row>
    <row r="56" ht="15.75" customHeight="1">
      <c r="E56" s="32"/>
      <c r="F56" s="46"/>
      <c r="S56" s="32"/>
    </row>
    <row r="57" ht="15.75" customHeight="1">
      <c r="E57" s="32"/>
      <c r="F57" s="46"/>
      <c r="S57" s="32"/>
    </row>
    <row r="58" ht="15.75" customHeight="1">
      <c r="E58" s="32"/>
      <c r="F58" s="46"/>
      <c r="S58" s="32"/>
    </row>
    <row r="59" ht="15.75" customHeight="1">
      <c r="E59" s="32"/>
      <c r="F59" s="46"/>
      <c r="S59" s="32"/>
    </row>
    <row r="60" ht="15.75" customHeight="1">
      <c r="E60" s="32"/>
      <c r="F60" s="46"/>
      <c r="S60" s="32"/>
    </row>
    <row r="61" ht="15.75" customHeight="1">
      <c r="E61" s="32"/>
      <c r="F61" s="46"/>
      <c r="S61" s="32"/>
    </row>
    <row r="62" ht="15.75" customHeight="1">
      <c r="E62" s="32"/>
      <c r="F62" s="46"/>
      <c r="S62" s="32"/>
    </row>
    <row r="63" ht="15.75" customHeight="1">
      <c r="E63" s="32"/>
      <c r="F63" s="46"/>
      <c r="S63" s="32"/>
    </row>
    <row r="64" ht="15.75" customHeight="1">
      <c r="E64" s="32"/>
      <c r="F64" s="46"/>
      <c r="S64" s="32"/>
    </row>
    <row r="65" ht="15.75" customHeight="1">
      <c r="E65" s="32"/>
      <c r="F65" s="46"/>
      <c r="S65" s="32"/>
    </row>
    <row r="66" ht="15.75" customHeight="1">
      <c r="E66" s="32"/>
      <c r="F66" s="46"/>
      <c r="S66" s="32"/>
    </row>
    <row r="67" ht="15.75" customHeight="1">
      <c r="E67" s="32"/>
      <c r="F67" s="46"/>
      <c r="S67" s="32"/>
    </row>
    <row r="68" ht="15.75" customHeight="1">
      <c r="E68" s="32"/>
      <c r="F68" s="46"/>
      <c r="S68" s="32"/>
    </row>
    <row r="69" ht="15.75" customHeight="1">
      <c r="E69" s="32"/>
      <c r="F69" s="46"/>
      <c r="S69" s="32"/>
    </row>
    <row r="70" ht="15.75" customHeight="1">
      <c r="E70" s="32"/>
      <c r="F70" s="46"/>
      <c r="S70" s="32"/>
    </row>
    <row r="71" ht="15.75" customHeight="1">
      <c r="E71" s="32"/>
      <c r="F71" s="46"/>
      <c r="S71" s="32"/>
    </row>
    <row r="72" ht="15.75" customHeight="1">
      <c r="E72" s="32"/>
      <c r="F72" s="46"/>
      <c r="S72" s="32"/>
    </row>
    <row r="73" ht="15.75" customHeight="1">
      <c r="E73" s="32"/>
      <c r="F73" s="46"/>
      <c r="S73" s="32"/>
    </row>
    <row r="74" ht="15.75" customHeight="1">
      <c r="E74" s="32"/>
      <c r="F74" s="46"/>
      <c r="S74" s="32"/>
    </row>
    <row r="75" ht="15.75" customHeight="1">
      <c r="E75" s="32"/>
      <c r="F75" s="46"/>
      <c r="S75" s="32"/>
    </row>
    <row r="76" ht="15.75" customHeight="1">
      <c r="E76" s="32"/>
      <c r="F76" s="46"/>
      <c r="S76" s="32"/>
    </row>
    <row r="77" ht="15.75" customHeight="1">
      <c r="E77" s="32"/>
      <c r="F77" s="46"/>
      <c r="S77" s="32"/>
    </row>
    <row r="78" ht="15.75" customHeight="1">
      <c r="E78" s="32"/>
      <c r="F78" s="46"/>
      <c r="S78" s="32"/>
    </row>
    <row r="79" ht="15.75" customHeight="1">
      <c r="E79" s="32"/>
      <c r="F79" s="46"/>
      <c r="S79" s="32"/>
    </row>
    <row r="80" ht="15.75" customHeight="1">
      <c r="E80" s="32"/>
      <c r="F80" s="46"/>
      <c r="S80" s="32"/>
    </row>
    <row r="81" ht="15.75" customHeight="1">
      <c r="E81" s="32"/>
      <c r="F81" s="46"/>
      <c r="S81" s="32"/>
    </row>
    <row r="82" ht="15.75" customHeight="1">
      <c r="E82" s="32"/>
      <c r="F82" s="46"/>
      <c r="S82" s="32"/>
    </row>
    <row r="83" ht="15.75" customHeight="1">
      <c r="E83" s="32"/>
      <c r="F83" s="46"/>
      <c r="S83" s="32"/>
    </row>
    <row r="84" ht="15.75" customHeight="1">
      <c r="E84" s="32"/>
      <c r="F84" s="46"/>
      <c r="S84" s="32"/>
    </row>
    <row r="85" ht="15.75" customHeight="1">
      <c r="E85" s="32"/>
      <c r="F85" s="46"/>
      <c r="S85" s="32"/>
    </row>
    <row r="86" ht="15.75" customHeight="1">
      <c r="E86" s="32"/>
      <c r="F86" s="46"/>
      <c r="S86" s="32"/>
    </row>
    <row r="87" ht="15.75" customHeight="1">
      <c r="E87" s="32"/>
      <c r="F87" s="46"/>
      <c r="S87" s="32"/>
    </row>
    <row r="88" ht="15.75" customHeight="1">
      <c r="E88" s="32"/>
      <c r="F88" s="46"/>
      <c r="S88" s="32"/>
    </row>
    <row r="89" ht="15.75" customHeight="1">
      <c r="E89" s="32"/>
      <c r="F89" s="46"/>
      <c r="S89" s="32"/>
    </row>
    <row r="90" ht="15.75" customHeight="1">
      <c r="E90" s="32"/>
      <c r="F90" s="46"/>
      <c r="S90" s="32"/>
    </row>
    <row r="91" ht="15.75" customHeight="1">
      <c r="E91" s="32"/>
      <c r="F91" s="46"/>
      <c r="S91" s="32"/>
    </row>
    <row r="92" ht="15.75" customHeight="1">
      <c r="E92" s="32"/>
      <c r="F92" s="46"/>
      <c r="S92" s="32"/>
    </row>
    <row r="93" ht="15.75" customHeight="1">
      <c r="E93" s="32"/>
      <c r="F93" s="46"/>
      <c r="S93" s="32"/>
    </row>
    <row r="94" ht="15.75" customHeight="1">
      <c r="E94" s="32"/>
      <c r="F94" s="46"/>
      <c r="S94" s="32"/>
    </row>
    <row r="95" ht="15.75" customHeight="1">
      <c r="E95" s="32"/>
      <c r="F95" s="46"/>
      <c r="S95" s="32"/>
    </row>
    <row r="96" ht="15.75" customHeight="1">
      <c r="E96" s="32"/>
      <c r="F96" s="46"/>
      <c r="S96" s="32"/>
    </row>
    <row r="97" ht="15.75" customHeight="1">
      <c r="E97" s="32"/>
      <c r="F97" s="46"/>
      <c r="S97" s="32"/>
    </row>
    <row r="98" ht="15.75" customHeight="1">
      <c r="E98" s="32"/>
      <c r="F98" s="46"/>
      <c r="S98" s="32"/>
    </row>
    <row r="99" ht="15.75" customHeight="1">
      <c r="E99" s="32"/>
      <c r="F99" s="46"/>
      <c r="S99" s="32"/>
    </row>
    <row r="100" ht="15.75" customHeight="1">
      <c r="E100" s="32"/>
      <c r="F100" s="46"/>
      <c r="S100" s="32"/>
    </row>
    <row r="101" ht="15.75" customHeight="1">
      <c r="E101" s="32"/>
      <c r="F101" s="46"/>
      <c r="S101" s="32"/>
    </row>
    <row r="102" ht="15.75" customHeight="1">
      <c r="E102" s="32"/>
      <c r="F102" s="46"/>
      <c r="S102" s="32"/>
    </row>
    <row r="103" ht="15.75" customHeight="1">
      <c r="E103" s="32"/>
      <c r="F103" s="46"/>
      <c r="S103" s="32"/>
    </row>
    <row r="104" ht="15.75" customHeight="1">
      <c r="E104" s="32"/>
      <c r="F104" s="46"/>
      <c r="S104" s="32"/>
    </row>
    <row r="105" ht="15.75" customHeight="1">
      <c r="E105" s="32"/>
      <c r="F105" s="46"/>
      <c r="S105" s="32"/>
    </row>
    <row r="106" ht="15.75" customHeight="1">
      <c r="E106" s="32"/>
      <c r="F106" s="46"/>
      <c r="S106" s="32"/>
    </row>
    <row r="107" ht="15.75" customHeight="1">
      <c r="E107" s="32"/>
      <c r="F107" s="46"/>
      <c r="S107" s="32"/>
    </row>
    <row r="108" ht="15.75" customHeight="1">
      <c r="E108" s="32"/>
      <c r="F108" s="46"/>
      <c r="S108" s="32"/>
    </row>
    <row r="109" ht="15.75" customHeight="1">
      <c r="E109" s="32"/>
      <c r="F109" s="46"/>
      <c r="S109" s="32"/>
    </row>
    <row r="110" ht="15.75" customHeight="1">
      <c r="E110" s="32"/>
      <c r="F110" s="46"/>
      <c r="S110" s="32"/>
    </row>
    <row r="111" ht="15.75" customHeight="1">
      <c r="E111" s="32"/>
      <c r="F111" s="46"/>
      <c r="S111" s="32"/>
    </row>
    <row r="112" ht="15.75" customHeight="1">
      <c r="E112" s="32"/>
      <c r="F112" s="46"/>
      <c r="S112" s="32"/>
    </row>
    <row r="113" ht="15.75" customHeight="1">
      <c r="E113" s="32"/>
      <c r="F113" s="46"/>
      <c r="S113" s="32"/>
    </row>
    <row r="114" ht="15.75" customHeight="1">
      <c r="E114" s="32"/>
      <c r="F114" s="46"/>
      <c r="S114" s="32"/>
    </row>
    <row r="115" ht="15.75" customHeight="1">
      <c r="E115" s="32"/>
      <c r="F115" s="46"/>
      <c r="S115" s="32"/>
    </row>
    <row r="116" ht="15.75" customHeight="1">
      <c r="E116" s="32"/>
      <c r="F116" s="46"/>
      <c r="S116" s="32"/>
    </row>
    <row r="117" ht="15.75" customHeight="1">
      <c r="E117" s="32"/>
      <c r="F117" s="46"/>
      <c r="S117" s="32"/>
    </row>
    <row r="118" ht="15.75" customHeight="1">
      <c r="E118" s="32"/>
      <c r="F118" s="46"/>
      <c r="S118" s="32"/>
    </row>
    <row r="119" ht="15.75" customHeight="1">
      <c r="E119" s="32"/>
      <c r="F119" s="46"/>
      <c r="S119" s="32"/>
    </row>
    <row r="120" ht="15.75" customHeight="1">
      <c r="E120" s="32"/>
      <c r="F120" s="46"/>
      <c r="S120" s="32"/>
    </row>
    <row r="121" ht="15.75" customHeight="1">
      <c r="E121" s="32"/>
      <c r="F121" s="46"/>
      <c r="S121" s="32"/>
    </row>
    <row r="122" ht="15.75" customHeight="1">
      <c r="E122" s="32"/>
      <c r="F122" s="46"/>
      <c r="S122" s="32"/>
    </row>
    <row r="123" ht="15.75" customHeight="1">
      <c r="E123" s="32"/>
      <c r="F123" s="46"/>
      <c r="S123" s="32"/>
    </row>
    <row r="124" ht="15.75" customHeight="1">
      <c r="E124" s="32"/>
      <c r="F124" s="46"/>
      <c r="S124" s="32"/>
    </row>
    <row r="125" ht="15.75" customHeight="1">
      <c r="E125" s="32"/>
      <c r="F125" s="46"/>
      <c r="S125" s="32"/>
    </row>
    <row r="126" ht="15.75" customHeight="1">
      <c r="E126" s="32"/>
      <c r="F126" s="46"/>
      <c r="S126" s="32"/>
    </row>
    <row r="127" ht="15.75" customHeight="1">
      <c r="E127" s="32"/>
      <c r="F127" s="46"/>
      <c r="S127" s="32"/>
    </row>
    <row r="128" ht="15.75" customHeight="1">
      <c r="E128" s="32"/>
      <c r="F128" s="46"/>
      <c r="S128" s="32"/>
    </row>
    <row r="129" ht="15.75" customHeight="1">
      <c r="E129" s="32"/>
      <c r="F129" s="46"/>
      <c r="S129" s="32"/>
    </row>
    <row r="130" ht="15.75" customHeight="1">
      <c r="E130" s="32"/>
      <c r="F130" s="46"/>
      <c r="S130" s="32"/>
    </row>
    <row r="131" ht="15.75" customHeight="1">
      <c r="E131" s="32"/>
      <c r="F131" s="46"/>
      <c r="S131" s="32"/>
    </row>
    <row r="132" ht="15.75" customHeight="1">
      <c r="E132" s="32"/>
      <c r="F132" s="46"/>
      <c r="S132" s="32"/>
    </row>
    <row r="133" ht="15.75" customHeight="1">
      <c r="E133" s="32"/>
      <c r="F133" s="46"/>
      <c r="S133" s="32"/>
    </row>
    <row r="134" ht="15.75" customHeight="1">
      <c r="E134" s="32"/>
      <c r="F134" s="46"/>
      <c r="S134" s="32"/>
    </row>
    <row r="135" ht="15.75" customHeight="1">
      <c r="E135" s="32"/>
      <c r="F135" s="46"/>
      <c r="S135" s="32"/>
    </row>
    <row r="136" ht="15.75" customHeight="1">
      <c r="E136" s="32"/>
      <c r="F136" s="46"/>
      <c r="S136" s="32"/>
    </row>
    <row r="137" ht="15.75" customHeight="1">
      <c r="E137" s="32"/>
      <c r="F137" s="46"/>
      <c r="S137" s="32"/>
    </row>
    <row r="138" ht="15.75" customHeight="1">
      <c r="E138" s="32"/>
      <c r="F138" s="46"/>
      <c r="S138" s="32"/>
    </row>
    <row r="139" ht="15.75" customHeight="1">
      <c r="E139" s="32"/>
      <c r="F139" s="46"/>
      <c r="S139" s="32"/>
    </row>
    <row r="140" ht="15.75" customHeight="1">
      <c r="E140" s="32"/>
      <c r="F140" s="46"/>
      <c r="S140" s="32"/>
    </row>
    <row r="141" ht="15.75" customHeight="1">
      <c r="E141" s="32"/>
      <c r="F141" s="46"/>
      <c r="S141" s="32"/>
    </row>
    <row r="142" ht="15.75" customHeight="1">
      <c r="E142" s="32"/>
      <c r="F142" s="46"/>
      <c r="S142" s="32"/>
    </row>
    <row r="143" ht="15.75" customHeight="1">
      <c r="E143" s="32"/>
      <c r="F143" s="46"/>
      <c r="S143" s="32"/>
    </row>
    <row r="144" ht="15.75" customHeight="1">
      <c r="E144" s="32"/>
      <c r="F144" s="46"/>
      <c r="S144" s="32"/>
    </row>
    <row r="145" ht="15.75" customHeight="1">
      <c r="E145" s="32"/>
      <c r="F145" s="46"/>
      <c r="S145" s="32"/>
    </row>
    <row r="146" ht="15.75" customHeight="1">
      <c r="E146" s="32"/>
      <c r="F146" s="46"/>
      <c r="S146" s="32"/>
    </row>
    <row r="147" ht="15.75" customHeight="1">
      <c r="E147" s="32"/>
      <c r="F147" s="46"/>
      <c r="S147" s="32"/>
    </row>
    <row r="148" ht="15.75" customHeight="1">
      <c r="E148" s="32"/>
      <c r="F148" s="46"/>
      <c r="S148" s="32"/>
    </row>
    <row r="149" ht="15.75" customHeight="1">
      <c r="E149" s="32"/>
      <c r="F149" s="46"/>
      <c r="S149" s="32"/>
    </row>
    <row r="150" ht="15.75" customHeight="1">
      <c r="E150" s="32"/>
      <c r="F150" s="46"/>
      <c r="S150" s="32"/>
    </row>
    <row r="151" ht="15.75" customHeight="1">
      <c r="E151" s="32"/>
      <c r="F151" s="46"/>
      <c r="S151" s="32"/>
    </row>
    <row r="152" ht="15.75" customHeight="1">
      <c r="E152" s="32"/>
      <c r="F152" s="46"/>
      <c r="S152" s="32"/>
    </row>
    <row r="153" ht="15.75" customHeight="1">
      <c r="E153" s="32"/>
      <c r="F153" s="46"/>
      <c r="S153" s="32"/>
    </row>
    <row r="154" ht="15.75" customHeight="1">
      <c r="E154" s="32"/>
      <c r="F154" s="46"/>
      <c r="S154" s="32"/>
    </row>
    <row r="155" ht="15.75" customHeight="1">
      <c r="E155" s="32"/>
      <c r="F155" s="46"/>
      <c r="S155" s="32"/>
    </row>
    <row r="156" ht="15.75" customHeight="1">
      <c r="E156" s="32"/>
      <c r="F156" s="46"/>
      <c r="S156" s="32"/>
    </row>
    <row r="157" ht="15.75" customHeight="1">
      <c r="E157" s="32"/>
      <c r="F157" s="46"/>
      <c r="S157" s="32"/>
    </row>
    <row r="158" ht="15.75" customHeight="1">
      <c r="E158" s="32"/>
      <c r="F158" s="46"/>
      <c r="S158" s="32"/>
    </row>
    <row r="159" ht="15.75" customHeight="1">
      <c r="E159" s="32"/>
      <c r="F159" s="46"/>
      <c r="S159" s="32"/>
    </row>
    <row r="160" ht="15.75" customHeight="1">
      <c r="E160" s="32"/>
      <c r="F160" s="46"/>
      <c r="S160" s="32"/>
    </row>
    <row r="161" ht="15.75" customHeight="1">
      <c r="E161" s="32"/>
      <c r="F161" s="46"/>
      <c r="S161" s="32"/>
    </row>
    <row r="162" ht="15.75" customHeight="1">
      <c r="E162" s="32"/>
      <c r="F162" s="46"/>
      <c r="S162" s="32"/>
    </row>
    <row r="163" ht="15.75" customHeight="1">
      <c r="E163" s="32"/>
      <c r="F163" s="46"/>
      <c r="S163" s="32"/>
    </row>
    <row r="164" ht="15.75" customHeight="1">
      <c r="E164" s="32"/>
      <c r="F164" s="46"/>
      <c r="S164" s="32"/>
    </row>
    <row r="165" ht="15.75" customHeight="1">
      <c r="E165" s="32"/>
      <c r="F165" s="46"/>
      <c r="S165" s="32"/>
    </row>
    <row r="166" ht="15.75" customHeight="1">
      <c r="E166" s="32"/>
      <c r="F166" s="46"/>
      <c r="S166" s="32"/>
    </row>
    <row r="167" ht="15.75" customHeight="1">
      <c r="E167" s="32"/>
      <c r="F167" s="46"/>
      <c r="S167" s="32"/>
    </row>
    <row r="168" ht="15.75" customHeight="1">
      <c r="E168" s="32"/>
      <c r="F168" s="46"/>
      <c r="S168" s="32"/>
    </row>
    <row r="169" ht="15.75" customHeight="1">
      <c r="E169" s="32"/>
      <c r="F169" s="46"/>
      <c r="S169" s="32"/>
    </row>
    <row r="170" ht="15.75" customHeight="1">
      <c r="E170" s="32"/>
      <c r="F170" s="46"/>
      <c r="S170" s="32"/>
    </row>
    <row r="171" ht="15.75" customHeight="1">
      <c r="E171" s="32"/>
      <c r="F171" s="46"/>
      <c r="S171" s="32"/>
    </row>
    <row r="172" ht="15.75" customHeight="1">
      <c r="E172" s="32"/>
      <c r="F172" s="46"/>
      <c r="S172" s="32"/>
    </row>
    <row r="173" ht="15.75" customHeight="1">
      <c r="E173" s="32"/>
      <c r="F173" s="46"/>
      <c r="S173" s="32"/>
    </row>
    <row r="174" ht="15.75" customHeight="1">
      <c r="E174" s="32"/>
      <c r="F174" s="46"/>
      <c r="S174" s="32"/>
    </row>
    <row r="175" ht="15.75" customHeight="1">
      <c r="E175" s="32"/>
      <c r="F175" s="46"/>
      <c r="S175" s="32"/>
    </row>
    <row r="176" ht="15.75" customHeight="1">
      <c r="E176" s="32"/>
      <c r="F176" s="46"/>
      <c r="S176" s="32"/>
    </row>
    <row r="177" ht="15.75" customHeight="1">
      <c r="E177" s="32"/>
      <c r="F177" s="46"/>
      <c r="S177" s="32"/>
    </row>
    <row r="178" ht="15.75" customHeight="1">
      <c r="E178" s="32"/>
      <c r="F178" s="46"/>
      <c r="S178" s="32"/>
    </row>
    <row r="179" ht="15.75" customHeight="1">
      <c r="E179" s="32"/>
      <c r="F179" s="46"/>
      <c r="S179" s="32"/>
    </row>
    <row r="180" ht="15.75" customHeight="1">
      <c r="E180" s="32"/>
      <c r="F180" s="46"/>
      <c r="S180" s="32"/>
    </row>
    <row r="181" ht="15.75" customHeight="1">
      <c r="E181" s="32"/>
      <c r="F181" s="46"/>
      <c r="S181" s="32"/>
    </row>
    <row r="182" ht="15.75" customHeight="1">
      <c r="E182" s="32"/>
      <c r="F182" s="46"/>
      <c r="S182" s="32"/>
    </row>
    <row r="183" ht="15.75" customHeight="1">
      <c r="E183" s="32"/>
      <c r="F183" s="46"/>
      <c r="S183" s="32"/>
    </row>
    <row r="184" ht="15.75" customHeight="1">
      <c r="E184" s="32"/>
      <c r="F184" s="46"/>
      <c r="S184" s="32"/>
    </row>
    <row r="185" ht="15.75" customHeight="1">
      <c r="E185" s="32"/>
      <c r="F185" s="46"/>
      <c r="S185" s="32"/>
    </row>
    <row r="186" ht="15.75" customHeight="1">
      <c r="E186" s="32"/>
      <c r="F186" s="46"/>
      <c r="S186" s="32"/>
    </row>
    <row r="187" ht="15.75" customHeight="1">
      <c r="E187" s="32"/>
      <c r="F187" s="46"/>
      <c r="S187" s="32"/>
    </row>
    <row r="188" ht="15.75" customHeight="1">
      <c r="E188" s="32"/>
      <c r="F188" s="46"/>
      <c r="S188" s="32"/>
    </row>
    <row r="189" ht="15.75" customHeight="1">
      <c r="E189" s="32"/>
      <c r="F189" s="46"/>
      <c r="S189" s="32"/>
    </row>
    <row r="190" ht="15.75" customHeight="1">
      <c r="E190" s="32"/>
      <c r="F190" s="46"/>
      <c r="S190" s="32"/>
    </row>
    <row r="191" ht="15.75" customHeight="1">
      <c r="E191" s="32"/>
      <c r="F191" s="46"/>
      <c r="S191" s="32"/>
    </row>
    <row r="192" ht="15.75" customHeight="1">
      <c r="E192" s="32"/>
      <c r="F192" s="46"/>
      <c r="S192" s="32"/>
    </row>
    <row r="193" ht="15.75" customHeight="1">
      <c r="E193" s="32"/>
      <c r="F193" s="46"/>
      <c r="S193" s="32"/>
    </row>
    <row r="194" ht="15.75" customHeight="1">
      <c r="E194" s="32"/>
      <c r="F194" s="46"/>
      <c r="S194" s="32"/>
    </row>
    <row r="195" ht="15.75" customHeight="1">
      <c r="E195" s="32"/>
      <c r="F195" s="46"/>
      <c r="S195" s="32"/>
    </row>
    <row r="196" ht="15.75" customHeight="1">
      <c r="E196" s="32"/>
      <c r="F196" s="46"/>
      <c r="S196" s="32"/>
    </row>
    <row r="197" ht="15.75" customHeight="1">
      <c r="E197" s="32"/>
      <c r="F197" s="46"/>
      <c r="S197" s="32"/>
    </row>
    <row r="198" ht="15.75" customHeight="1">
      <c r="E198" s="32"/>
      <c r="F198" s="46"/>
      <c r="S198" s="32"/>
    </row>
    <row r="199" ht="15.75" customHeight="1">
      <c r="E199" s="32"/>
      <c r="F199" s="46"/>
      <c r="S199" s="32"/>
    </row>
    <row r="200" ht="15.75" customHeight="1">
      <c r="E200" s="32"/>
      <c r="F200" s="46"/>
      <c r="S200" s="32"/>
    </row>
    <row r="201" ht="15.75" customHeight="1">
      <c r="E201" s="32"/>
      <c r="F201" s="46"/>
      <c r="S201" s="32"/>
    </row>
    <row r="202" ht="15.75" customHeight="1">
      <c r="E202" s="32"/>
      <c r="F202" s="46"/>
      <c r="S202" s="32"/>
    </row>
    <row r="203" ht="15.75" customHeight="1">
      <c r="E203" s="32"/>
      <c r="F203" s="46"/>
      <c r="S203" s="32"/>
    </row>
    <row r="204" ht="15.75" customHeight="1">
      <c r="E204" s="32"/>
      <c r="F204" s="46"/>
      <c r="S204" s="32"/>
    </row>
    <row r="205" ht="15.75" customHeight="1">
      <c r="E205" s="32"/>
      <c r="F205" s="46"/>
      <c r="S205" s="32"/>
    </row>
    <row r="206" ht="15.75" customHeight="1">
      <c r="E206" s="32"/>
      <c r="F206" s="46"/>
      <c r="S206" s="32"/>
    </row>
    <row r="207" ht="15.75" customHeight="1">
      <c r="E207" s="32"/>
      <c r="F207" s="46"/>
      <c r="S207" s="32"/>
    </row>
    <row r="208" ht="15.75" customHeight="1">
      <c r="E208" s="32"/>
      <c r="F208" s="46"/>
      <c r="S208" s="32"/>
    </row>
    <row r="209" ht="15.75" customHeight="1">
      <c r="E209" s="32"/>
      <c r="F209" s="46"/>
      <c r="S209" s="32"/>
    </row>
    <row r="210" ht="15.75" customHeight="1">
      <c r="E210" s="32"/>
      <c r="F210" s="46"/>
      <c r="S210" s="32"/>
    </row>
    <row r="211" ht="15.75" customHeight="1">
      <c r="E211" s="32"/>
      <c r="F211" s="46"/>
      <c r="S211" s="32"/>
    </row>
    <row r="212" ht="15.75" customHeight="1">
      <c r="E212" s="32"/>
      <c r="F212" s="46"/>
      <c r="S212" s="32"/>
    </row>
    <row r="213" ht="15.75" customHeight="1">
      <c r="E213" s="32"/>
      <c r="F213" s="46"/>
      <c r="S213" s="32"/>
    </row>
    <row r="214" ht="15.75" customHeight="1">
      <c r="E214" s="32"/>
      <c r="F214" s="46"/>
      <c r="S214" s="32"/>
    </row>
    <row r="215" ht="15.75" customHeight="1">
      <c r="E215" s="32"/>
      <c r="F215" s="46"/>
      <c r="S215" s="32"/>
    </row>
    <row r="216" ht="15.75" customHeight="1">
      <c r="E216" s="32"/>
      <c r="F216" s="46"/>
      <c r="S216" s="32"/>
    </row>
    <row r="217" ht="15.75" customHeight="1">
      <c r="E217" s="32"/>
      <c r="F217" s="46"/>
      <c r="S217" s="32"/>
    </row>
    <row r="218" ht="15.75" customHeight="1">
      <c r="E218" s="32"/>
      <c r="F218" s="46"/>
      <c r="S218" s="32"/>
    </row>
    <row r="219" ht="15.75" customHeight="1">
      <c r="E219" s="32"/>
      <c r="F219" s="46"/>
      <c r="S219" s="32"/>
    </row>
    <row r="220" ht="15.75" customHeight="1">
      <c r="E220" s="32"/>
      <c r="F220" s="46"/>
      <c r="S220" s="32"/>
    </row>
    <row r="221" ht="15.75" customHeight="1">
      <c r="E221" s="32"/>
      <c r="F221" s="46"/>
      <c r="S221" s="32"/>
    </row>
    <row r="222" ht="15.75" customHeight="1">
      <c r="E222" s="32"/>
      <c r="F222" s="46"/>
      <c r="S222" s="32"/>
    </row>
    <row r="223" ht="15.75" customHeight="1">
      <c r="E223" s="32"/>
      <c r="F223" s="46"/>
      <c r="S223" s="32"/>
    </row>
    <row r="224" ht="15.75" customHeight="1">
      <c r="E224" s="32"/>
      <c r="F224" s="46"/>
      <c r="S224" s="32"/>
    </row>
    <row r="225" ht="15.75" customHeight="1">
      <c r="E225" s="32"/>
      <c r="F225" s="46"/>
      <c r="S225" s="32"/>
    </row>
    <row r="226" ht="15.75" customHeight="1">
      <c r="E226" s="32"/>
      <c r="F226" s="46"/>
      <c r="S226" s="32"/>
    </row>
    <row r="227" ht="15.75" customHeight="1">
      <c r="E227" s="32"/>
      <c r="F227" s="46"/>
      <c r="S227" s="32"/>
    </row>
    <row r="228" ht="15.75" customHeight="1">
      <c r="E228" s="32"/>
      <c r="F228" s="46"/>
      <c r="S228" s="32"/>
    </row>
    <row r="229" ht="15.75" customHeight="1">
      <c r="E229" s="32"/>
      <c r="F229" s="46"/>
      <c r="S229" s="32"/>
    </row>
    <row r="230" ht="15.75" customHeight="1">
      <c r="E230" s="32"/>
      <c r="F230" s="46"/>
      <c r="S230" s="32"/>
    </row>
    <row r="231" ht="15.75" customHeight="1">
      <c r="E231" s="32"/>
      <c r="F231" s="46"/>
      <c r="S231" s="32"/>
    </row>
    <row r="232" ht="15.75" customHeight="1">
      <c r="E232" s="32"/>
      <c r="F232" s="46"/>
      <c r="S232" s="32"/>
    </row>
    <row r="233" ht="15.75" customHeight="1">
      <c r="E233" s="32"/>
      <c r="F233" s="46"/>
      <c r="S233" s="32"/>
    </row>
    <row r="234" ht="15.75" customHeight="1">
      <c r="E234" s="32"/>
      <c r="F234" s="46"/>
      <c r="S234" s="32"/>
    </row>
    <row r="235" ht="15.75" customHeight="1">
      <c r="E235" s="32"/>
      <c r="F235" s="46"/>
      <c r="S235" s="32"/>
    </row>
    <row r="236" ht="15.75" customHeight="1">
      <c r="E236" s="32"/>
      <c r="F236" s="46"/>
      <c r="S236" s="32"/>
    </row>
    <row r="237" ht="15.75" customHeight="1">
      <c r="E237" s="32"/>
      <c r="F237" s="46"/>
      <c r="S237" s="32"/>
    </row>
    <row r="238" ht="15.75" customHeight="1">
      <c r="E238" s="32"/>
      <c r="F238" s="46"/>
      <c r="S238" s="32"/>
    </row>
    <row r="239" ht="15.75" customHeight="1">
      <c r="E239" s="32"/>
      <c r="F239" s="46"/>
      <c r="S239" s="32"/>
    </row>
    <row r="240" ht="15.75" customHeight="1">
      <c r="E240" s="32"/>
      <c r="F240" s="46"/>
      <c r="S240" s="32"/>
    </row>
    <row r="241" ht="15.75" customHeight="1">
      <c r="E241" s="32"/>
      <c r="F241" s="46"/>
      <c r="S241" s="32"/>
    </row>
    <row r="242" ht="15.75" customHeight="1">
      <c r="E242" s="32"/>
      <c r="F242" s="46"/>
      <c r="S242" s="32"/>
    </row>
    <row r="243" ht="15.75" customHeight="1">
      <c r="E243" s="32"/>
      <c r="F243" s="46"/>
      <c r="S243" s="32"/>
    </row>
    <row r="244" ht="15.75" customHeight="1">
      <c r="E244" s="32"/>
      <c r="F244" s="46"/>
      <c r="S244" s="32"/>
    </row>
    <row r="245" ht="15.75" customHeight="1">
      <c r="E245" s="32"/>
      <c r="F245" s="46"/>
      <c r="S245" s="32"/>
    </row>
    <row r="246" ht="15.75" customHeight="1">
      <c r="E246" s="32"/>
      <c r="F246" s="46"/>
      <c r="S246" s="32"/>
    </row>
    <row r="247" ht="15.75" customHeight="1">
      <c r="E247" s="32"/>
      <c r="F247" s="46"/>
      <c r="S247" s="32"/>
    </row>
    <row r="248" ht="15.75" customHeight="1">
      <c r="E248" s="32"/>
      <c r="F248" s="46"/>
      <c r="S248" s="32"/>
    </row>
    <row r="249" ht="15.75" customHeight="1">
      <c r="E249" s="32"/>
      <c r="F249" s="46"/>
      <c r="S249" s="32"/>
    </row>
    <row r="250" ht="15.75" customHeight="1">
      <c r="E250" s="32"/>
      <c r="F250" s="46"/>
      <c r="S250" s="32"/>
    </row>
    <row r="251" ht="15.75" customHeight="1">
      <c r="E251" s="32"/>
      <c r="F251" s="46"/>
      <c r="S251" s="32"/>
    </row>
    <row r="252" ht="15.75" customHeight="1">
      <c r="E252" s="32"/>
      <c r="F252" s="46"/>
      <c r="S252" s="32"/>
    </row>
    <row r="253" ht="15.75" customHeight="1">
      <c r="E253" s="32"/>
      <c r="F253" s="46"/>
      <c r="S253" s="32"/>
    </row>
    <row r="254" ht="15.75" customHeight="1">
      <c r="E254" s="32"/>
      <c r="F254" s="46"/>
      <c r="S254" s="32"/>
    </row>
    <row r="255" ht="15.75" customHeight="1">
      <c r="E255" s="32"/>
      <c r="F255" s="46"/>
      <c r="S255" s="32"/>
    </row>
    <row r="256" ht="15.75" customHeight="1">
      <c r="E256" s="32"/>
      <c r="F256" s="46"/>
      <c r="S256" s="32"/>
    </row>
    <row r="257" ht="15.75" customHeight="1">
      <c r="E257" s="32"/>
      <c r="F257" s="46"/>
      <c r="S257" s="32"/>
    </row>
    <row r="258" ht="15.75" customHeight="1">
      <c r="E258" s="32"/>
      <c r="F258" s="46"/>
      <c r="S258" s="32"/>
    </row>
    <row r="259" ht="15.75" customHeight="1">
      <c r="E259" s="32"/>
      <c r="F259" s="46"/>
      <c r="S259" s="32"/>
    </row>
    <row r="260" ht="15.75" customHeight="1">
      <c r="E260" s="32"/>
      <c r="F260" s="46"/>
      <c r="S260" s="32"/>
    </row>
    <row r="261" ht="15.75" customHeight="1">
      <c r="E261" s="32"/>
      <c r="F261" s="46"/>
      <c r="S261" s="32"/>
    </row>
    <row r="262" ht="15.75" customHeight="1">
      <c r="E262" s="32"/>
      <c r="F262" s="46"/>
      <c r="S262" s="32"/>
    </row>
    <row r="263" ht="15.75" customHeight="1">
      <c r="E263" s="32"/>
      <c r="F263" s="46"/>
      <c r="S263" s="32"/>
    </row>
    <row r="264" ht="15.75" customHeight="1">
      <c r="E264" s="32"/>
      <c r="F264" s="46"/>
      <c r="S264" s="32"/>
    </row>
    <row r="265" ht="15.75" customHeight="1">
      <c r="E265" s="32"/>
      <c r="F265" s="46"/>
      <c r="S265" s="32"/>
    </row>
    <row r="266" ht="15.75" customHeight="1">
      <c r="E266" s="32"/>
      <c r="F266" s="46"/>
      <c r="S266" s="32"/>
    </row>
    <row r="267" ht="15.75" customHeight="1">
      <c r="E267" s="32"/>
      <c r="F267" s="46"/>
      <c r="S267" s="32"/>
    </row>
    <row r="268" ht="15.75" customHeight="1">
      <c r="E268" s="32"/>
      <c r="F268" s="46"/>
      <c r="S268" s="32"/>
    </row>
    <row r="269" ht="15.75" customHeight="1">
      <c r="E269" s="32"/>
      <c r="F269" s="46"/>
      <c r="S269" s="32"/>
    </row>
    <row r="270" ht="15.75" customHeight="1">
      <c r="E270" s="32"/>
      <c r="F270" s="46"/>
      <c r="S270" s="32"/>
    </row>
    <row r="271" ht="15.75" customHeight="1">
      <c r="E271" s="32"/>
      <c r="F271" s="46"/>
      <c r="S271" s="32"/>
    </row>
    <row r="272" ht="15.75" customHeight="1">
      <c r="E272" s="32"/>
      <c r="F272" s="46"/>
      <c r="S272" s="32"/>
    </row>
    <row r="273" ht="15.75" customHeight="1">
      <c r="E273" s="32"/>
      <c r="F273" s="46"/>
      <c r="S273" s="32"/>
    </row>
    <row r="274" ht="15.75" customHeight="1">
      <c r="E274" s="32"/>
      <c r="F274" s="46"/>
      <c r="S274" s="32"/>
    </row>
    <row r="275" ht="15.75" customHeight="1">
      <c r="E275" s="32"/>
      <c r="F275" s="46"/>
      <c r="S275" s="32"/>
    </row>
    <row r="276" ht="15.75" customHeight="1">
      <c r="E276" s="32"/>
      <c r="F276" s="46"/>
      <c r="S276" s="32"/>
    </row>
    <row r="277" ht="15.75" customHeight="1">
      <c r="E277" s="32"/>
      <c r="F277" s="46"/>
      <c r="S277" s="32"/>
    </row>
    <row r="278" ht="15.75" customHeight="1">
      <c r="E278" s="32"/>
      <c r="F278" s="46"/>
      <c r="S278" s="32"/>
    </row>
    <row r="279" ht="15.75" customHeight="1">
      <c r="E279" s="32"/>
      <c r="F279" s="46"/>
      <c r="S279" s="32"/>
    </row>
    <row r="280" ht="15.75" customHeight="1">
      <c r="E280" s="32"/>
      <c r="F280" s="46"/>
      <c r="S280" s="32"/>
    </row>
    <row r="281" ht="15.75" customHeight="1">
      <c r="E281" s="32"/>
      <c r="F281" s="46"/>
      <c r="S281" s="32"/>
    </row>
    <row r="282" ht="15.75" customHeight="1">
      <c r="E282" s="32"/>
      <c r="F282" s="46"/>
      <c r="S282" s="32"/>
    </row>
    <row r="283" ht="15.75" customHeight="1">
      <c r="E283" s="32"/>
      <c r="F283" s="46"/>
      <c r="S283" s="32"/>
    </row>
    <row r="284" ht="15.75" customHeight="1">
      <c r="E284" s="32"/>
      <c r="F284" s="46"/>
      <c r="S284" s="32"/>
    </row>
    <row r="285" ht="15.75" customHeight="1">
      <c r="E285" s="32"/>
      <c r="F285" s="46"/>
      <c r="S285" s="32"/>
    </row>
    <row r="286" ht="15.75" customHeight="1">
      <c r="E286" s="32"/>
      <c r="F286" s="46"/>
      <c r="S286" s="32"/>
    </row>
    <row r="287" ht="15.75" customHeight="1">
      <c r="E287" s="32"/>
      <c r="F287" s="46"/>
      <c r="S287" s="32"/>
    </row>
    <row r="288" ht="15.75" customHeight="1">
      <c r="E288" s="32"/>
      <c r="F288" s="46"/>
      <c r="S288" s="32"/>
    </row>
    <row r="289" ht="15.75" customHeight="1">
      <c r="E289" s="32"/>
      <c r="F289" s="46"/>
      <c r="S289" s="32"/>
    </row>
    <row r="290" ht="15.75" customHeight="1">
      <c r="E290" s="32"/>
      <c r="F290" s="46"/>
      <c r="S290" s="32"/>
    </row>
    <row r="291" ht="15.75" customHeight="1">
      <c r="E291" s="32"/>
      <c r="F291" s="46"/>
      <c r="S291" s="32"/>
    </row>
    <row r="292" ht="15.75" customHeight="1">
      <c r="E292" s="32"/>
      <c r="F292" s="46"/>
      <c r="S292" s="32"/>
    </row>
    <row r="293" ht="15.75" customHeight="1">
      <c r="E293" s="32"/>
      <c r="F293" s="46"/>
      <c r="S293" s="32"/>
    </row>
    <row r="294" ht="15.75" customHeight="1">
      <c r="E294" s="32"/>
      <c r="F294" s="46"/>
      <c r="S294" s="32"/>
    </row>
    <row r="295" ht="15.75" customHeight="1">
      <c r="E295" s="32"/>
      <c r="F295" s="46"/>
      <c r="S295" s="32"/>
    </row>
    <row r="296" ht="15.75" customHeight="1">
      <c r="E296" s="32"/>
      <c r="F296" s="46"/>
      <c r="S296" s="32"/>
    </row>
    <row r="297" ht="15.75" customHeight="1">
      <c r="E297" s="32"/>
      <c r="F297" s="46"/>
      <c r="S297" s="32"/>
    </row>
    <row r="298" ht="15.75" customHeight="1">
      <c r="E298" s="32"/>
      <c r="F298" s="46"/>
      <c r="S298" s="32"/>
    </row>
    <row r="299" ht="15.75" customHeight="1">
      <c r="E299" s="32"/>
      <c r="F299" s="46"/>
      <c r="S299" s="32"/>
    </row>
    <row r="300" ht="15.75" customHeight="1">
      <c r="E300" s="32"/>
      <c r="F300" s="46"/>
      <c r="S300" s="32"/>
    </row>
    <row r="301" ht="15.75" customHeight="1">
      <c r="E301" s="32"/>
      <c r="F301" s="46"/>
      <c r="S301" s="32"/>
    </row>
    <row r="302" ht="15.75" customHeight="1">
      <c r="E302" s="32"/>
      <c r="F302" s="46"/>
      <c r="S302" s="32"/>
    </row>
    <row r="303" ht="15.75" customHeight="1">
      <c r="E303" s="32"/>
      <c r="F303" s="46"/>
      <c r="S303" s="32"/>
    </row>
    <row r="304" ht="15.75" customHeight="1">
      <c r="E304" s="32"/>
      <c r="F304" s="46"/>
      <c r="S304" s="32"/>
    </row>
    <row r="305" ht="15.75" customHeight="1">
      <c r="E305" s="32"/>
      <c r="F305" s="46"/>
      <c r="S305" s="32"/>
    </row>
    <row r="306" ht="15.75" customHeight="1">
      <c r="E306" s="32"/>
      <c r="F306" s="46"/>
      <c r="S306" s="32"/>
    </row>
    <row r="307" ht="15.75" customHeight="1">
      <c r="E307" s="32"/>
      <c r="F307" s="46"/>
      <c r="S307" s="32"/>
    </row>
    <row r="308" ht="15.75" customHeight="1">
      <c r="E308" s="32"/>
      <c r="F308" s="46"/>
      <c r="S308" s="32"/>
    </row>
    <row r="309" ht="15.75" customHeight="1">
      <c r="E309" s="32"/>
      <c r="F309" s="46"/>
      <c r="S309" s="32"/>
    </row>
    <row r="310" ht="15.75" customHeight="1">
      <c r="E310" s="32"/>
      <c r="F310" s="46"/>
      <c r="S310" s="32"/>
    </row>
    <row r="311" ht="15.75" customHeight="1">
      <c r="E311" s="32"/>
      <c r="F311" s="46"/>
      <c r="S311" s="32"/>
    </row>
    <row r="312" ht="15.75" customHeight="1">
      <c r="E312" s="32"/>
      <c r="F312" s="46"/>
      <c r="S312" s="32"/>
    </row>
    <row r="313" ht="15.75" customHeight="1">
      <c r="E313" s="32"/>
      <c r="F313" s="46"/>
      <c r="S313" s="32"/>
    </row>
    <row r="314" ht="15.75" customHeight="1">
      <c r="E314" s="32"/>
      <c r="F314" s="46"/>
      <c r="S314" s="32"/>
    </row>
    <row r="315" ht="15.75" customHeight="1">
      <c r="E315" s="32"/>
      <c r="F315" s="46"/>
      <c r="S315" s="32"/>
    </row>
    <row r="316" ht="15.75" customHeight="1">
      <c r="E316" s="32"/>
      <c r="F316" s="46"/>
      <c r="S316" s="32"/>
    </row>
    <row r="317" ht="15.75" customHeight="1">
      <c r="E317" s="32"/>
      <c r="F317" s="46"/>
      <c r="S317" s="32"/>
    </row>
    <row r="318" ht="15.75" customHeight="1">
      <c r="E318" s="32"/>
      <c r="F318" s="46"/>
      <c r="S318" s="32"/>
    </row>
    <row r="319" ht="15.75" customHeight="1">
      <c r="E319" s="32"/>
      <c r="F319" s="46"/>
      <c r="S319" s="32"/>
    </row>
    <row r="320" ht="15.75" customHeight="1">
      <c r="E320" s="32"/>
      <c r="F320" s="46"/>
      <c r="S320" s="32"/>
    </row>
    <row r="321" ht="15.75" customHeight="1">
      <c r="E321" s="32"/>
      <c r="F321" s="46"/>
      <c r="S321" s="32"/>
    </row>
    <row r="322" ht="15.75" customHeight="1">
      <c r="E322" s="32"/>
      <c r="F322" s="46"/>
      <c r="S322" s="32"/>
    </row>
    <row r="323" ht="15.75" customHeight="1">
      <c r="E323" s="32"/>
      <c r="F323" s="46"/>
      <c r="S323" s="32"/>
    </row>
    <row r="324" ht="15.75" customHeight="1">
      <c r="E324" s="32"/>
      <c r="F324" s="46"/>
      <c r="S324" s="32"/>
    </row>
    <row r="325" ht="15.75" customHeight="1">
      <c r="E325" s="32"/>
      <c r="F325" s="46"/>
      <c r="S325" s="32"/>
    </row>
    <row r="326" ht="15.75" customHeight="1">
      <c r="E326" s="32"/>
      <c r="F326" s="46"/>
      <c r="S326" s="32"/>
    </row>
    <row r="327" ht="15.75" customHeight="1">
      <c r="E327" s="32"/>
      <c r="F327" s="46"/>
      <c r="S327" s="32"/>
    </row>
    <row r="328" ht="15.75" customHeight="1">
      <c r="E328" s="32"/>
      <c r="F328" s="46"/>
      <c r="S328" s="32"/>
    </row>
    <row r="329" ht="15.75" customHeight="1">
      <c r="E329" s="32"/>
      <c r="F329" s="46"/>
      <c r="S329" s="32"/>
    </row>
    <row r="330" ht="15.75" customHeight="1">
      <c r="E330" s="32"/>
      <c r="F330" s="46"/>
      <c r="S330" s="32"/>
    </row>
    <row r="331" ht="15.75" customHeight="1">
      <c r="E331" s="32"/>
      <c r="F331" s="46"/>
      <c r="S331" s="32"/>
    </row>
    <row r="332" ht="15.75" customHeight="1">
      <c r="E332" s="32"/>
      <c r="F332" s="46"/>
      <c r="S332" s="32"/>
    </row>
    <row r="333" ht="15.75" customHeight="1">
      <c r="E333" s="32"/>
      <c r="F333" s="46"/>
      <c r="S333" s="32"/>
    </row>
    <row r="334" ht="15.75" customHeight="1">
      <c r="E334" s="32"/>
      <c r="F334" s="46"/>
      <c r="S334" s="32"/>
    </row>
    <row r="335" ht="15.75" customHeight="1">
      <c r="E335" s="32"/>
      <c r="F335" s="46"/>
      <c r="S335" s="32"/>
    </row>
    <row r="336" ht="15.75" customHeight="1">
      <c r="E336" s="32"/>
      <c r="F336" s="46"/>
      <c r="S336" s="32"/>
    </row>
    <row r="337" ht="15.75" customHeight="1">
      <c r="E337" s="32"/>
      <c r="F337" s="46"/>
      <c r="S337" s="32"/>
    </row>
    <row r="338" ht="15.75" customHeight="1">
      <c r="E338" s="32"/>
      <c r="F338" s="46"/>
      <c r="S338" s="32"/>
    </row>
    <row r="339" ht="15.75" customHeight="1">
      <c r="E339" s="32"/>
      <c r="F339" s="46"/>
      <c r="S339" s="32"/>
    </row>
    <row r="340" ht="15.75" customHeight="1">
      <c r="E340" s="32"/>
      <c r="F340" s="46"/>
      <c r="S340" s="32"/>
    </row>
    <row r="341" ht="15.75" customHeight="1">
      <c r="E341" s="32"/>
      <c r="F341" s="46"/>
      <c r="S341" s="32"/>
    </row>
    <row r="342" ht="15.75" customHeight="1">
      <c r="E342" s="32"/>
      <c r="F342" s="46"/>
      <c r="S342" s="32"/>
    </row>
    <row r="343" ht="15.75" customHeight="1">
      <c r="E343" s="32"/>
      <c r="F343" s="46"/>
      <c r="S343" s="32"/>
    </row>
    <row r="344" ht="15.75" customHeight="1">
      <c r="E344" s="32"/>
      <c r="F344" s="46"/>
      <c r="S344" s="32"/>
    </row>
    <row r="345" ht="15.75" customHeight="1">
      <c r="E345" s="32"/>
      <c r="F345" s="46"/>
      <c r="S345" s="32"/>
    </row>
    <row r="346" ht="15.75" customHeight="1">
      <c r="E346" s="32"/>
      <c r="F346" s="46"/>
      <c r="S346" s="32"/>
    </row>
    <row r="347" ht="15.75" customHeight="1">
      <c r="E347" s="32"/>
      <c r="F347" s="46"/>
      <c r="S347" s="32"/>
    </row>
    <row r="348" ht="15.75" customHeight="1">
      <c r="E348" s="32"/>
      <c r="F348" s="46"/>
      <c r="S348" s="32"/>
    </row>
    <row r="349" ht="15.75" customHeight="1">
      <c r="E349" s="32"/>
      <c r="F349" s="46"/>
      <c r="S349" s="32"/>
    </row>
    <row r="350" ht="15.75" customHeight="1">
      <c r="E350" s="32"/>
      <c r="F350" s="46"/>
      <c r="S350" s="32"/>
    </row>
    <row r="351" ht="15.75" customHeight="1">
      <c r="E351" s="32"/>
      <c r="F351" s="46"/>
      <c r="S351" s="32"/>
    </row>
    <row r="352" ht="15.75" customHeight="1">
      <c r="E352" s="32"/>
      <c r="F352" s="46"/>
      <c r="S352" s="32"/>
    </row>
    <row r="353" ht="15.75" customHeight="1">
      <c r="E353" s="32"/>
      <c r="F353" s="46"/>
      <c r="S353" s="32"/>
    </row>
    <row r="354" ht="15.75" customHeight="1">
      <c r="E354" s="32"/>
      <c r="F354" s="46"/>
      <c r="S354" s="32"/>
    </row>
    <row r="355" ht="15.75" customHeight="1">
      <c r="E355" s="32"/>
      <c r="F355" s="46"/>
      <c r="S355" s="32"/>
    </row>
    <row r="356" ht="15.75" customHeight="1">
      <c r="E356" s="32"/>
      <c r="F356" s="46"/>
      <c r="S356" s="32"/>
    </row>
    <row r="357" ht="15.75" customHeight="1">
      <c r="E357" s="32"/>
      <c r="F357" s="46"/>
      <c r="S357" s="32"/>
    </row>
    <row r="358" ht="15.75" customHeight="1">
      <c r="E358" s="32"/>
      <c r="F358" s="46"/>
      <c r="S358" s="32"/>
    </row>
    <row r="359" ht="15.75" customHeight="1">
      <c r="E359" s="32"/>
      <c r="F359" s="46"/>
      <c r="S359" s="32"/>
    </row>
    <row r="360" ht="15.75" customHeight="1">
      <c r="E360" s="32"/>
      <c r="F360" s="46"/>
      <c r="S360" s="32"/>
    </row>
    <row r="361" ht="15.75" customHeight="1">
      <c r="E361" s="32"/>
      <c r="F361" s="46"/>
      <c r="S361" s="32"/>
    </row>
    <row r="362" ht="15.75" customHeight="1">
      <c r="E362" s="32"/>
      <c r="F362" s="46"/>
      <c r="S362" s="32"/>
    </row>
    <row r="363" ht="15.75" customHeight="1">
      <c r="E363" s="32"/>
      <c r="F363" s="46"/>
      <c r="S363" s="32"/>
    </row>
    <row r="364" ht="15.75" customHeight="1">
      <c r="E364" s="32"/>
      <c r="F364" s="46"/>
      <c r="S364" s="32"/>
    </row>
    <row r="365" ht="15.75" customHeight="1">
      <c r="E365" s="32"/>
      <c r="F365" s="46"/>
      <c r="S365" s="32"/>
    </row>
    <row r="366" ht="15.75" customHeight="1">
      <c r="E366" s="32"/>
      <c r="F366" s="46"/>
      <c r="S366" s="32"/>
    </row>
    <row r="367" ht="15.75" customHeight="1">
      <c r="E367" s="32"/>
      <c r="F367" s="46"/>
      <c r="S367" s="32"/>
    </row>
    <row r="368" ht="15.75" customHeight="1">
      <c r="E368" s="32"/>
      <c r="F368" s="46"/>
      <c r="S368" s="32"/>
    </row>
    <row r="369" ht="15.75" customHeight="1">
      <c r="E369" s="32"/>
      <c r="F369" s="46"/>
      <c r="S369" s="32"/>
    </row>
    <row r="370" ht="15.75" customHeight="1">
      <c r="E370" s="32"/>
      <c r="F370" s="46"/>
      <c r="S370" s="32"/>
    </row>
    <row r="371" ht="15.75" customHeight="1">
      <c r="E371" s="32"/>
      <c r="F371" s="46"/>
      <c r="S371" s="32"/>
    </row>
    <row r="372" ht="15.75" customHeight="1">
      <c r="E372" s="32"/>
      <c r="F372" s="46"/>
      <c r="S372" s="32"/>
    </row>
    <row r="373" ht="15.75" customHeight="1">
      <c r="E373" s="32"/>
      <c r="F373" s="46"/>
      <c r="S373" s="32"/>
    </row>
    <row r="374" ht="15.75" customHeight="1">
      <c r="E374" s="32"/>
      <c r="F374" s="46"/>
      <c r="S374" s="32"/>
    </row>
    <row r="375" ht="15.75" customHeight="1">
      <c r="E375" s="32"/>
      <c r="F375" s="46"/>
      <c r="S375" s="32"/>
    </row>
    <row r="376" ht="15.75" customHeight="1">
      <c r="E376" s="32"/>
      <c r="F376" s="46"/>
      <c r="S376" s="32"/>
    </row>
    <row r="377" ht="15.75" customHeight="1">
      <c r="E377" s="32"/>
      <c r="F377" s="46"/>
      <c r="S377" s="32"/>
    </row>
    <row r="378" ht="15.75" customHeight="1">
      <c r="E378" s="32"/>
      <c r="F378" s="46"/>
      <c r="S378" s="32"/>
    </row>
    <row r="379" ht="15.75" customHeight="1">
      <c r="E379" s="32"/>
      <c r="F379" s="46"/>
      <c r="S379" s="32"/>
    </row>
    <row r="380" ht="15.75" customHeight="1">
      <c r="E380" s="32"/>
      <c r="F380" s="46"/>
      <c r="S380" s="32"/>
    </row>
    <row r="381" ht="15.75" customHeight="1">
      <c r="E381" s="32"/>
      <c r="F381" s="46"/>
      <c r="S381" s="32"/>
    </row>
    <row r="382" ht="15.75" customHeight="1">
      <c r="E382" s="32"/>
      <c r="F382" s="46"/>
      <c r="S382" s="32"/>
    </row>
    <row r="383" ht="15.75" customHeight="1">
      <c r="E383" s="32"/>
      <c r="F383" s="46"/>
      <c r="S383" s="32"/>
    </row>
    <row r="384" ht="15.75" customHeight="1">
      <c r="E384" s="32"/>
      <c r="F384" s="46"/>
      <c r="S384" s="32"/>
    </row>
    <row r="385" ht="15.75" customHeight="1">
      <c r="E385" s="32"/>
      <c r="F385" s="46"/>
      <c r="S385" s="32"/>
    </row>
    <row r="386" ht="15.75" customHeight="1">
      <c r="E386" s="32"/>
      <c r="F386" s="46"/>
      <c r="S386" s="32"/>
    </row>
    <row r="387" ht="15.75" customHeight="1">
      <c r="E387" s="32"/>
      <c r="F387" s="46"/>
      <c r="S387" s="32"/>
    </row>
    <row r="388" ht="15.75" customHeight="1">
      <c r="E388" s="32"/>
      <c r="F388" s="46"/>
      <c r="S388" s="32"/>
    </row>
    <row r="389" ht="15.75" customHeight="1">
      <c r="E389" s="32"/>
      <c r="F389" s="46"/>
      <c r="S389" s="32"/>
    </row>
    <row r="390" ht="15.75" customHeight="1">
      <c r="E390" s="32"/>
      <c r="F390" s="46"/>
      <c r="S390" s="32"/>
    </row>
    <row r="391" ht="15.75" customHeight="1">
      <c r="E391" s="32"/>
      <c r="F391" s="46"/>
      <c r="S391" s="32"/>
    </row>
    <row r="392" ht="15.75" customHeight="1">
      <c r="E392" s="32"/>
      <c r="F392" s="46"/>
      <c r="S392" s="32"/>
    </row>
    <row r="393" ht="15.75" customHeight="1">
      <c r="E393" s="32"/>
      <c r="F393" s="46"/>
      <c r="S393" s="32"/>
    </row>
    <row r="394" ht="15.75" customHeight="1">
      <c r="E394" s="32"/>
      <c r="F394" s="46"/>
      <c r="S394" s="32"/>
    </row>
    <row r="395" ht="15.75" customHeight="1">
      <c r="E395" s="32"/>
      <c r="F395" s="46"/>
      <c r="S395" s="32"/>
    </row>
    <row r="396" ht="15.75" customHeight="1">
      <c r="E396" s="32"/>
      <c r="F396" s="46"/>
      <c r="S396" s="32"/>
    </row>
    <row r="397" ht="15.75" customHeight="1">
      <c r="E397" s="32"/>
      <c r="F397" s="46"/>
      <c r="S397" s="32"/>
    </row>
    <row r="398" ht="15.75" customHeight="1">
      <c r="E398" s="32"/>
      <c r="F398" s="46"/>
      <c r="S398" s="32"/>
    </row>
    <row r="399" ht="15.75" customHeight="1">
      <c r="E399" s="32"/>
      <c r="F399" s="46"/>
      <c r="S399" s="32"/>
    </row>
    <row r="400" ht="15.75" customHeight="1">
      <c r="E400" s="32"/>
      <c r="F400" s="46"/>
      <c r="S400" s="32"/>
    </row>
    <row r="401" ht="15.75" customHeight="1">
      <c r="E401" s="32"/>
      <c r="F401" s="46"/>
      <c r="S401" s="32"/>
    </row>
    <row r="402" ht="15.75" customHeight="1">
      <c r="E402" s="32"/>
      <c r="F402" s="46"/>
      <c r="S402" s="32"/>
    </row>
    <row r="403" ht="15.75" customHeight="1">
      <c r="E403" s="32"/>
      <c r="F403" s="46"/>
      <c r="S403" s="32"/>
    </row>
    <row r="404" ht="15.75" customHeight="1">
      <c r="E404" s="32"/>
      <c r="F404" s="46"/>
      <c r="S404" s="32"/>
    </row>
    <row r="405" ht="15.75" customHeight="1">
      <c r="E405" s="32"/>
      <c r="F405" s="46"/>
      <c r="S405" s="32"/>
    </row>
    <row r="406" ht="15.75" customHeight="1">
      <c r="E406" s="32"/>
      <c r="F406" s="46"/>
      <c r="S406" s="32"/>
    </row>
    <row r="407" ht="15.75" customHeight="1">
      <c r="E407" s="32"/>
      <c r="F407" s="46"/>
      <c r="S407" s="32"/>
    </row>
    <row r="408" ht="15.75" customHeight="1">
      <c r="E408" s="32"/>
      <c r="F408" s="46"/>
      <c r="S408" s="32"/>
    </row>
    <row r="409" ht="15.75" customHeight="1">
      <c r="E409" s="32"/>
      <c r="F409" s="46"/>
      <c r="S409" s="32"/>
    </row>
    <row r="410" ht="15.75" customHeight="1">
      <c r="E410" s="32"/>
      <c r="F410" s="46"/>
      <c r="S410" s="32"/>
    </row>
    <row r="411" ht="15.75" customHeight="1">
      <c r="E411" s="32"/>
      <c r="F411" s="46"/>
      <c r="S411" s="32"/>
    </row>
    <row r="412" ht="15.75" customHeight="1">
      <c r="E412" s="32"/>
      <c r="F412" s="46"/>
      <c r="S412" s="32"/>
    </row>
    <row r="413" ht="15.75" customHeight="1">
      <c r="E413" s="32"/>
      <c r="F413" s="46"/>
      <c r="S413" s="32"/>
    </row>
    <row r="414" ht="15.75" customHeight="1">
      <c r="E414" s="32"/>
      <c r="F414" s="46"/>
      <c r="S414" s="32"/>
    </row>
    <row r="415" ht="15.75" customHeight="1">
      <c r="E415" s="32"/>
      <c r="F415" s="46"/>
      <c r="S415" s="32"/>
    </row>
    <row r="416" ht="15.75" customHeight="1">
      <c r="E416" s="32"/>
      <c r="F416" s="46"/>
      <c r="S416" s="32"/>
    </row>
    <row r="417" ht="15.75" customHeight="1">
      <c r="E417" s="32"/>
      <c r="F417" s="46"/>
      <c r="S417" s="32"/>
    </row>
    <row r="418" ht="15.75" customHeight="1">
      <c r="E418" s="32"/>
      <c r="F418" s="46"/>
      <c r="S418" s="32"/>
    </row>
    <row r="419" ht="15.75" customHeight="1">
      <c r="E419" s="32"/>
      <c r="F419" s="46"/>
      <c r="S419" s="32"/>
    </row>
    <row r="420" ht="15.75" customHeight="1">
      <c r="E420" s="32"/>
      <c r="F420" s="46"/>
      <c r="S420" s="32"/>
    </row>
    <row r="421" ht="15.75" customHeight="1">
      <c r="E421" s="32"/>
      <c r="F421" s="46"/>
      <c r="S421" s="32"/>
    </row>
    <row r="422" ht="15.75" customHeight="1">
      <c r="E422" s="32"/>
      <c r="F422" s="46"/>
      <c r="S422" s="32"/>
    </row>
    <row r="423" ht="15.75" customHeight="1">
      <c r="E423" s="32"/>
      <c r="F423" s="46"/>
      <c r="S423" s="32"/>
    </row>
    <row r="424" ht="15.75" customHeight="1">
      <c r="E424" s="32"/>
      <c r="F424" s="46"/>
      <c r="S424" s="32"/>
    </row>
    <row r="425" ht="15.75" customHeight="1">
      <c r="E425" s="32"/>
      <c r="F425" s="46"/>
      <c r="S425" s="32"/>
    </row>
    <row r="426" ht="15.75" customHeight="1">
      <c r="E426" s="32"/>
      <c r="F426" s="46"/>
      <c r="S426" s="32"/>
    </row>
    <row r="427" ht="15.75" customHeight="1">
      <c r="E427" s="32"/>
      <c r="F427" s="46"/>
      <c r="S427" s="32"/>
    </row>
    <row r="428" ht="15.75" customHeight="1">
      <c r="E428" s="32"/>
      <c r="F428" s="46"/>
      <c r="S428" s="32"/>
    </row>
    <row r="429" ht="15.75" customHeight="1">
      <c r="E429" s="32"/>
      <c r="F429" s="46"/>
      <c r="S429" s="32"/>
    </row>
    <row r="430" ht="15.75" customHeight="1">
      <c r="E430" s="32"/>
      <c r="F430" s="46"/>
      <c r="S430" s="32"/>
    </row>
    <row r="431" ht="15.75" customHeight="1">
      <c r="E431" s="32"/>
      <c r="F431" s="46"/>
      <c r="S431" s="32"/>
    </row>
    <row r="432" ht="15.75" customHeight="1">
      <c r="E432" s="32"/>
      <c r="F432" s="46"/>
      <c r="S432" s="32"/>
    </row>
    <row r="433" ht="15.75" customHeight="1">
      <c r="E433" s="32"/>
      <c r="F433" s="46"/>
      <c r="S433" s="32"/>
    </row>
    <row r="434" ht="15.75" customHeight="1">
      <c r="E434" s="32"/>
      <c r="F434" s="46"/>
      <c r="S434" s="32"/>
    </row>
    <row r="435" ht="15.75" customHeight="1">
      <c r="E435" s="32"/>
      <c r="F435" s="46"/>
      <c r="S435" s="32"/>
    </row>
    <row r="436" ht="15.75" customHeight="1">
      <c r="E436" s="32"/>
      <c r="F436" s="46"/>
      <c r="S436" s="32"/>
    </row>
    <row r="437" ht="15.75" customHeight="1">
      <c r="E437" s="32"/>
      <c r="F437" s="46"/>
      <c r="S437" s="32"/>
    </row>
    <row r="438" ht="15.75" customHeight="1">
      <c r="E438" s="32"/>
      <c r="F438" s="46"/>
      <c r="S438" s="32"/>
    </row>
    <row r="439" ht="15.75" customHeight="1">
      <c r="E439" s="32"/>
      <c r="F439" s="46"/>
      <c r="S439" s="32"/>
    </row>
    <row r="440" ht="15.75" customHeight="1">
      <c r="E440" s="32"/>
      <c r="F440" s="46"/>
      <c r="S440" s="32"/>
    </row>
    <row r="441" ht="15.75" customHeight="1">
      <c r="E441" s="32"/>
      <c r="F441" s="46"/>
      <c r="S441" s="32"/>
    </row>
    <row r="442" ht="15.75" customHeight="1">
      <c r="E442" s="32"/>
      <c r="F442" s="46"/>
      <c r="S442" s="32"/>
    </row>
    <row r="443" ht="15.75" customHeight="1">
      <c r="E443" s="32"/>
      <c r="F443" s="46"/>
      <c r="S443" s="32"/>
    </row>
    <row r="444" ht="15.75" customHeight="1">
      <c r="E444" s="32"/>
      <c r="F444" s="46"/>
      <c r="S444" s="32"/>
    </row>
    <row r="445" ht="15.75" customHeight="1">
      <c r="E445" s="32"/>
      <c r="F445" s="46"/>
      <c r="S445" s="32"/>
    </row>
    <row r="446" ht="15.75" customHeight="1">
      <c r="E446" s="32"/>
      <c r="F446" s="46"/>
      <c r="S446" s="32"/>
    </row>
    <row r="447" ht="15.75" customHeight="1">
      <c r="E447" s="32"/>
      <c r="F447" s="46"/>
      <c r="S447" s="32"/>
    </row>
    <row r="448" ht="15.75" customHeight="1">
      <c r="E448" s="32"/>
      <c r="F448" s="46"/>
      <c r="S448" s="32"/>
    </row>
    <row r="449" ht="15.75" customHeight="1">
      <c r="E449" s="32"/>
      <c r="F449" s="46"/>
      <c r="S449" s="32"/>
    </row>
    <row r="450" ht="15.75" customHeight="1">
      <c r="E450" s="32"/>
      <c r="F450" s="46"/>
      <c r="S450" s="32"/>
    </row>
    <row r="451" ht="15.75" customHeight="1">
      <c r="E451" s="32"/>
      <c r="F451" s="46"/>
      <c r="S451" s="32"/>
    </row>
    <row r="452" ht="15.75" customHeight="1">
      <c r="E452" s="32"/>
      <c r="F452" s="46"/>
      <c r="S452" s="32"/>
    </row>
    <row r="453" ht="15.75" customHeight="1">
      <c r="E453" s="32"/>
      <c r="F453" s="46"/>
      <c r="S453" s="32"/>
    </row>
    <row r="454" ht="15.75" customHeight="1">
      <c r="E454" s="32"/>
      <c r="F454" s="46"/>
      <c r="S454" s="32"/>
    </row>
    <row r="455" ht="15.75" customHeight="1">
      <c r="E455" s="32"/>
      <c r="F455" s="46"/>
      <c r="S455" s="32"/>
    </row>
    <row r="456" ht="15.75" customHeight="1">
      <c r="E456" s="32"/>
      <c r="F456" s="46"/>
      <c r="S456" s="32"/>
    </row>
    <row r="457" ht="15.75" customHeight="1">
      <c r="E457" s="32"/>
      <c r="F457" s="46"/>
      <c r="S457" s="32"/>
    </row>
    <row r="458" ht="15.75" customHeight="1">
      <c r="E458" s="32"/>
      <c r="F458" s="46"/>
      <c r="S458" s="32"/>
    </row>
    <row r="459" ht="15.75" customHeight="1">
      <c r="E459" s="32"/>
      <c r="F459" s="46"/>
      <c r="S459" s="32"/>
    </row>
    <row r="460" ht="15.75" customHeight="1">
      <c r="E460" s="32"/>
      <c r="F460" s="46"/>
      <c r="S460" s="32"/>
    </row>
    <row r="461" ht="15.75" customHeight="1">
      <c r="E461" s="32"/>
      <c r="F461" s="46"/>
      <c r="S461" s="32"/>
    </row>
    <row r="462" ht="15.75" customHeight="1">
      <c r="E462" s="32"/>
      <c r="F462" s="46"/>
      <c r="S462" s="32"/>
    </row>
    <row r="463" ht="15.75" customHeight="1">
      <c r="E463" s="32"/>
      <c r="F463" s="46"/>
      <c r="S463" s="32"/>
    </row>
    <row r="464" ht="15.75" customHeight="1">
      <c r="E464" s="32"/>
      <c r="F464" s="46"/>
      <c r="S464" s="32"/>
    </row>
    <row r="465" ht="15.75" customHeight="1">
      <c r="E465" s="32"/>
      <c r="F465" s="46"/>
      <c r="S465" s="32"/>
    </row>
    <row r="466" ht="15.75" customHeight="1">
      <c r="E466" s="32"/>
      <c r="F466" s="46"/>
      <c r="S466" s="32"/>
    </row>
    <row r="467" ht="15.75" customHeight="1">
      <c r="E467" s="32"/>
      <c r="F467" s="46"/>
      <c r="S467" s="32"/>
    </row>
    <row r="468" ht="15.75" customHeight="1">
      <c r="E468" s="32"/>
      <c r="F468" s="46"/>
      <c r="S468" s="32"/>
    </row>
    <row r="469" ht="15.75" customHeight="1">
      <c r="E469" s="32"/>
      <c r="F469" s="46"/>
      <c r="S469" s="32"/>
    </row>
    <row r="470" ht="15.75" customHeight="1">
      <c r="E470" s="32"/>
      <c r="F470" s="46"/>
      <c r="S470" s="32"/>
    </row>
    <row r="471" ht="15.75" customHeight="1">
      <c r="E471" s="32"/>
      <c r="F471" s="46"/>
      <c r="S471" s="32"/>
    </row>
    <row r="472" ht="15.75" customHeight="1">
      <c r="E472" s="32"/>
      <c r="F472" s="46"/>
      <c r="S472" s="32"/>
    </row>
    <row r="473" ht="15.75" customHeight="1">
      <c r="E473" s="32"/>
      <c r="F473" s="46"/>
      <c r="S473" s="32"/>
    </row>
    <row r="474" ht="15.75" customHeight="1">
      <c r="E474" s="32"/>
      <c r="F474" s="46"/>
      <c r="S474" s="32"/>
    </row>
    <row r="475" ht="15.75" customHeight="1">
      <c r="E475" s="32"/>
      <c r="F475" s="46"/>
      <c r="S475" s="32"/>
    </row>
    <row r="476" ht="15.75" customHeight="1">
      <c r="E476" s="32"/>
      <c r="F476" s="46"/>
      <c r="S476" s="32"/>
    </row>
    <row r="477" ht="15.75" customHeight="1">
      <c r="E477" s="32"/>
      <c r="F477" s="46"/>
      <c r="S477" s="32"/>
    </row>
    <row r="478" ht="15.75" customHeight="1">
      <c r="E478" s="32"/>
      <c r="F478" s="46"/>
      <c r="S478" s="32"/>
    </row>
    <row r="479" ht="15.75" customHeight="1">
      <c r="E479" s="32"/>
      <c r="F479" s="46"/>
      <c r="S479" s="32"/>
    </row>
    <row r="480" ht="15.75" customHeight="1">
      <c r="E480" s="32"/>
      <c r="F480" s="46"/>
      <c r="S480" s="32"/>
    </row>
    <row r="481" ht="15.75" customHeight="1">
      <c r="E481" s="32"/>
      <c r="F481" s="46"/>
      <c r="S481" s="32"/>
    </row>
    <row r="482" ht="15.75" customHeight="1">
      <c r="E482" s="32"/>
      <c r="F482" s="46"/>
      <c r="S482" s="32"/>
    </row>
    <row r="483" ht="15.75" customHeight="1">
      <c r="E483" s="32"/>
      <c r="F483" s="46"/>
      <c r="S483" s="32"/>
    </row>
    <row r="484" ht="15.75" customHeight="1">
      <c r="E484" s="32"/>
      <c r="F484" s="46"/>
      <c r="S484" s="32"/>
    </row>
    <row r="485" ht="15.75" customHeight="1">
      <c r="E485" s="32"/>
      <c r="F485" s="46"/>
      <c r="S485" s="32"/>
    </row>
    <row r="486" ht="15.75" customHeight="1">
      <c r="E486" s="32"/>
      <c r="F486" s="46"/>
      <c r="S486" s="32"/>
    </row>
    <row r="487" ht="15.75" customHeight="1">
      <c r="E487" s="32"/>
      <c r="F487" s="46"/>
      <c r="S487" s="32"/>
    </row>
    <row r="488" ht="15.75" customHeight="1">
      <c r="E488" s="32"/>
      <c r="F488" s="46"/>
      <c r="S488" s="32"/>
    </row>
    <row r="489" ht="15.75" customHeight="1">
      <c r="E489" s="32"/>
      <c r="F489" s="46"/>
      <c r="S489" s="32"/>
    </row>
    <row r="490" ht="15.75" customHeight="1">
      <c r="E490" s="32"/>
      <c r="F490" s="46"/>
      <c r="S490" s="32"/>
    </row>
    <row r="491" ht="15.75" customHeight="1">
      <c r="E491" s="32"/>
      <c r="F491" s="46"/>
      <c r="S491" s="32"/>
    </row>
    <row r="492" ht="15.75" customHeight="1">
      <c r="E492" s="32"/>
      <c r="F492" s="46"/>
      <c r="S492" s="32"/>
    </row>
    <row r="493" ht="15.75" customHeight="1">
      <c r="E493" s="32"/>
      <c r="F493" s="46"/>
      <c r="S493" s="32"/>
    </row>
    <row r="494" ht="15.75" customHeight="1">
      <c r="E494" s="32"/>
      <c r="F494" s="46"/>
      <c r="S494" s="32"/>
    </row>
    <row r="495" ht="15.75" customHeight="1">
      <c r="E495" s="32"/>
      <c r="F495" s="46"/>
      <c r="S495" s="32"/>
    </row>
    <row r="496" ht="15.75" customHeight="1">
      <c r="E496" s="32"/>
      <c r="F496" s="46"/>
      <c r="S496" s="32"/>
    </row>
    <row r="497" ht="15.75" customHeight="1">
      <c r="E497" s="32"/>
      <c r="F497" s="46"/>
      <c r="S497" s="32"/>
    </row>
    <row r="498" ht="15.75" customHeight="1">
      <c r="E498" s="32"/>
      <c r="F498" s="46"/>
      <c r="S498" s="32"/>
    </row>
    <row r="499" ht="15.75" customHeight="1">
      <c r="E499" s="32"/>
      <c r="F499" s="46"/>
      <c r="S499" s="32"/>
    </row>
    <row r="500" ht="15.75" customHeight="1">
      <c r="E500" s="32"/>
      <c r="F500" s="46"/>
      <c r="S500" s="32"/>
    </row>
    <row r="501" ht="15.75" customHeight="1">
      <c r="E501" s="32"/>
      <c r="F501" s="46"/>
      <c r="S501" s="32"/>
    </row>
    <row r="502" ht="15.75" customHeight="1">
      <c r="E502" s="32"/>
      <c r="F502" s="46"/>
      <c r="S502" s="32"/>
    </row>
    <row r="503" ht="15.75" customHeight="1">
      <c r="E503" s="32"/>
      <c r="F503" s="46"/>
      <c r="S503" s="32"/>
    </row>
    <row r="504" ht="15.75" customHeight="1">
      <c r="E504" s="32"/>
      <c r="F504" s="46"/>
      <c r="S504" s="32"/>
    </row>
    <row r="505" ht="15.75" customHeight="1">
      <c r="E505" s="32"/>
      <c r="F505" s="46"/>
      <c r="S505" s="32"/>
    </row>
    <row r="506" ht="15.75" customHeight="1">
      <c r="E506" s="32"/>
      <c r="F506" s="46"/>
      <c r="S506" s="32"/>
    </row>
    <row r="507" ht="15.75" customHeight="1">
      <c r="E507" s="32"/>
      <c r="F507" s="46"/>
      <c r="S507" s="32"/>
    </row>
    <row r="508" ht="15.75" customHeight="1">
      <c r="E508" s="32"/>
      <c r="F508" s="46"/>
      <c r="S508" s="32"/>
    </row>
    <row r="509" ht="15.75" customHeight="1">
      <c r="E509" s="32"/>
      <c r="F509" s="46"/>
      <c r="S509" s="32"/>
    </row>
    <row r="510" ht="15.75" customHeight="1">
      <c r="E510" s="32"/>
      <c r="F510" s="46"/>
      <c r="S510" s="32"/>
    </row>
    <row r="511" ht="15.75" customHeight="1">
      <c r="E511" s="32"/>
      <c r="F511" s="46"/>
      <c r="S511" s="32"/>
    </row>
    <row r="512" ht="15.75" customHeight="1">
      <c r="E512" s="32"/>
      <c r="F512" s="46"/>
      <c r="S512" s="32"/>
    </row>
    <row r="513" ht="15.75" customHeight="1">
      <c r="E513" s="32"/>
      <c r="F513" s="46"/>
      <c r="S513" s="32"/>
    </row>
    <row r="514" ht="15.75" customHeight="1">
      <c r="E514" s="32"/>
      <c r="F514" s="46"/>
      <c r="S514" s="32"/>
    </row>
    <row r="515" ht="15.75" customHeight="1">
      <c r="E515" s="32"/>
      <c r="F515" s="46"/>
      <c r="S515" s="32"/>
    </row>
    <row r="516" ht="15.75" customHeight="1">
      <c r="E516" s="32"/>
      <c r="F516" s="46"/>
      <c r="S516" s="32"/>
    </row>
    <row r="517" ht="15.75" customHeight="1">
      <c r="E517" s="32"/>
      <c r="F517" s="46"/>
      <c r="S517" s="32"/>
    </row>
    <row r="518" ht="15.75" customHeight="1">
      <c r="E518" s="32"/>
      <c r="F518" s="46"/>
      <c r="S518" s="32"/>
    </row>
    <row r="519" ht="15.75" customHeight="1">
      <c r="E519" s="32"/>
      <c r="F519" s="46"/>
      <c r="S519" s="32"/>
    </row>
    <row r="520" ht="15.75" customHeight="1">
      <c r="E520" s="32"/>
      <c r="F520" s="46"/>
      <c r="S520" s="32"/>
    </row>
    <row r="521" ht="15.75" customHeight="1">
      <c r="E521" s="32"/>
      <c r="F521" s="46"/>
      <c r="S521" s="32"/>
    </row>
    <row r="522" ht="15.75" customHeight="1">
      <c r="E522" s="32"/>
      <c r="F522" s="46"/>
      <c r="S522" s="32"/>
    </row>
    <row r="523" ht="15.75" customHeight="1">
      <c r="E523" s="32"/>
      <c r="F523" s="46"/>
      <c r="S523" s="32"/>
    </row>
    <row r="524" ht="15.75" customHeight="1">
      <c r="E524" s="32"/>
      <c r="F524" s="46"/>
      <c r="S524" s="32"/>
    </row>
    <row r="525" ht="15.75" customHeight="1">
      <c r="E525" s="32"/>
      <c r="F525" s="46"/>
      <c r="S525" s="32"/>
    </row>
    <row r="526" ht="15.75" customHeight="1">
      <c r="E526" s="32"/>
      <c r="F526" s="46"/>
      <c r="S526" s="32"/>
    </row>
    <row r="527" ht="15.75" customHeight="1">
      <c r="E527" s="32"/>
      <c r="F527" s="46"/>
      <c r="S527" s="32"/>
    </row>
    <row r="528" ht="15.75" customHeight="1">
      <c r="E528" s="32"/>
      <c r="F528" s="46"/>
      <c r="S528" s="32"/>
    </row>
    <row r="529" ht="15.75" customHeight="1">
      <c r="E529" s="32"/>
      <c r="F529" s="46"/>
      <c r="S529" s="32"/>
    </row>
    <row r="530" ht="15.75" customHeight="1">
      <c r="E530" s="32"/>
      <c r="F530" s="46"/>
      <c r="S530" s="32"/>
    </row>
    <row r="531" ht="15.75" customHeight="1">
      <c r="E531" s="32"/>
      <c r="F531" s="46"/>
      <c r="S531" s="32"/>
    </row>
    <row r="532" ht="15.75" customHeight="1">
      <c r="E532" s="32"/>
      <c r="F532" s="46"/>
      <c r="S532" s="32"/>
    </row>
    <row r="533" ht="15.75" customHeight="1">
      <c r="E533" s="32"/>
      <c r="F533" s="46"/>
      <c r="S533" s="32"/>
    </row>
    <row r="534" ht="15.75" customHeight="1">
      <c r="E534" s="32"/>
      <c r="F534" s="46"/>
      <c r="S534" s="32"/>
    </row>
    <row r="535" ht="15.75" customHeight="1">
      <c r="E535" s="32"/>
      <c r="F535" s="46"/>
      <c r="S535" s="32"/>
    </row>
    <row r="536" ht="15.75" customHeight="1">
      <c r="E536" s="32"/>
      <c r="F536" s="46"/>
      <c r="S536" s="32"/>
    </row>
    <row r="537" ht="15.75" customHeight="1">
      <c r="E537" s="32"/>
      <c r="F537" s="46"/>
      <c r="S537" s="32"/>
    </row>
    <row r="538" ht="15.75" customHeight="1">
      <c r="E538" s="32"/>
      <c r="F538" s="46"/>
      <c r="S538" s="32"/>
    </row>
    <row r="539" ht="15.75" customHeight="1">
      <c r="E539" s="32"/>
      <c r="F539" s="46"/>
      <c r="S539" s="32"/>
    </row>
    <row r="540" ht="15.75" customHeight="1">
      <c r="E540" s="32"/>
      <c r="F540" s="46"/>
      <c r="S540" s="32"/>
    </row>
    <row r="541" ht="15.75" customHeight="1">
      <c r="E541" s="32"/>
      <c r="F541" s="46"/>
      <c r="S541" s="32"/>
    </row>
    <row r="542" ht="15.75" customHeight="1">
      <c r="E542" s="32"/>
      <c r="F542" s="46"/>
      <c r="S542" s="32"/>
    </row>
    <row r="543" ht="15.75" customHeight="1">
      <c r="E543" s="32"/>
      <c r="F543" s="46"/>
      <c r="S543" s="32"/>
    </row>
    <row r="544" ht="15.75" customHeight="1">
      <c r="E544" s="32"/>
      <c r="F544" s="46"/>
      <c r="S544" s="32"/>
    </row>
    <row r="545" ht="15.75" customHeight="1">
      <c r="E545" s="32"/>
      <c r="F545" s="46"/>
      <c r="S545" s="32"/>
    </row>
    <row r="546" ht="15.75" customHeight="1">
      <c r="E546" s="32"/>
      <c r="F546" s="46"/>
      <c r="S546" s="32"/>
    </row>
    <row r="547" ht="15.75" customHeight="1">
      <c r="E547" s="32"/>
      <c r="F547" s="46"/>
      <c r="S547" s="32"/>
    </row>
    <row r="548" ht="15.75" customHeight="1">
      <c r="E548" s="32"/>
      <c r="F548" s="46"/>
      <c r="S548" s="32"/>
    </row>
    <row r="549" ht="15.75" customHeight="1">
      <c r="E549" s="32"/>
      <c r="F549" s="46"/>
      <c r="S549" s="32"/>
    </row>
    <row r="550" ht="15.75" customHeight="1">
      <c r="E550" s="32"/>
      <c r="F550" s="46"/>
      <c r="S550" s="32"/>
    </row>
    <row r="551" ht="15.75" customHeight="1">
      <c r="E551" s="32"/>
      <c r="F551" s="46"/>
      <c r="S551" s="32"/>
    </row>
    <row r="552" ht="15.75" customHeight="1">
      <c r="E552" s="32"/>
      <c r="F552" s="46"/>
      <c r="S552" s="32"/>
    </row>
    <row r="553" ht="15.75" customHeight="1">
      <c r="E553" s="32"/>
      <c r="F553" s="46"/>
      <c r="S553" s="32"/>
    </row>
    <row r="554" ht="15.75" customHeight="1">
      <c r="E554" s="32"/>
      <c r="F554" s="46"/>
      <c r="S554" s="32"/>
    </row>
    <row r="555" ht="15.75" customHeight="1">
      <c r="E555" s="32"/>
      <c r="F555" s="46"/>
      <c r="S555" s="32"/>
    </row>
    <row r="556" ht="15.75" customHeight="1">
      <c r="E556" s="32"/>
      <c r="F556" s="46"/>
      <c r="S556" s="32"/>
    </row>
    <row r="557" ht="15.75" customHeight="1">
      <c r="E557" s="32"/>
      <c r="F557" s="46"/>
      <c r="S557" s="32"/>
    </row>
    <row r="558" ht="15.75" customHeight="1">
      <c r="E558" s="32"/>
      <c r="F558" s="46"/>
      <c r="S558" s="32"/>
    </row>
    <row r="559" ht="15.75" customHeight="1">
      <c r="E559" s="32"/>
      <c r="F559" s="46"/>
      <c r="S559" s="32"/>
    </row>
    <row r="560" ht="15.75" customHeight="1">
      <c r="E560" s="32"/>
      <c r="F560" s="46"/>
      <c r="S560" s="32"/>
    </row>
    <row r="561" ht="15.75" customHeight="1">
      <c r="E561" s="32"/>
      <c r="F561" s="46"/>
      <c r="S561" s="32"/>
    </row>
    <row r="562" ht="15.75" customHeight="1">
      <c r="E562" s="32"/>
      <c r="F562" s="46"/>
      <c r="S562" s="32"/>
    </row>
    <row r="563" ht="15.75" customHeight="1">
      <c r="E563" s="32"/>
      <c r="F563" s="46"/>
      <c r="S563" s="32"/>
    </row>
    <row r="564" ht="15.75" customHeight="1">
      <c r="E564" s="32"/>
      <c r="F564" s="46"/>
      <c r="S564" s="32"/>
    </row>
    <row r="565" ht="15.75" customHeight="1">
      <c r="E565" s="32"/>
      <c r="F565" s="46"/>
      <c r="S565" s="32"/>
    </row>
    <row r="566" ht="15.75" customHeight="1">
      <c r="E566" s="32"/>
      <c r="F566" s="46"/>
      <c r="S566" s="32"/>
    </row>
    <row r="567" ht="15.75" customHeight="1">
      <c r="E567" s="32"/>
      <c r="F567" s="46"/>
      <c r="S567" s="32"/>
    </row>
    <row r="568" ht="15.75" customHeight="1">
      <c r="E568" s="32"/>
      <c r="F568" s="46"/>
      <c r="S568" s="32"/>
    </row>
    <row r="569" ht="15.75" customHeight="1">
      <c r="E569" s="32"/>
      <c r="F569" s="46"/>
      <c r="S569" s="32"/>
    </row>
    <row r="570" ht="15.75" customHeight="1">
      <c r="E570" s="32"/>
      <c r="F570" s="46"/>
      <c r="S570" s="32"/>
    </row>
    <row r="571" ht="15.75" customHeight="1">
      <c r="E571" s="32"/>
      <c r="F571" s="46"/>
      <c r="S571" s="32"/>
    </row>
    <row r="572" ht="15.75" customHeight="1">
      <c r="E572" s="32"/>
      <c r="F572" s="46"/>
      <c r="S572" s="32"/>
    </row>
    <row r="573" ht="15.75" customHeight="1">
      <c r="E573" s="32"/>
      <c r="F573" s="46"/>
      <c r="S573" s="32"/>
    </row>
    <row r="574" ht="15.75" customHeight="1">
      <c r="E574" s="32"/>
      <c r="F574" s="46"/>
      <c r="S574" s="32"/>
    </row>
    <row r="575" ht="15.75" customHeight="1">
      <c r="E575" s="32"/>
      <c r="F575" s="46"/>
      <c r="S575" s="32"/>
    </row>
    <row r="576" ht="15.75" customHeight="1">
      <c r="E576" s="32"/>
      <c r="F576" s="46"/>
      <c r="S576" s="32"/>
    </row>
    <row r="577" ht="15.75" customHeight="1">
      <c r="E577" s="32"/>
      <c r="F577" s="46"/>
      <c r="S577" s="32"/>
    </row>
    <row r="578" ht="15.75" customHeight="1">
      <c r="E578" s="32"/>
      <c r="F578" s="46"/>
      <c r="S578" s="32"/>
    </row>
    <row r="579" ht="15.75" customHeight="1">
      <c r="E579" s="32"/>
      <c r="F579" s="46"/>
      <c r="S579" s="32"/>
    </row>
    <row r="580" ht="15.75" customHeight="1">
      <c r="E580" s="32"/>
      <c r="F580" s="46"/>
      <c r="S580" s="32"/>
    </row>
    <row r="581" ht="15.75" customHeight="1">
      <c r="E581" s="32"/>
      <c r="F581" s="46"/>
      <c r="S581" s="32"/>
    </row>
    <row r="582" ht="15.75" customHeight="1">
      <c r="E582" s="32"/>
      <c r="F582" s="46"/>
      <c r="S582" s="32"/>
    </row>
    <row r="583" ht="15.75" customHeight="1">
      <c r="E583" s="32"/>
      <c r="F583" s="46"/>
      <c r="S583" s="32"/>
    </row>
    <row r="584" ht="15.75" customHeight="1">
      <c r="E584" s="32"/>
      <c r="F584" s="46"/>
      <c r="S584" s="32"/>
    </row>
    <row r="585" ht="15.75" customHeight="1">
      <c r="E585" s="32"/>
      <c r="F585" s="46"/>
      <c r="S585" s="32"/>
    </row>
    <row r="586" ht="15.75" customHeight="1">
      <c r="E586" s="32"/>
      <c r="F586" s="46"/>
      <c r="S586" s="32"/>
    </row>
    <row r="587" ht="15.75" customHeight="1">
      <c r="E587" s="32"/>
      <c r="F587" s="46"/>
      <c r="S587" s="32"/>
    </row>
    <row r="588" ht="15.75" customHeight="1">
      <c r="E588" s="32"/>
      <c r="F588" s="46"/>
      <c r="S588" s="32"/>
    </row>
    <row r="589" ht="15.75" customHeight="1">
      <c r="E589" s="32"/>
      <c r="F589" s="46"/>
      <c r="S589" s="32"/>
    </row>
    <row r="590" ht="15.75" customHeight="1">
      <c r="E590" s="32"/>
      <c r="F590" s="46"/>
      <c r="S590" s="32"/>
    </row>
    <row r="591" ht="15.75" customHeight="1">
      <c r="E591" s="32"/>
      <c r="F591" s="46"/>
      <c r="S591" s="32"/>
    </row>
    <row r="592" ht="15.75" customHeight="1">
      <c r="E592" s="32"/>
      <c r="F592" s="46"/>
      <c r="S592" s="32"/>
    </row>
    <row r="593" ht="15.75" customHeight="1">
      <c r="E593" s="32"/>
      <c r="F593" s="46"/>
      <c r="S593" s="32"/>
    </row>
    <row r="594" ht="15.75" customHeight="1">
      <c r="E594" s="32"/>
      <c r="F594" s="46"/>
      <c r="S594" s="32"/>
    </row>
    <row r="595" ht="15.75" customHeight="1">
      <c r="E595" s="32"/>
      <c r="F595" s="46"/>
      <c r="S595" s="32"/>
    </row>
    <row r="596" ht="15.75" customHeight="1">
      <c r="E596" s="32"/>
      <c r="F596" s="46"/>
      <c r="S596" s="32"/>
    </row>
    <row r="597" ht="15.75" customHeight="1">
      <c r="E597" s="32"/>
      <c r="F597" s="46"/>
      <c r="S597" s="32"/>
    </row>
    <row r="598" ht="15.75" customHeight="1">
      <c r="E598" s="32"/>
      <c r="F598" s="46"/>
      <c r="S598" s="32"/>
    </row>
    <row r="599" ht="15.75" customHeight="1">
      <c r="E599" s="32"/>
      <c r="F599" s="46"/>
      <c r="S599" s="32"/>
    </row>
    <row r="600" ht="15.75" customHeight="1">
      <c r="E600" s="32"/>
      <c r="F600" s="46"/>
      <c r="S600" s="32"/>
    </row>
    <row r="601" ht="15.75" customHeight="1">
      <c r="E601" s="32"/>
      <c r="F601" s="46"/>
      <c r="S601" s="32"/>
    </row>
    <row r="602" ht="15.75" customHeight="1">
      <c r="E602" s="32"/>
      <c r="F602" s="46"/>
      <c r="S602" s="32"/>
    </row>
    <row r="603" ht="15.75" customHeight="1">
      <c r="E603" s="32"/>
      <c r="F603" s="46"/>
      <c r="S603" s="32"/>
    </row>
    <row r="604" ht="15.75" customHeight="1">
      <c r="E604" s="32"/>
      <c r="F604" s="46"/>
      <c r="S604" s="32"/>
    </row>
    <row r="605" ht="15.75" customHeight="1">
      <c r="E605" s="32"/>
      <c r="F605" s="46"/>
      <c r="S605" s="32"/>
    </row>
    <row r="606" ht="15.75" customHeight="1">
      <c r="E606" s="32"/>
      <c r="F606" s="46"/>
      <c r="S606" s="32"/>
    </row>
    <row r="607" ht="15.75" customHeight="1">
      <c r="E607" s="32"/>
      <c r="F607" s="46"/>
      <c r="S607" s="32"/>
    </row>
    <row r="608" ht="15.75" customHeight="1">
      <c r="E608" s="32"/>
      <c r="F608" s="46"/>
      <c r="S608" s="32"/>
    </row>
    <row r="609" ht="15.75" customHeight="1">
      <c r="E609" s="32"/>
      <c r="F609" s="46"/>
      <c r="S609" s="32"/>
    </row>
    <row r="610" ht="15.75" customHeight="1">
      <c r="E610" s="32"/>
      <c r="F610" s="46"/>
      <c r="S610" s="32"/>
    </row>
    <row r="611" ht="15.75" customHeight="1">
      <c r="E611" s="32"/>
      <c r="F611" s="46"/>
      <c r="S611" s="32"/>
    </row>
    <row r="612" ht="15.75" customHeight="1">
      <c r="E612" s="32"/>
      <c r="F612" s="46"/>
      <c r="S612" s="32"/>
    </row>
    <row r="613" ht="15.75" customHeight="1">
      <c r="E613" s="32"/>
      <c r="F613" s="46"/>
      <c r="S613" s="32"/>
    </row>
    <row r="614" ht="15.75" customHeight="1">
      <c r="E614" s="32"/>
      <c r="F614" s="46"/>
      <c r="S614" s="32"/>
    </row>
    <row r="615" ht="15.75" customHeight="1">
      <c r="E615" s="32"/>
      <c r="F615" s="46"/>
      <c r="S615" s="32"/>
    </row>
    <row r="616" ht="15.75" customHeight="1">
      <c r="E616" s="32"/>
      <c r="F616" s="46"/>
      <c r="S616" s="32"/>
    </row>
    <row r="617" ht="15.75" customHeight="1">
      <c r="E617" s="32"/>
      <c r="F617" s="46"/>
      <c r="S617" s="32"/>
    </row>
    <row r="618" ht="15.75" customHeight="1">
      <c r="E618" s="32"/>
      <c r="F618" s="46"/>
      <c r="S618" s="32"/>
    </row>
    <row r="619" ht="15.75" customHeight="1">
      <c r="E619" s="32"/>
      <c r="F619" s="46"/>
      <c r="S619" s="32"/>
    </row>
    <row r="620" ht="15.75" customHeight="1">
      <c r="E620" s="32"/>
      <c r="F620" s="46"/>
      <c r="S620" s="32"/>
    </row>
    <row r="621" ht="15.75" customHeight="1">
      <c r="E621" s="32"/>
      <c r="F621" s="46"/>
      <c r="S621" s="32"/>
    </row>
    <row r="622" ht="15.75" customHeight="1">
      <c r="E622" s="32"/>
      <c r="F622" s="46"/>
      <c r="S622" s="32"/>
    </row>
    <row r="623" ht="15.75" customHeight="1">
      <c r="E623" s="32"/>
      <c r="F623" s="46"/>
      <c r="S623" s="32"/>
    </row>
    <row r="624" ht="15.75" customHeight="1">
      <c r="E624" s="32"/>
      <c r="F624" s="46"/>
      <c r="S624" s="32"/>
    </row>
    <row r="625" ht="15.75" customHeight="1">
      <c r="E625" s="32"/>
      <c r="F625" s="46"/>
      <c r="S625" s="32"/>
    </row>
    <row r="626" ht="15.75" customHeight="1">
      <c r="E626" s="32"/>
      <c r="F626" s="46"/>
      <c r="S626" s="32"/>
    </row>
    <row r="627" ht="15.75" customHeight="1">
      <c r="E627" s="32"/>
      <c r="F627" s="46"/>
      <c r="S627" s="32"/>
    </row>
    <row r="628" ht="15.75" customHeight="1">
      <c r="E628" s="32"/>
      <c r="F628" s="46"/>
      <c r="S628" s="32"/>
    </row>
    <row r="629" ht="15.75" customHeight="1">
      <c r="E629" s="32"/>
      <c r="F629" s="46"/>
      <c r="S629" s="32"/>
    </row>
    <row r="630" ht="15.75" customHeight="1">
      <c r="E630" s="32"/>
      <c r="F630" s="46"/>
      <c r="S630" s="32"/>
    </row>
    <row r="631" ht="15.75" customHeight="1">
      <c r="E631" s="32"/>
      <c r="F631" s="46"/>
      <c r="S631" s="32"/>
    </row>
    <row r="632" ht="15.75" customHeight="1">
      <c r="E632" s="32"/>
      <c r="F632" s="46"/>
      <c r="S632" s="32"/>
    </row>
    <row r="633" ht="15.75" customHeight="1">
      <c r="E633" s="32"/>
      <c r="F633" s="46"/>
      <c r="S633" s="32"/>
    </row>
    <row r="634" ht="15.75" customHeight="1">
      <c r="E634" s="32"/>
      <c r="F634" s="46"/>
      <c r="S634" s="32"/>
    </row>
    <row r="635" ht="15.75" customHeight="1">
      <c r="E635" s="32"/>
      <c r="F635" s="46"/>
      <c r="S635" s="32"/>
    </row>
    <row r="636" ht="15.75" customHeight="1">
      <c r="E636" s="32"/>
      <c r="F636" s="46"/>
      <c r="S636" s="32"/>
    </row>
    <row r="637" ht="15.75" customHeight="1">
      <c r="E637" s="32"/>
      <c r="F637" s="46"/>
      <c r="S637" s="32"/>
    </row>
    <row r="638" ht="15.75" customHeight="1">
      <c r="E638" s="32"/>
      <c r="F638" s="46"/>
      <c r="S638" s="32"/>
    </row>
    <row r="639" ht="15.75" customHeight="1">
      <c r="E639" s="32"/>
      <c r="F639" s="46"/>
      <c r="S639" s="32"/>
    </row>
    <row r="640" ht="15.75" customHeight="1">
      <c r="E640" s="32"/>
      <c r="F640" s="46"/>
      <c r="S640" s="32"/>
    </row>
    <row r="641" ht="15.75" customHeight="1">
      <c r="E641" s="32"/>
      <c r="F641" s="46"/>
      <c r="S641" s="32"/>
    </row>
    <row r="642" ht="15.75" customHeight="1">
      <c r="E642" s="32"/>
      <c r="F642" s="46"/>
      <c r="S642" s="32"/>
    </row>
    <row r="643" ht="15.75" customHeight="1">
      <c r="E643" s="32"/>
      <c r="F643" s="46"/>
      <c r="S643" s="32"/>
    </row>
    <row r="644" ht="15.75" customHeight="1">
      <c r="E644" s="32"/>
      <c r="F644" s="46"/>
      <c r="S644" s="32"/>
    </row>
    <row r="645" ht="15.75" customHeight="1">
      <c r="E645" s="32"/>
      <c r="F645" s="46"/>
      <c r="S645" s="32"/>
    </row>
    <row r="646" ht="15.75" customHeight="1">
      <c r="E646" s="32"/>
      <c r="F646" s="46"/>
      <c r="S646" s="32"/>
    </row>
    <row r="647" ht="15.75" customHeight="1">
      <c r="E647" s="32"/>
      <c r="F647" s="46"/>
      <c r="S647" s="32"/>
    </row>
    <row r="648" ht="15.75" customHeight="1">
      <c r="E648" s="32"/>
      <c r="F648" s="46"/>
      <c r="S648" s="32"/>
    </row>
    <row r="649" ht="15.75" customHeight="1">
      <c r="E649" s="32"/>
      <c r="F649" s="46"/>
      <c r="S649" s="32"/>
    </row>
    <row r="650" ht="15.75" customHeight="1">
      <c r="E650" s="32"/>
      <c r="F650" s="46"/>
      <c r="S650" s="32"/>
    </row>
    <row r="651" ht="15.75" customHeight="1">
      <c r="E651" s="32"/>
      <c r="F651" s="46"/>
      <c r="S651" s="32"/>
    </row>
    <row r="652" ht="15.75" customHeight="1">
      <c r="E652" s="32"/>
      <c r="F652" s="46"/>
      <c r="S652" s="32"/>
    </row>
    <row r="653" ht="15.75" customHeight="1">
      <c r="E653" s="32"/>
      <c r="F653" s="46"/>
      <c r="S653" s="32"/>
    </row>
    <row r="654" ht="15.75" customHeight="1">
      <c r="E654" s="32"/>
      <c r="F654" s="46"/>
      <c r="S654" s="32"/>
    </row>
    <row r="655" ht="15.75" customHeight="1">
      <c r="E655" s="32"/>
      <c r="F655" s="46"/>
      <c r="S655" s="32"/>
    </row>
    <row r="656" ht="15.75" customHeight="1">
      <c r="E656" s="32"/>
      <c r="F656" s="46"/>
      <c r="S656" s="32"/>
    </row>
    <row r="657" ht="15.75" customHeight="1">
      <c r="E657" s="32"/>
      <c r="F657" s="46"/>
      <c r="S657" s="32"/>
    </row>
    <row r="658" ht="15.75" customHeight="1">
      <c r="E658" s="32"/>
      <c r="F658" s="46"/>
      <c r="S658" s="32"/>
    </row>
    <row r="659" ht="15.75" customHeight="1">
      <c r="E659" s="32"/>
      <c r="F659" s="46"/>
      <c r="S659" s="32"/>
    </row>
    <row r="660" ht="15.75" customHeight="1">
      <c r="E660" s="32"/>
      <c r="F660" s="46"/>
      <c r="S660" s="32"/>
    </row>
    <row r="661" ht="15.75" customHeight="1">
      <c r="E661" s="32"/>
      <c r="F661" s="46"/>
      <c r="S661" s="32"/>
    </row>
    <row r="662" ht="15.75" customHeight="1">
      <c r="E662" s="32"/>
      <c r="F662" s="46"/>
      <c r="S662" s="32"/>
    </row>
    <row r="663" ht="15.75" customHeight="1">
      <c r="E663" s="32"/>
      <c r="F663" s="46"/>
      <c r="S663" s="32"/>
    </row>
    <row r="664" ht="15.75" customHeight="1">
      <c r="E664" s="32"/>
      <c r="F664" s="46"/>
      <c r="S664" s="32"/>
    </row>
    <row r="665" ht="15.75" customHeight="1">
      <c r="E665" s="32"/>
      <c r="F665" s="46"/>
      <c r="S665" s="32"/>
    </row>
    <row r="666" ht="15.75" customHeight="1">
      <c r="E666" s="32"/>
      <c r="F666" s="46"/>
      <c r="S666" s="32"/>
    </row>
    <row r="667" ht="15.75" customHeight="1">
      <c r="E667" s="32"/>
      <c r="F667" s="46"/>
      <c r="S667" s="32"/>
    </row>
    <row r="668" ht="15.75" customHeight="1">
      <c r="E668" s="32"/>
      <c r="F668" s="46"/>
      <c r="S668" s="32"/>
    </row>
    <row r="669" ht="15.75" customHeight="1">
      <c r="E669" s="32"/>
      <c r="F669" s="46"/>
      <c r="S669" s="32"/>
    </row>
    <row r="670" ht="15.75" customHeight="1">
      <c r="E670" s="32"/>
      <c r="F670" s="46"/>
      <c r="S670" s="32"/>
    </row>
    <row r="671" ht="15.75" customHeight="1">
      <c r="E671" s="32"/>
      <c r="F671" s="46"/>
      <c r="S671" s="32"/>
    </row>
    <row r="672" ht="15.75" customHeight="1">
      <c r="E672" s="32"/>
      <c r="F672" s="46"/>
      <c r="S672" s="32"/>
    </row>
    <row r="673" ht="15.75" customHeight="1">
      <c r="E673" s="32"/>
      <c r="F673" s="46"/>
      <c r="S673" s="32"/>
    </row>
    <row r="674" ht="15.75" customHeight="1">
      <c r="E674" s="32"/>
      <c r="F674" s="46"/>
      <c r="S674" s="32"/>
    </row>
    <row r="675" ht="15.75" customHeight="1">
      <c r="E675" s="32"/>
      <c r="F675" s="46"/>
      <c r="S675" s="32"/>
    </row>
    <row r="676" ht="15.75" customHeight="1">
      <c r="E676" s="32"/>
      <c r="F676" s="46"/>
      <c r="S676" s="32"/>
    </row>
    <row r="677" ht="15.75" customHeight="1">
      <c r="E677" s="32"/>
      <c r="F677" s="46"/>
      <c r="S677" s="32"/>
    </row>
    <row r="678" ht="15.75" customHeight="1">
      <c r="E678" s="32"/>
      <c r="F678" s="46"/>
      <c r="S678" s="32"/>
    </row>
    <row r="679" ht="15.75" customHeight="1">
      <c r="E679" s="32"/>
      <c r="F679" s="46"/>
      <c r="S679" s="32"/>
    </row>
    <row r="680" ht="15.75" customHeight="1">
      <c r="E680" s="32"/>
      <c r="F680" s="46"/>
      <c r="S680" s="32"/>
    </row>
    <row r="681" ht="15.75" customHeight="1">
      <c r="E681" s="32"/>
      <c r="F681" s="46"/>
      <c r="S681" s="32"/>
    </row>
    <row r="682" ht="15.75" customHeight="1">
      <c r="E682" s="32"/>
      <c r="F682" s="46"/>
      <c r="S682" s="32"/>
    </row>
    <row r="683" ht="15.75" customHeight="1">
      <c r="E683" s="32"/>
      <c r="F683" s="46"/>
      <c r="S683" s="32"/>
    </row>
    <row r="684" ht="15.75" customHeight="1">
      <c r="E684" s="32"/>
      <c r="F684" s="46"/>
      <c r="S684" s="32"/>
    </row>
    <row r="685" ht="15.75" customHeight="1">
      <c r="E685" s="32"/>
      <c r="F685" s="46"/>
      <c r="S685" s="32"/>
    </row>
    <row r="686" ht="15.75" customHeight="1">
      <c r="E686" s="32"/>
      <c r="F686" s="46"/>
      <c r="S686" s="32"/>
    </row>
    <row r="687" ht="15.75" customHeight="1">
      <c r="E687" s="32"/>
      <c r="F687" s="46"/>
      <c r="S687" s="32"/>
    </row>
    <row r="688" ht="15.75" customHeight="1">
      <c r="E688" s="32"/>
      <c r="F688" s="46"/>
      <c r="S688" s="32"/>
    </row>
    <row r="689" ht="15.75" customHeight="1">
      <c r="E689" s="32"/>
      <c r="F689" s="46"/>
      <c r="S689" s="32"/>
    </row>
    <row r="690" ht="15.75" customHeight="1">
      <c r="E690" s="32"/>
      <c r="F690" s="46"/>
      <c r="S690" s="32"/>
    </row>
    <row r="691" ht="15.75" customHeight="1">
      <c r="E691" s="32"/>
      <c r="F691" s="46"/>
      <c r="S691" s="32"/>
    </row>
    <row r="692" ht="15.75" customHeight="1">
      <c r="E692" s="32"/>
      <c r="F692" s="46"/>
      <c r="S692" s="32"/>
    </row>
    <row r="693" ht="15.75" customHeight="1">
      <c r="E693" s="32"/>
      <c r="F693" s="46"/>
      <c r="S693" s="32"/>
    </row>
    <row r="694" ht="15.75" customHeight="1">
      <c r="E694" s="32"/>
      <c r="F694" s="46"/>
      <c r="S694" s="32"/>
    </row>
    <row r="695" ht="15.75" customHeight="1">
      <c r="E695" s="32"/>
      <c r="F695" s="46"/>
      <c r="S695" s="32"/>
    </row>
    <row r="696" ht="15.75" customHeight="1">
      <c r="E696" s="32"/>
      <c r="F696" s="46"/>
      <c r="S696" s="32"/>
    </row>
    <row r="697" ht="15.75" customHeight="1">
      <c r="E697" s="32"/>
      <c r="F697" s="46"/>
      <c r="S697" s="32"/>
    </row>
    <row r="698" ht="15.75" customHeight="1">
      <c r="E698" s="32"/>
      <c r="F698" s="46"/>
      <c r="S698" s="32"/>
    </row>
    <row r="699" ht="15.75" customHeight="1">
      <c r="E699" s="32"/>
      <c r="F699" s="46"/>
      <c r="S699" s="32"/>
    </row>
    <row r="700" ht="15.75" customHeight="1">
      <c r="E700" s="32"/>
      <c r="F700" s="46"/>
      <c r="S700" s="32"/>
    </row>
    <row r="701" ht="15.75" customHeight="1">
      <c r="E701" s="32"/>
      <c r="F701" s="46"/>
      <c r="S701" s="32"/>
    </row>
    <row r="702" ht="15.75" customHeight="1">
      <c r="E702" s="32"/>
      <c r="F702" s="46"/>
      <c r="S702" s="32"/>
    </row>
    <row r="703" ht="15.75" customHeight="1">
      <c r="E703" s="32"/>
      <c r="F703" s="46"/>
      <c r="S703" s="32"/>
    </row>
    <row r="704" ht="15.75" customHeight="1">
      <c r="E704" s="32"/>
      <c r="F704" s="46"/>
      <c r="S704" s="32"/>
    </row>
    <row r="705" ht="15.75" customHeight="1">
      <c r="E705" s="32"/>
      <c r="F705" s="46"/>
      <c r="S705" s="32"/>
    </row>
    <row r="706" ht="15.75" customHeight="1">
      <c r="E706" s="32"/>
      <c r="F706" s="46"/>
      <c r="S706" s="32"/>
    </row>
    <row r="707" ht="15.75" customHeight="1">
      <c r="E707" s="32"/>
      <c r="F707" s="46"/>
      <c r="S707" s="32"/>
    </row>
    <row r="708" ht="15.75" customHeight="1">
      <c r="E708" s="32"/>
      <c r="F708" s="46"/>
      <c r="S708" s="32"/>
    </row>
    <row r="709" ht="15.75" customHeight="1">
      <c r="E709" s="32"/>
      <c r="F709" s="46"/>
      <c r="S709" s="32"/>
    </row>
    <row r="710" ht="15.75" customHeight="1">
      <c r="E710" s="32"/>
      <c r="F710" s="46"/>
      <c r="S710" s="32"/>
    </row>
    <row r="711" ht="15.75" customHeight="1">
      <c r="E711" s="32"/>
      <c r="F711" s="46"/>
      <c r="S711" s="32"/>
    </row>
    <row r="712" ht="15.75" customHeight="1">
      <c r="E712" s="32"/>
      <c r="F712" s="46"/>
      <c r="S712" s="32"/>
    </row>
    <row r="713" ht="15.75" customHeight="1">
      <c r="E713" s="32"/>
      <c r="F713" s="46"/>
      <c r="S713" s="32"/>
    </row>
    <row r="714" ht="15.75" customHeight="1">
      <c r="E714" s="32"/>
      <c r="F714" s="46"/>
      <c r="S714" s="32"/>
    </row>
    <row r="715" ht="15.75" customHeight="1">
      <c r="E715" s="32"/>
      <c r="F715" s="46"/>
      <c r="S715" s="32"/>
    </row>
    <row r="716" ht="15.75" customHeight="1">
      <c r="E716" s="32"/>
      <c r="F716" s="46"/>
      <c r="S716" s="32"/>
    </row>
    <row r="717" ht="15.75" customHeight="1">
      <c r="E717" s="32"/>
      <c r="F717" s="46"/>
      <c r="S717" s="32"/>
    </row>
    <row r="718" ht="15.75" customHeight="1">
      <c r="E718" s="32"/>
      <c r="F718" s="46"/>
      <c r="S718" s="32"/>
    </row>
    <row r="719" ht="15.75" customHeight="1">
      <c r="E719" s="32"/>
      <c r="F719" s="46"/>
      <c r="S719" s="32"/>
    </row>
    <row r="720" ht="15.75" customHeight="1">
      <c r="E720" s="32"/>
      <c r="F720" s="46"/>
      <c r="S720" s="32"/>
    </row>
    <row r="721" ht="15.75" customHeight="1">
      <c r="E721" s="32"/>
      <c r="F721" s="46"/>
      <c r="S721" s="32"/>
    </row>
    <row r="722" ht="15.75" customHeight="1">
      <c r="E722" s="32"/>
      <c r="F722" s="46"/>
      <c r="S722" s="32"/>
    </row>
    <row r="723" ht="15.75" customHeight="1">
      <c r="E723" s="32"/>
      <c r="F723" s="46"/>
      <c r="S723" s="32"/>
    </row>
    <row r="724" ht="15.75" customHeight="1">
      <c r="E724" s="32"/>
      <c r="F724" s="46"/>
      <c r="S724" s="32"/>
    </row>
    <row r="725" ht="15.75" customHeight="1">
      <c r="E725" s="32"/>
      <c r="F725" s="46"/>
      <c r="S725" s="32"/>
    </row>
    <row r="726" ht="15.75" customHeight="1">
      <c r="E726" s="32"/>
      <c r="F726" s="46"/>
      <c r="S726" s="32"/>
    </row>
    <row r="727" ht="15.75" customHeight="1">
      <c r="E727" s="32"/>
      <c r="F727" s="46"/>
      <c r="S727" s="32"/>
    </row>
    <row r="728" ht="15.75" customHeight="1">
      <c r="E728" s="32"/>
      <c r="F728" s="46"/>
      <c r="S728" s="32"/>
    </row>
    <row r="729" ht="15.75" customHeight="1">
      <c r="E729" s="32"/>
      <c r="F729" s="46"/>
      <c r="S729" s="32"/>
    </row>
    <row r="730" ht="15.75" customHeight="1">
      <c r="E730" s="32"/>
      <c r="F730" s="46"/>
      <c r="S730" s="32"/>
    </row>
    <row r="731" ht="15.75" customHeight="1">
      <c r="E731" s="32"/>
      <c r="F731" s="46"/>
      <c r="S731" s="32"/>
    </row>
    <row r="732" ht="15.75" customHeight="1">
      <c r="E732" s="32"/>
      <c r="F732" s="46"/>
      <c r="S732" s="32"/>
    </row>
    <row r="733" ht="15.75" customHeight="1">
      <c r="E733" s="32"/>
      <c r="F733" s="46"/>
      <c r="S733" s="32"/>
    </row>
    <row r="734" ht="15.75" customHeight="1">
      <c r="E734" s="32"/>
      <c r="F734" s="46"/>
      <c r="S734" s="32"/>
    </row>
    <row r="735" ht="15.75" customHeight="1">
      <c r="E735" s="32"/>
      <c r="F735" s="46"/>
      <c r="S735" s="32"/>
    </row>
    <row r="736" ht="15.75" customHeight="1">
      <c r="E736" s="32"/>
      <c r="F736" s="46"/>
      <c r="S736" s="32"/>
    </row>
    <row r="737" ht="15.75" customHeight="1">
      <c r="E737" s="32"/>
      <c r="F737" s="46"/>
      <c r="S737" s="32"/>
    </row>
    <row r="738" ht="15.75" customHeight="1">
      <c r="E738" s="32"/>
      <c r="F738" s="46"/>
      <c r="S738" s="32"/>
    </row>
    <row r="739" ht="15.75" customHeight="1">
      <c r="E739" s="32"/>
      <c r="F739" s="46"/>
      <c r="S739" s="32"/>
    </row>
    <row r="740" ht="15.75" customHeight="1">
      <c r="E740" s="32"/>
      <c r="F740" s="46"/>
      <c r="S740" s="32"/>
    </row>
    <row r="741" ht="15.75" customHeight="1">
      <c r="E741" s="32"/>
      <c r="F741" s="46"/>
      <c r="S741" s="32"/>
    </row>
    <row r="742" ht="15.75" customHeight="1">
      <c r="E742" s="32"/>
      <c r="F742" s="46"/>
      <c r="S742" s="32"/>
    </row>
    <row r="743" ht="15.75" customHeight="1">
      <c r="E743" s="32"/>
      <c r="F743" s="46"/>
      <c r="S743" s="32"/>
    </row>
    <row r="744" ht="15.75" customHeight="1">
      <c r="E744" s="32"/>
      <c r="F744" s="46"/>
      <c r="S744" s="32"/>
    </row>
    <row r="745" ht="15.75" customHeight="1">
      <c r="E745" s="32"/>
      <c r="F745" s="46"/>
      <c r="S745" s="32"/>
    </row>
    <row r="746" ht="15.75" customHeight="1">
      <c r="E746" s="32"/>
      <c r="F746" s="46"/>
      <c r="S746" s="32"/>
    </row>
    <row r="747" ht="15.75" customHeight="1">
      <c r="E747" s="32"/>
      <c r="F747" s="46"/>
      <c r="S747" s="32"/>
    </row>
    <row r="748" ht="15.75" customHeight="1">
      <c r="E748" s="32"/>
      <c r="F748" s="46"/>
      <c r="S748" s="32"/>
    </row>
    <row r="749" ht="15.75" customHeight="1">
      <c r="E749" s="32"/>
      <c r="F749" s="46"/>
      <c r="S749" s="32"/>
    </row>
    <row r="750" ht="15.75" customHeight="1">
      <c r="E750" s="32"/>
      <c r="F750" s="46"/>
      <c r="S750" s="32"/>
    </row>
    <row r="751" ht="15.75" customHeight="1">
      <c r="E751" s="32"/>
      <c r="F751" s="46"/>
      <c r="S751" s="32"/>
    </row>
    <row r="752" ht="15.75" customHeight="1">
      <c r="E752" s="32"/>
      <c r="F752" s="46"/>
      <c r="S752" s="32"/>
    </row>
    <row r="753" ht="15.75" customHeight="1">
      <c r="E753" s="32"/>
      <c r="F753" s="46"/>
      <c r="S753" s="32"/>
    </row>
    <row r="754" ht="15.75" customHeight="1">
      <c r="E754" s="32"/>
      <c r="F754" s="46"/>
      <c r="S754" s="32"/>
    </row>
    <row r="755" ht="15.75" customHeight="1">
      <c r="E755" s="32"/>
      <c r="F755" s="46"/>
      <c r="S755" s="32"/>
    </row>
    <row r="756" ht="15.75" customHeight="1">
      <c r="E756" s="32"/>
      <c r="F756" s="46"/>
      <c r="S756" s="32"/>
    </row>
    <row r="757" ht="15.75" customHeight="1">
      <c r="E757" s="32"/>
      <c r="F757" s="46"/>
      <c r="S757" s="32"/>
    </row>
    <row r="758" ht="15.75" customHeight="1">
      <c r="E758" s="32"/>
      <c r="F758" s="46"/>
      <c r="S758" s="32"/>
    </row>
    <row r="759" ht="15.75" customHeight="1">
      <c r="E759" s="32"/>
      <c r="F759" s="46"/>
      <c r="S759" s="32"/>
    </row>
    <row r="760" ht="15.75" customHeight="1">
      <c r="E760" s="32"/>
      <c r="F760" s="46"/>
      <c r="S760" s="32"/>
    </row>
    <row r="761" ht="15.75" customHeight="1">
      <c r="E761" s="32"/>
      <c r="F761" s="46"/>
      <c r="S761" s="32"/>
    </row>
    <row r="762" ht="15.75" customHeight="1">
      <c r="E762" s="32"/>
      <c r="F762" s="46"/>
      <c r="S762" s="32"/>
    </row>
    <row r="763" ht="15.75" customHeight="1">
      <c r="E763" s="32"/>
      <c r="F763" s="46"/>
      <c r="S763" s="32"/>
    </row>
    <row r="764" ht="15.75" customHeight="1">
      <c r="E764" s="32"/>
      <c r="F764" s="46"/>
      <c r="S764" s="32"/>
    </row>
    <row r="765" ht="15.75" customHeight="1">
      <c r="E765" s="32"/>
      <c r="F765" s="46"/>
      <c r="S765" s="32"/>
    </row>
    <row r="766" ht="15.75" customHeight="1">
      <c r="E766" s="32"/>
      <c r="F766" s="46"/>
      <c r="S766" s="32"/>
    </row>
    <row r="767" ht="15.75" customHeight="1">
      <c r="E767" s="32"/>
      <c r="F767" s="46"/>
      <c r="S767" s="32"/>
    </row>
    <row r="768" ht="15.75" customHeight="1">
      <c r="E768" s="32"/>
      <c r="F768" s="46"/>
      <c r="S768" s="32"/>
    </row>
    <row r="769" ht="15.75" customHeight="1">
      <c r="E769" s="32"/>
      <c r="F769" s="46"/>
      <c r="S769" s="32"/>
    </row>
    <row r="770" ht="15.75" customHeight="1">
      <c r="E770" s="32"/>
      <c r="F770" s="46"/>
      <c r="S770" s="32"/>
    </row>
    <row r="771" ht="15.75" customHeight="1">
      <c r="E771" s="32"/>
      <c r="F771" s="46"/>
      <c r="S771" s="32"/>
    </row>
    <row r="772" ht="15.75" customHeight="1">
      <c r="E772" s="32"/>
      <c r="F772" s="46"/>
      <c r="S772" s="32"/>
    </row>
    <row r="773" ht="15.75" customHeight="1">
      <c r="E773" s="32"/>
      <c r="F773" s="46"/>
      <c r="S773" s="32"/>
    </row>
    <row r="774" ht="15.75" customHeight="1">
      <c r="E774" s="32"/>
      <c r="F774" s="46"/>
      <c r="S774" s="32"/>
    </row>
    <row r="775" ht="15.75" customHeight="1">
      <c r="E775" s="32"/>
      <c r="F775" s="46"/>
      <c r="S775" s="32"/>
    </row>
    <row r="776" ht="15.75" customHeight="1">
      <c r="E776" s="32"/>
      <c r="F776" s="46"/>
      <c r="S776" s="32"/>
    </row>
    <row r="777" ht="15.75" customHeight="1">
      <c r="E777" s="32"/>
      <c r="F777" s="46"/>
      <c r="S777" s="32"/>
    </row>
    <row r="778" ht="15.75" customHeight="1">
      <c r="E778" s="32"/>
      <c r="F778" s="46"/>
      <c r="S778" s="32"/>
    </row>
    <row r="779" ht="15.75" customHeight="1">
      <c r="E779" s="32"/>
      <c r="F779" s="46"/>
      <c r="S779" s="32"/>
    </row>
    <row r="780" ht="15.75" customHeight="1">
      <c r="E780" s="32"/>
      <c r="F780" s="46"/>
      <c r="S780" s="32"/>
    </row>
    <row r="781" ht="15.75" customHeight="1">
      <c r="E781" s="32"/>
      <c r="F781" s="46"/>
      <c r="S781" s="32"/>
    </row>
    <row r="782" ht="15.75" customHeight="1">
      <c r="E782" s="32"/>
      <c r="F782" s="46"/>
      <c r="S782" s="32"/>
    </row>
    <row r="783" ht="15.75" customHeight="1">
      <c r="E783" s="32"/>
      <c r="F783" s="46"/>
      <c r="S783" s="32"/>
    </row>
    <row r="784" ht="15.75" customHeight="1">
      <c r="E784" s="32"/>
      <c r="F784" s="46"/>
      <c r="S784" s="32"/>
    </row>
    <row r="785" ht="15.75" customHeight="1">
      <c r="E785" s="32"/>
      <c r="F785" s="46"/>
      <c r="S785" s="32"/>
    </row>
    <row r="786" ht="15.75" customHeight="1">
      <c r="E786" s="32"/>
      <c r="F786" s="46"/>
      <c r="S786" s="32"/>
    </row>
    <row r="787" ht="15.75" customHeight="1">
      <c r="E787" s="32"/>
      <c r="F787" s="46"/>
      <c r="S787" s="32"/>
    </row>
    <row r="788" ht="15.75" customHeight="1">
      <c r="E788" s="32"/>
      <c r="F788" s="46"/>
      <c r="S788" s="32"/>
    </row>
    <row r="789" ht="15.75" customHeight="1">
      <c r="E789" s="32"/>
      <c r="F789" s="46"/>
      <c r="S789" s="32"/>
    </row>
    <row r="790" ht="15.75" customHeight="1">
      <c r="E790" s="32"/>
      <c r="F790" s="46"/>
      <c r="S790" s="32"/>
    </row>
    <row r="791" ht="15.75" customHeight="1">
      <c r="E791" s="32"/>
      <c r="F791" s="46"/>
      <c r="S791" s="32"/>
    </row>
    <row r="792" ht="15.75" customHeight="1">
      <c r="E792" s="32"/>
      <c r="F792" s="46"/>
      <c r="S792" s="32"/>
    </row>
    <row r="793" ht="15.75" customHeight="1">
      <c r="E793" s="32"/>
      <c r="F793" s="46"/>
      <c r="S793" s="32"/>
    </row>
    <row r="794" ht="15.75" customHeight="1">
      <c r="E794" s="32"/>
      <c r="F794" s="46"/>
      <c r="S794" s="32"/>
    </row>
    <row r="795" ht="15.75" customHeight="1">
      <c r="E795" s="32"/>
      <c r="F795" s="46"/>
      <c r="S795" s="32"/>
    </row>
    <row r="796" ht="15.75" customHeight="1">
      <c r="E796" s="32"/>
      <c r="F796" s="46"/>
      <c r="S796" s="32"/>
    </row>
    <row r="797" ht="15.75" customHeight="1">
      <c r="E797" s="32"/>
      <c r="F797" s="46"/>
      <c r="S797" s="32"/>
    </row>
    <row r="798" ht="15.75" customHeight="1">
      <c r="E798" s="32"/>
      <c r="F798" s="46"/>
      <c r="S798" s="32"/>
    </row>
    <row r="799" ht="15.75" customHeight="1">
      <c r="E799" s="32"/>
      <c r="F799" s="46"/>
      <c r="S799" s="32"/>
    </row>
    <row r="800" ht="15.75" customHeight="1">
      <c r="E800" s="32"/>
      <c r="F800" s="46"/>
      <c r="S800" s="32"/>
    </row>
    <row r="801" ht="15.75" customHeight="1">
      <c r="E801" s="32"/>
      <c r="F801" s="46"/>
      <c r="S801" s="32"/>
    </row>
    <row r="802" ht="15.75" customHeight="1">
      <c r="E802" s="32"/>
      <c r="F802" s="46"/>
      <c r="S802" s="32"/>
    </row>
    <row r="803" ht="15.75" customHeight="1">
      <c r="E803" s="32"/>
      <c r="F803" s="46"/>
      <c r="S803" s="32"/>
    </row>
    <row r="804" ht="15.75" customHeight="1">
      <c r="E804" s="32"/>
      <c r="F804" s="46"/>
      <c r="S804" s="32"/>
    </row>
    <row r="805" ht="15.75" customHeight="1">
      <c r="E805" s="32"/>
      <c r="F805" s="46"/>
      <c r="S805" s="32"/>
    </row>
    <row r="806" ht="15.75" customHeight="1">
      <c r="E806" s="32"/>
      <c r="F806" s="46"/>
      <c r="S806" s="32"/>
    </row>
    <row r="807" ht="15.75" customHeight="1">
      <c r="E807" s="32"/>
      <c r="F807" s="46"/>
      <c r="S807" s="32"/>
    </row>
    <row r="808" ht="15.75" customHeight="1">
      <c r="E808" s="32"/>
      <c r="F808" s="46"/>
      <c r="S808" s="32"/>
    </row>
    <row r="809" ht="15.75" customHeight="1">
      <c r="E809" s="32"/>
      <c r="F809" s="46"/>
      <c r="S809" s="32"/>
    </row>
    <row r="810" ht="15.75" customHeight="1">
      <c r="E810" s="32"/>
      <c r="F810" s="46"/>
      <c r="S810" s="32"/>
    </row>
    <row r="811" ht="15.75" customHeight="1">
      <c r="E811" s="32"/>
      <c r="F811" s="46"/>
      <c r="S811" s="32"/>
    </row>
    <row r="812" ht="15.75" customHeight="1">
      <c r="E812" s="32"/>
      <c r="F812" s="46"/>
      <c r="S812" s="32"/>
    </row>
    <row r="813" ht="15.75" customHeight="1">
      <c r="E813" s="32"/>
      <c r="F813" s="46"/>
      <c r="S813" s="32"/>
    </row>
    <row r="814" ht="15.75" customHeight="1">
      <c r="E814" s="32"/>
      <c r="F814" s="46"/>
      <c r="S814" s="32"/>
    </row>
    <row r="815" ht="15.75" customHeight="1">
      <c r="E815" s="32"/>
      <c r="F815" s="46"/>
      <c r="S815" s="32"/>
    </row>
    <row r="816" ht="15.75" customHeight="1">
      <c r="E816" s="32"/>
      <c r="F816" s="46"/>
      <c r="S816" s="32"/>
    </row>
    <row r="817" ht="15.75" customHeight="1">
      <c r="E817" s="32"/>
      <c r="F817" s="46"/>
      <c r="S817" s="32"/>
    </row>
    <row r="818" ht="15.75" customHeight="1">
      <c r="E818" s="32"/>
      <c r="F818" s="46"/>
      <c r="S818" s="32"/>
    </row>
    <row r="819" ht="15.75" customHeight="1">
      <c r="E819" s="32"/>
      <c r="F819" s="46"/>
      <c r="S819" s="32"/>
    </row>
    <row r="820" ht="15.75" customHeight="1">
      <c r="E820" s="32"/>
      <c r="F820" s="46"/>
      <c r="S820" s="32"/>
    </row>
    <row r="821" ht="15.75" customHeight="1">
      <c r="E821" s="32"/>
      <c r="F821" s="46"/>
      <c r="S821" s="32"/>
    </row>
    <row r="822" ht="15.75" customHeight="1">
      <c r="E822" s="32"/>
      <c r="F822" s="46"/>
      <c r="S822" s="32"/>
    </row>
    <row r="823" ht="15.75" customHeight="1">
      <c r="E823" s="32"/>
      <c r="F823" s="46"/>
      <c r="S823" s="32"/>
    </row>
    <row r="824" ht="15.75" customHeight="1">
      <c r="E824" s="32"/>
      <c r="F824" s="46"/>
      <c r="S824" s="32"/>
    </row>
    <row r="825" ht="15.75" customHeight="1">
      <c r="E825" s="32"/>
      <c r="F825" s="46"/>
      <c r="S825" s="32"/>
    </row>
    <row r="826" ht="15.75" customHeight="1">
      <c r="E826" s="32"/>
      <c r="F826" s="46"/>
      <c r="S826" s="32"/>
    </row>
    <row r="827" ht="15.75" customHeight="1">
      <c r="E827" s="32"/>
      <c r="F827" s="46"/>
      <c r="S827" s="32"/>
    </row>
    <row r="828" ht="15.75" customHeight="1">
      <c r="E828" s="32"/>
      <c r="F828" s="46"/>
      <c r="S828" s="32"/>
    </row>
    <row r="829" ht="15.75" customHeight="1">
      <c r="E829" s="32"/>
      <c r="F829" s="46"/>
      <c r="S829" s="32"/>
    </row>
    <row r="830" ht="15.75" customHeight="1">
      <c r="E830" s="32"/>
      <c r="F830" s="46"/>
      <c r="S830" s="32"/>
    </row>
    <row r="831" ht="15.75" customHeight="1">
      <c r="E831" s="32"/>
      <c r="F831" s="46"/>
      <c r="S831" s="32"/>
    </row>
    <row r="832" ht="15.75" customHeight="1">
      <c r="E832" s="32"/>
      <c r="F832" s="46"/>
      <c r="S832" s="32"/>
    </row>
    <row r="833" ht="15.75" customHeight="1">
      <c r="E833" s="32"/>
      <c r="F833" s="46"/>
      <c r="S833" s="32"/>
    </row>
    <row r="834" ht="15.75" customHeight="1">
      <c r="E834" s="32"/>
      <c r="F834" s="46"/>
      <c r="S834" s="32"/>
    </row>
    <row r="835" ht="15.75" customHeight="1">
      <c r="E835" s="32"/>
      <c r="F835" s="46"/>
      <c r="S835" s="32"/>
    </row>
    <row r="836" ht="15.75" customHeight="1">
      <c r="E836" s="32"/>
      <c r="F836" s="46"/>
      <c r="S836" s="32"/>
    </row>
    <row r="837" ht="15.75" customHeight="1">
      <c r="E837" s="32"/>
      <c r="F837" s="46"/>
      <c r="S837" s="32"/>
    </row>
    <row r="838" ht="15.75" customHeight="1">
      <c r="E838" s="32"/>
      <c r="F838" s="46"/>
      <c r="S838" s="32"/>
    </row>
    <row r="839" ht="15.75" customHeight="1">
      <c r="E839" s="32"/>
      <c r="F839" s="46"/>
      <c r="S839" s="32"/>
    </row>
    <row r="840" ht="15.75" customHeight="1">
      <c r="E840" s="32"/>
      <c r="F840" s="46"/>
      <c r="S840" s="32"/>
    </row>
    <row r="841" ht="15.75" customHeight="1">
      <c r="E841" s="32"/>
      <c r="F841" s="46"/>
      <c r="S841" s="32"/>
    </row>
    <row r="842" ht="15.75" customHeight="1">
      <c r="E842" s="32"/>
      <c r="F842" s="46"/>
      <c r="S842" s="32"/>
    </row>
    <row r="843" ht="15.75" customHeight="1">
      <c r="E843" s="32"/>
      <c r="F843" s="46"/>
      <c r="S843" s="32"/>
    </row>
    <row r="844" ht="15.75" customHeight="1">
      <c r="E844" s="32"/>
      <c r="F844" s="46"/>
      <c r="S844" s="32"/>
    </row>
    <row r="845" ht="15.75" customHeight="1">
      <c r="E845" s="32"/>
      <c r="F845" s="46"/>
      <c r="S845" s="32"/>
    </row>
    <row r="846" ht="15.75" customHeight="1">
      <c r="E846" s="32"/>
      <c r="F846" s="46"/>
      <c r="S846" s="32"/>
    </row>
    <row r="847" ht="15.75" customHeight="1">
      <c r="E847" s="32"/>
      <c r="F847" s="46"/>
      <c r="S847" s="32"/>
    </row>
    <row r="848" ht="15.75" customHeight="1">
      <c r="E848" s="32"/>
      <c r="F848" s="46"/>
      <c r="S848" s="32"/>
    </row>
    <row r="849" ht="15.75" customHeight="1">
      <c r="E849" s="32"/>
      <c r="F849" s="46"/>
      <c r="S849" s="32"/>
    </row>
    <row r="850" ht="15.75" customHeight="1">
      <c r="E850" s="32"/>
      <c r="F850" s="46"/>
      <c r="S850" s="32"/>
    </row>
    <row r="851" ht="15.75" customHeight="1">
      <c r="E851" s="32"/>
      <c r="F851" s="46"/>
      <c r="S851" s="32"/>
    </row>
    <row r="852" ht="15.75" customHeight="1">
      <c r="E852" s="32"/>
      <c r="F852" s="46"/>
      <c r="S852" s="32"/>
    </row>
    <row r="853" ht="15.75" customHeight="1">
      <c r="E853" s="32"/>
      <c r="F853" s="46"/>
      <c r="S853" s="32"/>
    </row>
    <row r="854" ht="15.75" customHeight="1">
      <c r="E854" s="32"/>
      <c r="F854" s="46"/>
      <c r="S854" s="32"/>
    </row>
    <row r="855" ht="15.75" customHeight="1">
      <c r="E855" s="32"/>
      <c r="F855" s="46"/>
      <c r="S855" s="32"/>
    </row>
    <row r="856" ht="15.75" customHeight="1">
      <c r="E856" s="32"/>
      <c r="F856" s="46"/>
      <c r="S856" s="32"/>
    </row>
    <row r="857" ht="15.75" customHeight="1">
      <c r="E857" s="32"/>
      <c r="F857" s="46"/>
      <c r="S857" s="32"/>
    </row>
    <row r="858" ht="15.75" customHeight="1">
      <c r="E858" s="32"/>
      <c r="F858" s="46"/>
      <c r="S858" s="32"/>
    </row>
    <row r="859" ht="15.75" customHeight="1">
      <c r="E859" s="32"/>
      <c r="F859" s="46"/>
      <c r="S859" s="32"/>
    </row>
    <row r="860" ht="15.75" customHeight="1">
      <c r="E860" s="32"/>
      <c r="F860" s="46"/>
      <c r="S860" s="32"/>
    </row>
    <row r="861" ht="15.75" customHeight="1">
      <c r="E861" s="32"/>
      <c r="F861" s="46"/>
      <c r="S861" s="32"/>
    </row>
    <row r="862" ht="15.75" customHeight="1">
      <c r="E862" s="32"/>
      <c r="F862" s="46"/>
      <c r="S862" s="32"/>
    </row>
    <row r="863" ht="15.75" customHeight="1">
      <c r="E863" s="32"/>
      <c r="F863" s="46"/>
      <c r="S863" s="32"/>
    </row>
    <row r="864" ht="15.75" customHeight="1">
      <c r="E864" s="32"/>
      <c r="F864" s="46"/>
      <c r="S864" s="32"/>
    </row>
    <row r="865" ht="15.75" customHeight="1">
      <c r="E865" s="32"/>
      <c r="F865" s="46"/>
      <c r="S865" s="32"/>
    </row>
    <row r="866" ht="15.75" customHeight="1">
      <c r="E866" s="32"/>
      <c r="F866" s="46"/>
      <c r="S866" s="32"/>
    </row>
    <row r="867" ht="15.75" customHeight="1">
      <c r="E867" s="32"/>
      <c r="F867" s="46"/>
      <c r="S867" s="32"/>
    </row>
    <row r="868" ht="15.75" customHeight="1">
      <c r="E868" s="32"/>
      <c r="F868" s="46"/>
      <c r="S868" s="32"/>
    </row>
    <row r="869" ht="15.75" customHeight="1">
      <c r="E869" s="32"/>
      <c r="F869" s="46"/>
      <c r="S869" s="32"/>
    </row>
    <row r="870" ht="15.75" customHeight="1">
      <c r="E870" s="32"/>
      <c r="F870" s="46"/>
      <c r="S870" s="32"/>
    </row>
    <row r="871" ht="15.75" customHeight="1">
      <c r="E871" s="32"/>
      <c r="F871" s="46"/>
      <c r="S871" s="32"/>
    </row>
    <row r="872" ht="15.75" customHeight="1">
      <c r="E872" s="32"/>
      <c r="F872" s="46"/>
      <c r="S872" s="32"/>
    </row>
    <row r="873" ht="15.75" customHeight="1">
      <c r="E873" s="32"/>
      <c r="F873" s="46"/>
      <c r="S873" s="32"/>
    </row>
    <row r="874" ht="15.75" customHeight="1">
      <c r="E874" s="32"/>
      <c r="F874" s="46"/>
      <c r="S874" s="32"/>
    </row>
    <row r="875" ht="15.75" customHeight="1">
      <c r="E875" s="32"/>
      <c r="F875" s="46"/>
      <c r="S875" s="32"/>
    </row>
    <row r="876" ht="15.75" customHeight="1">
      <c r="E876" s="32"/>
      <c r="F876" s="46"/>
      <c r="S876" s="32"/>
    </row>
    <row r="877" ht="15.75" customHeight="1">
      <c r="E877" s="32"/>
      <c r="F877" s="46"/>
      <c r="S877" s="32"/>
    </row>
    <row r="878" ht="15.75" customHeight="1">
      <c r="E878" s="32"/>
      <c r="F878" s="46"/>
      <c r="S878" s="32"/>
    </row>
    <row r="879" ht="15.75" customHeight="1">
      <c r="E879" s="32"/>
      <c r="F879" s="46"/>
      <c r="S879" s="32"/>
    </row>
    <row r="880" ht="15.75" customHeight="1">
      <c r="E880" s="32"/>
      <c r="F880" s="46"/>
      <c r="S880" s="32"/>
    </row>
    <row r="881" ht="15.75" customHeight="1">
      <c r="E881" s="32"/>
      <c r="F881" s="46"/>
      <c r="S881" s="32"/>
    </row>
    <row r="882" ht="15.75" customHeight="1">
      <c r="E882" s="32"/>
      <c r="F882" s="46"/>
      <c r="S882" s="32"/>
    </row>
    <row r="883" ht="15.75" customHeight="1">
      <c r="E883" s="32"/>
      <c r="F883" s="46"/>
      <c r="S883" s="32"/>
    </row>
    <row r="884" ht="15.75" customHeight="1">
      <c r="E884" s="32"/>
      <c r="F884" s="46"/>
      <c r="S884" s="32"/>
    </row>
    <row r="885" ht="15.75" customHeight="1">
      <c r="E885" s="32"/>
      <c r="F885" s="46"/>
      <c r="S885" s="32"/>
    </row>
    <row r="886" ht="15.75" customHeight="1">
      <c r="E886" s="32"/>
      <c r="F886" s="46"/>
      <c r="S886" s="32"/>
    </row>
    <row r="887" ht="15.75" customHeight="1">
      <c r="E887" s="32"/>
      <c r="F887" s="46"/>
      <c r="S887" s="32"/>
    </row>
    <row r="888" ht="15.75" customHeight="1">
      <c r="E888" s="32"/>
      <c r="F888" s="46"/>
      <c r="S888" s="32"/>
    </row>
    <row r="889" ht="15.75" customHeight="1">
      <c r="E889" s="32"/>
      <c r="F889" s="46"/>
      <c r="S889" s="32"/>
    </row>
    <row r="890" ht="15.75" customHeight="1">
      <c r="E890" s="32"/>
      <c r="F890" s="46"/>
      <c r="S890" s="32"/>
    </row>
    <row r="891" ht="15.75" customHeight="1">
      <c r="E891" s="32"/>
      <c r="F891" s="46"/>
      <c r="S891" s="32"/>
    </row>
    <row r="892" ht="15.75" customHeight="1">
      <c r="E892" s="32"/>
      <c r="F892" s="46"/>
      <c r="S892" s="32"/>
    </row>
    <row r="893" ht="15.75" customHeight="1">
      <c r="E893" s="32"/>
      <c r="F893" s="46"/>
      <c r="S893" s="32"/>
    </row>
    <row r="894" ht="15.75" customHeight="1">
      <c r="E894" s="32"/>
      <c r="F894" s="46"/>
      <c r="S894" s="32"/>
    </row>
    <row r="895" ht="15.75" customHeight="1">
      <c r="E895" s="32"/>
      <c r="F895" s="46"/>
      <c r="S895" s="32"/>
    </row>
    <row r="896" ht="15.75" customHeight="1">
      <c r="E896" s="32"/>
      <c r="F896" s="46"/>
      <c r="S896" s="32"/>
    </row>
    <row r="897" ht="15.75" customHeight="1">
      <c r="E897" s="32"/>
      <c r="F897" s="46"/>
      <c r="S897" s="32"/>
    </row>
    <row r="898" ht="15.75" customHeight="1">
      <c r="E898" s="32"/>
      <c r="F898" s="46"/>
      <c r="S898" s="32"/>
    </row>
    <row r="899" ht="15.75" customHeight="1">
      <c r="E899" s="32"/>
      <c r="F899" s="46"/>
      <c r="S899" s="32"/>
    </row>
    <row r="900" ht="15.75" customHeight="1">
      <c r="E900" s="32"/>
      <c r="F900" s="46"/>
      <c r="S900" s="32"/>
    </row>
    <row r="901" ht="15.75" customHeight="1">
      <c r="E901" s="32"/>
      <c r="F901" s="46"/>
      <c r="S901" s="32"/>
    </row>
    <row r="902" ht="15.75" customHeight="1">
      <c r="E902" s="32"/>
      <c r="F902" s="46"/>
      <c r="S902" s="32"/>
    </row>
    <row r="903" ht="15.75" customHeight="1">
      <c r="E903" s="32"/>
      <c r="F903" s="46"/>
      <c r="S903" s="32"/>
    </row>
    <row r="904" ht="15.75" customHeight="1">
      <c r="E904" s="32"/>
      <c r="F904" s="46"/>
      <c r="S904" s="32"/>
    </row>
    <row r="905" ht="15.75" customHeight="1">
      <c r="E905" s="32"/>
      <c r="F905" s="46"/>
      <c r="S905" s="32"/>
    </row>
    <row r="906" ht="15.75" customHeight="1">
      <c r="E906" s="32"/>
      <c r="F906" s="46"/>
      <c r="S906" s="32"/>
    </row>
    <row r="907" ht="15.75" customHeight="1">
      <c r="E907" s="32"/>
      <c r="F907" s="46"/>
      <c r="S907" s="32"/>
    </row>
    <row r="908" ht="15.75" customHeight="1">
      <c r="E908" s="32"/>
      <c r="F908" s="46"/>
      <c r="S908" s="32"/>
    </row>
    <row r="909" ht="15.75" customHeight="1">
      <c r="E909" s="32"/>
      <c r="F909" s="46"/>
      <c r="S909" s="32"/>
    </row>
    <row r="910" ht="15.75" customHeight="1">
      <c r="E910" s="32"/>
      <c r="F910" s="46"/>
      <c r="S910" s="32"/>
    </row>
    <row r="911" ht="15.75" customHeight="1">
      <c r="E911" s="32"/>
      <c r="F911" s="46"/>
      <c r="S911" s="32"/>
    </row>
    <row r="912" ht="15.75" customHeight="1">
      <c r="E912" s="32"/>
      <c r="F912" s="46"/>
      <c r="S912" s="32"/>
    </row>
    <row r="913" ht="15.75" customHeight="1">
      <c r="E913" s="32"/>
      <c r="F913" s="46"/>
      <c r="S913" s="32"/>
    </row>
    <row r="914" ht="15.75" customHeight="1">
      <c r="E914" s="32"/>
      <c r="F914" s="46"/>
      <c r="S914" s="32"/>
    </row>
    <row r="915" ht="15.75" customHeight="1">
      <c r="E915" s="32"/>
      <c r="F915" s="46"/>
      <c r="S915" s="32"/>
    </row>
    <row r="916" ht="15.75" customHeight="1">
      <c r="E916" s="32"/>
      <c r="F916" s="46"/>
      <c r="S916" s="32"/>
    </row>
    <row r="917" ht="15.75" customHeight="1">
      <c r="E917" s="32"/>
      <c r="F917" s="46"/>
      <c r="S917" s="32"/>
    </row>
    <row r="918" ht="15.75" customHeight="1">
      <c r="E918" s="32"/>
      <c r="F918" s="46"/>
      <c r="S918" s="32"/>
    </row>
    <row r="919" ht="15.75" customHeight="1">
      <c r="E919" s="32"/>
      <c r="F919" s="46"/>
      <c r="S919" s="32"/>
    </row>
    <row r="920" ht="15.75" customHeight="1">
      <c r="E920" s="32"/>
      <c r="F920" s="46"/>
      <c r="S920" s="32"/>
    </row>
    <row r="921" ht="15.75" customHeight="1">
      <c r="E921" s="32"/>
      <c r="F921" s="46"/>
      <c r="S921" s="32"/>
    </row>
    <row r="922" ht="15.75" customHeight="1">
      <c r="E922" s="32"/>
      <c r="F922" s="46"/>
      <c r="S922" s="32"/>
    </row>
    <row r="923" ht="15.75" customHeight="1">
      <c r="E923" s="32"/>
      <c r="F923" s="46"/>
      <c r="S923" s="32"/>
    </row>
    <row r="924" ht="15.75" customHeight="1">
      <c r="E924" s="32"/>
      <c r="F924" s="46"/>
      <c r="S924" s="32"/>
    </row>
    <row r="925" ht="15.75" customHeight="1">
      <c r="E925" s="32"/>
      <c r="F925" s="46"/>
      <c r="S925" s="32"/>
    </row>
    <row r="926" ht="15.75" customHeight="1">
      <c r="E926" s="32"/>
      <c r="F926" s="46"/>
      <c r="S926" s="32"/>
    </row>
    <row r="927" ht="15.75" customHeight="1">
      <c r="E927" s="32"/>
      <c r="F927" s="46"/>
      <c r="S927" s="32"/>
    </row>
    <row r="928" ht="15.75" customHeight="1">
      <c r="E928" s="32"/>
      <c r="F928" s="46"/>
      <c r="S928" s="32"/>
    </row>
    <row r="929" ht="15.75" customHeight="1">
      <c r="E929" s="32"/>
      <c r="F929" s="46"/>
      <c r="S929" s="32"/>
    </row>
    <row r="930" ht="15.75" customHeight="1">
      <c r="E930" s="32"/>
      <c r="F930" s="46"/>
      <c r="S930" s="32"/>
    </row>
    <row r="931" ht="15.75" customHeight="1">
      <c r="E931" s="32"/>
      <c r="F931" s="46"/>
      <c r="S931" s="32"/>
    </row>
    <row r="932" ht="15.75" customHeight="1">
      <c r="E932" s="32"/>
      <c r="F932" s="46"/>
      <c r="S932" s="32"/>
    </row>
    <row r="933" ht="15.75" customHeight="1">
      <c r="E933" s="32"/>
      <c r="F933" s="46"/>
      <c r="S933" s="32"/>
    </row>
    <row r="934" ht="15.75" customHeight="1">
      <c r="E934" s="32"/>
      <c r="F934" s="46"/>
      <c r="S934" s="32"/>
    </row>
    <row r="935" ht="15.75" customHeight="1">
      <c r="E935" s="32"/>
      <c r="F935" s="46"/>
      <c r="S935" s="32"/>
    </row>
    <row r="936" ht="15.75" customHeight="1">
      <c r="E936" s="32"/>
      <c r="F936" s="46"/>
      <c r="S936" s="32"/>
    </row>
    <row r="937" ht="15.75" customHeight="1">
      <c r="E937" s="32"/>
      <c r="F937" s="46"/>
      <c r="S937" s="32"/>
    </row>
    <row r="938" ht="15.75" customHeight="1">
      <c r="E938" s="32"/>
      <c r="F938" s="46"/>
      <c r="S938" s="32"/>
    </row>
    <row r="939" ht="15.75" customHeight="1">
      <c r="E939" s="32"/>
      <c r="F939" s="46"/>
      <c r="S939" s="32"/>
    </row>
    <row r="940" ht="15.75" customHeight="1">
      <c r="E940" s="32"/>
      <c r="F940" s="46"/>
      <c r="S940" s="32"/>
    </row>
    <row r="941" ht="15.75" customHeight="1">
      <c r="E941" s="32"/>
      <c r="F941" s="46"/>
      <c r="S941" s="32"/>
    </row>
    <row r="942" ht="15.75" customHeight="1">
      <c r="E942" s="32"/>
      <c r="F942" s="46"/>
      <c r="S942" s="32"/>
    </row>
    <row r="943" ht="15.75" customHeight="1">
      <c r="E943" s="32"/>
      <c r="F943" s="46"/>
      <c r="S943" s="32"/>
    </row>
    <row r="944" ht="15.75" customHeight="1">
      <c r="E944" s="32"/>
      <c r="F944" s="46"/>
      <c r="S944" s="32"/>
    </row>
    <row r="945" ht="15.75" customHeight="1">
      <c r="E945" s="32"/>
      <c r="F945" s="46"/>
      <c r="S945" s="32"/>
    </row>
    <row r="946" ht="15.75" customHeight="1">
      <c r="E946" s="32"/>
      <c r="F946" s="46"/>
      <c r="S946" s="32"/>
    </row>
    <row r="947" ht="15.75" customHeight="1">
      <c r="E947" s="32"/>
      <c r="F947" s="46"/>
      <c r="S947" s="32"/>
    </row>
    <row r="948" ht="15.75" customHeight="1">
      <c r="E948" s="32"/>
      <c r="F948" s="46"/>
      <c r="S948" s="32"/>
    </row>
    <row r="949" ht="15.75" customHeight="1">
      <c r="E949" s="32"/>
      <c r="F949" s="46"/>
      <c r="S949" s="32"/>
    </row>
    <row r="950" ht="15.75" customHeight="1">
      <c r="E950" s="32"/>
      <c r="F950" s="46"/>
      <c r="S950" s="32"/>
    </row>
    <row r="951" ht="15.75" customHeight="1">
      <c r="E951" s="32"/>
      <c r="F951" s="46"/>
      <c r="S951" s="32"/>
    </row>
    <row r="952" ht="15.75" customHeight="1">
      <c r="E952" s="32"/>
      <c r="F952" s="46"/>
      <c r="S952" s="32"/>
    </row>
    <row r="953" ht="15.75" customHeight="1">
      <c r="E953" s="32"/>
      <c r="F953" s="46"/>
      <c r="S953" s="32"/>
    </row>
    <row r="954" ht="15.75" customHeight="1">
      <c r="E954" s="32"/>
      <c r="F954" s="46"/>
      <c r="S954" s="32"/>
    </row>
    <row r="955" ht="15.75" customHeight="1">
      <c r="E955" s="32"/>
      <c r="F955" s="46"/>
      <c r="S955" s="32"/>
    </row>
    <row r="956" ht="15.75" customHeight="1">
      <c r="E956" s="32"/>
      <c r="F956" s="46"/>
      <c r="S956" s="32"/>
    </row>
    <row r="957" ht="15.75" customHeight="1">
      <c r="E957" s="32"/>
      <c r="F957" s="46"/>
      <c r="S957" s="32"/>
    </row>
    <row r="958" ht="15.75" customHeight="1">
      <c r="E958" s="32"/>
      <c r="F958" s="46"/>
      <c r="S958" s="32"/>
    </row>
    <row r="959" ht="15.75" customHeight="1">
      <c r="E959" s="32"/>
      <c r="F959" s="46"/>
      <c r="S959" s="32"/>
    </row>
    <row r="960" ht="15.75" customHeight="1">
      <c r="E960" s="32"/>
      <c r="F960" s="46"/>
      <c r="S960" s="32"/>
    </row>
    <row r="961" ht="15.75" customHeight="1">
      <c r="E961" s="32"/>
      <c r="F961" s="46"/>
      <c r="S961" s="32"/>
    </row>
    <row r="962" ht="15.75" customHeight="1">
      <c r="E962" s="32"/>
      <c r="F962" s="46"/>
      <c r="S962" s="32"/>
    </row>
    <row r="963" ht="15.75" customHeight="1">
      <c r="E963" s="32"/>
      <c r="F963" s="46"/>
      <c r="S963" s="32"/>
    </row>
    <row r="964" ht="15.75" customHeight="1">
      <c r="E964" s="32"/>
      <c r="F964" s="46"/>
      <c r="S964" s="32"/>
    </row>
    <row r="965" ht="15.75" customHeight="1">
      <c r="E965" s="32"/>
      <c r="F965" s="46"/>
      <c r="S965" s="32"/>
    </row>
    <row r="966" ht="15.75" customHeight="1">
      <c r="E966" s="32"/>
      <c r="F966" s="46"/>
      <c r="S966" s="32"/>
    </row>
    <row r="967" ht="15.75" customHeight="1">
      <c r="E967" s="32"/>
      <c r="F967" s="46"/>
      <c r="S967" s="32"/>
    </row>
    <row r="968" ht="15.75" customHeight="1">
      <c r="E968" s="32"/>
      <c r="F968" s="46"/>
      <c r="S968" s="32"/>
    </row>
    <row r="969" ht="15.75" customHeight="1">
      <c r="E969" s="32"/>
      <c r="F969" s="46"/>
      <c r="S969" s="32"/>
    </row>
    <row r="970" ht="15.75" customHeight="1">
      <c r="E970" s="32"/>
      <c r="F970" s="46"/>
      <c r="S970" s="32"/>
    </row>
    <row r="971" ht="15.75" customHeight="1">
      <c r="E971" s="32"/>
      <c r="F971" s="46"/>
      <c r="S971" s="32"/>
    </row>
    <row r="972" ht="15.75" customHeight="1">
      <c r="E972" s="32"/>
      <c r="F972" s="46"/>
      <c r="S972" s="32"/>
    </row>
    <row r="973" ht="15.75" customHeight="1">
      <c r="E973" s="32"/>
      <c r="F973" s="46"/>
      <c r="S973" s="32"/>
    </row>
    <row r="974" ht="15.75" customHeight="1">
      <c r="E974" s="32"/>
      <c r="F974" s="46"/>
      <c r="S974" s="32"/>
    </row>
    <row r="975" ht="15.75" customHeight="1">
      <c r="E975" s="32"/>
      <c r="F975" s="46"/>
      <c r="S975" s="32"/>
    </row>
    <row r="976" ht="15.75" customHeight="1">
      <c r="E976" s="32"/>
      <c r="F976" s="46"/>
      <c r="S976" s="32"/>
    </row>
    <row r="977" ht="15.75" customHeight="1">
      <c r="E977" s="32"/>
      <c r="F977" s="46"/>
      <c r="S977" s="32"/>
    </row>
    <row r="978" ht="15.75" customHeight="1">
      <c r="E978" s="32"/>
      <c r="F978" s="46"/>
      <c r="S978" s="32"/>
    </row>
    <row r="979" ht="15.75" customHeight="1">
      <c r="E979" s="32"/>
      <c r="F979" s="46"/>
      <c r="S979" s="32"/>
    </row>
    <row r="980" ht="15.75" customHeight="1">
      <c r="E980" s="32"/>
      <c r="F980" s="46"/>
      <c r="S980" s="32"/>
    </row>
    <row r="981" ht="15.75" customHeight="1">
      <c r="E981" s="32"/>
      <c r="F981" s="46"/>
      <c r="S981" s="32"/>
    </row>
    <row r="982" ht="15.75" customHeight="1">
      <c r="E982" s="32"/>
      <c r="F982" s="46"/>
      <c r="S982" s="32"/>
    </row>
    <row r="983" ht="15.75" customHeight="1">
      <c r="E983" s="32"/>
      <c r="F983" s="46"/>
      <c r="S983" s="32"/>
    </row>
    <row r="984" ht="15.75" customHeight="1">
      <c r="E984" s="32"/>
      <c r="F984" s="46"/>
      <c r="S984" s="32"/>
    </row>
    <row r="985" ht="15.75" customHeight="1">
      <c r="E985" s="32"/>
      <c r="F985" s="46"/>
      <c r="S985" s="32"/>
    </row>
    <row r="986" ht="15.75" customHeight="1">
      <c r="E986" s="32"/>
      <c r="F986" s="46"/>
      <c r="S986" s="32"/>
    </row>
    <row r="987" ht="15.75" customHeight="1">
      <c r="E987" s="32"/>
      <c r="F987" s="46"/>
      <c r="S987" s="32"/>
    </row>
    <row r="988" ht="15.75" customHeight="1">
      <c r="E988" s="32"/>
      <c r="F988" s="46"/>
      <c r="S988" s="32"/>
    </row>
    <row r="989" ht="15.75" customHeight="1">
      <c r="E989" s="32"/>
      <c r="F989" s="46"/>
      <c r="S989" s="32"/>
    </row>
    <row r="990" ht="15.75" customHeight="1">
      <c r="E990" s="32"/>
      <c r="F990" s="46"/>
      <c r="S990" s="32"/>
    </row>
    <row r="991" ht="15.75" customHeight="1">
      <c r="E991" s="32"/>
      <c r="F991" s="46"/>
      <c r="S991" s="32"/>
    </row>
    <row r="992" ht="15.75" customHeight="1">
      <c r="E992" s="32"/>
      <c r="F992" s="46"/>
      <c r="S992" s="32"/>
    </row>
    <row r="993" ht="15.75" customHeight="1">
      <c r="E993" s="32"/>
      <c r="F993" s="46"/>
      <c r="S993" s="32"/>
    </row>
    <row r="994" ht="15.75" customHeight="1">
      <c r="E994" s="32"/>
      <c r="F994" s="46"/>
      <c r="S994" s="32"/>
    </row>
    <row r="995" ht="15.75" customHeight="1">
      <c r="E995" s="32"/>
      <c r="F995" s="46"/>
      <c r="S995" s="32"/>
    </row>
    <row r="996" ht="15.75" customHeight="1">
      <c r="E996" s="32"/>
      <c r="F996" s="46"/>
      <c r="S996" s="32"/>
    </row>
    <row r="997" ht="15.75" customHeight="1">
      <c r="E997" s="32"/>
      <c r="F997" s="46"/>
      <c r="S997" s="32"/>
    </row>
    <row r="998" ht="15.75" customHeight="1">
      <c r="E998" s="32"/>
      <c r="F998" s="46"/>
      <c r="S998" s="32"/>
    </row>
    <row r="999" ht="15.75" customHeight="1">
      <c r="E999" s="32"/>
      <c r="F999" s="46"/>
      <c r="S999" s="32"/>
    </row>
    <row r="1000" ht="15.75" customHeight="1">
      <c r="E1000" s="32"/>
      <c r="F1000" s="46"/>
      <c r="S1000" s="32"/>
    </row>
  </sheetData>
  <autoFilter ref="$R$1:$S$48">
    <sortState ref="R1:S48">
      <sortCondition descending="1" ref="S1:S48"/>
    </sortState>
  </autoFilter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38"/>
    <col customWidth="1" min="2" max="2" width="16.13"/>
    <col customWidth="1" min="3" max="6" width="12.63"/>
  </cols>
  <sheetData>
    <row r="1"/>
    <row r="2"/>
    <row r="3"/>
    <row r="4"/>
    <row r="5"/>
    <row r="6"/>
    <row r="7"/>
    <row r="8"/>
    <row r="9"/>
    <row r="10"/>
    <row r="11"/>
    <row r="12"/>
    <row r="13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>
      <c r="C1" s="47"/>
    </row>
    <row r="2">
      <c r="C2" s="47"/>
    </row>
    <row r="3">
      <c r="C3" s="47"/>
    </row>
    <row r="4">
      <c r="C4" s="47"/>
    </row>
    <row r="5">
      <c r="C5" s="47"/>
    </row>
    <row r="6">
      <c r="C6" s="47"/>
    </row>
    <row r="7">
      <c r="C7" s="47"/>
    </row>
    <row r="8">
      <c r="C8" s="47"/>
    </row>
    <row r="9">
      <c r="C9" s="47"/>
    </row>
    <row r="10">
      <c r="C10" s="47"/>
    </row>
    <row r="11">
      <c r="C11" s="47"/>
    </row>
    <row r="12">
      <c r="C12" s="47"/>
    </row>
    <row r="13">
      <c r="C13" s="47"/>
    </row>
    <row r="14">
      <c r="C14" s="47"/>
    </row>
    <row r="15">
      <c r="C15" s="47"/>
    </row>
    <row r="16">
      <c r="C16" s="47"/>
    </row>
    <row r="17">
      <c r="C17" s="47"/>
    </row>
    <row r="18">
      <c r="C18" s="47"/>
    </row>
    <row r="19">
      <c r="C19" s="47"/>
    </row>
    <row r="20">
      <c r="C20" s="47"/>
    </row>
    <row r="21" ht="15.75" customHeight="1">
      <c r="C21" s="47"/>
    </row>
    <row r="22" ht="15.75" customHeight="1">
      <c r="C22" s="47"/>
    </row>
    <row r="23" ht="15.75" customHeight="1">
      <c r="C23" s="47"/>
    </row>
    <row r="24" ht="15.75" customHeight="1">
      <c r="C24" s="47"/>
    </row>
    <row r="25" ht="15.75" customHeight="1">
      <c r="C25" s="47"/>
    </row>
    <row r="26" ht="15.75" customHeight="1">
      <c r="C26" s="47"/>
    </row>
    <row r="27" ht="15.75" customHeight="1">
      <c r="C27" s="47"/>
    </row>
    <row r="28" ht="15.75" customHeight="1">
      <c r="C28" s="47"/>
    </row>
    <row r="29" ht="15.75" customHeight="1">
      <c r="C29" s="47"/>
    </row>
    <row r="30" ht="15.75" customHeight="1">
      <c r="C30" s="47"/>
    </row>
    <row r="31" ht="15.75" customHeight="1">
      <c r="C31" s="47"/>
    </row>
    <row r="32" ht="15.75" customHeight="1">
      <c r="C32" s="47"/>
    </row>
    <row r="33" ht="15.75" customHeight="1">
      <c r="C33" s="47"/>
    </row>
    <row r="34" ht="15.75" customHeight="1">
      <c r="C34" s="47"/>
    </row>
    <row r="35" ht="15.75" customHeight="1">
      <c r="C35" s="47"/>
    </row>
    <row r="36" ht="15.75" customHeight="1">
      <c r="C36" s="47"/>
    </row>
    <row r="37" ht="15.75" customHeight="1">
      <c r="C37" s="47"/>
    </row>
    <row r="38" ht="15.75" customHeight="1">
      <c r="C38" s="47"/>
    </row>
    <row r="39" ht="15.75" customHeight="1">
      <c r="C39" s="47"/>
    </row>
    <row r="40" ht="15.75" customHeight="1">
      <c r="C40" s="47"/>
    </row>
    <row r="41" ht="15.75" customHeight="1">
      <c r="C41" s="47"/>
    </row>
    <row r="42" ht="15.75" customHeight="1">
      <c r="C42" s="47"/>
    </row>
    <row r="43" ht="15.75" customHeight="1">
      <c r="C43" s="47"/>
    </row>
    <row r="44" ht="15.75" customHeight="1">
      <c r="C44" s="47"/>
    </row>
    <row r="45" ht="15.75" customHeight="1">
      <c r="C45" s="47"/>
    </row>
    <row r="46" ht="15.75" customHeight="1">
      <c r="C46" s="47"/>
    </row>
    <row r="47" ht="15.75" customHeight="1">
      <c r="C47" s="47"/>
    </row>
    <row r="48" ht="15.75" customHeight="1">
      <c r="B48" s="47"/>
      <c r="C48" s="47"/>
      <c r="E48" s="47"/>
    </row>
    <row r="49" ht="15.75" customHeight="1">
      <c r="B49" s="47"/>
      <c r="C49" s="47"/>
      <c r="E49" s="47"/>
    </row>
    <row r="50" ht="15.75" customHeight="1">
      <c r="B50" s="47"/>
      <c r="C50" s="47"/>
      <c r="E50" s="47"/>
    </row>
    <row r="51" ht="15.75" customHeight="1">
      <c r="B51" s="47"/>
      <c r="C51" s="47"/>
      <c r="E51" s="47"/>
    </row>
    <row r="52" ht="15.75" customHeight="1">
      <c r="B52" s="47"/>
      <c r="C52" s="47"/>
      <c r="E52" s="47"/>
    </row>
    <row r="53" ht="15.75" customHeight="1">
      <c r="B53" s="47"/>
      <c r="C53" s="47"/>
      <c r="E53" s="47"/>
    </row>
    <row r="54" ht="15.75" customHeight="1">
      <c r="B54" s="47"/>
      <c r="C54" s="47"/>
      <c r="E54" s="47"/>
    </row>
    <row r="55" ht="15.75" customHeight="1">
      <c r="B55" s="47"/>
      <c r="C55" s="47"/>
      <c r="E55" s="47"/>
    </row>
    <row r="56" ht="15.75" customHeight="1">
      <c r="B56" s="47"/>
      <c r="C56" s="47"/>
      <c r="E56" s="47"/>
    </row>
    <row r="57" ht="15.75" customHeight="1">
      <c r="B57" s="47"/>
      <c r="C57" s="47"/>
      <c r="E57" s="47"/>
    </row>
    <row r="58" ht="15.75" customHeight="1">
      <c r="B58" s="47"/>
      <c r="C58" s="47"/>
      <c r="E58" s="47"/>
    </row>
    <row r="59" ht="15.75" customHeight="1">
      <c r="B59" s="47"/>
      <c r="C59" s="47"/>
      <c r="E59" s="47"/>
    </row>
    <row r="60" ht="15.75" customHeight="1">
      <c r="B60" s="47"/>
      <c r="C60" s="47"/>
      <c r="E60" s="47"/>
    </row>
    <row r="61" ht="15.75" customHeight="1">
      <c r="B61" s="47"/>
      <c r="C61" s="47"/>
      <c r="E61" s="47"/>
    </row>
    <row r="62" ht="15.75" customHeight="1">
      <c r="B62" s="47"/>
      <c r="C62" s="47"/>
      <c r="E62" s="47"/>
    </row>
    <row r="63" ht="15.75" customHeight="1">
      <c r="B63" s="47"/>
      <c r="C63" s="47"/>
      <c r="E63" s="47"/>
    </row>
    <row r="64" ht="15.75" customHeight="1">
      <c r="B64" s="47"/>
      <c r="C64" s="47"/>
      <c r="E64" s="47"/>
    </row>
    <row r="65" ht="15.75" customHeight="1">
      <c r="B65" s="47"/>
      <c r="C65" s="47"/>
      <c r="E65" s="47"/>
    </row>
    <row r="66" ht="15.75" customHeight="1">
      <c r="B66" s="47"/>
      <c r="C66" s="47"/>
      <c r="E66" s="47"/>
    </row>
    <row r="67" ht="15.75" customHeight="1">
      <c r="B67" s="47"/>
      <c r="C67" s="47"/>
      <c r="E67" s="47"/>
    </row>
    <row r="68" ht="15.75" customHeight="1">
      <c r="B68" s="47"/>
      <c r="C68" s="47"/>
      <c r="E68" s="47"/>
    </row>
    <row r="69" ht="15.75" customHeight="1">
      <c r="B69" s="47"/>
      <c r="C69" s="47"/>
      <c r="E69" s="47"/>
    </row>
    <row r="70" ht="15.75" customHeight="1">
      <c r="B70" s="47"/>
      <c r="C70" s="47"/>
      <c r="E70" s="47"/>
    </row>
    <row r="71" ht="15.75" customHeight="1">
      <c r="B71" s="47"/>
      <c r="C71" s="47"/>
      <c r="E71" s="47"/>
    </row>
    <row r="72" ht="15.75" customHeight="1">
      <c r="B72" s="47"/>
      <c r="C72" s="47"/>
      <c r="E72" s="47"/>
    </row>
    <row r="73" ht="15.75" customHeight="1">
      <c r="B73" s="47"/>
      <c r="C73" s="47"/>
      <c r="E73" s="47"/>
    </row>
    <row r="74" ht="15.75" customHeight="1">
      <c r="B74" s="47"/>
      <c r="C74" s="47"/>
      <c r="E74" s="47"/>
    </row>
    <row r="75" ht="15.75" customHeight="1">
      <c r="B75" s="47"/>
      <c r="C75" s="47"/>
      <c r="E75" s="47"/>
    </row>
    <row r="76" ht="15.75" customHeight="1">
      <c r="B76" s="47"/>
      <c r="C76" s="47"/>
      <c r="E76" s="47"/>
    </row>
    <row r="77" ht="15.75" customHeight="1">
      <c r="B77" s="47"/>
      <c r="C77" s="47"/>
      <c r="E77" s="47"/>
    </row>
    <row r="78" ht="15.75" customHeight="1">
      <c r="B78" s="47"/>
      <c r="C78" s="47"/>
      <c r="E78" s="47"/>
    </row>
    <row r="79" ht="15.75" customHeight="1">
      <c r="B79" s="47"/>
      <c r="C79" s="47"/>
      <c r="E79" s="47"/>
    </row>
    <row r="80" ht="15.75" customHeight="1">
      <c r="B80" s="47"/>
      <c r="C80" s="47"/>
      <c r="E80" s="47"/>
    </row>
    <row r="81" ht="15.75" customHeight="1">
      <c r="B81" s="47"/>
      <c r="C81" s="47"/>
      <c r="E81" s="47"/>
    </row>
    <row r="82" ht="15.75" customHeight="1">
      <c r="B82" s="47"/>
      <c r="C82" s="47"/>
      <c r="E82" s="47"/>
    </row>
    <row r="83" ht="15.75" customHeight="1">
      <c r="B83" s="47"/>
      <c r="C83" s="47"/>
      <c r="E83" s="47"/>
    </row>
    <row r="84" ht="15.75" customHeight="1">
      <c r="B84" s="47"/>
      <c r="C84" s="47"/>
      <c r="E84" s="47"/>
    </row>
    <row r="85" ht="15.75" customHeight="1">
      <c r="B85" s="47"/>
      <c r="C85" s="47"/>
      <c r="E85" s="47"/>
    </row>
    <row r="86" ht="15.75" customHeight="1">
      <c r="B86" s="47"/>
      <c r="C86" s="47"/>
      <c r="E86" s="47"/>
    </row>
    <row r="87" ht="15.75" customHeight="1">
      <c r="B87" s="47"/>
      <c r="C87" s="47"/>
      <c r="E87" s="47"/>
    </row>
    <row r="88" ht="15.75" customHeight="1">
      <c r="B88" s="47"/>
      <c r="C88" s="47"/>
      <c r="E88" s="47"/>
    </row>
    <row r="89" ht="15.75" customHeight="1">
      <c r="B89" s="47"/>
      <c r="C89" s="47"/>
      <c r="E89" s="47"/>
    </row>
    <row r="90" ht="15.75" customHeight="1">
      <c r="B90" s="47"/>
      <c r="C90" s="47"/>
      <c r="E90" s="47"/>
    </row>
    <row r="91" ht="15.75" customHeight="1">
      <c r="B91" s="47"/>
      <c r="C91" s="47"/>
      <c r="E91" s="47"/>
    </row>
    <row r="92" ht="15.75" customHeight="1">
      <c r="B92" s="47"/>
      <c r="C92" s="47"/>
      <c r="E92" s="47"/>
    </row>
    <row r="93" ht="15.75" customHeight="1">
      <c r="B93" s="47"/>
      <c r="C93" s="47"/>
      <c r="E93" s="47"/>
    </row>
    <row r="94" ht="15.75" customHeight="1">
      <c r="B94" s="47"/>
      <c r="C94" s="47"/>
      <c r="E94" s="47"/>
    </row>
    <row r="95" ht="15.75" customHeight="1">
      <c r="B95" s="47"/>
      <c r="C95" s="47"/>
      <c r="E95" s="47"/>
    </row>
    <row r="96" ht="15.75" customHeight="1">
      <c r="B96" s="47"/>
      <c r="C96" s="47"/>
      <c r="E96" s="47"/>
    </row>
    <row r="97" ht="15.75" customHeight="1">
      <c r="B97" s="47"/>
      <c r="C97" s="47"/>
      <c r="E97" s="47"/>
    </row>
    <row r="98" ht="15.75" customHeight="1">
      <c r="B98" s="47"/>
      <c r="C98" s="47"/>
      <c r="E98" s="47"/>
    </row>
    <row r="99" ht="15.75" customHeight="1">
      <c r="B99" s="47"/>
      <c r="C99" s="47"/>
      <c r="E99" s="47"/>
    </row>
    <row r="100" ht="15.75" customHeight="1">
      <c r="B100" s="47"/>
      <c r="C100" s="47"/>
      <c r="E100" s="47"/>
    </row>
    <row r="101" ht="15.75" customHeight="1">
      <c r="B101" s="47"/>
      <c r="C101" s="47"/>
      <c r="E101" s="47"/>
    </row>
    <row r="102" ht="15.75" customHeight="1">
      <c r="B102" s="47"/>
      <c r="C102" s="47"/>
      <c r="E102" s="47"/>
    </row>
    <row r="103" ht="15.75" customHeight="1">
      <c r="B103" s="47"/>
      <c r="C103" s="47"/>
      <c r="E103" s="47"/>
    </row>
    <row r="104" ht="15.75" customHeight="1">
      <c r="B104" s="47"/>
      <c r="C104" s="47"/>
      <c r="E104" s="47"/>
    </row>
    <row r="105" ht="15.75" customHeight="1">
      <c r="B105" s="47"/>
      <c r="C105" s="47"/>
      <c r="E105" s="47"/>
    </row>
    <row r="106" ht="15.75" customHeight="1">
      <c r="B106" s="47"/>
      <c r="C106" s="47"/>
      <c r="E106" s="47"/>
    </row>
    <row r="107" ht="15.75" customHeight="1">
      <c r="B107" s="47"/>
      <c r="C107" s="47"/>
      <c r="E107" s="47"/>
    </row>
    <row r="108" ht="15.75" customHeight="1">
      <c r="B108" s="47"/>
      <c r="C108" s="47"/>
      <c r="E108" s="47"/>
    </row>
    <row r="109" ht="15.75" customHeight="1">
      <c r="B109" s="47"/>
      <c r="C109" s="47"/>
      <c r="E109" s="47"/>
    </row>
    <row r="110" ht="15.75" customHeight="1">
      <c r="B110" s="47"/>
      <c r="C110" s="47"/>
      <c r="E110" s="47"/>
    </row>
    <row r="111" ht="15.75" customHeight="1">
      <c r="B111" s="47"/>
      <c r="C111" s="47"/>
      <c r="E111" s="47"/>
    </row>
    <row r="112" ht="15.75" customHeight="1">
      <c r="B112" s="47"/>
      <c r="C112" s="47"/>
      <c r="E112" s="47"/>
    </row>
    <row r="113" ht="15.75" customHeight="1">
      <c r="B113" s="47"/>
      <c r="C113" s="47"/>
      <c r="E113" s="47"/>
    </row>
    <row r="114" ht="15.75" customHeight="1">
      <c r="B114" s="47"/>
      <c r="C114" s="47"/>
      <c r="E114" s="47"/>
    </row>
    <row r="115" ht="15.75" customHeight="1">
      <c r="B115" s="47"/>
      <c r="C115" s="47"/>
      <c r="E115" s="47"/>
    </row>
    <row r="116" ht="15.75" customHeight="1">
      <c r="B116" s="47"/>
      <c r="C116" s="47"/>
      <c r="E116" s="47"/>
    </row>
    <row r="117" ht="15.75" customHeight="1">
      <c r="B117" s="47"/>
      <c r="C117" s="47"/>
      <c r="E117" s="47"/>
    </row>
    <row r="118" ht="15.75" customHeight="1">
      <c r="B118" s="47"/>
      <c r="C118" s="47"/>
      <c r="E118" s="47"/>
    </row>
    <row r="119" ht="15.75" customHeight="1">
      <c r="B119" s="47"/>
      <c r="C119" s="47"/>
      <c r="E119" s="47"/>
    </row>
    <row r="120" ht="15.75" customHeight="1">
      <c r="B120" s="47"/>
      <c r="C120" s="47"/>
      <c r="E120" s="47"/>
    </row>
    <row r="121" ht="15.75" customHeight="1">
      <c r="B121" s="47"/>
      <c r="C121" s="47"/>
      <c r="E121" s="47"/>
    </row>
    <row r="122" ht="15.75" customHeight="1">
      <c r="B122" s="47"/>
      <c r="C122" s="47"/>
      <c r="E122" s="47"/>
    </row>
    <row r="123" ht="15.75" customHeight="1">
      <c r="B123" s="47"/>
      <c r="C123" s="47"/>
      <c r="E123" s="47"/>
    </row>
    <row r="124" ht="15.75" customHeight="1">
      <c r="B124" s="47"/>
      <c r="C124" s="47"/>
      <c r="E124" s="47"/>
    </row>
    <row r="125" ht="15.75" customHeight="1">
      <c r="B125" s="47"/>
      <c r="C125" s="47"/>
      <c r="E125" s="47"/>
    </row>
    <row r="126" ht="15.75" customHeight="1">
      <c r="B126" s="47"/>
      <c r="C126" s="47"/>
      <c r="E126" s="47"/>
    </row>
    <row r="127" ht="15.75" customHeight="1">
      <c r="B127" s="47"/>
      <c r="C127" s="47"/>
      <c r="E127" s="47"/>
    </row>
    <row r="128" ht="15.75" customHeight="1">
      <c r="B128" s="47"/>
      <c r="C128" s="47"/>
      <c r="E128" s="47"/>
    </row>
    <row r="129" ht="15.75" customHeight="1">
      <c r="B129" s="47"/>
      <c r="C129" s="47"/>
      <c r="E129" s="47"/>
    </row>
    <row r="130" ht="15.75" customHeight="1">
      <c r="B130" s="47"/>
      <c r="C130" s="47"/>
      <c r="E130" s="47"/>
    </row>
    <row r="131" ht="15.75" customHeight="1">
      <c r="B131" s="47"/>
      <c r="C131" s="47"/>
      <c r="E131" s="47"/>
    </row>
    <row r="132" ht="15.75" customHeight="1">
      <c r="B132" s="47"/>
      <c r="C132" s="47"/>
      <c r="E132" s="47"/>
    </row>
    <row r="133" ht="15.75" customHeight="1">
      <c r="B133" s="47"/>
      <c r="C133" s="47"/>
      <c r="E133" s="47"/>
    </row>
    <row r="134" ht="15.75" customHeight="1">
      <c r="B134" s="47"/>
      <c r="C134" s="47"/>
      <c r="E134" s="47"/>
    </row>
    <row r="135" ht="15.75" customHeight="1">
      <c r="B135" s="47"/>
      <c r="C135" s="47"/>
      <c r="E135" s="47"/>
    </row>
    <row r="136" ht="15.75" customHeight="1">
      <c r="B136" s="47"/>
      <c r="C136" s="47"/>
      <c r="E136" s="47"/>
    </row>
    <row r="137" ht="15.75" customHeight="1">
      <c r="B137" s="47"/>
      <c r="C137" s="47"/>
      <c r="E137" s="47"/>
    </row>
    <row r="138" ht="15.75" customHeight="1">
      <c r="B138" s="47"/>
      <c r="C138" s="47"/>
      <c r="E138" s="47"/>
    </row>
    <row r="139" ht="15.75" customHeight="1">
      <c r="B139" s="47"/>
      <c r="C139" s="47"/>
      <c r="E139" s="47"/>
    </row>
    <row r="140" ht="15.75" customHeight="1">
      <c r="B140" s="47"/>
      <c r="C140" s="47"/>
      <c r="E140" s="47"/>
    </row>
    <row r="141" ht="15.75" customHeight="1">
      <c r="B141" s="47"/>
      <c r="C141" s="47"/>
      <c r="E141" s="47"/>
    </row>
    <row r="142" ht="15.75" customHeight="1">
      <c r="B142" s="47"/>
      <c r="C142" s="47"/>
      <c r="E142" s="47"/>
    </row>
    <row r="143" ht="15.75" customHeight="1">
      <c r="B143" s="47"/>
      <c r="C143" s="47"/>
      <c r="E143" s="47"/>
    </row>
    <row r="144" ht="15.75" customHeight="1">
      <c r="B144" s="47"/>
      <c r="C144" s="47"/>
      <c r="E144" s="47"/>
    </row>
    <row r="145" ht="15.75" customHeight="1">
      <c r="B145" s="47"/>
      <c r="C145" s="47"/>
      <c r="E145" s="47"/>
    </row>
    <row r="146" ht="15.75" customHeight="1">
      <c r="B146" s="47"/>
      <c r="C146" s="47"/>
      <c r="E146" s="47"/>
    </row>
    <row r="147" ht="15.75" customHeight="1">
      <c r="B147" s="47"/>
      <c r="C147" s="47"/>
      <c r="E147" s="47"/>
    </row>
    <row r="148" ht="15.75" customHeight="1">
      <c r="B148" s="47"/>
      <c r="C148" s="47"/>
      <c r="E148" s="47"/>
    </row>
    <row r="149" ht="15.75" customHeight="1">
      <c r="B149" s="47"/>
      <c r="C149" s="47"/>
      <c r="E149" s="47"/>
    </row>
    <row r="150" ht="15.75" customHeight="1">
      <c r="B150" s="47"/>
      <c r="C150" s="47"/>
      <c r="E150" s="47"/>
    </row>
    <row r="151" ht="15.75" customHeight="1">
      <c r="B151" s="47"/>
      <c r="C151" s="47"/>
      <c r="E151" s="47"/>
    </row>
    <row r="152" ht="15.75" customHeight="1">
      <c r="B152" s="47"/>
      <c r="C152" s="47"/>
      <c r="E152" s="47"/>
    </row>
    <row r="153" ht="15.75" customHeight="1">
      <c r="B153" s="47"/>
      <c r="C153" s="47"/>
      <c r="E153" s="47"/>
    </row>
    <row r="154" ht="15.75" customHeight="1">
      <c r="B154" s="47"/>
      <c r="C154" s="47"/>
      <c r="E154" s="47"/>
    </row>
    <row r="155" ht="15.75" customHeight="1">
      <c r="B155" s="47"/>
      <c r="C155" s="47"/>
      <c r="E155" s="47"/>
    </row>
    <row r="156" ht="15.75" customHeight="1">
      <c r="B156" s="47"/>
      <c r="C156" s="47"/>
      <c r="E156" s="47"/>
    </row>
    <row r="157" ht="15.75" customHeight="1">
      <c r="B157" s="47"/>
      <c r="C157" s="47"/>
      <c r="E157" s="47"/>
    </row>
    <row r="158" ht="15.75" customHeight="1">
      <c r="B158" s="47"/>
      <c r="C158" s="47"/>
      <c r="E158" s="47"/>
    </row>
    <row r="159" ht="15.75" customHeight="1">
      <c r="B159" s="47"/>
      <c r="C159" s="47"/>
      <c r="E159" s="47"/>
    </row>
    <row r="160" ht="15.75" customHeight="1">
      <c r="B160" s="47"/>
      <c r="C160" s="47"/>
      <c r="E160" s="47"/>
    </row>
    <row r="161" ht="15.75" customHeight="1">
      <c r="B161" s="47"/>
      <c r="C161" s="47"/>
      <c r="E161" s="47"/>
    </row>
    <row r="162" ht="15.75" customHeight="1">
      <c r="B162" s="47"/>
      <c r="C162" s="47"/>
      <c r="E162" s="47"/>
    </row>
    <row r="163" ht="15.75" customHeight="1">
      <c r="B163" s="47"/>
      <c r="C163" s="47"/>
      <c r="E163" s="47"/>
    </row>
    <row r="164" ht="15.75" customHeight="1">
      <c r="B164" s="47"/>
      <c r="C164" s="47"/>
      <c r="E164" s="47"/>
    </row>
    <row r="165" ht="15.75" customHeight="1">
      <c r="B165" s="47"/>
      <c r="C165" s="47"/>
      <c r="E165" s="47"/>
    </row>
    <row r="166" ht="15.75" customHeight="1">
      <c r="B166" s="47"/>
      <c r="C166" s="47"/>
      <c r="E166" s="47"/>
    </row>
    <row r="167" ht="15.75" customHeight="1">
      <c r="B167" s="47"/>
      <c r="C167" s="47"/>
      <c r="E167" s="47"/>
    </row>
    <row r="168" ht="15.75" customHeight="1">
      <c r="B168" s="47"/>
      <c r="C168" s="47"/>
      <c r="E168" s="47"/>
    </row>
    <row r="169" ht="15.75" customHeight="1">
      <c r="B169" s="47"/>
      <c r="C169" s="47"/>
      <c r="E169" s="47"/>
    </row>
    <row r="170" ht="15.75" customHeight="1">
      <c r="B170" s="47"/>
      <c r="C170" s="47"/>
      <c r="E170" s="47"/>
    </row>
    <row r="171" ht="15.75" customHeight="1">
      <c r="B171" s="47"/>
      <c r="C171" s="47"/>
      <c r="E171" s="47"/>
    </row>
    <row r="172" ht="15.75" customHeight="1">
      <c r="B172" s="47"/>
      <c r="C172" s="47"/>
      <c r="E172" s="47"/>
    </row>
    <row r="173" ht="15.75" customHeight="1">
      <c r="B173" s="47"/>
      <c r="C173" s="47"/>
      <c r="E173" s="47"/>
    </row>
    <row r="174" ht="15.75" customHeight="1">
      <c r="B174" s="47"/>
      <c r="C174" s="47"/>
      <c r="E174" s="47"/>
    </row>
    <row r="175" ht="15.75" customHeight="1">
      <c r="B175" s="47"/>
      <c r="C175" s="47"/>
      <c r="E175" s="47"/>
    </row>
    <row r="176" ht="15.75" customHeight="1">
      <c r="B176" s="47"/>
      <c r="C176" s="47"/>
      <c r="E176" s="47"/>
    </row>
    <row r="177" ht="15.75" customHeight="1">
      <c r="B177" s="47"/>
      <c r="C177" s="47"/>
      <c r="E177" s="47"/>
    </row>
    <row r="178" ht="15.75" customHeight="1">
      <c r="B178" s="47"/>
      <c r="C178" s="47"/>
      <c r="E178" s="47"/>
    </row>
    <row r="179" ht="15.75" customHeight="1">
      <c r="B179" s="47"/>
      <c r="C179" s="47"/>
      <c r="E179" s="47"/>
    </row>
    <row r="180" ht="15.75" customHeight="1">
      <c r="B180" s="47"/>
      <c r="C180" s="47"/>
      <c r="E180" s="47"/>
    </row>
    <row r="181" ht="15.75" customHeight="1">
      <c r="B181" s="47"/>
      <c r="C181" s="47"/>
      <c r="E181" s="47"/>
    </row>
    <row r="182" ht="15.75" customHeight="1">
      <c r="B182" s="47"/>
      <c r="C182" s="47"/>
      <c r="E182" s="47"/>
    </row>
    <row r="183" ht="15.75" customHeight="1">
      <c r="B183" s="47"/>
      <c r="C183" s="47"/>
      <c r="E183" s="47"/>
    </row>
    <row r="184" ht="15.75" customHeight="1">
      <c r="B184" s="47"/>
      <c r="C184" s="47"/>
      <c r="E184" s="47"/>
    </row>
    <row r="185" ht="15.75" customHeight="1">
      <c r="B185" s="47"/>
      <c r="C185" s="47"/>
      <c r="E185" s="47"/>
    </row>
    <row r="186" ht="15.75" customHeight="1">
      <c r="B186" s="47"/>
      <c r="C186" s="47"/>
      <c r="E186" s="47"/>
    </row>
    <row r="187" ht="15.75" customHeight="1">
      <c r="B187" s="47"/>
      <c r="C187" s="47"/>
      <c r="E187" s="47"/>
    </row>
    <row r="188" ht="15.75" customHeight="1">
      <c r="B188" s="47"/>
      <c r="C188" s="47"/>
      <c r="E188" s="47"/>
    </row>
    <row r="189" ht="15.75" customHeight="1">
      <c r="B189" s="47"/>
      <c r="C189" s="47"/>
      <c r="E189" s="47"/>
    </row>
    <row r="190" ht="15.75" customHeight="1">
      <c r="B190" s="47"/>
      <c r="C190" s="47"/>
      <c r="E190" s="47"/>
    </row>
    <row r="191" ht="15.75" customHeight="1">
      <c r="B191" s="47"/>
      <c r="C191" s="47"/>
      <c r="E191" s="47"/>
    </row>
    <row r="192" ht="15.75" customHeight="1">
      <c r="B192" s="47"/>
      <c r="C192" s="47"/>
      <c r="E192" s="47"/>
    </row>
    <row r="193" ht="15.75" customHeight="1">
      <c r="B193" s="47"/>
      <c r="C193" s="47"/>
      <c r="E193" s="47"/>
    </row>
    <row r="194" ht="15.75" customHeight="1">
      <c r="B194" s="47"/>
      <c r="C194" s="47"/>
      <c r="E194" s="47"/>
    </row>
    <row r="195" ht="15.75" customHeight="1">
      <c r="B195" s="47"/>
      <c r="C195" s="47"/>
      <c r="E195" s="47"/>
    </row>
    <row r="196" ht="15.75" customHeight="1">
      <c r="B196" s="47"/>
      <c r="C196" s="47"/>
      <c r="E196" s="47"/>
    </row>
    <row r="197" ht="15.75" customHeight="1">
      <c r="B197" s="47"/>
      <c r="C197" s="47"/>
      <c r="E197" s="47"/>
    </row>
    <row r="198" ht="15.75" customHeight="1">
      <c r="B198" s="47"/>
      <c r="C198" s="47"/>
      <c r="E198" s="47"/>
    </row>
    <row r="199" ht="15.75" customHeight="1">
      <c r="B199" s="47"/>
      <c r="C199" s="47"/>
      <c r="E199" s="47"/>
    </row>
    <row r="200" ht="15.75" customHeight="1">
      <c r="B200" s="47"/>
      <c r="C200" s="47"/>
      <c r="E200" s="47"/>
    </row>
    <row r="201" ht="15.75" customHeight="1">
      <c r="B201" s="47"/>
      <c r="C201" s="47"/>
      <c r="E201" s="47"/>
    </row>
    <row r="202" ht="15.75" customHeight="1">
      <c r="B202" s="47"/>
      <c r="C202" s="47"/>
      <c r="E202" s="47"/>
    </row>
    <row r="203" ht="15.75" customHeight="1">
      <c r="B203" s="47"/>
      <c r="C203" s="47"/>
      <c r="E203" s="47"/>
    </row>
    <row r="204" ht="15.75" customHeight="1">
      <c r="B204" s="47"/>
      <c r="C204" s="47"/>
      <c r="E204" s="47"/>
    </row>
    <row r="205" ht="15.75" customHeight="1">
      <c r="B205" s="47"/>
      <c r="C205" s="47"/>
      <c r="E205" s="47"/>
    </row>
    <row r="206" ht="15.75" customHeight="1">
      <c r="B206" s="47"/>
      <c r="C206" s="47"/>
      <c r="E206" s="47"/>
    </row>
    <row r="207" ht="15.75" customHeight="1">
      <c r="B207" s="47"/>
      <c r="C207" s="47"/>
      <c r="E207" s="47"/>
    </row>
    <row r="208" ht="15.75" customHeight="1">
      <c r="B208" s="47"/>
      <c r="C208" s="47"/>
      <c r="E208" s="47"/>
    </row>
    <row r="209" ht="15.75" customHeight="1">
      <c r="B209" s="47"/>
      <c r="C209" s="47"/>
      <c r="E209" s="47"/>
    </row>
    <row r="210" ht="15.75" customHeight="1">
      <c r="B210" s="47"/>
      <c r="C210" s="47"/>
      <c r="E210" s="47"/>
    </row>
    <row r="211" ht="15.75" customHeight="1">
      <c r="B211" s="47"/>
      <c r="C211" s="47"/>
      <c r="E211" s="47"/>
    </row>
    <row r="212" ht="15.75" customHeight="1">
      <c r="B212" s="47"/>
      <c r="C212" s="47"/>
      <c r="E212" s="47"/>
    </row>
    <row r="213" ht="15.75" customHeight="1">
      <c r="B213" s="47"/>
      <c r="C213" s="47"/>
      <c r="E213" s="47"/>
    </row>
    <row r="214" ht="15.75" customHeight="1">
      <c r="B214" s="47"/>
      <c r="C214" s="47"/>
      <c r="E214" s="47"/>
    </row>
    <row r="215" ht="15.75" customHeight="1">
      <c r="B215" s="47"/>
      <c r="C215" s="47"/>
      <c r="E215" s="47"/>
    </row>
    <row r="216" ht="15.75" customHeight="1">
      <c r="B216" s="47"/>
      <c r="C216" s="47"/>
      <c r="E216" s="47"/>
    </row>
    <row r="217" ht="15.75" customHeight="1">
      <c r="B217" s="47"/>
      <c r="C217" s="47"/>
      <c r="E217" s="47"/>
    </row>
    <row r="218" ht="15.75" customHeight="1">
      <c r="B218" s="47"/>
      <c r="C218" s="47"/>
      <c r="E218" s="47"/>
    </row>
    <row r="219" ht="15.75" customHeight="1">
      <c r="B219" s="47"/>
      <c r="C219" s="47"/>
      <c r="E219" s="47"/>
    </row>
    <row r="220" ht="15.75" customHeight="1">
      <c r="B220" s="47"/>
      <c r="C220" s="47"/>
      <c r="E220" s="47"/>
    </row>
    <row r="221" ht="15.75" customHeight="1">
      <c r="B221" s="47"/>
      <c r="C221" s="47"/>
      <c r="E221" s="47"/>
    </row>
    <row r="222" ht="15.75" customHeight="1">
      <c r="B222" s="47"/>
      <c r="C222" s="47"/>
      <c r="E222" s="47"/>
    </row>
    <row r="223" ht="15.75" customHeight="1">
      <c r="B223" s="47"/>
      <c r="C223" s="47"/>
      <c r="E223" s="47"/>
    </row>
    <row r="224" ht="15.75" customHeight="1">
      <c r="B224" s="47"/>
      <c r="C224" s="47"/>
      <c r="E224" s="47"/>
    </row>
    <row r="225" ht="15.75" customHeight="1">
      <c r="B225" s="47"/>
      <c r="C225" s="47"/>
      <c r="E225" s="47"/>
    </row>
    <row r="226" ht="15.75" customHeight="1">
      <c r="B226" s="47"/>
      <c r="C226" s="47"/>
      <c r="E226" s="47"/>
    </row>
    <row r="227" ht="15.75" customHeight="1">
      <c r="B227" s="47"/>
      <c r="C227" s="47"/>
      <c r="E227" s="47"/>
    </row>
    <row r="228" ht="15.75" customHeight="1">
      <c r="B228" s="47"/>
      <c r="C228" s="47"/>
      <c r="E228" s="47"/>
    </row>
    <row r="229" ht="15.75" customHeight="1">
      <c r="B229" s="47"/>
      <c r="C229" s="47"/>
      <c r="E229" s="47"/>
    </row>
    <row r="230" ht="15.75" customHeight="1">
      <c r="B230" s="47"/>
      <c r="C230" s="47"/>
      <c r="E230" s="47"/>
    </row>
    <row r="231" ht="15.75" customHeight="1">
      <c r="B231" s="47"/>
      <c r="C231" s="47"/>
      <c r="E231" s="47"/>
    </row>
    <row r="232" ht="15.75" customHeight="1">
      <c r="B232" s="47"/>
      <c r="C232" s="47"/>
      <c r="E232" s="47"/>
    </row>
    <row r="233" ht="15.75" customHeight="1">
      <c r="B233" s="47"/>
      <c r="C233" s="47"/>
      <c r="E233" s="47"/>
    </row>
    <row r="234" ht="15.75" customHeight="1">
      <c r="B234" s="47"/>
      <c r="C234" s="47"/>
      <c r="E234" s="47"/>
    </row>
    <row r="235" ht="15.75" customHeight="1">
      <c r="B235" s="47"/>
      <c r="C235" s="47"/>
      <c r="E235" s="47"/>
    </row>
    <row r="236" ht="15.75" customHeight="1">
      <c r="B236" s="47"/>
      <c r="C236" s="47"/>
      <c r="E236" s="47"/>
    </row>
    <row r="237" ht="15.75" customHeight="1">
      <c r="B237" s="47"/>
      <c r="C237" s="47"/>
      <c r="E237" s="47"/>
    </row>
    <row r="238" ht="15.75" customHeight="1">
      <c r="B238" s="47"/>
      <c r="C238" s="47"/>
      <c r="E238" s="47"/>
    </row>
    <row r="239" ht="15.75" customHeight="1">
      <c r="B239" s="47"/>
      <c r="C239" s="47"/>
      <c r="E239" s="47"/>
    </row>
    <row r="240" ht="15.75" customHeight="1">
      <c r="B240" s="47"/>
      <c r="C240" s="47"/>
      <c r="E240" s="47"/>
    </row>
    <row r="241" ht="15.75" customHeight="1">
      <c r="B241" s="47"/>
      <c r="C241" s="47"/>
      <c r="E241" s="47"/>
    </row>
    <row r="242" ht="15.75" customHeight="1">
      <c r="B242" s="47"/>
      <c r="C242" s="47"/>
      <c r="E242" s="47"/>
    </row>
    <row r="243" ht="15.75" customHeight="1">
      <c r="B243" s="47"/>
      <c r="C243" s="47"/>
      <c r="E243" s="47"/>
    </row>
    <row r="244" ht="15.75" customHeight="1">
      <c r="B244" s="47"/>
      <c r="C244" s="47"/>
      <c r="E244" s="47"/>
    </row>
    <row r="245" ht="15.75" customHeight="1">
      <c r="B245" s="47"/>
      <c r="C245" s="47"/>
      <c r="E245" s="47"/>
    </row>
    <row r="246" ht="15.75" customHeight="1">
      <c r="B246" s="47"/>
      <c r="C246" s="47"/>
      <c r="E246" s="47"/>
    </row>
    <row r="247" ht="15.75" customHeight="1">
      <c r="B247" s="47"/>
      <c r="C247" s="47"/>
      <c r="E247" s="47"/>
    </row>
    <row r="248" ht="15.75" customHeight="1">
      <c r="B248" s="47"/>
      <c r="C248" s="47"/>
      <c r="E248" s="47"/>
    </row>
    <row r="249" ht="15.75" customHeight="1">
      <c r="B249" s="47"/>
      <c r="C249" s="47"/>
      <c r="E249" s="47"/>
    </row>
    <row r="250" ht="15.75" customHeight="1">
      <c r="B250" s="47"/>
      <c r="C250" s="47"/>
      <c r="E250" s="47"/>
    </row>
    <row r="251" ht="15.75" customHeight="1">
      <c r="B251" s="47"/>
      <c r="C251" s="47"/>
      <c r="E251" s="47"/>
    </row>
    <row r="252" ht="15.75" customHeight="1">
      <c r="B252" s="47"/>
      <c r="C252" s="47"/>
      <c r="E252" s="47"/>
    </row>
    <row r="253" ht="15.75" customHeight="1">
      <c r="B253" s="47"/>
      <c r="C253" s="47"/>
      <c r="E253" s="47"/>
    </row>
    <row r="254" ht="15.75" customHeight="1">
      <c r="B254" s="47"/>
      <c r="C254" s="47"/>
      <c r="E254" s="47"/>
    </row>
    <row r="255" ht="15.75" customHeight="1">
      <c r="B255" s="47"/>
      <c r="C255" s="47"/>
      <c r="E255" s="47"/>
    </row>
    <row r="256" ht="15.75" customHeight="1">
      <c r="B256" s="47"/>
      <c r="C256" s="47"/>
      <c r="E256" s="47"/>
    </row>
    <row r="257" ht="15.75" customHeight="1">
      <c r="B257" s="47"/>
      <c r="C257" s="47"/>
      <c r="E257" s="47"/>
    </row>
    <row r="258" ht="15.75" customHeight="1">
      <c r="B258" s="47"/>
      <c r="C258" s="47"/>
      <c r="E258" s="47"/>
    </row>
    <row r="259" ht="15.75" customHeight="1">
      <c r="B259" s="47"/>
      <c r="C259" s="47"/>
      <c r="E259" s="47"/>
    </row>
    <row r="260" ht="15.75" customHeight="1">
      <c r="B260" s="47"/>
      <c r="C260" s="47"/>
      <c r="E260" s="47"/>
    </row>
    <row r="261" ht="15.75" customHeight="1">
      <c r="B261" s="47"/>
      <c r="C261" s="47"/>
      <c r="E261" s="47"/>
    </row>
    <row r="262" ht="15.75" customHeight="1">
      <c r="B262" s="47"/>
      <c r="C262" s="47"/>
      <c r="E262" s="47"/>
    </row>
    <row r="263" ht="15.75" customHeight="1">
      <c r="B263" s="47"/>
      <c r="C263" s="47"/>
      <c r="E263" s="47"/>
    </row>
    <row r="264" ht="15.75" customHeight="1">
      <c r="B264" s="47"/>
      <c r="C264" s="47"/>
      <c r="E264" s="47"/>
    </row>
    <row r="265" ht="15.75" customHeight="1">
      <c r="B265" s="47"/>
      <c r="C265" s="47"/>
      <c r="E265" s="47"/>
    </row>
    <row r="266" ht="15.75" customHeight="1">
      <c r="B266" s="47"/>
      <c r="C266" s="47"/>
      <c r="E266" s="47"/>
    </row>
    <row r="267" ht="15.75" customHeight="1">
      <c r="B267" s="47"/>
      <c r="C267" s="47"/>
      <c r="E267" s="47"/>
    </row>
    <row r="268" ht="15.75" customHeight="1">
      <c r="B268" s="47"/>
      <c r="C268" s="47"/>
      <c r="E268" s="47"/>
    </row>
    <row r="269" ht="15.75" customHeight="1">
      <c r="B269" s="47"/>
      <c r="C269" s="47"/>
      <c r="E269" s="47"/>
    </row>
    <row r="270" ht="15.75" customHeight="1">
      <c r="B270" s="47"/>
      <c r="C270" s="47"/>
      <c r="E270" s="47"/>
    </row>
    <row r="271" ht="15.75" customHeight="1">
      <c r="B271" s="47"/>
      <c r="C271" s="47"/>
      <c r="E271" s="47"/>
    </row>
    <row r="272" ht="15.75" customHeight="1">
      <c r="B272" s="47"/>
      <c r="C272" s="47"/>
      <c r="E272" s="47"/>
    </row>
    <row r="273" ht="15.75" customHeight="1">
      <c r="B273" s="47"/>
      <c r="C273" s="47"/>
      <c r="E273" s="47"/>
    </row>
    <row r="274" ht="15.75" customHeight="1">
      <c r="B274" s="47"/>
      <c r="C274" s="47"/>
      <c r="E274" s="47"/>
    </row>
    <row r="275" ht="15.75" customHeight="1">
      <c r="B275" s="47"/>
      <c r="C275" s="47"/>
      <c r="E275" s="47"/>
    </row>
    <row r="276" ht="15.75" customHeight="1">
      <c r="B276" s="47"/>
      <c r="C276" s="47"/>
      <c r="E276" s="47"/>
    </row>
    <row r="277" ht="15.75" customHeight="1">
      <c r="B277" s="47"/>
      <c r="C277" s="47"/>
      <c r="E277" s="47"/>
    </row>
    <row r="278" ht="15.75" customHeight="1">
      <c r="B278" s="47"/>
      <c r="C278" s="47"/>
      <c r="E278" s="47"/>
    </row>
    <row r="279" ht="15.75" customHeight="1">
      <c r="B279" s="47"/>
      <c r="C279" s="47"/>
      <c r="E279" s="47"/>
    </row>
    <row r="280" ht="15.75" customHeight="1">
      <c r="B280" s="47"/>
      <c r="C280" s="47"/>
      <c r="E280" s="47"/>
    </row>
    <row r="281" ht="15.75" customHeight="1">
      <c r="B281" s="47"/>
      <c r="C281" s="47"/>
      <c r="E281" s="47"/>
    </row>
    <row r="282" ht="15.75" customHeight="1">
      <c r="B282" s="47"/>
      <c r="C282" s="47"/>
      <c r="E282" s="47"/>
    </row>
    <row r="283" ht="15.75" customHeight="1">
      <c r="B283" s="47"/>
      <c r="C283" s="47"/>
      <c r="E283" s="47"/>
    </row>
    <row r="284" ht="15.75" customHeight="1">
      <c r="B284" s="47"/>
      <c r="C284" s="47"/>
      <c r="E284" s="47"/>
    </row>
    <row r="285" ht="15.75" customHeight="1">
      <c r="B285" s="47"/>
      <c r="C285" s="47"/>
      <c r="E285" s="47"/>
    </row>
    <row r="286" ht="15.75" customHeight="1">
      <c r="B286" s="47"/>
      <c r="C286" s="47"/>
      <c r="E286" s="47"/>
    </row>
    <row r="287" ht="15.75" customHeight="1">
      <c r="B287" s="47"/>
      <c r="C287" s="47"/>
      <c r="E287" s="47"/>
    </row>
    <row r="288" ht="15.75" customHeight="1">
      <c r="B288" s="47"/>
      <c r="C288" s="47"/>
      <c r="E288" s="47"/>
    </row>
    <row r="289" ht="15.75" customHeight="1">
      <c r="B289" s="47"/>
      <c r="C289" s="47"/>
      <c r="E289" s="47"/>
    </row>
    <row r="290" ht="15.75" customHeight="1">
      <c r="B290" s="47"/>
      <c r="C290" s="47"/>
      <c r="E290" s="47"/>
    </row>
    <row r="291" ht="15.75" customHeight="1">
      <c r="B291" s="47"/>
      <c r="C291" s="47"/>
      <c r="E291" s="47"/>
    </row>
    <row r="292" ht="15.75" customHeight="1">
      <c r="B292" s="47"/>
      <c r="C292" s="47"/>
      <c r="E292" s="47"/>
    </row>
    <row r="293" ht="15.75" customHeight="1">
      <c r="B293" s="47"/>
      <c r="C293" s="47"/>
      <c r="E293" s="47"/>
    </row>
    <row r="294" ht="15.75" customHeight="1">
      <c r="B294" s="47"/>
      <c r="C294" s="47"/>
      <c r="E294" s="47"/>
    </row>
    <row r="295" ht="15.75" customHeight="1">
      <c r="B295" s="47"/>
      <c r="C295" s="47"/>
      <c r="E295" s="47"/>
    </row>
    <row r="296" ht="15.75" customHeight="1">
      <c r="B296" s="47"/>
      <c r="C296" s="47"/>
      <c r="E296" s="47"/>
    </row>
    <row r="297" ht="15.75" customHeight="1">
      <c r="B297" s="47"/>
      <c r="C297" s="47"/>
      <c r="E297" s="47"/>
    </row>
    <row r="298" ht="15.75" customHeight="1">
      <c r="B298" s="47"/>
      <c r="C298" s="47"/>
      <c r="E298" s="47"/>
    </row>
    <row r="299" ht="15.75" customHeight="1">
      <c r="B299" s="47"/>
      <c r="C299" s="47"/>
      <c r="E299" s="47"/>
    </row>
    <row r="300" ht="15.75" customHeight="1">
      <c r="B300" s="47"/>
      <c r="C300" s="47"/>
      <c r="E300" s="47"/>
    </row>
    <row r="301" ht="15.75" customHeight="1">
      <c r="B301" s="47"/>
      <c r="C301" s="47"/>
      <c r="E301" s="47"/>
    </row>
    <row r="302" ht="15.75" customHeight="1">
      <c r="B302" s="47"/>
      <c r="C302" s="47"/>
      <c r="E302" s="47"/>
    </row>
    <row r="303" ht="15.75" customHeight="1">
      <c r="B303" s="47"/>
      <c r="C303" s="47"/>
      <c r="E303" s="47"/>
    </row>
    <row r="304" ht="15.75" customHeight="1">
      <c r="B304" s="47"/>
      <c r="C304" s="47"/>
      <c r="E304" s="47"/>
    </row>
    <row r="305" ht="15.75" customHeight="1">
      <c r="B305" s="47"/>
      <c r="C305" s="47"/>
      <c r="E305" s="47"/>
    </row>
    <row r="306" ht="15.75" customHeight="1">
      <c r="B306" s="47"/>
      <c r="C306" s="47"/>
      <c r="E306" s="47"/>
    </row>
    <row r="307" ht="15.75" customHeight="1">
      <c r="B307" s="47"/>
      <c r="C307" s="47"/>
      <c r="E307" s="47"/>
    </row>
    <row r="308" ht="15.75" customHeight="1">
      <c r="B308" s="47"/>
      <c r="C308" s="47"/>
      <c r="E308" s="47"/>
    </row>
    <row r="309" ht="15.75" customHeight="1">
      <c r="B309" s="47"/>
      <c r="C309" s="47"/>
      <c r="E309" s="47"/>
    </row>
    <row r="310" ht="15.75" customHeight="1">
      <c r="B310" s="47"/>
      <c r="C310" s="47"/>
      <c r="E310" s="47"/>
    </row>
    <row r="311" ht="15.75" customHeight="1">
      <c r="B311" s="47"/>
      <c r="C311" s="47"/>
      <c r="E311" s="47"/>
    </row>
    <row r="312" ht="15.75" customHeight="1">
      <c r="B312" s="47"/>
      <c r="C312" s="47"/>
      <c r="E312" s="47"/>
    </row>
    <row r="313" ht="15.75" customHeight="1">
      <c r="B313" s="47"/>
      <c r="C313" s="47"/>
      <c r="E313" s="47"/>
    </row>
    <row r="314" ht="15.75" customHeight="1">
      <c r="B314" s="47"/>
      <c r="C314" s="47"/>
      <c r="E314" s="47"/>
    </row>
    <row r="315" ht="15.75" customHeight="1">
      <c r="B315" s="47"/>
      <c r="C315" s="47"/>
      <c r="E315" s="47"/>
    </row>
    <row r="316" ht="15.75" customHeight="1">
      <c r="B316" s="47"/>
      <c r="C316" s="47"/>
      <c r="E316" s="47"/>
    </row>
    <row r="317" ht="15.75" customHeight="1">
      <c r="B317" s="47"/>
      <c r="C317" s="47"/>
      <c r="E317" s="47"/>
    </row>
    <row r="318" ht="15.75" customHeight="1">
      <c r="B318" s="47"/>
      <c r="C318" s="47"/>
      <c r="E318" s="47"/>
    </row>
    <row r="319" ht="15.75" customHeight="1">
      <c r="B319" s="47"/>
      <c r="C319" s="47"/>
      <c r="E319" s="47"/>
    </row>
    <row r="320" ht="15.75" customHeight="1">
      <c r="B320" s="47"/>
      <c r="C320" s="47"/>
      <c r="E320" s="47"/>
    </row>
    <row r="321" ht="15.75" customHeight="1">
      <c r="B321" s="47"/>
      <c r="C321" s="47"/>
      <c r="E321" s="47"/>
    </row>
    <row r="322" ht="15.75" customHeight="1">
      <c r="B322" s="47"/>
      <c r="C322" s="47"/>
      <c r="E322" s="47"/>
    </row>
    <row r="323" ht="15.75" customHeight="1">
      <c r="B323" s="47"/>
      <c r="C323" s="47"/>
      <c r="E323" s="47"/>
    </row>
    <row r="324" ht="15.75" customHeight="1">
      <c r="B324" s="47"/>
      <c r="C324" s="47"/>
      <c r="E324" s="47"/>
    </row>
    <row r="325" ht="15.75" customHeight="1">
      <c r="B325" s="47"/>
      <c r="C325" s="47"/>
      <c r="E325" s="47"/>
    </row>
    <row r="326" ht="15.75" customHeight="1">
      <c r="B326" s="47"/>
      <c r="C326" s="47"/>
      <c r="E326" s="47"/>
    </row>
    <row r="327" ht="15.75" customHeight="1">
      <c r="B327" s="47"/>
      <c r="C327" s="47"/>
      <c r="E327" s="47"/>
    </row>
    <row r="328" ht="15.75" customHeight="1">
      <c r="B328" s="47"/>
      <c r="C328" s="47"/>
      <c r="E328" s="47"/>
    </row>
    <row r="329" ht="15.75" customHeight="1">
      <c r="B329" s="47"/>
      <c r="C329" s="47"/>
      <c r="E329" s="47"/>
    </row>
    <row r="330" ht="15.75" customHeight="1">
      <c r="B330" s="47"/>
      <c r="C330" s="47"/>
      <c r="E330" s="47"/>
    </row>
    <row r="331" ht="15.75" customHeight="1">
      <c r="B331" s="47"/>
      <c r="C331" s="47"/>
      <c r="E331" s="47"/>
    </row>
    <row r="332" ht="15.75" customHeight="1">
      <c r="B332" s="47"/>
      <c r="C332" s="47"/>
      <c r="E332" s="47"/>
    </row>
    <row r="333" ht="15.75" customHeight="1">
      <c r="B333" s="47"/>
      <c r="C333" s="47"/>
      <c r="E333" s="47"/>
    </row>
    <row r="334" ht="15.75" customHeight="1">
      <c r="B334" s="47"/>
      <c r="C334" s="47"/>
      <c r="E334" s="47"/>
    </row>
    <row r="335" ht="15.75" customHeight="1">
      <c r="B335" s="47"/>
      <c r="C335" s="47"/>
      <c r="E335" s="47"/>
    </row>
    <row r="336" ht="15.75" customHeight="1">
      <c r="B336" s="47"/>
      <c r="C336" s="47"/>
      <c r="E336" s="47"/>
    </row>
    <row r="337" ht="15.75" customHeight="1">
      <c r="B337" s="47"/>
      <c r="C337" s="47"/>
      <c r="E337" s="47"/>
    </row>
    <row r="338" ht="15.75" customHeight="1">
      <c r="B338" s="47"/>
      <c r="C338" s="47"/>
      <c r="E338" s="47"/>
    </row>
    <row r="339" ht="15.75" customHeight="1">
      <c r="B339" s="47"/>
      <c r="C339" s="47"/>
      <c r="E339" s="47"/>
    </row>
    <row r="340" ht="15.75" customHeight="1">
      <c r="B340" s="47"/>
      <c r="C340" s="47"/>
      <c r="E340" s="47"/>
    </row>
    <row r="341" ht="15.75" customHeight="1">
      <c r="B341" s="47"/>
      <c r="C341" s="47"/>
      <c r="E341" s="47"/>
    </row>
    <row r="342" ht="15.75" customHeight="1">
      <c r="B342" s="47"/>
      <c r="C342" s="47"/>
      <c r="E342" s="47"/>
    </row>
    <row r="343" ht="15.75" customHeight="1">
      <c r="B343" s="47"/>
      <c r="C343" s="47"/>
      <c r="E343" s="47"/>
    </row>
    <row r="344" ht="15.75" customHeight="1">
      <c r="B344" s="47"/>
      <c r="C344" s="47"/>
      <c r="E344" s="47"/>
    </row>
    <row r="345" ht="15.75" customHeight="1">
      <c r="B345" s="47"/>
      <c r="C345" s="47"/>
      <c r="E345" s="47"/>
    </row>
    <row r="346" ht="15.75" customHeight="1">
      <c r="B346" s="47"/>
      <c r="C346" s="47"/>
      <c r="E346" s="47"/>
    </row>
    <row r="347" ht="15.75" customHeight="1">
      <c r="B347" s="47"/>
      <c r="C347" s="47"/>
      <c r="E347" s="47"/>
    </row>
    <row r="348" ht="15.75" customHeight="1">
      <c r="B348" s="47"/>
      <c r="C348" s="47"/>
      <c r="E348" s="47"/>
    </row>
    <row r="349" ht="15.75" customHeight="1">
      <c r="B349" s="47"/>
      <c r="C349" s="47"/>
      <c r="E349" s="47"/>
    </row>
    <row r="350" ht="15.75" customHeight="1">
      <c r="B350" s="47"/>
      <c r="C350" s="47"/>
      <c r="E350" s="47"/>
    </row>
    <row r="351" ht="15.75" customHeight="1">
      <c r="B351" s="47"/>
      <c r="C351" s="47"/>
      <c r="E351" s="47"/>
    </row>
    <row r="352" ht="15.75" customHeight="1">
      <c r="B352" s="47"/>
      <c r="C352" s="47"/>
      <c r="E352" s="47"/>
    </row>
    <row r="353" ht="15.75" customHeight="1">
      <c r="B353" s="47"/>
      <c r="C353" s="47"/>
      <c r="E353" s="47"/>
    </row>
    <row r="354" ht="15.75" customHeight="1">
      <c r="B354" s="47"/>
      <c r="C354" s="47"/>
      <c r="E354" s="47"/>
    </row>
    <row r="355" ht="15.75" customHeight="1">
      <c r="B355" s="47"/>
      <c r="C355" s="47"/>
      <c r="E355" s="47"/>
    </row>
    <row r="356" ht="15.75" customHeight="1">
      <c r="B356" s="47"/>
      <c r="C356" s="47"/>
      <c r="E356" s="47"/>
    </row>
    <row r="357" ht="15.75" customHeight="1">
      <c r="B357" s="47"/>
      <c r="C357" s="47"/>
      <c r="E357" s="47"/>
    </row>
    <row r="358" ht="15.75" customHeight="1">
      <c r="B358" s="47"/>
      <c r="C358" s="47"/>
      <c r="E358" s="47"/>
    </row>
    <row r="359" ht="15.75" customHeight="1">
      <c r="B359" s="47"/>
      <c r="C359" s="47"/>
      <c r="E359" s="47"/>
    </row>
    <row r="360" ht="15.75" customHeight="1">
      <c r="B360" s="47"/>
      <c r="C360" s="47"/>
      <c r="E360" s="47"/>
    </row>
    <row r="361" ht="15.75" customHeight="1">
      <c r="B361" s="47"/>
      <c r="C361" s="47"/>
      <c r="E361" s="47"/>
    </row>
    <row r="362" ht="15.75" customHeight="1">
      <c r="B362" s="47"/>
      <c r="C362" s="47"/>
      <c r="E362" s="47"/>
    </row>
    <row r="363" ht="15.75" customHeight="1">
      <c r="B363" s="47"/>
      <c r="C363" s="47"/>
      <c r="E363" s="47"/>
    </row>
    <row r="364" ht="15.75" customHeight="1">
      <c r="B364" s="47"/>
      <c r="C364" s="47"/>
      <c r="E364" s="47"/>
    </row>
    <row r="365" ht="15.75" customHeight="1">
      <c r="B365" s="47"/>
      <c r="C365" s="47"/>
      <c r="E365" s="47"/>
    </row>
    <row r="366" ht="15.75" customHeight="1">
      <c r="B366" s="47"/>
      <c r="C366" s="47"/>
      <c r="E366" s="47"/>
    </row>
    <row r="367" ht="15.75" customHeight="1">
      <c r="B367" s="47"/>
      <c r="C367" s="47"/>
      <c r="E367" s="47"/>
    </row>
    <row r="368" ht="15.75" customHeight="1">
      <c r="B368" s="47"/>
      <c r="C368" s="47"/>
      <c r="E368" s="47"/>
    </row>
    <row r="369" ht="15.75" customHeight="1">
      <c r="B369" s="47"/>
      <c r="C369" s="47"/>
      <c r="E369" s="47"/>
    </row>
    <row r="370" ht="15.75" customHeight="1">
      <c r="B370" s="47"/>
      <c r="C370" s="47"/>
      <c r="E370" s="47"/>
    </row>
    <row r="371" ht="15.75" customHeight="1">
      <c r="B371" s="47"/>
      <c r="C371" s="47"/>
      <c r="E371" s="47"/>
    </row>
    <row r="372" ht="15.75" customHeight="1">
      <c r="B372" s="47"/>
      <c r="C372" s="47"/>
      <c r="E372" s="47"/>
    </row>
    <row r="373" ht="15.75" customHeight="1">
      <c r="B373" s="47"/>
      <c r="C373" s="47"/>
      <c r="E373" s="47"/>
    </row>
    <row r="374" ht="15.75" customHeight="1">
      <c r="B374" s="47"/>
      <c r="C374" s="47"/>
      <c r="E374" s="47"/>
    </row>
    <row r="375" ht="15.75" customHeight="1">
      <c r="B375" s="47"/>
      <c r="C375" s="47"/>
      <c r="E375" s="47"/>
    </row>
    <row r="376" ht="15.75" customHeight="1">
      <c r="B376" s="47"/>
      <c r="C376" s="47"/>
      <c r="E376" s="47"/>
    </row>
    <row r="377" ht="15.75" customHeight="1">
      <c r="B377" s="47"/>
      <c r="C377" s="47"/>
      <c r="E377" s="47"/>
    </row>
    <row r="378" ht="15.75" customHeight="1">
      <c r="B378" s="47"/>
      <c r="C378" s="47"/>
      <c r="E378" s="47"/>
    </row>
    <row r="379" ht="15.75" customHeight="1">
      <c r="B379" s="47"/>
      <c r="C379" s="47"/>
      <c r="E379" s="47"/>
    </row>
    <row r="380" ht="15.75" customHeight="1">
      <c r="B380" s="47"/>
      <c r="C380" s="47"/>
      <c r="E380" s="47"/>
    </row>
    <row r="381" ht="15.75" customHeight="1">
      <c r="B381" s="47"/>
      <c r="C381" s="47"/>
      <c r="E381" s="47"/>
    </row>
    <row r="382" ht="15.75" customHeight="1">
      <c r="B382" s="47"/>
      <c r="C382" s="47"/>
      <c r="E382" s="47"/>
    </row>
    <row r="383" ht="15.75" customHeight="1">
      <c r="B383" s="47"/>
      <c r="C383" s="47"/>
      <c r="E383" s="47"/>
    </row>
    <row r="384" ht="15.75" customHeight="1">
      <c r="B384" s="47"/>
      <c r="C384" s="47"/>
      <c r="E384" s="47"/>
    </row>
    <row r="385" ht="15.75" customHeight="1">
      <c r="B385" s="47"/>
      <c r="C385" s="47"/>
      <c r="E385" s="47"/>
    </row>
    <row r="386" ht="15.75" customHeight="1">
      <c r="B386" s="47"/>
      <c r="C386" s="47"/>
      <c r="E386" s="47"/>
    </row>
    <row r="387" ht="15.75" customHeight="1">
      <c r="B387" s="47"/>
      <c r="C387" s="47"/>
      <c r="E387" s="47"/>
    </row>
    <row r="388" ht="15.75" customHeight="1">
      <c r="B388" s="47"/>
      <c r="C388" s="47"/>
      <c r="E388" s="47"/>
    </row>
    <row r="389" ht="15.75" customHeight="1">
      <c r="B389" s="47"/>
      <c r="C389" s="47"/>
      <c r="E389" s="47"/>
    </row>
    <row r="390" ht="15.75" customHeight="1">
      <c r="B390" s="47"/>
      <c r="C390" s="47"/>
      <c r="E390" s="47"/>
    </row>
    <row r="391" ht="15.75" customHeight="1">
      <c r="B391" s="47"/>
      <c r="C391" s="47"/>
      <c r="E391" s="47"/>
    </row>
    <row r="392" ht="15.75" customHeight="1">
      <c r="B392" s="47"/>
      <c r="C392" s="47"/>
      <c r="E392" s="47"/>
    </row>
    <row r="393" ht="15.75" customHeight="1">
      <c r="B393" s="47"/>
      <c r="C393" s="47"/>
      <c r="E393" s="47"/>
    </row>
    <row r="394" ht="15.75" customHeight="1">
      <c r="B394" s="47"/>
      <c r="C394" s="47"/>
      <c r="E394" s="47"/>
    </row>
    <row r="395" ht="15.75" customHeight="1">
      <c r="B395" s="47"/>
      <c r="C395" s="47"/>
      <c r="E395" s="47"/>
    </row>
    <row r="396" ht="15.75" customHeight="1">
      <c r="B396" s="47"/>
      <c r="C396" s="47"/>
      <c r="E396" s="47"/>
    </row>
    <row r="397" ht="15.75" customHeight="1">
      <c r="B397" s="47"/>
      <c r="C397" s="47"/>
      <c r="E397" s="47"/>
    </row>
    <row r="398" ht="15.75" customHeight="1">
      <c r="B398" s="47"/>
      <c r="C398" s="47"/>
      <c r="E398" s="47"/>
    </row>
    <row r="399" ht="15.75" customHeight="1">
      <c r="B399" s="47"/>
      <c r="C399" s="47"/>
      <c r="E399" s="47"/>
    </row>
    <row r="400" ht="15.75" customHeight="1">
      <c r="B400" s="47"/>
      <c r="C400" s="47"/>
      <c r="E400" s="47"/>
    </row>
    <row r="401" ht="15.75" customHeight="1">
      <c r="B401" s="47"/>
      <c r="C401" s="47"/>
      <c r="E401" s="47"/>
    </row>
    <row r="402" ht="15.75" customHeight="1">
      <c r="B402" s="47"/>
      <c r="C402" s="47"/>
      <c r="E402" s="47"/>
    </row>
    <row r="403" ht="15.75" customHeight="1">
      <c r="B403" s="47"/>
      <c r="C403" s="47"/>
      <c r="E403" s="47"/>
    </row>
    <row r="404" ht="15.75" customHeight="1">
      <c r="B404" s="47"/>
      <c r="C404" s="47"/>
      <c r="E404" s="47"/>
    </row>
    <row r="405" ht="15.75" customHeight="1">
      <c r="B405" s="47"/>
      <c r="C405" s="47"/>
      <c r="E405" s="47"/>
    </row>
    <row r="406" ht="15.75" customHeight="1">
      <c r="B406" s="47"/>
      <c r="C406" s="47"/>
      <c r="E406" s="47"/>
    </row>
    <row r="407" ht="15.75" customHeight="1">
      <c r="B407" s="47"/>
      <c r="C407" s="47"/>
      <c r="E407" s="47"/>
    </row>
    <row r="408" ht="15.75" customHeight="1">
      <c r="B408" s="47"/>
      <c r="C408" s="47"/>
      <c r="E408" s="47"/>
    </row>
    <row r="409" ht="15.75" customHeight="1">
      <c r="B409" s="47"/>
      <c r="C409" s="47"/>
      <c r="E409" s="47"/>
    </row>
    <row r="410" ht="15.75" customHeight="1">
      <c r="B410" s="47"/>
      <c r="C410" s="47"/>
      <c r="E410" s="47"/>
    </row>
    <row r="411" ht="15.75" customHeight="1">
      <c r="B411" s="47"/>
      <c r="C411" s="47"/>
      <c r="E411" s="47"/>
    </row>
    <row r="412" ht="15.75" customHeight="1">
      <c r="B412" s="47"/>
      <c r="C412" s="47"/>
      <c r="E412" s="47"/>
    </row>
    <row r="413" ht="15.75" customHeight="1">
      <c r="B413" s="47"/>
      <c r="C413" s="47"/>
      <c r="E413" s="47"/>
    </row>
    <row r="414" ht="15.75" customHeight="1">
      <c r="B414" s="47"/>
      <c r="C414" s="47"/>
      <c r="E414" s="47"/>
    </row>
    <row r="415" ht="15.75" customHeight="1">
      <c r="B415" s="47"/>
      <c r="C415" s="47"/>
      <c r="E415" s="47"/>
    </row>
    <row r="416" ht="15.75" customHeight="1">
      <c r="B416" s="47"/>
      <c r="C416" s="47"/>
      <c r="E416" s="47"/>
    </row>
    <row r="417" ht="15.75" customHeight="1">
      <c r="B417" s="47"/>
      <c r="C417" s="47"/>
      <c r="E417" s="47"/>
    </row>
    <row r="418" ht="15.75" customHeight="1">
      <c r="B418" s="47"/>
      <c r="C418" s="47"/>
      <c r="E418" s="47"/>
    </row>
    <row r="419" ht="15.75" customHeight="1">
      <c r="B419" s="47"/>
      <c r="C419" s="47"/>
      <c r="E419" s="47"/>
    </row>
    <row r="420" ht="15.75" customHeight="1">
      <c r="B420" s="47"/>
      <c r="C420" s="47"/>
      <c r="E420" s="47"/>
    </row>
    <row r="421" ht="15.75" customHeight="1">
      <c r="B421" s="47"/>
      <c r="C421" s="47"/>
      <c r="E421" s="47"/>
    </row>
    <row r="422" ht="15.75" customHeight="1">
      <c r="B422" s="47"/>
      <c r="C422" s="47"/>
      <c r="E422" s="47"/>
    </row>
    <row r="423" ht="15.75" customHeight="1">
      <c r="B423" s="47"/>
      <c r="C423" s="47"/>
      <c r="E423" s="47"/>
    </row>
    <row r="424" ht="15.75" customHeight="1">
      <c r="B424" s="47"/>
      <c r="C424" s="47"/>
      <c r="E424" s="47"/>
    </row>
    <row r="425" ht="15.75" customHeight="1">
      <c r="B425" s="47"/>
      <c r="C425" s="47"/>
      <c r="E425" s="47"/>
    </row>
    <row r="426" ht="15.75" customHeight="1">
      <c r="B426" s="47"/>
      <c r="C426" s="47"/>
      <c r="E426" s="47"/>
    </row>
    <row r="427" ht="15.75" customHeight="1">
      <c r="B427" s="47"/>
      <c r="C427" s="47"/>
      <c r="E427" s="47"/>
    </row>
    <row r="428" ht="15.75" customHeight="1">
      <c r="B428" s="47"/>
      <c r="C428" s="47"/>
      <c r="E428" s="47"/>
    </row>
    <row r="429" ht="15.75" customHeight="1">
      <c r="B429" s="47"/>
      <c r="C429" s="47"/>
      <c r="E429" s="47"/>
    </row>
    <row r="430" ht="15.75" customHeight="1">
      <c r="B430" s="47"/>
      <c r="C430" s="47"/>
      <c r="E430" s="47"/>
    </row>
    <row r="431" ht="15.75" customHeight="1">
      <c r="B431" s="47"/>
      <c r="C431" s="47"/>
      <c r="E431" s="47"/>
    </row>
    <row r="432" ht="15.75" customHeight="1">
      <c r="B432" s="47"/>
      <c r="C432" s="47"/>
      <c r="E432" s="47"/>
    </row>
    <row r="433" ht="15.75" customHeight="1">
      <c r="B433" s="47"/>
      <c r="C433" s="47"/>
      <c r="E433" s="47"/>
    </row>
    <row r="434" ht="15.75" customHeight="1">
      <c r="B434" s="47"/>
      <c r="C434" s="47"/>
      <c r="E434" s="47"/>
    </row>
    <row r="435" ht="15.75" customHeight="1">
      <c r="B435" s="47"/>
      <c r="C435" s="47"/>
      <c r="E435" s="47"/>
    </row>
    <row r="436" ht="15.75" customHeight="1">
      <c r="B436" s="47"/>
      <c r="C436" s="47"/>
      <c r="E436" s="47"/>
    </row>
    <row r="437" ht="15.75" customHeight="1">
      <c r="B437" s="47"/>
      <c r="C437" s="47"/>
      <c r="E437" s="47"/>
    </row>
    <row r="438" ht="15.75" customHeight="1">
      <c r="B438" s="47"/>
      <c r="C438" s="47"/>
      <c r="E438" s="47"/>
    </row>
    <row r="439" ht="15.75" customHeight="1">
      <c r="B439" s="47"/>
      <c r="C439" s="47"/>
      <c r="E439" s="47"/>
    </row>
    <row r="440" ht="15.75" customHeight="1">
      <c r="B440" s="47"/>
      <c r="C440" s="47"/>
      <c r="E440" s="47"/>
    </row>
    <row r="441" ht="15.75" customHeight="1">
      <c r="B441" s="47"/>
      <c r="C441" s="47"/>
      <c r="E441" s="47"/>
    </row>
    <row r="442" ht="15.75" customHeight="1">
      <c r="B442" s="47"/>
      <c r="C442" s="47"/>
      <c r="E442" s="47"/>
    </row>
    <row r="443" ht="15.75" customHeight="1">
      <c r="B443" s="47"/>
      <c r="C443" s="47"/>
      <c r="E443" s="47"/>
    </row>
    <row r="444" ht="15.75" customHeight="1">
      <c r="B444" s="47"/>
      <c r="C444" s="47"/>
      <c r="E444" s="47"/>
    </row>
    <row r="445" ht="15.75" customHeight="1">
      <c r="B445" s="47"/>
      <c r="C445" s="47"/>
      <c r="E445" s="47"/>
    </row>
    <row r="446" ht="15.75" customHeight="1">
      <c r="B446" s="47"/>
      <c r="C446" s="47"/>
      <c r="E446" s="47"/>
    </row>
    <row r="447" ht="15.75" customHeight="1">
      <c r="B447" s="47"/>
      <c r="C447" s="47"/>
      <c r="E447" s="47"/>
    </row>
    <row r="448" ht="15.75" customHeight="1">
      <c r="B448" s="47"/>
      <c r="C448" s="47"/>
      <c r="E448" s="47"/>
    </row>
    <row r="449" ht="15.75" customHeight="1">
      <c r="B449" s="47"/>
      <c r="C449" s="47"/>
      <c r="E449" s="47"/>
    </row>
    <row r="450" ht="15.75" customHeight="1">
      <c r="B450" s="47"/>
      <c r="C450" s="47"/>
      <c r="E450" s="47"/>
    </row>
    <row r="451" ht="15.75" customHeight="1">
      <c r="B451" s="47"/>
      <c r="C451" s="47"/>
      <c r="E451" s="47"/>
    </row>
    <row r="452" ht="15.75" customHeight="1">
      <c r="B452" s="47"/>
      <c r="C452" s="47"/>
      <c r="E452" s="47"/>
    </row>
    <row r="453" ht="15.75" customHeight="1">
      <c r="B453" s="47"/>
      <c r="C453" s="47"/>
      <c r="E453" s="47"/>
    </row>
    <row r="454" ht="15.75" customHeight="1">
      <c r="B454" s="47"/>
      <c r="C454" s="47"/>
      <c r="E454" s="47"/>
    </row>
    <row r="455" ht="15.75" customHeight="1">
      <c r="B455" s="47"/>
      <c r="C455" s="47"/>
      <c r="E455" s="47"/>
    </row>
    <row r="456" ht="15.75" customHeight="1">
      <c r="B456" s="47"/>
      <c r="C456" s="47"/>
      <c r="E456" s="47"/>
    </row>
    <row r="457" ht="15.75" customHeight="1">
      <c r="B457" s="47"/>
      <c r="C457" s="47"/>
      <c r="E457" s="47"/>
    </row>
    <row r="458" ht="15.75" customHeight="1">
      <c r="B458" s="47"/>
      <c r="C458" s="47"/>
      <c r="E458" s="47"/>
    </row>
    <row r="459" ht="15.75" customHeight="1">
      <c r="B459" s="47"/>
      <c r="C459" s="47"/>
      <c r="E459" s="47"/>
    </row>
    <row r="460" ht="15.75" customHeight="1">
      <c r="B460" s="47"/>
      <c r="C460" s="47"/>
      <c r="E460" s="47"/>
    </row>
    <row r="461" ht="15.75" customHeight="1">
      <c r="B461" s="47"/>
      <c r="C461" s="47"/>
      <c r="E461" s="47"/>
    </row>
    <row r="462" ht="15.75" customHeight="1">
      <c r="B462" s="47"/>
      <c r="C462" s="47"/>
      <c r="E462" s="47"/>
    </row>
    <row r="463" ht="15.75" customHeight="1">
      <c r="B463" s="47"/>
      <c r="C463" s="47"/>
      <c r="E463" s="47"/>
    </row>
    <row r="464" ht="15.75" customHeight="1">
      <c r="B464" s="47"/>
      <c r="C464" s="47"/>
      <c r="E464" s="47"/>
    </row>
    <row r="465" ht="15.75" customHeight="1">
      <c r="B465" s="47"/>
      <c r="C465" s="47"/>
      <c r="E465" s="47"/>
    </row>
    <row r="466" ht="15.75" customHeight="1">
      <c r="B466" s="47"/>
      <c r="C466" s="47"/>
      <c r="E466" s="47"/>
    </row>
    <row r="467" ht="15.75" customHeight="1">
      <c r="B467" s="47"/>
      <c r="C467" s="47"/>
      <c r="E467" s="47"/>
    </row>
    <row r="468" ht="15.75" customHeight="1">
      <c r="B468" s="47"/>
      <c r="C468" s="47"/>
      <c r="E468" s="47"/>
    </row>
    <row r="469" ht="15.75" customHeight="1">
      <c r="B469" s="47"/>
      <c r="C469" s="47"/>
      <c r="E469" s="47"/>
    </row>
    <row r="470" ht="15.75" customHeight="1">
      <c r="B470" s="47"/>
      <c r="C470" s="47"/>
      <c r="E470" s="47"/>
    </row>
    <row r="471" ht="15.75" customHeight="1">
      <c r="B471" s="47"/>
      <c r="C471" s="47"/>
      <c r="E471" s="47"/>
    </row>
    <row r="472" ht="15.75" customHeight="1">
      <c r="B472" s="47"/>
      <c r="C472" s="47"/>
      <c r="E472" s="47"/>
    </row>
    <row r="473" ht="15.75" customHeight="1">
      <c r="B473" s="47"/>
      <c r="C473" s="47"/>
      <c r="E473" s="47"/>
    </row>
    <row r="474" ht="15.75" customHeight="1">
      <c r="B474" s="47"/>
      <c r="C474" s="47"/>
      <c r="E474" s="47"/>
    </row>
    <row r="475" ht="15.75" customHeight="1">
      <c r="B475" s="47"/>
      <c r="C475" s="47"/>
      <c r="E475" s="47"/>
    </row>
    <row r="476" ht="15.75" customHeight="1">
      <c r="B476" s="47"/>
      <c r="C476" s="47"/>
      <c r="E476" s="47"/>
    </row>
    <row r="477" ht="15.75" customHeight="1">
      <c r="B477" s="47"/>
      <c r="C477" s="47"/>
      <c r="E477" s="47"/>
    </row>
    <row r="478" ht="15.75" customHeight="1">
      <c r="B478" s="47"/>
      <c r="C478" s="47"/>
      <c r="E478" s="47"/>
    </row>
    <row r="479" ht="15.75" customHeight="1">
      <c r="B479" s="47"/>
      <c r="C479" s="47"/>
      <c r="E479" s="47"/>
    </row>
    <row r="480" ht="15.75" customHeight="1">
      <c r="B480" s="47"/>
      <c r="C480" s="47"/>
      <c r="E480" s="47"/>
    </row>
    <row r="481" ht="15.75" customHeight="1">
      <c r="B481" s="47"/>
      <c r="C481" s="47"/>
      <c r="E481" s="47"/>
    </row>
    <row r="482" ht="15.75" customHeight="1">
      <c r="B482" s="47"/>
      <c r="C482" s="47"/>
      <c r="E482" s="47"/>
    </row>
    <row r="483" ht="15.75" customHeight="1">
      <c r="B483" s="47"/>
      <c r="C483" s="47"/>
      <c r="E483" s="47"/>
    </row>
    <row r="484" ht="15.75" customHeight="1">
      <c r="B484" s="47"/>
      <c r="C484" s="47"/>
      <c r="E484" s="47"/>
    </row>
    <row r="485" ht="15.75" customHeight="1">
      <c r="B485" s="47"/>
      <c r="C485" s="47"/>
      <c r="E485" s="47"/>
    </row>
    <row r="486" ht="15.75" customHeight="1">
      <c r="B486" s="47"/>
      <c r="C486" s="47"/>
      <c r="E486" s="47"/>
    </row>
    <row r="487" ht="15.75" customHeight="1">
      <c r="B487" s="47"/>
      <c r="C487" s="47"/>
      <c r="E487" s="47"/>
    </row>
    <row r="488" ht="15.75" customHeight="1">
      <c r="B488" s="47"/>
      <c r="C488" s="47"/>
      <c r="E488" s="47"/>
    </row>
    <row r="489" ht="15.75" customHeight="1">
      <c r="B489" s="47"/>
      <c r="C489" s="47"/>
      <c r="E489" s="47"/>
    </row>
    <row r="490" ht="15.75" customHeight="1">
      <c r="B490" s="47"/>
      <c r="C490" s="47"/>
      <c r="E490" s="47"/>
    </row>
    <row r="491" ht="15.75" customHeight="1">
      <c r="B491" s="47"/>
      <c r="C491" s="47"/>
      <c r="E491" s="47"/>
    </row>
    <row r="492" ht="15.75" customHeight="1">
      <c r="B492" s="47"/>
      <c r="C492" s="47"/>
      <c r="E492" s="47"/>
    </row>
    <row r="493" ht="15.75" customHeight="1">
      <c r="B493" s="47"/>
      <c r="C493" s="47"/>
      <c r="E493" s="47"/>
    </row>
    <row r="494" ht="15.75" customHeight="1">
      <c r="B494" s="47"/>
      <c r="C494" s="47"/>
      <c r="E494" s="47"/>
    </row>
    <row r="495" ht="15.75" customHeight="1">
      <c r="B495" s="47"/>
      <c r="C495" s="47"/>
      <c r="E495" s="47"/>
    </row>
    <row r="496" ht="15.75" customHeight="1">
      <c r="B496" s="47"/>
      <c r="C496" s="47"/>
      <c r="E496" s="47"/>
    </row>
    <row r="497" ht="15.75" customHeight="1">
      <c r="B497" s="47"/>
      <c r="C497" s="47"/>
      <c r="E497" s="47"/>
    </row>
    <row r="498" ht="15.75" customHeight="1">
      <c r="B498" s="47"/>
      <c r="C498" s="47"/>
      <c r="E498" s="47"/>
    </row>
    <row r="499" ht="15.75" customHeight="1">
      <c r="B499" s="47"/>
      <c r="C499" s="47"/>
      <c r="E499" s="47"/>
    </row>
    <row r="500" ht="15.75" customHeight="1">
      <c r="B500" s="47"/>
      <c r="C500" s="47"/>
      <c r="E500" s="47"/>
    </row>
    <row r="501" ht="15.75" customHeight="1">
      <c r="B501" s="47"/>
      <c r="C501" s="47"/>
      <c r="E501" s="47"/>
    </row>
    <row r="502" ht="15.75" customHeight="1">
      <c r="B502" s="47"/>
      <c r="C502" s="47"/>
      <c r="E502" s="47"/>
    </row>
    <row r="503" ht="15.75" customHeight="1">
      <c r="B503" s="47"/>
      <c r="C503" s="47"/>
      <c r="E503" s="47"/>
    </row>
    <row r="504" ht="15.75" customHeight="1">
      <c r="B504" s="47"/>
      <c r="C504" s="47"/>
      <c r="E504" s="47"/>
    </row>
    <row r="505" ht="15.75" customHeight="1">
      <c r="B505" s="47"/>
      <c r="C505" s="47"/>
      <c r="E505" s="47"/>
    </row>
    <row r="506" ht="15.75" customHeight="1">
      <c r="B506" s="47"/>
      <c r="C506" s="47"/>
      <c r="E506" s="47"/>
    </row>
    <row r="507" ht="15.75" customHeight="1">
      <c r="B507" s="47"/>
      <c r="C507" s="47"/>
      <c r="E507" s="47"/>
    </row>
    <row r="508" ht="15.75" customHeight="1">
      <c r="B508" s="47"/>
      <c r="C508" s="47"/>
      <c r="E508" s="47"/>
    </row>
    <row r="509" ht="15.75" customHeight="1">
      <c r="B509" s="47"/>
      <c r="C509" s="47"/>
      <c r="E509" s="47"/>
    </row>
    <row r="510" ht="15.75" customHeight="1">
      <c r="B510" s="47"/>
      <c r="C510" s="47"/>
      <c r="E510" s="47"/>
    </row>
    <row r="511" ht="15.75" customHeight="1">
      <c r="B511" s="47"/>
      <c r="C511" s="47"/>
      <c r="E511" s="47"/>
    </row>
    <row r="512" ht="15.75" customHeight="1">
      <c r="B512" s="47"/>
      <c r="C512" s="47"/>
      <c r="E512" s="47"/>
    </row>
    <row r="513" ht="15.75" customHeight="1">
      <c r="B513" s="47"/>
      <c r="C513" s="47"/>
      <c r="E513" s="47"/>
    </row>
    <row r="514" ht="15.75" customHeight="1">
      <c r="B514" s="47"/>
      <c r="C514" s="47"/>
      <c r="E514" s="47"/>
    </row>
    <row r="515" ht="15.75" customHeight="1">
      <c r="B515" s="47"/>
      <c r="C515" s="47"/>
      <c r="E515" s="47"/>
    </row>
    <row r="516" ht="15.75" customHeight="1">
      <c r="B516" s="47"/>
      <c r="C516" s="47"/>
      <c r="E516" s="47"/>
    </row>
    <row r="517" ht="15.75" customHeight="1">
      <c r="B517" s="47"/>
      <c r="C517" s="47"/>
      <c r="E517" s="47"/>
    </row>
    <row r="518" ht="15.75" customHeight="1">
      <c r="B518" s="47"/>
      <c r="C518" s="47"/>
      <c r="E518" s="47"/>
    </row>
    <row r="519" ht="15.75" customHeight="1">
      <c r="B519" s="47"/>
      <c r="C519" s="47"/>
      <c r="E519" s="47"/>
    </row>
    <row r="520" ht="15.75" customHeight="1">
      <c r="B520" s="47"/>
      <c r="C520" s="47"/>
      <c r="E520" s="47"/>
    </row>
    <row r="521" ht="15.75" customHeight="1">
      <c r="B521" s="47"/>
      <c r="C521" s="47"/>
      <c r="E521" s="47"/>
    </row>
    <row r="522" ht="15.75" customHeight="1">
      <c r="B522" s="47"/>
      <c r="C522" s="47"/>
      <c r="E522" s="47"/>
    </row>
    <row r="523" ht="15.75" customHeight="1">
      <c r="B523" s="47"/>
      <c r="C523" s="47"/>
      <c r="E523" s="47"/>
    </row>
    <row r="524" ht="15.75" customHeight="1">
      <c r="B524" s="47"/>
      <c r="C524" s="47"/>
      <c r="E524" s="47"/>
    </row>
    <row r="525" ht="15.75" customHeight="1">
      <c r="B525" s="47"/>
      <c r="C525" s="47"/>
      <c r="E525" s="47"/>
    </row>
    <row r="526" ht="15.75" customHeight="1">
      <c r="B526" s="47"/>
      <c r="C526" s="47"/>
      <c r="E526" s="47"/>
    </row>
    <row r="527" ht="15.75" customHeight="1">
      <c r="B527" s="47"/>
      <c r="C527" s="47"/>
      <c r="E527" s="47"/>
    </row>
    <row r="528" ht="15.75" customHeight="1">
      <c r="B528" s="47"/>
      <c r="C528" s="47"/>
      <c r="E528" s="47"/>
    </row>
    <row r="529" ht="15.75" customHeight="1">
      <c r="B529" s="47"/>
      <c r="C529" s="47"/>
      <c r="E529" s="47"/>
    </row>
    <row r="530" ht="15.75" customHeight="1">
      <c r="B530" s="47"/>
      <c r="C530" s="47"/>
      <c r="E530" s="47"/>
    </row>
    <row r="531" ht="15.75" customHeight="1">
      <c r="B531" s="47"/>
      <c r="C531" s="47"/>
      <c r="E531" s="47"/>
    </row>
    <row r="532" ht="15.75" customHeight="1">
      <c r="B532" s="47"/>
      <c r="C532" s="47"/>
      <c r="E532" s="47"/>
    </row>
    <row r="533" ht="15.75" customHeight="1">
      <c r="B533" s="47"/>
      <c r="C533" s="47"/>
      <c r="E533" s="47"/>
    </row>
    <row r="534" ht="15.75" customHeight="1">
      <c r="B534" s="47"/>
      <c r="C534" s="47"/>
      <c r="E534" s="47"/>
    </row>
    <row r="535" ht="15.75" customHeight="1">
      <c r="B535" s="47"/>
      <c r="C535" s="47"/>
      <c r="E535" s="47"/>
    </row>
    <row r="536" ht="15.75" customHeight="1">
      <c r="B536" s="47"/>
      <c r="C536" s="47"/>
      <c r="E536" s="47"/>
    </row>
    <row r="537" ht="15.75" customHeight="1">
      <c r="B537" s="47"/>
      <c r="C537" s="47"/>
      <c r="E537" s="47"/>
    </row>
    <row r="538" ht="15.75" customHeight="1">
      <c r="B538" s="47"/>
      <c r="C538" s="47"/>
      <c r="E538" s="47"/>
    </row>
    <row r="539" ht="15.75" customHeight="1">
      <c r="B539" s="47"/>
      <c r="C539" s="47"/>
      <c r="E539" s="47"/>
    </row>
    <row r="540" ht="15.75" customHeight="1">
      <c r="B540" s="47"/>
      <c r="C540" s="47"/>
      <c r="E540" s="47"/>
    </row>
    <row r="541" ht="15.75" customHeight="1">
      <c r="B541" s="47"/>
      <c r="C541" s="47"/>
      <c r="E541" s="47"/>
    </row>
    <row r="542" ht="15.75" customHeight="1">
      <c r="B542" s="47"/>
      <c r="C542" s="47"/>
      <c r="E542" s="47"/>
    </row>
    <row r="543" ht="15.75" customHeight="1">
      <c r="B543" s="47"/>
      <c r="C543" s="47"/>
      <c r="E543" s="47"/>
    </row>
    <row r="544" ht="15.75" customHeight="1">
      <c r="B544" s="47"/>
      <c r="C544" s="47"/>
      <c r="E544" s="47"/>
    </row>
    <row r="545" ht="15.75" customHeight="1">
      <c r="B545" s="47"/>
      <c r="C545" s="47"/>
      <c r="E545" s="47"/>
    </row>
    <row r="546" ht="15.75" customHeight="1">
      <c r="B546" s="47"/>
      <c r="C546" s="47"/>
      <c r="E546" s="47"/>
    </row>
    <row r="547" ht="15.75" customHeight="1">
      <c r="B547" s="47"/>
      <c r="C547" s="47"/>
      <c r="E547" s="47"/>
    </row>
    <row r="548" ht="15.75" customHeight="1">
      <c r="B548" s="47"/>
      <c r="C548" s="47"/>
      <c r="E548" s="47"/>
    </row>
    <row r="549" ht="15.75" customHeight="1">
      <c r="B549" s="47"/>
      <c r="C549" s="47"/>
      <c r="E549" s="47"/>
    </row>
    <row r="550" ht="15.75" customHeight="1">
      <c r="B550" s="47"/>
      <c r="C550" s="47"/>
      <c r="E550" s="47"/>
    </row>
    <row r="551" ht="15.75" customHeight="1">
      <c r="B551" s="47"/>
      <c r="C551" s="47"/>
      <c r="E551" s="47"/>
    </row>
    <row r="552" ht="15.75" customHeight="1">
      <c r="B552" s="47"/>
      <c r="C552" s="47"/>
      <c r="E552" s="47"/>
    </row>
    <row r="553" ht="15.75" customHeight="1">
      <c r="B553" s="47"/>
      <c r="C553" s="47"/>
      <c r="E553" s="47"/>
    </row>
    <row r="554" ht="15.75" customHeight="1">
      <c r="B554" s="47"/>
      <c r="C554" s="47"/>
      <c r="E554" s="47"/>
    </row>
    <row r="555" ht="15.75" customHeight="1">
      <c r="B555" s="47"/>
      <c r="C555" s="47"/>
      <c r="E555" s="47"/>
    </row>
    <row r="556" ht="15.75" customHeight="1">
      <c r="B556" s="47"/>
      <c r="C556" s="47"/>
      <c r="E556" s="47"/>
    </row>
    <row r="557" ht="15.75" customHeight="1">
      <c r="B557" s="47"/>
      <c r="C557" s="47"/>
      <c r="E557" s="47"/>
    </row>
    <row r="558" ht="15.75" customHeight="1">
      <c r="B558" s="47"/>
      <c r="C558" s="47"/>
      <c r="E558" s="47"/>
    </row>
    <row r="559" ht="15.75" customHeight="1">
      <c r="B559" s="47"/>
      <c r="C559" s="47"/>
      <c r="E559" s="47"/>
    </row>
    <row r="560" ht="15.75" customHeight="1">
      <c r="B560" s="47"/>
      <c r="C560" s="47"/>
      <c r="E560" s="47"/>
    </row>
    <row r="561" ht="15.75" customHeight="1">
      <c r="B561" s="47"/>
      <c r="C561" s="47"/>
      <c r="E561" s="47"/>
    </row>
    <row r="562" ht="15.75" customHeight="1">
      <c r="B562" s="47"/>
      <c r="C562" s="47"/>
      <c r="E562" s="47"/>
    </row>
    <row r="563" ht="15.75" customHeight="1">
      <c r="B563" s="47"/>
      <c r="C563" s="47"/>
      <c r="E563" s="47"/>
    </row>
    <row r="564" ht="15.75" customHeight="1">
      <c r="B564" s="47"/>
      <c r="C564" s="47"/>
      <c r="E564" s="47"/>
    </row>
    <row r="565" ht="15.75" customHeight="1">
      <c r="B565" s="47"/>
      <c r="C565" s="47"/>
      <c r="E565" s="47"/>
    </row>
    <row r="566" ht="15.75" customHeight="1">
      <c r="B566" s="47"/>
      <c r="C566" s="47"/>
      <c r="E566" s="47"/>
    </row>
    <row r="567" ht="15.75" customHeight="1">
      <c r="B567" s="47"/>
      <c r="C567" s="47"/>
      <c r="E567" s="47"/>
    </row>
    <row r="568" ht="15.75" customHeight="1">
      <c r="B568" s="47"/>
      <c r="C568" s="47"/>
      <c r="E568" s="47"/>
    </row>
    <row r="569" ht="15.75" customHeight="1">
      <c r="B569" s="47"/>
      <c r="C569" s="47"/>
      <c r="E569" s="47"/>
    </row>
    <row r="570" ht="15.75" customHeight="1">
      <c r="B570" s="47"/>
      <c r="C570" s="47"/>
      <c r="E570" s="47"/>
    </row>
    <row r="571" ht="15.75" customHeight="1">
      <c r="B571" s="47"/>
      <c r="C571" s="47"/>
      <c r="E571" s="47"/>
    </row>
    <row r="572" ht="15.75" customHeight="1">
      <c r="B572" s="47"/>
      <c r="C572" s="47"/>
      <c r="E572" s="47"/>
    </row>
    <row r="573" ht="15.75" customHeight="1">
      <c r="B573" s="47"/>
      <c r="C573" s="47"/>
      <c r="E573" s="47"/>
    </row>
    <row r="574" ht="15.75" customHeight="1">
      <c r="B574" s="47"/>
      <c r="C574" s="47"/>
      <c r="E574" s="47"/>
    </row>
    <row r="575" ht="15.75" customHeight="1">
      <c r="B575" s="47"/>
      <c r="C575" s="47"/>
      <c r="E575" s="47"/>
    </row>
    <row r="576" ht="15.75" customHeight="1">
      <c r="B576" s="47"/>
      <c r="C576" s="47"/>
      <c r="E576" s="47"/>
    </row>
    <row r="577" ht="15.75" customHeight="1">
      <c r="B577" s="47"/>
      <c r="C577" s="47"/>
      <c r="E577" s="47"/>
    </row>
    <row r="578" ht="15.75" customHeight="1">
      <c r="B578" s="47"/>
      <c r="C578" s="47"/>
      <c r="E578" s="47"/>
    </row>
    <row r="579" ht="15.75" customHeight="1">
      <c r="B579" s="47"/>
      <c r="C579" s="47"/>
      <c r="E579" s="47"/>
    </row>
    <row r="580" ht="15.75" customHeight="1">
      <c r="B580" s="47"/>
      <c r="C580" s="47"/>
      <c r="E580" s="47"/>
    </row>
    <row r="581" ht="15.75" customHeight="1">
      <c r="B581" s="47"/>
      <c r="C581" s="47"/>
      <c r="E581" s="47"/>
    </row>
    <row r="582" ht="15.75" customHeight="1">
      <c r="B582" s="47"/>
      <c r="C582" s="47"/>
      <c r="E582" s="47"/>
    </row>
    <row r="583" ht="15.75" customHeight="1">
      <c r="B583" s="47"/>
      <c r="C583" s="47"/>
      <c r="E583" s="47"/>
    </row>
    <row r="584" ht="15.75" customHeight="1">
      <c r="B584" s="47"/>
      <c r="C584" s="47"/>
      <c r="E584" s="47"/>
    </row>
    <row r="585" ht="15.75" customHeight="1">
      <c r="B585" s="47"/>
      <c r="C585" s="47"/>
      <c r="E585" s="47"/>
    </row>
    <row r="586" ht="15.75" customHeight="1">
      <c r="B586" s="47"/>
      <c r="C586" s="47"/>
      <c r="E586" s="47"/>
    </row>
    <row r="587" ht="15.75" customHeight="1">
      <c r="B587" s="47"/>
      <c r="C587" s="47"/>
      <c r="E587" s="47"/>
    </row>
    <row r="588" ht="15.75" customHeight="1">
      <c r="B588" s="47"/>
      <c r="C588" s="47"/>
      <c r="E588" s="47"/>
    </row>
    <row r="589" ht="15.75" customHeight="1">
      <c r="B589" s="47"/>
      <c r="C589" s="47"/>
      <c r="E589" s="47"/>
    </row>
    <row r="590" ht="15.75" customHeight="1">
      <c r="B590" s="47"/>
      <c r="C590" s="47"/>
      <c r="E590" s="47"/>
    </row>
    <row r="591" ht="15.75" customHeight="1">
      <c r="B591" s="47"/>
      <c r="C591" s="47"/>
      <c r="E591" s="47"/>
    </row>
    <row r="592" ht="15.75" customHeight="1">
      <c r="B592" s="47"/>
      <c r="C592" s="47"/>
      <c r="E592" s="47"/>
    </row>
    <row r="593" ht="15.75" customHeight="1">
      <c r="B593" s="47"/>
      <c r="C593" s="47"/>
      <c r="E593" s="47"/>
    </row>
    <row r="594" ht="15.75" customHeight="1">
      <c r="B594" s="47"/>
      <c r="C594" s="47"/>
      <c r="E594" s="47"/>
    </row>
    <row r="595" ht="15.75" customHeight="1">
      <c r="B595" s="47"/>
      <c r="C595" s="47"/>
      <c r="E595" s="47"/>
    </row>
    <row r="596" ht="15.75" customHeight="1">
      <c r="B596" s="47"/>
      <c r="C596" s="47"/>
      <c r="E596" s="47"/>
    </row>
    <row r="597" ht="15.75" customHeight="1">
      <c r="B597" s="47"/>
      <c r="C597" s="47"/>
      <c r="E597" s="47"/>
    </row>
    <row r="598" ht="15.75" customHeight="1">
      <c r="B598" s="47"/>
      <c r="C598" s="47"/>
      <c r="E598" s="47"/>
    </row>
    <row r="599" ht="15.75" customHeight="1">
      <c r="B599" s="47"/>
      <c r="C599" s="47"/>
      <c r="E599" s="47"/>
    </row>
    <row r="600" ht="15.75" customHeight="1">
      <c r="B600" s="47"/>
      <c r="C600" s="47"/>
      <c r="E600" s="47"/>
    </row>
    <row r="601" ht="15.75" customHeight="1">
      <c r="B601" s="47"/>
      <c r="C601" s="47"/>
      <c r="E601" s="47"/>
    </row>
    <row r="602" ht="15.75" customHeight="1">
      <c r="B602" s="47"/>
      <c r="C602" s="47"/>
      <c r="E602" s="47"/>
    </row>
    <row r="603" ht="15.75" customHeight="1">
      <c r="B603" s="47"/>
      <c r="C603" s="47"/>
      <c r="E603" s="47"/>
    </row>
    <row r="604" ht="15.75" customHeight="1">
      <c r="B604" s="47"/>
      <c r="C604" s="47"/>
      <c r="E604" s="47"/>
    </row>
    <row r="605" ht="15.75" customHeight="1">
      <c r="B605" s="47"/>
      <c r="C605" s="47"/>
      <c r="E605" s="47"/>
    </row>
    <row r="606" ht="15.75" customHeight="1">
      <c r="B606" s="47"/>
      <c r="C606" s="47"/>
      <c r="E606" s="47"/>
    </row>
    <row r="607" ht="15.75" customHeight="1">
      <c r="B607" s="47"/>
      <c r="C607" s="47"/>
      <c r="E607" s="47"/>
    </row>
    <row r="608" ht="15.75" customHeight="1">
      <c r="B608" s="47"/>
      <c r="C608" s="47"/>
      <c r="E608" s="47"/>
    </row>
    <row r="609" ht="15.75" customHeight="1">
      <c r="B609" s="47"/>
      <c r="C609" s="47"/>
      <c r="E609" s="47"/>
    </row>
    <row r="610" ht="15.75" customHeight="1">
      <c r="B610" s="47"/>
      <c r="C610" s="47"/>
      <c r="E610" s="47"/>
    </row>
    <row r="611" ht="15.75" customHeight="1">
      <c r="B611" s="47"/>
      <c r="C611" s="47"/>
      <c r="E611" s="47"/>
    </row>
    <row r="612" ht="15.75" customHeight="1">
      <c r="B612" s="47"/>
      <c r="C612" s="47"/>
      <c r="E612" s="47"/>
    </row>
    <row r="613" ht="15.75" customHeight="1">
      <c r="B613" s="47"/>
      <c r="C613" s="47"/>
      <c r="E613" s="47"/>
    </row>
    <row r="614" ht="15.75" customHeight="1">
      <c r="B614" s="47"/>
      <c r="C614" s="47"/>
      <c r="E614" s="47"/>
    </row>
    <row r="615" ht="15.75" customHeight="1">
      <c r="B615" s="47"/>
      <c r="C615" s="47"/>
      <c r="E615" s="47"/>
    </row>
    <row r="616" ht="15.75" customHeight="1">
      <c r="B616" s="47"/>
      <c r="C616" s="47"/>
      <c r="E616" s="47"/>
    </row>
    <row r="617" ht="15.75" customHeight="1">
      <c r="B617" s="47"/>
      <c r="C617" s="47"/>
      <c r="E617" s="47"/>
    </row>
    <row r="618" ht="15.75" customHeight="1">
      <c r="B618" s="47"/>
      <c r="C618" s="47"/>
      <c r="E618" s="47"/>
    </row>
    <row r="619" ht="15.75" customHeight="1">
      <c r="B619" s="47"/>
      <c r="C619" s="47"/>
      <c r="E619" s="47"/>
    </row>
    <row r="620" ht="15.75" customHeight="1">
      <c r="B620" s="47"/>
      <c r="C620" s="47"/>
      <c r="E620" s="47"/>
    </row>
    <row r="621" ht="15.75" customHeight="1">
      <c r="B621" s="47"/>
      <c r="C621" s="47"/>
      <c r="E621" s="47"/>
    </row>
    <row r="622" ht="15.75" customHeight="1">
      <c r="B622" s="47"/>
      <c r="C622" s="47"/>
      <c r="E622" s="47"/>
    </row>
    <row r="623" ht="15.75" customHeight="1">
      <c r="B623" s="47"/>
      <c r="C623" s="47"/>
      <c r="E623" s="47"/>
    </row>
    <row r="624" ht="15.75" customHeight="1">
      <c r="B624" s="47"/>
      <c r="C624" s="47"/>
      <c r="E624" s="47"/>
    </row>
    <row r="625" ht="15.75" customHeight="1">
      <c r="B625" s="47"/>
      <c r="C625" s="47"/>
      <c r="E625" s="47"/>
    </row>
    <row r="626" ht="15.75" customHeight="1">
      <c r="B626" s="47"/>
      <c r="C626" s="47"/>
      <c r="E626" s="47"/>
    </row>
    <row r="627" ht="15.75" customHeight="1">
      <c r="B627" s="47"/>
      <c r="C627" s="47"/>
      <c r="E627" s="47"/>
    </row>
    <row r="628" ht="15.75" customHeight="1">
      <c r="B628" s="47"/>
      <c r="C628" s="47"/>
      <c r="E628" s="47"/>
    </row>
    <row r="629" ht="15.75" customHeight="1">
      <c r="B629" s="47"/>
      <c r="C629" s="47"/>
      <c r="E629" s="47"/>
    </row>
    <row r="630" ht="15.75" customHeight="1">
      <c r="B630" s="47"/>
      <c r="C630" s="47"/>
      <c r="E630" s="47"/>
    </row>
    <row r="631" ht="15.75" customHeight="1">
      <c r="B631" s="47"/>
      <c r="C631" s="47"/>
      <c r="E631" s="47"/>
    </row>
    <row r="632" ht="15.75" customHeight="1">
      <c r="B632" s="47"/>
      <c r="C632" s="47"/>
      <c r="E632" s="47"/>
    </row>
    <row r="633" ht="15.75" customHeight="1">
      <c r="B633" s="47"/>
      <c r="C633" s="47"/>
      <c r="E633" s="47"/>
    </row>
    <row r="634" ht="15.75" customHeight="1">
      <c r="B634" s="47"/>
      <c r="C634" s="47"/>
      <c r="E634" s="47"/>
    </row>
    <row r="635" ht="15.75" customHeight="1">
      <c r="B635" s="47"/>
      <c r="C635" s="47"/>
      <c r="E635" s="47"/>
    </row>
    <row r="636" ht="15.75" customHeight="1">
      <c r="B636" s="47"/>
      <c r="C636" s="47"/>
      <c r="E636" s="47"/>
    </row>
    <row r="637" ht="15.75" customHeight="1">
      <c r="B637" s="47"/>
      <c r="C637" s="47"/>
      <c r="E637" s="47"/>
    </row>
    <row r="638" ht="15.75" customHeight="1">
      <c r="B638" s="47"/>
      <c r="C638" s="47"/>
      <c r="E638" s="47"/>
    </row>
    <row r="639" ht="15.75" customHeight="1">
      <c r="B639" s="47"/>
      <c r="C639" s="47"/>
      <c r="E639" s="47"/>
    </row>
    <row r="640" ht="15.75" customHeight="1">
      <c r="B640" s="47"/>
      <c r="C640" s="47"/>
      <c r="E640" s="47"/>
    </row>
    <row r="641" ht="15.75" customHeight="1">
      <c r="B641" s="47"/>
      <c r="C641" s="47"/>
      <c r="E641" s="47"/>
    </row>
    <row r="642" ht="15.75" customHeight="1">
      <c r="B642" s="47"/>
      <c r="C642" s="47"/>
      <c r="E642" s="47"/>
    </row>
    <row r="643" ht="15.75" customHeight="1">
      <c r="B643" s="47"/>
      <c r="C643" s="47"/>
      <c r="E643" s="47"/>
    </row>
    <row r="644" ht="15.75" customHeight="1">
      <c r="B644" s="47"/>
      <c r="C644" s="47"/>
      <c r="E644" s="47"/>
    </row>
    <row r="645" ht="15.75" customHeight="1">
      <c r="B645" s="47"/>
      <c r="C645" s="47"/>
      <c r="E645" s="47"/>
    </row>
    <row r="646" ht="15.75" customHeight="1">
      <c r="B646" s="47"/>
      <c r="C646" s="47"/>
      <c r="E646" s="47"/>
    </row>
    <row r="647" ht="15.75" customHeight="1">
      <c r="B647" s="47"/>
      <c r="C647" s="47"/>
      <c r="E647" s="47"/>
    </row>
    <row r="648" ht="15.75" customHeight="1">
      <c r="B648" s="47"/>
      <c r="C648" s="47"/>
      <c r="E648" s="47"/>
    </row>
    <row r="649" ht="15.75" customHeight="1">
      <c r="B649" s="47"/>
      <c r="C649" s="47"/>
      <c r="E649" s="47"/>
    </row>
    <row r="650" ht="15.75" customHeight="1">
      <c r="B650" s="47"/>
      <c r="C650" s="47"/>
      <c r="E650" s="47"/>
    </row>
    <row r="651" ht="15.75" customHeight="1">
      <c r="B651" s="47"/>
      <c r="C651" s="47"/>
      <c r="E651" s="47"/>
    </row>
    <row r="652" ht="15.75" customHeight="1">
      <c r="B652" s="47"/>
      <c r="C652" s="47"/>
      <c r="E652" s="47"/>
    </row>
    <row r="653" ht="15.75" customHeight="1">
      <c r="B653" s="47"/>
      <c r="C653" s="47"/>
      <c r="E653" s="47"/>
    </row>
    <row r="654" ht="15.75" customHeight="1">
      <c r="B654" s="47"/>
      <c r="C654" s="47"/>
      <c r="E654" s="47"/>
    </row>
    <row r="655" ht="15.75" customHeight="1">
      <c r="B655" s="47"/>
      <c r="C655" s="47"/>
      <c r="E655" s="47"/>
    </row>
    <row r="656" ht="15.75" customHeight="1">
      <c r="B656" s="47"/>
      <c r="C656" s="47"/>
      <c r="E656" s="47"/>
    </row>
    <row r="657" ht="15.75" customHeight="1">
      <c r="B657" s="47"/>
      <c r="C657" s="47"/>
      <c r="E657" s="47"/>
    </row>
    <row r="658" ht="15.75" customHeight="1">
      <c r="B658" s="47"/>
      <c r="C658" s="47"/>
      <c r="E658" s="47"/>
    </row>
    <row r="659" ht="15.75" customHeight="1">
      <c r="B659" s="47"/>
      <c r="C659" s="47"/>
      <c r="E659" s="47"/>
    </row>
    <row r="660" ht="15.75" customHeight="1">
      <c r="B660" s="47"/>
      <c r="C660" s="47"/>
      <c r="E660" s="47"/>
    </row>
    <row r="661" ht="15.75" customHeight="1">
      <c r="B661" s="47"/>
      <c r="C661" s="47"/>
      <c r="E661" s="47"/>
    </row>
    <row r="662" ht="15.75" customHeight="1">
      <c r="B662" s="47"/>
      <c r="C662" s="47"/>
      <c r="E662" s="47"/>
    </row>
    <row r="663" ht="15.75" customHeight="1">
      <c r="B663" s="47"/>
      <c r="C663" s="47"/>
      <c r="E663" s="47"/>
    </row>
    <row r="664" ht="15.75" customHeight="1">
      <c r="B664" s="47"/>
      <c r="C664" s="47"/>
      <c r="E664" s="47"/>
    </row>
    <row r="665" ht="15.75" customHeight="1">
      <c r="B665" s="47"/>
      <c r="C665" s="47"/>
      <c r="E665" s="47"/>
    </row>
    <row r="666" ht="15.75" customHeight="1">
      <c r="B666" s="47"/>
      <c r="C666" s="47"/>
      <c r="E666" s="47"/>
    </row>
    <row r="667" ht="15.75" customHeight="1">
      <c r="B667" s="47"/>
      <c r="C667" s="47"/>
      <c r="E667" s="47"/>
    </row>
    <row r="668" ht="15.75" customHeight="1">
      <c r="B668" s="47"/>
      <c r="C668" s="47"/>
      <c r="E668" s="47"/>
    </row>
    <row r="669" ht="15.75" customHeight="1">
      <c r="B669" s="47"/>
      <c r="C669" s="47"/>
      <c r="E669" s="47"/>
    </row>
    <row r="670" ht="15.75" customHeight="1">
      <c r="B670" s="47"/>
      <c r="C670" s="47"/>
      <c r="E670" s="47"/>
    </row>
    <row r="671" ht="15.75" customHeight="1">
      <c r="B671" s="47"/>
      <c r="C671" s="47"/>
      <c r="E671" s="47"/>
    </row>
    <row r="672" ht="15.75" customHeight="1">
      <c r="B672" s="47"/>
      <c r="C672" s="47"/>
      <c r="E672" s="47"/>
    </row>
    <row r="673" ht="15.75" customHeight="1">
      <c r="B673" s="47"/>
      <c r="C673" s="47"/>
      <c r="E673" s="47"/>
    </row>
    <row r="674" ht="15.75" customHeight="1">
      <c r="B674" s="47"/>
      <c r="C674" s="47"/>
      <c r="E674" s="47"/>
    </row>
    <row r="675" ht="15.75" customHeight="1">
      <c r="B675" s="47"/>
      <c r="C675" s="47"/>
      <c r="E675" s="47"/>
    </row>
    <row r="676" ht="15.75" customHeight="1">
      <c r="B676" s="47"/>
      <c r="C676" s="47"/>
      <c r="E676" s="47"/>
    </row>
    <row r="677" ht="15.75" customHeight="1">
      <c r="B677" s="47"/>
      <c r="C677" s="47"/>
      <c r="E677" s="47"/>
    </row>
    <row r="678" ht="15.75" customHeight="1">
      <c r="B678" s="47"/>
      <c r="C678" s="47"/>
      <c r="E678" s="47"/>
    </row>
    <row r="679" ht="15.75" customHeight="1">
      <c r="B679" s="47"/>
      <c r="C679" s="47"/>
      <c r="E679" s="47"/>
    </row>
    <row r="680" ht="15.75" customHeight="1">
      <c r="B680" s="47"/>
      <c r="C680" s="47"/>
      <c r="E680" s="47"/>
    </row>
    <row r="681" ht="15.75" customHeight="1">
      <c r="B681" s="47"/>
      <c r="C681" s="47"/>
      <c r="E681" s="47"/>
    </row>
    <row r="682" ht="15.75" customHeight="1">
      <c r="B682" s="47"/>
      <c r="C682" s="47"/>
      <c r="E682" s="47"/>
    </row>
    <row r="683" ht="15.75" customHeight="1">
      <c r="B683" s="47"/>
      <c r="C683" s="47"/>
      <c r="E683" s="47"/>
    </row>
    <row r="684" ht="15.75" customHeight="1">
      <c r="B684" s="47"/>
      <c r="C684" s="47"/>
      <c r="E684" s="47"/>
    </row>
    <row r="685" ht="15.75" customHeight="1">
      <c r="B685" s="47"/>
      <c r="C685" s="47"/>
      <c r="E685" s="47"/>
    </row>
    <row r="686" ht="15.75" customHeight="1">
      <c r="B686" s="47"/>
      <c r="C686" s="47"/>
      <c r="E686" s="47"/>
    </row>
    <row r="687" ht="15.75" customHeight="1">
      <c r="B687" s="47"/>
      <c r="C687" s="47"/>
      <c r="E687" s="47"/>
    </row>
    <row r="688" ht="15.75" customHeight="1">
      <c r="B688" s="47"/>
      <c r="C688" s="47"/>
      <c r="E688" s="47"/>
    </row>
    <row r="689" ht="15.75" customHeight="1">
      <c r="B689" s="47"/>
      <c r="C689" s="47"/>
      <c r="E689" s="47"/>
    </row>
    <row r="690" ht="15.75" customHeight="1">
      <c r="B690" s="47"/>
      <c r="C690" s="47"/>
      <c r="E690" s="47"/>
    </row>
    <row r="691" ht="15.75" customHeight="1">
      <c r="B691" s="47"/>
      <c r="C691" s="47"/>
      <c r="E691" s="47"/>
    </row>
    <row r="692" ht="15.75" customHeight="1">
      <c r="B692" s="47"/>
      <c r="C692" s="47"/>
      <c r="E692" s="47"/>
    </row>
    <row r="693" ht="15.75" customHeight="1">
      <c r="B693" s="47"/>
      <c r="C693" s="47"/>
      <c r="E693" s="47"/>
    </row>
    <row r="694" ht="15.75" customHeight="1">
      <c r="B694" s="47"/>
      <c r="C694" s="47"/>
      <c r="E694" s="47"/>
    </row>
    <row r="695" ht="15.75" customHeight="1">
      <c r="B695" s="47"/>
      <c r="C695" s="47"/>
      <c r="E695" s="47"/>
    </row>
    <row r="696" ht="15.75" customHeight="1">
      <c r="B696" s="47"/>
      <c r="C696" s="47"/>
      <c r="E696" s="47"/>
    </row>
    <row r="697" ht="15.75" customHeight="1">
      <c r="B697" s="47"/>
      <c r="C697" s="47"/>
      <c r="E697" s="47"/>
    </row>
    <row r="698" ht="15.75" customHeight="1">
      <c r="B698" s="47"/>
      <c r="C698" s="47"/>
      <c r="E698" s="47"/>
    </row>
    <row r="699" ht="15.75" customHeight="1">
      <c r="B699" s="47"/>
      <c r="C699" s="47"/>
      <c r="E699" s="47"/>
    </row>
    <row r="700" ht="15.75" customHeight="1">
      <c r="B700" s="47"/>
      <c r="C700" s="47"/>
      <c r="E700" s="47"/>
    </row>
    <row r="701" ht="15.75" customHeight="1">
      <c r="B701" s="47"/>
      <c r="C701" s="47"/>
      <c r="E701" s="47"/>
    </row>
    <row r="702" ht="15.75" customHeight="1">
      <c r="B702" s="47"/>
      <c r="C702" s="47"/>
      <c r="E702" s="47"/>
    </row>
    <row r="703" ht="15.75" customHeight="1">
      <c r="B703" s="47"/>
      <c r="C703" s="47"/>
      <c r="E703" s="47"/>
    </row>
    <row r="704" ht="15.75" customHeight="1">
      <c r="B704" s="47"/>
      <c r="C704" s="47"/>
      <c r="E704" s="47"/>
    </row>
    <row r="705" ht="15.75" customHeight="1">
      <c r="B705" s="47"/>
      <c r="C705" s="47"/>
      <c r="E705" s="47"/>
    </row>
    <row r="706" ht="15.75" customHeight="1">
      <c r="B706" s="47"/>
      <c r="C706" s="47"/>
      <c r="E706" s="47"/>
    </row>
    <row r="707" ht="15.75" customHeight="1">
      <c r="B707" s="47"/>
      <c r="C707" s="47"/>
      <c r="E707" s="47"/>
    </row>
    <row r="708" ht="15.75" customHeight="1">
      <c r="B708" s="47"/>
      <c r="C708" s="47"/>
      <c r="E708" s="47"/>
    </row>
    <row r="709" ht="15.75" customHeight="1">
      <c r="B709" s="47"/>
      <c r="C709" s="47"/>
      <c r="E709" s="47"/>
    </row>
    <row r="710" ht="15.75" customHeight="1">
      <c r="B710" s="47"/>
      <c r="C710" s="47"/>
      <c r="E710" s="47"/>
    </row>
    <row r="711" ht="15.75" customHeight="1">
      <c r="B711" s="47"/>
      <c r="C711" s="47"/>
      <c r="E711" s="47"/>
    </row>
    <row r="712" ht="15.75" customHeight="1">
      <c r="B712" s="47"/>
      <c r="C712" s="47"/>
      <c r="E712" s="47"/>
    </row>
    <row r="713" ht="15.75" customHeight="1">
      <c r="B713" s="47"/>
      <c r="C713" s="47"/>
      <c r="E713" s="47"/>
    </row>
    <row r="714" ht="15.75" customHeight="1">
      <c r="B714" s="47"/>
      <c r="C714" s="47"/>
      <c r="E714" s="47"/>
    </row>
    <row r="715" ht="15.75" customHeight="1">
      <c r="B715" s="47"/>
      <c r="C715" s="47"/>
      <c r="E715" s="47"/>
    </row>
    <row r="716" ht="15.75" customHeight="1">
      <c r="B716" s="47"/>
      <c r="C716" s="47"/>
      <c r="E716" s="47"/>
    </row>
    <row r="717" ht="15.75" customHeight="1">
      <c r="B717" s="47"/>
      <c r="C717" s="47"/>
      <c r="E717" s="47"/>
    </row>
    <row r="718" ht="15.75" customHeight="1">
      <c r="B718" s="47"/>
      <c r="C718" s="47"/>
      <c r="E718" s="47"/>
    </row>
    <row r="719" ht="15.75" customHeight="1">
      <c r="B719" s="47"/>
      <c r="C719" s="47"/>
      <c r="E719" s="47"/>
    </row>
    <row r="720" ht="15.75" customHeight="1">
      <c r="B720" s="47"/>
      <c r="C720" s="47"/>
      <c r="E720" s="47"/>
    </row>
    <row r="721" ht="15.75" customHeight="1">
      <c r="B721" s="47"/>
      <c r="C721" s="47"/>
      <c r="E721" s="47"/>
    </row>
    <row r="722" ht="15.75" customHeight="1">
      <c r="B722" s="47"/>
      <c r="C722" s="47"/>
      <c r="E722" s="47"/>
    </row>
    <row r="723" ht="15.75" customHeight="1">
      <c r="B723" s="47"/>
      <c r="C723" s="47"/>
      <c r="E723" s="47"/>
    </row>
    <row r="724" ht="15.75" customHeight="1">
      <c r="B724" s="47"/>
      <c r="C724" s="47"/>
      <c r="E724" s="47"/>
    </row>
    <row r="725" ht="15.75" customHeight="1">
      <c r="B725" s="47"/>
      <c r="C725" s="47"/>
      <c r="E725" s="47"/>
    </row>
    <row r="726" ht="15.75" customHeight="1">
      <c r="B726" s="47"/>
      <c r="C726" s="47"/>
      <c r="E726" s="47"/>
    </row>
    <row r="727" ht="15.75" customHeight="1">
      <c r="B727" s="47"/>
      <c r="C727" s="47"/>
      <c r="E727" s="47"/>
    </row>
    <row r="728" ht="15.75" customHeight="1">
      <c r="B728" s="47"/>
      <c r="C728" s="47"/>
      <c r="E728" s="47"/>
    </row>
    <row r="729" ht="15.75" customHeight="1">
      <c r="B729" s="47"/>
      <c r="C729" s="47"/>
      <c r="E729" s="47"/>
    </row>
    <row r="730" ht="15.75" customHeight="1">
      <c r="B730" s="47"/>
      <c r="C730" s="47"/>
      <c r="E730" s="47"/>
    </row>
    <row r="731" ht="15.75" customHeight="1">
      <c r="B731" s="47"/>
      <c r="C731" s="47"/>
      <c r="E731" s="47"/>
    </row>
    <row r="732" ht="15.75" customHeight="1">
      <c r="B732" s="47"/>
      <c r="C732" s="47"/>
      <c r="E732" s="47"/>
    </row>
    <row r="733" ht="15.75" customHeight="1">
      <c r="B733" s="47"/>
      <c r="C733" s="47"/>
      <c r="E733" s="47"/>
    </row>
    <row r="734" ht="15.75" customHeight="1">
      <c r="B734" s="47"/>
      <c r="C734" s="47"/>
      <c r="E734" s="47"/>
    </row>
    <row r="735" ht="15.75" customHeight="1">
      <c r="B735" s="47"/>
      <c r="C735" s="47"/>
      <c r="E735" s="47"/>
    </row>
    <row r="736" ht="15.75" customHeight="1">
      <c r="B736" s="47"/>
      <c r="C736" s="47"/>
      <c r="E736" s="47"/>
    </row>
    <row r="737" ht="15.75" customHeight="1">
      <c r="B737" s="47"/>
      <c r="C737" s="47"/>
      <c r="E737" s="47"/>
    </row>
    <row r="738" ht="15.75" customHeight="1">
      <c r="B738" s="47"/>
      <c r="C738" s="47"/>
      <c r="E738" s="47"/>
    </row>
    <row r="739" ht="15.75" customHeight="1">
      <c r="B739" s="47"/>
      <c r="C739" s="47"/>
      <c r="E739" s="47"/>
    </row>
    <row r="740" ht="15.75" customHeight="1">
      <c r="B740" s="47"/>
      <c r="C740" s="47"/>
      <c r="E740" s="47"/>
    </row>
    <row r="741" ht="15.75" customHeight="1">
      <c r="B741" s="47"/>
      <c r="C741" s="47"/>
      <c r="E741" s="47"/>
    </row>
    <row r="742" ht="15.75" customHeight="1">
      <c r="B742" s="47"/>
      <c r="C742" s="47"/>
      <c r="E742" s="47"/>
    </row>
    <row r="743" ht="15.75" customHeight="1">
      <c r="B743" s="47"/>
      <c r="C743" s="47"/>
      <c r="E743" s="47"/>
    </row>
    <row r="744" ht="15.75" customHeight="1">
      <c r="B744" s="47"/>
      <c r="C744" s="47"/>
      <c r="E744" s="47"/>
    </row>
    <row r="745" ht="15.75" customHeight="1">
      <c r="B745" s="47"/>
      <c r="C745" s="47"/>
      <c r="E745" s="47"/>
    </row>
    <row r="746" ht="15.75" customHeight="1">
      <c r="B746" s="47"/>
      <c r="C746" s="47"/>
      <c r="E746" s="47"/>
    </row>
    <row r="747" ht="15.75" customHeight="1">
      <c r="B747" s="47"/>
      <c r="C747" s="47"/>
      <c r="E747" s="47"/>
    </row>
    <row r="748" ht="15.75" customHeight="1">
      <c r="B748" s="47"/>
      <c r="C748" s="47"/>
      <c r="E748" s="47"/>
    </row>
    <row r="749" ht="15.75" customHeight="1">
      <c r="B749" s="47"/>
      <c r="C749" s="47"/>
      <c r="E749" s="47"/>
    </row>
    <row r="750" ht="15.75" customHeight="1">
      <c r="B750" s="47"/>
      <c r="C750" s="47"/>
      <c r="E750" s="47"/>
    </row>
    <row r="751" ht="15.75" customHeight="1">
      <c r="B751" s="47"/>
      <c r="C751" s="47"/>
      <c r="E751" s="47"/>
    </row>
    <row r="752" ht="15.75" customHeight="1">
      <c r="B752" s="47"/>
      <c r="C752" s="47"/>
      <c r="E752" s="47"/>
    </row>
    <row r="753" ht="15.75" customHeight="1">
      <c r="B753" s="47"/>
      <c r="C753" s="47"/>
      <c r="E753" s="47"/>
    </row>
    <row r="754" ht="15.75" customHeight="1">
      <c r="B754" s="47"/>
      <c r="C754" s="47"/>
      <c r="E754" s="47"/>
    </row>
    <row r="755" ht="15.75" customHeight="1">
      <c r="B755" s="47"/>
      <c r="C755" s="47"/>
      <c r="E755" s="47"/>
    </row>
    <row r="756" ht="15.75" customHeight="1">
      <c r="B756" s="47"/>
      <c r="C756" s="47"/>
      <c r="E756" s="47"/>
    </row>
    <row r="757" ht="15.75" customHeight="1">
      <c r="B757" s="47"/>
      <c r="C757" s="47"/>
      <c r="E757" s="47"/>
    </row>
    <row r="758" ht="15.75" customHeight="1">
      <c r="B758" s="47"/>
      <c r="C758" s="47"/>
      <c r="E758" s="47"/>
    </row>
    <row r="759" ht="15.75" customHeight="1">
      <c r="B759" s="47"/>
      <c r="C759" s="47"/>
      <c r="E759" s="47"/>
    </row>
    <row r="760" ht="15.75" customHeight="1">
      <c r="B760" s="47"/>
      <c r="C760" s="47"/>
      <c r="E760" s="47"/>
    </row>
    <row r="761" ht="15.75" customHeight="1">
      <c r="B761" s="47"/>
      <c r="C761" s="47"/>
      <c r="E761" s="47"/>
    </row>
    <row r="762" ht="15.75" customHeight="1">
      <c r="B762" s="47"/>
      <c r="C762" s="47"/>
      <c r="E762" s="47"/>
    </row>
    <row r="763" ht="15.75" customHeight="1">
      <c r="B763" s="47"/>
      <c r="C763" s="47"/>
      <c r="E763" s="47"/>
    </row>
    <row r="764" ht="15.75" customHeight="1">
      <c r="B764" s="47"/>
      <c r="C764" s="47"/>
      <c r="E764" s="47"/>
    </row>
    <row r="765" ht="15.75" customHeight="1">
      <c r="B765" s="47"/>
      <c r="C765" s="47"/>
      <c r="E765" s="47"/>
    </row>
    <row r="766" ht="15.75" customHeight="1">
      <c r="B766" s="47"/>
      <c r="C766" s="47"/>
      <c r="E766" s="47"/>
    </row>
    <row r="767" ht="15.75" customHeight="1">
      <c r="B767" s="47"/>
      <c r="C767" s="47"/>
      <c r="E767" s="47"/>
    </row>
    <row r="768" ht="15.75" customHeight="1">
      <c r="B768" s="47"/>
      <c r="C768" s="47"/>
      <c r="E768" s="47"/>
    </row>
    <row r="769" ht="15.75" customHeight="1">
      <c r="B769" s="47"/>
      <c r="C769" s="47"/>
      <c r="E769" s="47"/>
    </row>
    <row r="770" ht="15.75" customHeight="1">
      <c r="B770" s="47"/>
      <c r="C770" s="47"/>
      <c r="E770" s="47"/>
    </row>
    <row r="771" ht="15.75" customHeight="1">
      <c r="B771" s="47"/>
      <c r="C771" s="47"/>
      <c r="E771" s="47"/>
    </row>
    <row r="772" ht="15.75" customHeight="1">
      <c r="B772" s="47"/>
      <c r="C772" s="47"/>
      <c r="E772" s="47"/>
    </row>
    <row r="773" ht="15.75" customHeight="1">
      <c r="B773" s="47"/>
      <c r="C773" s="47"/>
      <c r="E773" s="47"/>
    </row>
    <row r="774" ht="15.75" customHeight="1">
      <c r="B774" s="47"/>
      <c r="C774" s="47"/>
      <c r="E774" s="47"/>
    </row>
    <row r="775" ht="15.75" customHeight="1">
      <c r="B775" s="47"/>
      <c r="C775" s="47"/>
      <c r="E775" s="47"/>
    </row>
    <row r="776" ht="15.75" customHeight="1">
      <c r="B776" s="47"/>
      <c r="C776" s="47"/>
      <c r="E776" s="47"/>
    </row>
    <row r="777" ht="15.75" customHeight="1">
      <c r="B777" s="47"/>
      <c r="C777" s="47"/>
      <c r="E777" s="47"/>
    </row>
    <row r="778" ht="15.75" customHeight="1">
      <c r="B778" s="47"/>
      <c r="C778" s="47"/>
      <c r="E778" s="47"/>
    </row>
    <row r="779" ht="15.75" customHeight="1">
      <c r="B779" s="47"/>
      <c r="C779" s="47"/>
      <c r="E779" s="47"/>
    </row>
    <row r="780" ht="15.75" customHeight="1">
      <c r="B780" s="47"/>
      <c r="C780" s="47"/>
      <c r="E780" s="47"/>
    </row>
    <row r="781" ht="15.75" customHeight="1">
      <c r="B781" s="47"/>
      <c r="C781" s="47"/>
      <c r="E781" s="47"/>
    </row>
    <row r="782" ht="15.75" customHeight="1">
      <c r="B782" s="47"/>
      <c r="C782" s="47"/>
      <c r="E782" s="47"/>
    </row>
    <row r="783" ht="15.75" customHeight="1">
      <c r="B783" s="47"/>
      <c r="C783" s="47"/>
      <c r="E783" s="47"/>
    </row>
    <row r="784" ht="15.75" customHeight="1">
      <c r="B784" s="47"/>
      <c r="C784" s="47"/>
      <c r="E784" s="47"/>
    </row>
    <row r="785" ht="15.75" customHeight="1">
      <c r="B785" s="47"/>
      <c r="C785" s="47"/>
      <c r="E785" s="47"/>
    </row>
    <row r="786" ht="15.75" customHeight="1">
      <c r="B786" s="47"/>
      <c r="C786" s="47"/>
      <c r="E786" s="47"/>
    </row>
    <row r="787" ht="15.75" customHeight="1">
      <c r="B787" s="47"/>
      <c r="C787" s="47"/>
      <c r="E787" s="47"/>
    </row>
    <row r="788" ht="15.75" customHeight="1">
      <c r="B788" s="47"/>
      <c r="C788" s="47"/>
      <c r="E788" s="47"/>
    </row>
    <row r="789" ht="15.75" customHeight="1">
      <c r="B789" s="47"/>
      <c r="C789" s="47"/>
      <c r="E789" s="47"/>
    </row>
    <row r="790" ht="15.75" customHeight="1">
      <c r="B790" s="47"/>
      <c r="C790" s="47"/>
      <c r="E790" s="47"/>
    </row>
    <row r="791" ht="15.75" customHeight="1">
      <c r="B791" s="47"/>
      <c r="C791" s="47"/>
      <c r="E791" s="47"/>
    </row>
    <row r="792" ht="15.75" customHeight="1">
      <c r="B792" s="47"/>
      <c r="C792" s="47"/>
      <c r="E792" s="47"/>
    </row>
    <row r="793" ht="15.75" customHeight="1">
      <c r="B793" s="47"/>
      <c r="C793" s="47"/>
      <c r="E793" s="47"/>
    </row>
    <row r="794" ht="15.75" customHeight="1">
      <c r="B794" s="47"/>
      <c r="C794" s="47"/>
      <c r="E794" s="47"/>
    </row>
    <row r="795" ht="15.75" customHeight="1">
      <c r="B795" s="47"/>
      <c r="C795" s="47"/>
      <c r="E795" s="47"/>
    </row>
    <row r="796" ht="15.75" customHeight="1">
      <c r="B796" s="47"/>
      <c r="C796" s="47"/>
      <c r="E796" s="47"/>
    </row>
    <row r="797" ht="15.75" customHeight="1">
      <c r="B797" s="47"/>
      <c r="C797" s="47"/>
      <c r="E797" s="47"/>
    </row>
    <row r="798" ht="15.75" customHeight="1">
      <c r="B798" s="47"/>
      <c r="C798" s="47"/>
      <c r="E798" s="47"/>
    </row>
    <row r="799" ht="15.75" customHeight="1">
      <c r="B799" s="47"/>
      <c r="C799" s="47"/>
      <c r="E799" s="47"/>
    </row>
    <row r="800" ht="15.75" customHeight="1">
      <c r="B800" s="47"/>
      <c r="C800" s="47"/>
      <c r="E800" s="47"/>
    </row>
    <row r="801" ht="15.75" customHeight="1">
      <c r="B801" s="47"/>
      <c r="C801" s="47"/>
      <c r="E801" s="47"/>
    </row>
    <row r="802" ht="15.75" customHeight="1">
      <c r="B802" s="47"/>
      <c r="C802" s="47"/>
      <c r="E802" s="47"/>
    </row>
    <row r="803" ht="15.75" customHeight="1">
      <c r="B803" s="47"/>
      <c r="C803" s="47"/>
      <c r="E803" s="47"/>
    </row>
    <row r="804" ht="15.75" customHeight="1">
      <c r="B804" s="47"/>
      <c r="C804" s="47"/>
      <c r="E804" s="47"/>
    </row>
    <row r="805" ht="15.75" customHeight="1">
      <c r="B805" s="47"/>
      <c r="C805" s="47"/>
      <c r="E805" s="47"/>
    </row>
    <row r="806" ht="15.75" customHeight="1">
      <c r="B806" s="47"/>
      <c r="C806" s="47"/>
      <c r="E806" s="47"/>
    </row>
    <row r="807" ht="15.75" customHeight="1">
      <c r="B807" s="47"/>
      <c r="C807" s="47"/>
      <c r="E807" s="47"/>
    </row>
    <row r="808" ht="15.75" customHeight="1">
      <c r="B808" s="47"/>
      <c r="C808" s="47"/>
      <c r="E808" s="47"/>
    </row>
    <row r="809" ht="15.75" customHeight="1">
      <c r="B809" s="47"/>
      <c r="C809" s="47"/>
      <c r="E809" s="47"/>
    </row>
    <row r="810" ht="15.75" customHeight="1">
      <c r="B810" s="47"/>
      <c r="C810" s="47"/>
      <c r="E810" s="47"/>
    </row>
    <row r="811" ht="15.75" customHeight="1">
      <c r="B811" s="47"/>
      <c r="C811" s="47"/>
      <c r="E811" s="47"/>
    </row>
    <row r="812" ht="15.75" customHeight="1">
      <c r="B812" s="47"/>
      <c r="C812" s="47"/>
      <c r="E812" s="47"/>
    </row>
    <row r="813" ht="15.75" customHeight="1">
      <c r="B813" s="47"/>
      <c r="C813" s="47"/>
      <c r="E813" s="47"/>
    </row>
    <row r="814" ht="15.75" customHeight="1">
      <c r="B814" s="47"/>
      <c r="C814" s="47"/>
      <c r="E814" s="47"/>
    </row>
    <row r="815" ht="15.75" customHeight="1">
      <c r="B815" s="47"/>
      <c r="C815" s="47"/>
      <c r="E815" s="47"/>
    </row>
    <row r="816" ht="15.75" customHeight="1">
      <c r="B816" s="47"/>
      <c r="C816" s="47"/>
      <c r="E816" s="47"/>
    </row>
    <row r="817" ht="15.75" customHeight="1">
      <c r="B817" s="47"/>
      <c r="C817" s="47"/>
      <c r="E817" s="47"/>
    </row>
    <row r="818" ht="15.75" customHeight="1">
      <c r="B818" s="47"/>
      <c r="C818" s="47"/>
      <c r="E818" s="47"/>
    </row>
    <row r="819" ht="15.75" customHeight="1">
      <c r="B819" s="47"/>
      <c r="C819" s="47"/>
      <c r="E819" s="47"/>
    </row>
    <row r="820" ht="15.75" customHeight="1">
      <c r="B820" s="47"/>
      <c r="C820" s="47"/>
      <c r="E820" s="47"/>
    </row>
    <row r="821" ht="15.75" customHeight="1">
      <c r="B821" s="47"/>
      <c r="C821" s="47"/>
      <c r="E821" s="47"/>
    </row>
    <row r="822" ht="15.75" customHeight="1">
      <c r="B822" s="47"/>
      <c r="C822" s="47"/>
      <c r="E822" s="47"/>
    </row>
    <row r="823" ht="15.75" customHeight="1">
      <c r="B823" s="47"/>
      <c r="C823" s="47"/>
      <c r="E823" s="47"/>
    </row>
    <row r="824" ht="15.75" customHeight="1">
      <c r="B824" s="47"/>
      <c r="C824" s="47"/>
      <c r="E824" s="47"/>
    </row>
    <row r="825" ht="15.75" customHeight="1">
      <c r="B825" s="47"/>
      <c r="C825" s="47"/>
      <c r="E825" s="47"/>
    </row>
    <row r="826" ht="15.75" customHeight="1">
      <c r="B826" s="47"/>
      <c r="C826" s="47"/>
      <c r="E826" s="47"/>
    </row>
    <row r="827" ht="15.75" customHeight="1">
      <c r="B827" s="47"/>
      <c r="C827" s="47"/>
      <c r="E827" s="47"/>
    </row>
    <row r="828" ht="15.75" customHeight="1">
      <c r="B828" s="47"/>
      <c r="C828" s="47"/>
      <c r="E828" s="47"/>
    </row>
    <row r="829" ht="15.75" customHeight="1">
      <c r="B829" s="47"/>
      <c r="C829" s="47"/>
      <c r="E829" s="47"/>
    </row>
    <row r="830" ht="15.75" customHeight="1">
      <c r="B830" s="47"/>
      <c r="C830" s="47"/>
      <c r="E830" s="47"/>
    </row>
    <row r="831" ht="15.75" customHeight="1">
      <c r="B831" s="47"/>
      <c r="C831" s="47"/>
      <c r="E831" s="47"/>
    </row>
    <row r="832" ht="15.75" customHeight="1">
      <c r="B832" s="47"/>
      <c r="C832" s="47"/>
      <c r="E832" s="47"/>
    </row>
    <row r="833" ht="15.75" customHeight="1">
      <c r="B833" s="47"/>
      <c r="C833" s="47"/>
      <c r="E833" s="47"/>
    </row>
    <row r="834" ht="15.75" customHeight="1">
      <c r="B834" s="47"/>
      <c r="C834" s="47"/>
      <c r="E834" s="47"/>
    </row>
    <row r="835" ht="15.75" customHeight="1">
      <c r="B835" s="47"/>
      <c r="C835" s="47"/>
      <c r="E835" s="47"/>
    </row>
    <row r="836" ht="15.75" customHeight="1">
      <c r="B836" s="47"/>
      <c r="C836" s="47"/>
      <c r="E836" s="47"/>
    </row>
    <row r="837" ht="15.75" customHeight="1">
      <c r="B837" s="47"/>
      <c r="C837" s="47"/>
      <c r="E837" s="47"/>
    </row>
    <row r="838" ht="15.75" customHeight="1">
      <c r="B838" s="47"/>
      <c r="C838" s="47"/>
      <c r="E838" s="47"/>
    </row>
    <row r="839" ht="15.75" customHeight="1">
      <c r="B839" s="47"/>
      <c r="C839" s="47"/>
      <c r="E839" s="47"/>
    </row>
    <row r="840" ht="15.75" customHeight="1">
      <c r="B840" s="47"/>
      <c r="C840" s="47"/>
      <c r="E840" s="47"/>
    </row>
    <row r="841" ht="15.75" customHeight="1">
      <c r="B841" s="47"/>
      <c r="C841" s="47"/>
      <c r="E841" s="47"/>
    </row>
    <row r="842" ht="15.75" customHeight="1">
      <c r="B842" s="47"/>
      <c r="C842" s="47"/>
      <c r="E842" s="47"/>
    </row>
    <row r="843" ht="15.75" customHeight="1">
      <c r="B843" s="47"/>
      <c r="C843" s="47"/>
      <c r="E843" s="47"/>
    </row>
    <row r="844" ht="15.75" customHeight="1">
      <c r="B844" s="47"/>
      <c r="C844" s="47"/>
      <c r="E844" s="47"/>
    </row>
    <row r="845" ht="15.75" customHeight="1">
      <c r="B845" s="47"/>
      <c r="C845" s="47"/>
      <c r="E845" s="47"/>
    </row>
    <row r="846" ht="15.75" customHeight="1">
      <c r="B846" s="47"/>
      <c r="C846" s="47"/>
      <c r="E846" s="47"/>
    </row>
    <row r="847" ht="15.75" customHeight="1">
      <c r="B847" s="47"/>
      <c r="C847" s="47"/>
      <c r="E847" s="47"/>
    </row>
    <row r="848" ht="15.75" customHeight="1">
      <c r="B848" s="47"/>
      <c r="C848" s="47"/>
      <c r="E848" s="47"/>
    </row>
    <row r="849" ht="15.75" customHeight="1">
      <c r="B849" s="47"/>
      <c r="C849" s="47"/>
      <c r="E849" s="47"/>
    </row>
    <row r="850" ht="15.75" customHeight="1">
      <c r="B850" s="47"/>
      <c r="C850" s="47"/>
      <c r="E850" s="47"/>
    </row>
    <row r="851" ht="15.75" customHeight="1">
      <c r="B851" s="47"/>
      <c r="C851" s="47"/>
      <c r="E851" s="47"/>
    </row>
    <row r="852" ht="15.75" customHeight="1">
      <c r="B852" s="47"/>
      <c r="C852" s="47"/>
      <c r="E852" s="47"/>
    </row>
    <row r="853" ht="15.75" customHeight="1">
      <c r="B853" s="47"/>
      <c r="C853" s="47"/>
      <c r="E853" s="47"/>
    </row>
    <row r="854" ht="15.75" customHeight="1">
      <c r="B854" s="47"/>
      <c r="C854" s="47"/>
      <c r="E854" s="47"/>
    </row>
    <row r="855" ht="15.75" customHeight="1">
      <c r="B855" s="47"/>
      <c r="C855" s="47"/>
      <c r="E855" s="47"/>
    </row>
    <row r="856" ht="15.75" customHeight="1">
      <c r="B856" s="47"/>
      <c r="C856" s="47"/>
      <c r="E856" s="47"/>
    </row>
    <row r="857" ht="15.75" customHeight="1">
      <c r="B857" s="47"/>
      <c r="C857" s="47"/>
      <c r="E857" s="47"/>
    </row>
    <row r="858" ht="15.75" customHeight="1">
      <c r="B858" s="47"/>
      <c r="C858" s="47"/>
      <c r="E858" s="47"/>
    </row>
    <row r="859" ht="15.75" customHeight="1">
      <c r="B859" s="47"/>
      <c r="C859" s="47"/>
      <c r="E859" s="47"/>
    </row>
    <row r="860" ht="15.75" customHeight="1">
      <c r="B860" s="47"/>
      <c r="C860" s="47"/>
      <c r="E860" s="47"/>
    </row>
    <row r="861" ht="15.75" customHeight="1">
      <c r="B861" s="47"/>
      <c r="C861" s="47"/>
      <c r="E861" s="47"/>
    </row>
    <row r="862" ht="15.75" customHeight="1">
      <c r="B862" s="47"/>
      <c r="C862" s="47"/>
      <c r="E862" s="47"/>
    </row>
    <row r="863" ht="15.75" customHeight="1">
      <c r="B863" s="47"/>
      <c r="C863" s="47"/>
      <c r="E863" s="47"/>
    </row>
    <row r="864" ht="15.75" customHeight="1">
      <c r="B864" s="47"/>
      <c r="C864" s="47"/>
      <c r="E864" s="47"/>
    </row>
    <row r="865" ht="15.75" customHeight="1">
      <c r="B865" s="47"/>
      <c r="C865" s="47"/>
      <c r="E865" s="47"/>
    </row>
    <row r="866" ht="15.75" customHeight="1">
      <c r="B866" s="47"/>
      <c r="C866" s="47"/>
      <c r="E866" s="47"/>
    </row>
    <row r="867" ht="15.75" customHeight="1">
      <c r="B867" s="47"/>
      <c r="C867" s="47"/>
      <c r="E867" s="47"/>
    </row>
    <row r="868" ht="15.75" customHeight="1">
      <c r="B868" s="47"/>
      <c r="C868" s="47"/>
      <c r="E868" s="47"/>
    </row>
    <row r="869" ht="15.75" customHeight="1">
      <c r="B869" s="47"/>
      <c r="C869" s="47"/>
      <c r="E869" s="47"/>
    </row>
    <row r="870" ht="15.75" customHeight="1">
      <c r="B870" s="47"/>
      <c r="C870" s="47"/>
      <c r="E870" s="47"/>
    </row>
    <row r="871" ht="15.75" customHeight="1">
      <c r="B871" s="47"/>
      <c r="C871" s="47"/>
      <c r="E871" s="47"/>
    </row>
    <row r="872" ht="15.75" customHeight="1">
      <c r="B872" s="47"/>
      <c r="C872" s="47"/>
      <c r="E872" s="47"/>
    </row>
    <row r="873" ht="15.75" customHeight="1">
      <c r="B873" s="47"/>
      <c r="C873" s="47"/>
      <c r="E873" s="47"/>
    </row>
    <row r="874" ht="15.75" customHeight="1">
      <c r="B874" s="47"/>
      <c r="C874" s="47"/>
      <c r="E874" s="47"/>
    </row>
    <row r="875" ht="15.75" customHeight="1">
      <c r="B875" s="47"/>
      <c r="C875" s="47"/>
      <c r="E875" s="47"/>
    </row>
    <row r="876" ht="15.75" customHeight="1">
      <c r="B876" s="47"/>
      <c r="C876" s="47"/>
      <c r="E876" s="47"/>
    </row>
    <row r="877" ht="15.75" customHeight="1">
      <c r="B877" s="47"/>
      <c r="C877" s="47"/>
      <c r="E877" s="47"/>
    </row>
    <row r="878" ht="15.75" customHeight="1">
      <c r="B878" s="47"/>
      <c r="C878" s="47"/>
      <c r="E878" s="47"/>
    </row>
    <row r="879" ht="15.75" customHeight="1">
      <c r="B879" s="47"/>
      <c r="C879" s="47"/>
      <c r="E879" s="47"/>
    </row>
    <row r="880" ht="15.75" customHeight="1">
      <c r="B880" s="47"/>
      <c r="C880" s="47"/>
      <c r="E880" s="47"/>
    </row>
    <row r="881" ht="15.75" customHeight="1">
      <c r="B881" s="47"/>
      <c r="C881" s="47"/>
      <c r="E881" s="47"/>
    </row>
    <row r="882" ht="15.75" customHeight="1">
      <c r="B882" s="47"/>
      <c r="C882" s="47"/>
      <c r="E882" s="47"/>
    </row>
    <row r="883" ht="15.75" customHeight="1">
      <c r="B883" s="47"/>
      <c r="C883" s="47"/>
      <c r="E883" s="47"/>
    </row>
    <row r="884" ht="15.75" customHeight="1">
      <c r="B884" s="47"/>
      <c r="C884" s="47"/>
      <c r="E884" s="47"/>
    </row>
    <row r="885" ht="15.75" customHeight="1">
      <c r="B885" s="47"/>
      <c r="C885" s="47"/>
      <c r="E885" s="47"/>
    </row>
    <row r="886" ht="15.75" customHeight="1">
      <c r="B886" s="47"/>
      <c r="C886" s="47"/>
      <c r="E886" s="47"/>
    </row>
    <row r="887" ht="15.75" customHeight="1">
      <c r="B887" s="47"/>
      <c r="C887" s="47"/>
      <c r="E887" s="47"/>
    </row>
    <row r="888" ht="15.75" customHeight="1">
      <c r="B888" s="47"/>
      <c r="C888" s="47"/>
      <c r="E888" s="47"/>
    </row>
    <row r="889" ht="15.75" customHeight="1">
      <c r="B889" s="47"/>
      <c r="C889" s="47"/>
      <c r="E889" s="47"/>
    </row>
    <row r="890" ht="15.75" customHeight="1">
      <c r="B890" s="47"/>
      <c r="C890" s="47"/>
      <c r="E890" s="47"/>
    </row>
    <row r="891" ht="15.75" customHeight="1">
      <c r="B891" s="47"/>
      <c r="C891" s="47"/>
      <c r="E891" s="47"/>
    </row>
    <row r="892" ht="15.75" customHeight="1">
      <c r="B892" s="47"/>
      <c r="C892" s="47"/>
      <c r="E892" s="47"/>
    </row>
    <row r="893" ht="15.75" customHeight="1">
      <c r="B893" s="47"/>
      <c r="C893" s="47"/>
      <c r="E893" s="47"/>
    </row>
    <row r="894" ht="15.75" customHeight="1">
      <c r="B894" s="47"/>
      <c r="C894" s="47"/>
      <c r="E894" s="47"/>
    </row>
    <row r="895" ht="15.75" customHeight="1">
      <c r="B895" s="47"/>
      <c r="C895" s="47"/>
      <c r="E895" s="47"/>
    </row>
    <row r="896" ht="15.75" customHeight="1">
      <c r="B896" s="47"/>
      <c r="C896" s="47"/>
      <c r="E896" s="47"/>
    </row>
    <row r="897" ht="15.75" customHeight="1">
      <c r="B897" s="47"/>
      <c r="C897" s="47"/>
      <c r="E897" s="47"/>
    </row>
    <row r="898" ht="15.75" customHeight="1">
      <c r="B898" s="47"/>
      <c r="C898" s="47"/>
      <c r="E898" s="47"/>
    </row>
    <row r="899" ht="15.75" customHeight="1">
      <c r="B899" s="47"/>
      <c r="C899" s="47"/>
      <c r="E899" s="47"/>
    </row>
    <row r="900" ht="15.75" customHeight="1">
      <c r="B900" s="47"/>
      <c r="C900" s="47"/>
      <c r="E900" s="47"/>
    </row>
    <row r="901" ht="15.75" customHeight="1">
      <c r="B901" s="47"/>
      <c r="C901" s="47"/>
      <c r="E901" s="47"/>
    </row>
    <row r="902" ht="15.75" customHeight="1">
      <c r="B902" s="47"/>
      <c r="C902" s="47"/>
      <c r="E902" s="47"/>
    </row>
    <row r="903" ht="15.75" customHeight="1">
      <c r="B903" s="47"/>
      <c r="C903" s="47"/>
      <c r="E903" s="47"/>
    </row>
    <row r="904" ht="15.75" customHeight="1">
      <c r="B904" s="47"/>
      <c r="C904" s="47"/>
      <c r="E904" s="47"/>
    </row>
    <row r="905" ht="15.75" customHeight="1">
      <c r="B905" s="47"/>
      <c r="C905" s="47"/>
      <c r="E905" s="47"/>
    </row>
    <row r="906" ht="15.75" customHeight="1">
      <c r="B906" s="47"/>
      <c r="C906" s="47"/>
      <c r="E906" s="47"/>
    </row>
    <row r="907" ht="15.75" customHeight="1">
      <c r="B907" s="47"/>
      <c r="C907" s="47"/>
      <c r="E907" s="47"/>
    </row>
    <row r="908" ht="15.75" customHeight="1">
      <c r="B908" s="47"/>
      <c r="C908" s="47"/>
      <c r="E908" s="47"/>
    </row>
    <row r="909" ht="15.75" customHeight="1">
      <c r="B909" s="47"/>
      <c r="C909" s="47"/>
      <c r="E909" s="47"/>
    </row>
    <row r="910" ht="15.75" customHeight="1">
      <c r="B910" s="47"/>
      <c r="C910" s="47"/>
      <c r="E910" s="47"/>
    </row>
    <row r="911" ht="15.75" customHeight="1">
      <c r="B911" s="47"/>
      <c r="C911" s="47"/>
      <c r="E911" s="47"/>
    </row>
    <row r="912" ht="15.75" customHeight="1">
      <c r="B912" s="47"/>
      <c r="C912" s="47"/>
      <c r="E912" s="47"/>
    </row>
    <row r="913" ht="15.75" customHeight="1">
      <c r="B913" s="47"/>
      <c r="C913" s="47"/>
      <c r="E913" s="47"/>
    </row>
    <row r="914" ht="15.75" customHeight="1">
      <c r="B914" s="47"/>
      <c r="C914" s="47"/>
      <c r="E914" s="47"/>
    </row>
    <row r="915" ht="15.75" customHeight="1">
      <c r="B915" s="47"/>
      <c r="C915" s="47"/>
      <c r="E915" s="47"/>
    </row>
    <row r="916" ht="15.75" customHeight="1">
      <c r="B916" s="47"/>
      <c r="C916" s="47"/>
      <c r="E916" s="47"/>
    </row>
    <row r="917" ht="15.75" customHeight="1">
      <c r="B917" s="47"/>
      <c r="C917" s="47"/>
      <c r="E917" s="47"/>
    </row>
    <row r="918" ht="15.75" customHeight="1">
      <c r="B918" s="47"/>
      <c r="C918" s="47"/>
      <c r="E918" s="47"/>
    </row>
    <row r="919" ht="15.75" customHeight="1">
      <c r="B919" s="47"/>
      <c r="C919" s="47"/>
      <c r="E919" s="47"/>
    </row>
    <row r="920" ht="15.75" customHeight="1">
      <c r="B920" s="47"/>
      <c r="C920" s="47"/>
      <c r="E920" s="47"/>
    </row>
    <row r="921" ht="15.75" customHeight="1">
      <c r="B921" s="47"/>
      <c r="C921" s="47"/>
      <c r="E921" s="47"/>
    </row>
    <row r="922" ht="15.75" customHeight="1">
      <c r="B922" s="47"/>
      <c r="C922" s="47"/>
      <c r="E922" s="47"/>
    </row>
    <row r="923" ht="15.75" customHeight="1">
      <c r="B923" s="47"/>
      <c r="C923" s="47"/>
      <c r="E923" s="47"/>
    </row>
    <row r="924" ht="15.75" customHeight="1">
      <c r="B924" s="47"/>
      <c r="C924" s="47"/>
      <c r="E924" s="47"/>
    </row>
    <row r="925" ht="15.75" customHeight="1">
      <c r="B925" s="47"/>
      <c r="C925" s="47"/>
      <c r="E925" s="47"/>
    </row>
    <row r="926" ht="15.75" customHeight="1">
      <c r="B926" s="47"/>
      <c r="C926" s="47"/>
      <c r="E926" s="47"/>
    </row>
    <row r="927" ht="15.75" customHeight="1">
      <c r="B927" s="47"/>
      <c r="C927" s="47"/>
      <c r="E927" s="47"/>
    </row>
    <row r="928" ht="15.75" customHeight="1">
      <c r="B928" s="47"/>
      <c r="C928" s="47"/>
      <c r="E928" s="47"/>
    </row>
    <row r="929" ht="15.75" customHeight="1">
      <c r="B929" s="47"/>
      <c r="C929" s="47"/>
      <c r="E929" s="47"/>
    </row>
    <row r="930" ht="15.75" customHeight="1">
      <c r="B930" s="47"/>
      <c r="C930" s="47"/>
      <c r="E930" s="47"/>
    </row>
    <row r="931" ht="15.75" customHeight="1">
      <c r="B931" s="47"/>
      <c r="C931" s="47"/>
      <c r="E931" s="47"/>
    </row>
    <row r="932" ht="15.75" customHeight="1">
      <c r="B932" s="47"/>
      <c r="C932" s="47"/>
      <c r="E932" s="47"/>
    </row>
    <row r="933" ht="15.75" customHeight="1">
      <c r="B933" s="47"/>
      <c r="C933" s="47"/>
      <c r="E933" s="47"/>
    </row>
    <row r="934" ht="15.75" customHeight="1">
      <c r="B934" s="47"/>
      <c r="C934" s="47"/>
      <c r="E934" s="47"/>
    </row>
    <row r="935" ht="15.75" customHeight="1">
      <c r="B935" s="47"/>
      <c r="C935" s="47"/>
      <c r="E935" s="47"/>
    </row>
    <row r="936" ht="15.75" customHeight="1">
      <c r="B936" s="47"/>
      <c r="C936" s="47"/>
      <c r="E936" s="47"/>
    </row>
    <row r="937" ht="15.75" customHeight="1">
      <c r="B937" s="47"/>
      <c r="C937" s="47"/>
      <c r="E937" s="47"/>
    </row>
    <row r="938" ht="15.75" customHeight="1">
      <c r="B938" s="47"/>
      <c r="C938" s="47"/>
      <c r="E938" s="47"/>
    </row>
    <row r="939" ht="15.75" customHeight="1">
      <c r="B939" s="47"/>
      <c r="C939" s="47"/>
      <c r="E939" s="47"/>
    </row>
    <row r="940" ht="15.75" customHeight="1">
      <c r="B940" s="47"/>
      <c r="C940" s="47"/>
      <c r="E940" s="47"/>
    </row>
    <row r="941" ht="15.75" customHeight="1">
      <c r="B941" s="47"/>
      <c r="C941" s="47"/>
      <c r="E941" s="47"/>
    </row>
    <row r="942" ht="15.75" customHeight="1">
      <c r="B942" s="47"/>
      <c r="C942" s="47"/>
      <c r="E942" s="47"/>
    </row>
    <row r="943" ht="15.75" customHeight="1">
      <c r="B943" s="47"/>
      <c r="C943" s="47"/>
      <c r="E943" s="47"/>
    </row>
    <row r="944" ht="15.75" customHeight="1">
      <c r="B944" s="47"/>
      <c r="C944" s="47"/>
      <c r="E944" s="47"/>
    </row>
    <row r="945" ht="15.75" customHeight="1">
      <c r="B945" s="47"/>
      <c r="C945" s="47"/>
      <c r="E945" s="47"/>
    </row>
    <row r="946" ht="15.75" customHeight="1">
      <c r="B946" s="47"/>
      <c r="C946" s="47"/>
      <c r="E946" s="47"/>
    </row>
    <row r="947" ht="15.75" customHeight="1">
      <c r="B947" s="47"/>
      <c r="C947" s="47"/>
      <c r="E947" s="47"/>
    </row>
    <row r="948" ht="15.75" customHeight="1">
      <c r="B948" s="47"/>
      <c r="C948" s="47"/>
      <c r="E948" s="47"/>
    </row>
    <row r="949" ht="15.75" customHeight="1">
      <c r="B949" s="47"/>
      <c r="C949" s="47"/>
      <c r="E949" s="47"/>
    </row>
    <row r="950" ht="15.75" customHeight="1">
      <c r="B950" s="47"/>
      <c r="C950" s="47"/>
      <c r="E950" s="47"/>
    </row>
    <row r="951" ht="15.75" customHeight="1">
      <c r="B951" s="47"/>
      <c r="C951" s="47"/>
      <c r="E951" s="47"/>
    </row>
    <row r="952" ht="15.75" customHeight="1">
      <c r="B952" s="47"/>
      <c r="C952" s="47"/>
      <c r="E952" s="47"/>
    </row>
    <row r="953" ht="15.75" customHeight="1">
      <c r="B953" s="47"/>
      <c r="C953" s="47"/>
      <c r="E953" s="47"/>
    </row>
    <row r="954" ht="15.75" customHeight="1">
      <c r="B954" s="47"/>
      <c r="C954" s="47"/>
      <c r="E954" s="47"/>
    </row>
    <row r="955" ht="15.75" customHeight="1">
      <c r="B955" s="47"/>
      <c r="C955" s="47"/>
      <c r="E955" s="47"/>
    </row>
    <row r="956" ht="15.75" customHeight="1">
      <c r="B956" s="47"/>
      <c r="C956" s="47"/>
      <c r="E956" s="47"/>
    </row>
    <row r="957" ht="15.75" customHeight="1">
      <c r="B957" s="47"/>
      <c r="C957" s="47"/>
      <c r="E957" s="47"/>
    </row>
    <row r="958" ht="15.75" customHeight="1">
      <c r="B958" s="47"/>
      <c r="C958" s="47"/>
      <c r="E958" s="47"/>
    </row>
    <row r="959" ht="15.75" customHeight="1">
      <c r="B959" s="47"/>
      <c r="C959" s="47"/>
      <c r="E959" s="47"/>
    </row>
    <row r="960" ht="15.75" customHeight="1">
      <c r="B960" s="47"/>
      <c r="C960" s="47"/>
      <c r="E960" s="47"/>
    </row>
    <row r="961" ht="15.75" customHeight="1">
      <c r="B961" s="47"/>
      <c r="C961" s="47"/>
      <c r="E961" s="47"/>
    </row>
    <row r="962" ht="15.75" customHeight="1">
      <c r="B962" s="47"/>
      <c r="C962" s="47"/>
      <c r="E962" s="47"/>
    </row>
    <row r="963" ht="15.75" customHeight="1">
      <c r="B963" s="47"/>
      <c r="C963" s="47"/>
      <c r="E963" s="47"/>
    </row>
    <row r="964" ht="15.75" customHeight="1">
      <c r="B964" s="47"/>
      <c r="C964" s="47"/>
      <c r="E964" s="47"/>
    </row>
    <row r="965" ht="15.75" customHeight="1">
      <c r="B965" s="47"/>
      <c r="C965" s="47"/>
      <c r="E965" s="47"/>
    </row>
    <row r="966" ht="15.75" customHeight="1">
      <c r="B966" s="47"/>
      <c r="C966" s="47"/>
      <c r="E966" s="47"/>
    </row>
    <row r="967" ht="15.75" customHeight="1">
      <c r="B967" s="47"/>
      <c r="C967" s="47"/>
      <c r="E967" s="47"/>
    </row>
    <row r="968" ht="15.75" customHeight="1">
      <c r="B968" s="47"/>
      <c r="C968" s="47"/>
      <c r="E968" s="47"/>
    </row>
    <row r="969" ht="15.75" customHeight="1">
      <c r="B969" s="47"/>
      <c r="C969" s="47"/>
      <c r="E969" s="47"/>
    </row>
    <row r="970" ht="15.75" customHeight="1">
      <c r="B970" s="47"/>
      <c r="C970" s="47"/>
      <c r="E970" s="47"/>
    </row>
    <row r="971" ht="15.75" customHeight="1">
      <c r="B971" s="47"/>
      <c r="C971" s="47"/>
      <c r="E971" s="47"/>
    </row>
    <row r="972" ht="15.75" customHeight="1">
      <c r="B972" s="47"/>
      <c r="C972" s="47"/>
      <c r="E972" s="47"/>
    </row>
    <row r="973" ht="15.75" customHeight="1">
      <c r="B973" s="47"/>
      <c r="C973" s="47"/>
      <c r="E973" s="47"/>
    </row>
    <row r="974" ht="15.75" customHeight="1">
      <c r="B974" s="47"/>
      <c r="C974" s="47"/>
      <c r="E974" s="47"/>
    </row>
    <row r="975" ht="15.75" customHeight="1">
      <c r="B975" s="47"/>
      <c r="C975" s="47"/>
      <c r="E975" s="47"/>
    </row>
    <row r="976" ht="15.75" customHeight="1">
      <c r="B976" s="47"/>
      <c r="C976" s="47"/>
      <c r="E976" s="47"/>
    </row>
    <row r="977" ht="15.75" customHeight="1">
      <c r="B977" s="47"/>
      <c r="C977" s="47"/>
      <c r="E977" s="47"/>
    </row>
    <row r="978" ht="15.75" customHeight="1">
      <c r="B978" s="47"/>
      <c r="C978" s="47"/>
      <c r="E978" s="47"/>
    </row>
    <row r="979" ht="15.75" customHeight="1">
      <c r="B979" s="47"/>
      <c r="C979" s="47"/>
      <c r="E979" s="47"/>
    </row>
    <row r="980" ht="15.75" customHeight="1">
      <c r="B980" s="47"/>
      <c r="C980" s="47"/>
      <c r="E980" s="47"/>
    </row>
    <row r="981" ht="15.75" customHeight="1">
      <c r="B981" s="47"/>
      <c r="C981" s="47"/>
      <c r="E981" s="47"/>
    </row>
    <row r="982" ht="15.75" customHeight="1">
      <c r="B982" s="47"/>
      <c r="C982" s="47"/>
      <c r="E982" s="47"/>
    </row>
    <row r="983" ht="15.75" customHeight="1">
      <c r="B983" s="47"/>
      <c r="C983" s="47"/>
      <c r="E983" s="47"/>
    </row>
    <row r="984" ht="15.75" customHeight="1">
      <c r="B984" s="47"/>
      <c r="C984" s="47"/>
      <c r="E984" s="47"/>
    </row>
    <row r="985" ht="15.75" customHeight="1">
      <c r="B985" s="47"/>
      <c r="C985" s="47"/>
      <c r="E985" s="47"/>
    </row>
    <row r="986" ht="15.75" customHeight="1">
      <c r="B986" s="47"/>
      <c r="C986" s="47"/>
      <c r="E986" s="47"/>
    </row>
    <row r="987" ht="15.75" customHeight="1">
      <c r="B987" s="47"/>
      <c r="C987" s="47"/>
      <c r="E987" s="47"/>
    </row>
    <row r="988" ht="15.75" customHeight="1">
      <c r="B988" s="47"/>
      <c r="C988" s="47"/>
      <c r="E988" s="47"/>
    </row>
    <row r="989" ht="15.75" customHeight="1">
      <c r="B989" s="47"/>
      <c r="C989" s="47"/>
      <c r="E989" s="47"/>
    </row>
    <row r="990" ht="15.75" customHeight="1">
      <c r="B990" s="47"/>
      <c r="C990" s="47"/>
      <c r="E990" s="47"/>
    </row>
    <row r="991" ht="15.75" customHeight="1">
      <c r="B991" s="47"/>
      <c r="C991" s="47"/>
      <c r="E991" s="47"/>
    </row>
    <row r="992" ht="15.75" customHeight="1">
      <c r="B992" s="47"/>
      <c r="C992" s="47"/>
      <c r="E992" s="47"/>
    </row>
    <row r="993" ht="15.75" customHeight="1">
      <c r="B993" s="47"/>
      <c r="C993" s="47"/>
      <c r="E993" s="47"/>
    </row>
    <row r="994" ht="15.75" customHeight="1">
      <c r="B994" s="47"/>
      <c r="C994" s="47"/>
      <c r="E994" s="47"/>
    </row>
    <row r="995" ht="15.75" customHeight="1">
      <c r="B995" s="47"/>
      <c r="C995" s="47"/>
      <c r="E995" s="47"/>
    </row>
    <row r="996" ht="15.75" customHeight="1">
      <c r="B996" s="47"/>
      <c r="C996" s="47"/>
      <c r="E996" s="47"/>
    </row>
    <row r="997" ht="15.75" customHeight="1">
      <c r="B997" s="47"/>
      <c r="C997" s="47"/>
      <c r="E997" s="47"/>
    </row>
    <row r="998" ht="15.75" customHeight="1">
      <c r="B998" s="47"/>
      <c r="C998" s="47"/>
      <c r="E998" s="47"/>
    </row>
    <row r="999" ht="15.75" customHeight="1">
      <c r="B999" s="47"/>
      <c r="C999" s="47"/>
      <c r="E999" s="47"/>
    </row>
    <row r="1000" ht="15.75" customHeight="1">
      <c r="B1000" s="47"/>
      <c r="C1000" s="47"/>
      <c r="E1000" s="47"/>
    </row>
  </sheetData>
  <drawing r:id="rId3"/>
</worksheet>
</file>